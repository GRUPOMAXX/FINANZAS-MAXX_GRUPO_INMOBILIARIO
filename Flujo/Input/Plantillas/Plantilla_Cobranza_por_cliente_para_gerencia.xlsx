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huamani\FINANZAS-MAXX_GRUPO_INMOBILIARIO\Flujo\Input\Plantillas\"/>
    </mc:Choice>
  </mc:AlternateContent>
  <xr:revisionPtr revIDLastSave="0" documentId="13_ncr:1_{C242912D-94DC-4352-9160-4F4A80F343CE}" xr6:coauthVersionLast="47" xr6:coauthVersionMax="47" xr10:uidLastSave="{00000000-0000-0000-0000-000000000000}"/>
  <bookViews>
    <workbookView xWindow="-108" yWindow="-108" windowWidth="23256" windowHeight="13896" activeTab="3" xr2:uid="{36F8B4EF-1199-48ED-8221-14A763FA523F}"/>
  </bookViews>
  <sheets>
    <sheet name="Base_Ajustada" sheetId="2" r:id="rId1"/>
    <sheet name="Reporte_General" sheetId="1" r:id="rId2"/>
    <sheet name="Reporte_Cliente" sheetId="3" r:id="rId3"/>
    <sheet name="Reporte_Proyecto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" i="4" l="1"/>
  <c r="C8" i="4"/>
  <c r="D8" i="4"/>
  <c r="B8" i="4"/>
  <c r="H5" i="4"/>
  <c r="H7" i="4"/>
  <c r="E7" i="4"/>
  <c r="F7" i="4" s="1"/>
  <c r="E6" i="4"/>
  <c r="F6" i="4" s="1"/>
  <c r="E5" i="4"/>
  <c r="F5" i="4" s="1"/>
  <c r="L34" i="1"/>
  <c r="L33" i="1"/>
  <c r="L32" i="1"/>
  <c r="L31" i="1"/>
  <c r="L30" i="1"/>
  <c r="L29" i="1"/>
  <c r="L24" i="1"/>
  <c r="L23" i="1"/>
  <c r="L22" i="1"/>
  <c r="L21" i="1"/>
  <c r="L20" i="1"/>
  <c r="L19" i="1"/>
  <c r="L14" i="1"/>
  <c r="L13" i="1"/>
  <c r="L12" i="1"/>
  <c r="L11" i="1"/>
  <c r="L10" i="1"/>
  <c r="L9" i="1"/>
  <c r="L27" i="1"/>
  <c r="L17" i="1"/>
  <c r="L7" i="1"/>
  <c r="H27" i="1"/>
  <c r="H17" i="1"/>
  <c r="H7" i="1"/>
  <c r="I7" i="4" l="1"/>
  <c r="I6" i="4"/>
  <c r="I5" i="4"/>
  <c r="E8" i="4"/>
  <c r="F8" i="4" s="1"/>
  <c r="C5" i="1"/>
  <c r="G5" i="1"/>
  <c r="K7" i="3" l="1"/>
  <c r="O7" i="3" s="1"/>
  <c r="K11" i="3"/>
  <c r="O11" i="3" s="1"/>
  <c r="K10" i="3"/>
  <c r="O10" i="3" s="1"/>
  <c r="K12" i="3"/>
  <c r="O12" i="3" s="1"/>
  <c r="K8" i="3"/>
  <c r="O8" i="3" s="1"/>
  <c r="K9" i="3"/>
  <c r="O9" i="3" s="1"/>
  <c r="K5" i="3"/>
  <c r="O5" i="3" s="1"/>
  <c r="K6" i="3"/>
  <c r="O6" i="3" s="1"/>
</calcChain>
</file>

<file path=xl/sharedStrings.xml><?xml version="1.0" encoding="utf-8"?>
<sst xmlns="http://schemas.openxmlformats.org/spreadsheetml/2006/main" count="26746" uniqueCount="2054">
  <si>
    <t>DEUDA TOTAL</t>
  </si>
  <si>
    <t>CLIENTES CON DEUDA</t>
  </si>
  <si>
    <t>RESIDENCIAL PRADA</t>
  </si>
  <si>
    <t>Cliente</t>
  </si>
  <si>
    <t>Unidad</t>
  </si>
  <si>
    <t>Monto Deuda</t>
  </si>
  <si>
    <t>Días de atraso</t>
  </si>
  <si>
    <t>Rank</t>
  </si>
  <si>
    <t>Precio Venta</t>
  </si>
  <si>
    <t>Monto Cobrado</t>
  </si>
  <si>
    <t>Financiamiento</t>
  </si>
  <si>
    <t>RESIDENCIAL BEYOND</t>
  </si>
  <si>
    <t>RESIDENCIAL VENECIA</t>
  </si>
  <si>
    <t>CLIENTE</t>
  </si>
  <si>
    <t>Proyecto</t>
  </si>
  <si>
    <t>Etapa</t>
  </si>
  <si>
    <t>Tipo_Construccion_1</t>
  </si>
  <si>
    <t>Nombre_Tipo_Construccion_1</t>
  </si>
  <si>
    <t>TipoInmueble_1</t>
  </si>
  <si>
    <t>NroInmueble_1</t>
  </si>
  <si>
    <t>PrecioLista_1</t>
  </si>
  <si>
    <t>PrecioVenta_1</t>
  </si>
  <si>
    <t>Tipo_Construccion_2</t>
  </si>
  <si>
    <t>Nombre_Tipo_Construccion_2</t>
  </si>
  <si>
    <t>TipoInmueble_2</t>
  </si>
  <si>
    <t>NroInmueble_2</t>
  </si>
  <si>
    <t>PrecioLista_2</t>
  </si>
  <si>
    <t>PrecioVenta_2</t>
  </si>
  <si>
    <t>Tipo_Construccion_3</t>
  </si>
  <si>
    <t>Nombre_Tipo_Construccion_3</t>
  </si>
  <si>
    <t>TipoInmueble_3</t>
  </si>
  <si>
    <t>NroInmueble_3</t>
  </si>
  <si>
    <t>PrecioLista_3</t>
  </si>
  <si>
    <t>PrecioVenta_3</t>
  </si>
  <si>
    <t>Tipo_Construccion_4</t>
  </si>
  <si>
    <t>Nombre_Tipo_Construccion_4</t>
  </si>
  <si>
    <t>TipoInmueble_4</t>
  </si>
  <si>
    <t>NroInmueble_4</t>
  </si>
  <si>
    <t>PrecioLista_4</t>
  </si>
  <si>
    <t>PrecioVenta_4</t>
  </si>
  <si>
    <t>Nombres_Titular</t>
  </si>
  <si>
    <t>NroDocumento</t>
  </si>
  <si>
    <t>Direccion</t>
  </si>
  <si>
    <t>TelefonoCasa</t>
  </si>
  <si>
    <t>TelefonoCelular</t>
  </si>
  <si>
    <t>CorreoElectronico</t>
  </si>
  <si>
    <t>Provincia</t>
  </si>
  <si>
    <t>Distrito</t>
  </si>
  <si>
    <t>Fecha_Programada</t>
  </si>
  <si>
    <t>FechaPago</t>
  </si>
  <si>
    <t>Tipo_Cuota</t>
  </si>
  <si>
    <t>Nro_Cuota</t>
  </si>
  <si>
    <t>Capital</t>
  </si>
  <si>
    <t>Intereses</t>
  </si>
  <si>
    <t>GastosAdministrativos</t>
  </si>
  <si>
    <t>Monto_Cuota</t>
  </si>
  <si>
    <t>Monto_Cuota_Pagado</t>
  </si>
  <si>
    <t>SaldoPorPagarCuota</t>
  </si>
  <si>
    <t>MontoMora</t>
  </si>
  <si>
    <t>TipoFinanciamiento</t>
  </si>
  <si>
    <t>Entidad_Financiera</t>
  </si>
  <si>
    <t>Nro_Cuenta</t>
  </si>
  <si>
    <t>Medio_Pago</t>
  </si>
  <si>
    <t>Nro_Documento</t>
  </si>
  <si>
    <t>Nro_Operacion</t>
  </si>
  <si>
    <t>Verificado</t>
  </si>
  <si>
    <t>OrigenFondo</t>
  </si>
  <si>
    <t>TipoCambio</t>
  </si>
  <si>
    <t>Estado</t>
  </si>
  <si>
    <t>Estado_Letra</t>
  </si>
  <si>
    <t>Ubicación_Letra</t>
  </si>
  <si>
    <t>Casuistica_Cuota</t>
  </si>
  <si>
    <t>Accio_Cuota</t>
  </si>
  <si>
    <t>FechaPromesa</t>
  </si>
  <si>
    <t>ValorCompromiso</t>
  </si>
  <si>
    <t>Porcentaje</t>
  </si>
  <si>
    <t>Comentario_Cuota</t>
  </si>
  <si>
    <t>Fecha_Modificiacion_Seguimiento</t>
  </si>
  <si>
    <t>Usuario_Modificiacion_Seguimiento</t>
  </si>
  <si>
    <t>Doc_Adjunto</t>
  </si>
  <si>
    <t>FechaOperacionComercial</t>
  </si>
  <si>
    <t>Asesor_Comercial</t>
  </si>
  <si>
    <t>Asesor_Banco</t>
  </si>
  <si>
    <t>Correlativo</t>
  </si>
  <si>
    <t>Fecha_Registro_Pago_Cargado</t>
  </si>
  <si>
    <t>IdCotizacion</t>
  </si>
  <si>
    <t>Doc_Contable</t>
  </si>
  <si>
    <t>Monto_EstadoCuenta</t>
  </si>
  <si>
    <t>Archivo_Origen</t>
  </si>
  <si>
    <t>Anio_Descarga</t>
  </si>
  <si>
    <t>Fecha_Inicio_Reporte</t>
  </si>
  <si>
    <t>Fecha_Fin_Reporte</t>
  </si>
  <si>
    <t>Etapa 1</t>
  </si>
  <si>
    <t>Edificio</t>
  </si>
  <si>
    <t>A</t>
  </si>
  <si>
    <t>Departamento</t>
  </si>
  <si>
    <t>103</t>
  </si>
  <si>
    <t>Ayleen Katia Messarina Rios</t>
  </si>
  <si>
    <t>70512701</t>
  </si>
  <si>
    <t>Departamento 101 Urbanización Santa Rosa de Surco etapa 2 Mz D Lt 23</t>
  </si>
  <si>
    <t>978722675</t>
  </si>
  <si>
    <t>ayleen30mr@gmail.com</t>
  </si>
  <si>
    <t>LIMA</t>
  </si>
  <si>
    <t>SANTIAGO DE SURCO</t>
  </si>
  <si>
    <t>SEPARACION</t>
  </si>
  <si>
    <t>1</t>
  </si>
  <si>
    <t>3000.00</t>
  </si>
  <si>
    <t>0.00</t>
  </si>
  <si>
    <t>Crédito Hipotecario</t>
  </si>
  <si>
    <t>Scotiabank Perú</t>
  </si>
  <si>
    <t>000-2768484</t>
  </si>
  <si>
    <t>TRANSFERENCIA BANCARIA</t>
  </si>
  <si>
    <t>01871075</t>
  </si>
  <si>
    <t>No</t>
  </si>
  <si>
    <t>4.00</t>
  </si>
  <si>
    <t>CANCELADO</t>
  </si>
  <si>
    <t>Si</t>
  </si>
  <si>
    <t>06/01/2025 14:07</t>
  </si>
  <si>
    <t>Kenny Salazar S</t>
  </si>
  <si>
    <t>000031</t>
  </si>
  <si>
    <t>26/06/2026 17:22</t>
  </si>
  <si>
    <t>Cobranzas_2024.csv</t>
  </si>
  <si>
    <t>2024</t>
  </si>
  <si>
    <t>01/01/2024</t>
  </si>
  <si>
    <t>30/06/2031</t>
  </si>
  <si>
    <t>302</t>
  </si>
  <si>
    <t>Cristhiam Ortiz Angeles</t>
  </si>
  <si>
    <t>45110882</t>
  </si>
  <si>
    <t>Av. Olavegoya 1879 departamento 301</t>
  </si>
  <si>
    <t>992532732</t>
  </si>
  <si>
    <t>Cristhian4520@gmail.com</t>
  </si>
  <si>
    <t>JESUS MARIA</t>
  </si>
  <si>
    <t>01226077</t>
  </si>
  <si>
    <t>NO PRECISA</t>
  </si>
  <si>
    <t>26/07/2024 14:43</t>
  </si>
  <si>
    <t>000034</t>
  </si>
  <si>
    <t>02/06/2026 15:34</t>
  </si>
  <si>
    <t>CUOTA INICIAL</t>
  </si>
  <si>
    <t>20000.00</t>
  </si>
  <si>
    <t>CHEQUE DE GERENCIA</t>
  </si>
  <si>
    <t>162515191002194000000022290</t>
  </si>
  <si>
    <t>04/06/2026 14:01</t>
  </si>
  <si>
    <t>2</t>
  </si>
  <si>
    <t>8775.00</t>
  </si>
  <si>
    <t>U26966</t>
  </si>
  <si>
    <t>07/07/2026 08:47</t>
  </si>
  <si>
    <t>3</t>
  </si>
  <si>
    <t>U27618</t>
  </si>
  <si>
    <t>07/07/2026 08:52</t>
  </si>
  <si>
    <t>11775.00</t>
  </si>
  <si>
    <t>U28731</t>
  </si>
  <si>
    <t>07/07/2026 08:56</t>
  </si>
  <si>
    <t>4</t>
  </si>
  <si>
    <t>21000.00</t>
  </si>
  <si>
    <t>505</t>
  </si>
  <si>
    <t>Dante Enrique Segura Florian</t>
  </si>
  <si>
    <t xml:space="preserve">45587286		</t>
  </si>
  <si>
    <t>1845 San Andres Dr Pitsburg CA 94565</t>
  </si>
  <si>
    <t>+15103330517</t>
  </si>
  <si>
    <t xml:space="preserve">d.segura@uaa.edu		</t>
  </si>
  <si>
    <t>CERCADO DE LIMA</t>
  </si>
  <si>
    <t>Crédito Directo</t>
  </si>
  <si>
    <t>Banco de Credito del Perú</t>
  </si>
  <si>
    <t>194-7325779-0-65</t>
  </si>
  <si>
    <t>7844655595634</t>
  </si>
  <si>
    <t>04/04/2024 09:41</t>
  </si>
  <si>
    <t>Carla Michue M</t>
  </si>
  <si>
    <t>000035</t>
  </si>
  <si>
    <t>25/05/2026 17:28</t>
  </si>
  <si>
    <t>205</t>
  </si>
  <si>
    <t>Elizabeth Rocio Urbina Ñañez</t>
  </si>
  <si>
    <t>71404863</t>
  </si>
  <si>
    <t>Av. Arequipa 2651</t>
  </si>
  <si>
    <t>943921218</t>
  </si>
  <si>
    <t>elizabethurbina9624@gmail.com</t>
  </si>
  <si>
    <t>LINCE</t>
  </si>
  <si>
    <t>2000.00</t>
  </si>
  <si>
    <t>FD893378</t>
  </si>
  <si>
    <t>03/04/2025 17:35</t>
  </si>
  <si>
    <t>000005</t>
  </si>
  <si>
    <t>29/06/2026 21:44</t>
  </si>
  <si>
    <t>101</t>
  </si>
  <si>
    <t>Elmo Calatayud Chumbes</t>
  </si>
  <si>
    <t>15580131</t>
  </si>
  <si>
    <t>Avenida Tomas Valles 1530 Block 14 departamento 204</t>
  </si>
  <si>
    <t>955600933</t>
  </si>
  <si>
    <t>ec.calatayud@gmail.com</t>
  </si>
  <si>
    <t>LOS OLIVOS</t>
  </si>
  <si>
    <t>04797111</t>
  </si>
  <si>
    <t>30/11/2024 15:36</t>
  </si>
  <si>
    <t>000025</t>
  </si>
  <si>
    <t>26/06/2026 14:52</t>
  </si>
  <si>
    <t>27000.00</t>
  </si>
  <si>
    <t>78446555266223</t>
  </si>
  <si>
    <t>26/06/2026 14:53</t>
  </si>
  <si>
    <t>7844655544194</t>
  </si>
  <si>
    <t>7844655610530</t>
  </si>
  <si>
    <t>26/06/2026 14:55</t>
  </si>
  <si>
    <t>30700.00</t>
  </si>
  <si>
    <t>7844655610860</t>
  </si>
  <si>
    <t>26/06/2026 14:56</t>
  </si>
  <si>
    <t>203</t>
  </si>
  <si>
    <t>Estacionamiento</t>
  </si>
  <si>
    <t>E 12 - D 09</t>
  </si>
  <si>
    <t>Gilberto Videla Flores</t>
  </si>
  <si>
    <t>06571347</t>
  </si>
  <si>
    <t>Mz D Lt 7 Urb. La Estrella</t>
  </si>
  <si>
    <t>969742622</t>
  </si>
  <si>
    <t>gvidelaf@gmail.com</t>
  </si>
  <si>
    <t>POS VISA</t>
  </si>
  <si>
    <t>0059</t>
  </si>
  <si>
    <t>1.00</t>
  </si>
  <si>
    <t>31/08/2024 00:00</t>
  </si>
  <si>
    <t>000024</t>
  </si>
  <si>
    <t>29/05/2026 12:21</t>
  </si>
  <si>
    <t>281120.00</t>
  </si>
  <si>
    <t>0953413</t>
  </si>
  <si>
    <t>30/06/2026 16:33</t>
  </si>
  <si>
    <t>SALDO FINANCIAR</t>
  </si>
  <si>
    <t>248605.00</t>
  </si>
  <si>
    <t>0036913</t>
  </si>
  <si>
    <t>30/06/2026 16:48</t>
  </si>
  <si>
    <t>104</t>
  </si>
  <si>
    <t>E 26 - D 20</t>
  </si>
  <si>
    <t>Gilda Victoria Sampi González</t>
  </si>
  <si>
    <t>43636501</t>
  </si>
  <si>
    <t>Av. Brasil 863 departamento 702-A</t>
  </si>
  <si>
    <t xml:space="preserve">966422784		</t>
  </si>
  <si>
    <t>victoria.sampi@gmail.com</t>
  </si>
  <si>
    <t>00998929</t>
  </si>
  <si>
    <t>02/09/2024 14:14</t>
  </si>
  <si>
    <t>000032</t>
  </si>
  <si>
    <t>02/06/2026 14:50</t>
  </si>
  <si>
    <t>134740.00</t>
  </si>
  <si>
    <t>009107870</t>
  </si>
  <si>
    <t>04/06/2026 09:52</t>
  </si>
  <si>
    <t>201</t>
  </si>
  <si>
    <t>Joseluis Gaspar Zapata Flores</t>
  </si>
  <si>
    <t>46730672</t>
  </si>
  <si>
    <t>Jr. Los Clavles 141 P. J  El Progreso 1er Sector</t>
  </si>
  <si>
    <t>948041027</t>
  </si>
  <si>
    <t>jlzapata91@gmail.com</t>
  </si>
  <si>
    <t>CARABAYLLO</t>
  </si>
  <si>
    <t>Ahorro</t>
  </si>
  <si>
    <t>03343387</t>
  </si>
  <si>
    <t>15/07/2024 15:43</t>
  </si>
  <si>
    <t>000006</t>
  </si>
  <si>
    <t>29/06/2026 01:05</t>
  </si>
  <si>
    <t>7844655656315</t>
  </si>
  <si>
    <t>29/06/2026 01:06</t>
  </si>
  <si>
    <t>u26563</t>
  </si>
  <si>
    <t>29/06/2026 01:07</t>
  </si>
  <si>
    <t>67000.00</t>
  </si>
  <si>
    <t>7844655541508</t>
  </si>
  <si>
    <t>29/06/2026 01:08</t>
  </si>
  <si>
    <t>532500.00</t>
  </si>
  <si>
    <t>31032025</t>
  </si>
  <si>
    <t>29/06/2026 01:09</t>
  </si>
  <si>
    <t>501</t>
  </si>
  <si>
    <t>Juan Carlos Ángeles Milla</t>
  </si>
  <si>
    <t>32403305</t>
  </si>
  <si>
    <t>Av. Miraflores 218</t>
  </si>
  <si>
    <t>942097700</t>
  </si>
  <si>
    <t>Vidang72@hotmail.com</t>
  </si>
  <si>
    <t>HUAYLAS</t>
  </si>
  <si>
    <t>02431073</t>
  </si>
  <si>
    <t>06/09/2024 14:16</t>
  </si>
  <si>
    <t>000021</t>
  </si>
  <si>
    <t>29500.00</t>
  </si>
  <si>
    <t>0500010059</t>
  </si>
  <si>
    <t>028925</t>
  </si>
  <si>
    <t>403</t>
  </si>
  <si>
    <t>Liliana Lucila Luciano Claros</t>
  </si>
  <si>
    <t>15764694</t>
  </si>
  <si>
    <t xml:space="preserve">MZ M5 – Lt. 7 urb. Paseo del Mar </t>
  </si>
  <si>
    <t>982406857</t>
  </si>
  <si>
    <t>liliana31_micaela@hotmail.com</t>
  </si>
  <si>
    <t>SANTA</t>
  </si>
  <si>
    <t>NUEVO CHIMBOTE</t>
  </si>
  <si>
    <t>EFECTIVO</t>
  </si>
  <si>
    <t>0500010056</t>
  </si>
  <si>
    <t>29/10/2024 16:25</t>
  </si>
  <si>
    <t>000001</t>
  </si>
  <si>
    <t>29/05/2026 12:20</t>
  </si>
  <si>
    <t>97800.00</t>
  </si>
  <si>
    <t>12007725</t>
  </si>
  <si>
    <t>07/07/2026 09:30</t>
  </si>
  <si>
    <t>30000.00</t>
  </si>
  <si>
    <t>DEPOSITO EN CUENTA</t>
  </si>
  <si>
    <t>05000010069</t>
  </si>
  <si>
    <t>523200.00</t>
  </si>
  <si>
    <t>07032025</t>
  </si>
  <si>
    <t>07/07/2026 09:31</t>
  </si>
  <si>
    <t>603</t>
  </si>
  <si>
    <t>Luis Alberto Ovalle Huamanguilla</t>
  </si>
  <si>
    <t>43953371</t>
  </si>
  <si>
    <t>JR. NAPO NRO. 821</t>
  </si>
  <si>
    <t>992764943</t>
  </si>
  <si>
    <t>aovalle2212@gmail.com</t>
  </si>
  <si>
    <t>BREÑA</t>
  </si>
  <si>
    <t>901866</t>
  </si>
  <si>
    <t>02/10/2024 16:40</t>
  </si>
  <si>
    <t>000011</t>
  </si>
  <si>
    <t>07/07/2026 10:58</t>
  </si>
  <si>
    <t>57400.00</t>
  </si>
  <si>
    <t>06056215</t>
  </si>
  <si>
    <t>07/07/2026 11:03</t>
  </si>
  <si>
    <t>U26926</t>
  </si>
  <si>
    <t>07/07/2026 11:04</t>
  </si>
  <si>
    <t>202</t>
  </si>
  <si>
    <t>María Cristina Collazos Romero</t>
  </si>
  <si>
    <t>31676885</t>
  </si>
  <si>
    <t>Jr. Huandoy 242</t>
  </si>
  <si>
    <t xml:space="preserve">969870030 </t>
  </si>
  <si>
    <t>969870030</t>
  </si>
  <si>
    <t>gerenciasnacks1@gmail.com</t>
  </si>
  <si>
    <t>HUARAZ</t>
  </si>
  <si>
    <t>0500010101</t>
  </si>
  <si>
    <t>11/09/2025 14:34</t>
  </si>
  <si>
    <t>000033</t>
  </si>
  <si>
    <t>02/06/2026 15:10</t>
  </si>
  <si>
    <t xml:space="preserve">Marina Francisca Vasquez Samaniego </t>
  </si>
  <si>
    <t>19907001</t>
  </si>
  <si>
    <t>Huandoy 887</t>
  </si>
  <si>
    <t>964247615</t>
  </si>
  <si>
    <t>francisca4547@hotmail.com</t>
  </si>
  <si>
    <t>SAN MIGUEL</t>
  </si>
  <si>
    <t>00951165</t>
  </si>
  <si>
    <t>26/12/2024 14:48</t>
  </si>
  <si>
    <t>000037</t>
  </si>
  <si>
    <t>02/06/2026 17:25</t>
  </si>
  <si>
    <t>6204304</t>
  </si>
  <si>
    <t>07/07/2026 10:35</t>
  </si>
  <si>
    <t>701</t>
  </si>
  <si>
    <t>Richard Humberto Lima Garcia</t>
  </si>
  <si>
    <t>10606793</t>
  </si>
  <si>
    <t>Mz E2 lote 10 Urb Coovitiomar - Ancón</t>
  </si>
  <si>
    <t>940170759</t>
  </si>
  <si>
    <t>richard_13_312@hotmail.com</t>
  </si>
  <si>
    <t>SANTA ROSA</t>
  </si>
  <si>
    <t>01525977</t>
  </si>
  <si>
    <t>12/12/2024 16:44</t>
  </si>
  <si>
    <t>000003</t>
  </si>
  <si>
    <t>48000.00</t>
  </si>
  <si>
    <t>0144739</t>
  </si>
  <si>
    <t>14/07/2026 09:05</t>
  </si>
  <si>
    <t>8250.00</t>
  </si>
  <si>
    <t>02209753</t>
  </si>
  <si>
    <t>533250.00</t>
  </si>
  <si>
    <t>07/07/2026 11:34</t>
  </si>
  <si>
    <t>705</t>
  </si>
  <si>
    <t>Sthefany Carolina Rodriguez Huamán</t>
  </si>
  <si>
    <t>70270427</t>
  </si>
  <si>
    <t>-</t>
  </si>
  <si>
    <t>989492681</t>
  </si>
  <si>
    <t>sthefany.rodriguez2207@gmail.com</t>
  </si>
  <si>
    <t>200.00</t>
  </si>
  <si>
    <t>7844655610334</t>
  </si>
  <si>
    <t>21/06/2025 16:52</t>
  </si>
  <si>
    <t>000002</t>
  </si>
  <si>
    <t>2800.00</t>
  </si>
  <si>
    <t>0500010021</t>
  </si>
  <si>
    <t>Tania Milagros Cotrina Vara</t>
  </si>
  <si>
    <t>10140034</t>
  </si>
  <si>
    <t>Av. Arnaldo Marquez 1526 Dpto. 26</t>
  </si>
  <si>
    <t>0</t>
  </si>
  <si>
    <t>941461159</t>
  </si>
  <si>
    <t>tamicov@hotmail.com</t>
  </si>
  <si>
    <t>594693007</t>
  </si>
  <si>
    <t>18/09/2025 09:59</t>
  </si>
  <si>
    <t>Magaly Guevara Perez</t>
  </si>
  <si>
    <t>000004</t>
  </si>
  <si>
    <t>01/05/2026 11:00</t>
  </si>
  <si>
    <t>1306</t>
  </si>
  <si>
    <t>Alejandra Leslye Solorio Peña</t>
  </si>
  <si>
    <t>75021688</t>
  </si>
  <si>
    <t>Jr. Santiago Wagner 2264</t>
  </si>
  <si>
    <t>984934286</t>
  </si>
  <si>
    <t>aleslye3@gamil.com</t>
  </si>
  <si>
    <t>017776200</t>
  </si>
  <si>
    <t>04/09/2025 19:20</t>
  </si>
  <si>
    <t>23/05/2026 19:16</t>
  </si>
  <si>
    <t>Cobranzas_2025.csv</t>
  </si>
  <si>
    <t>2025</t>
  </si>
  <si>
    <t>65600.00</t>
  </si>
  <si>
    <t>0833282</t>
  </si>
  <si>
    <t>23/05/2026 19:22</t>
  </si>
  <si>
    <t>301</t>
  </si>
  <si>
    <t>Alejandro Jose Navarrete Maldonado</t>
  </si>
  <si>
    <t>46304395</t>
  </si>
  <si>
    <t xml:space="preserve">Calle Jose Mariano Arce 139 – Dpto. 202 </t>
  </si>
  <si>
    <t>956466496</t>
  </si>
  <si>
    <t>anavarrete@nmabogados.com.pe</t>
  </si>
  <si>
    <t>PUEBLO LIBRE</t>
  </si>
  <si>
    <t>2715</t>
  </si>
  <si>
    <t>15/07/2025 15:58</t>
  </si>
  <si>
    <t>000008</t>
  </si>
  <si>
    <t>6</t>
  </si>
  <si>
    <t>10000.00</t>
  </si>
  <si>
    <t>8240169</t>
  </si>
  <si>
    <t>03/07/2026 10:54</t>
  </si>
  <si>
    <t>45000.00</t>
  </si>
  <si>
    <t>44000.00</t>
  </si>
  <si>
    <t>006190692</t>
  </si>
  <si>
    <t>03/07/2026 10:56</t>
  </si>
  <si>
    <t>E 23 - D 17</t>
  </si>
  <si>
    <t>2636117</t>
  </si>
  <si>
    <t>31/10/2025 10:23</t>
  </si>
  <si>
    <t>000054</t>
  </si>
  <si>
    <t>14/07/2026 10:02</t>
  </si>
  <si>
    <t>7000.00</t>
  </si>
  <si>
    <t>14000.00</t>
  </si>
  <si>
    <t>009555099</t>
  </si>
  <si>
    <t>03/07/2026 11:16</t>
  </si>
  <si>
    <t>059881</t>
  </si>
  <si>
    <t>03/07/2026 11:18</t>
  </si>
  <si>
    <t>504</t>
  </si>
  <si>
    <t>Alvaro Geanfranco Mendoza Jump</t>
  </si>
  <si>
    <t>72112648</t>
  </si>
  <si>
    <t>Urb. San Francisco Mz. B Lt. 11 Departamento de Huanuco, Provincia de Huanuco, Dsitrito Amarilis</t>
  </si>
  <si>
    <t>938217737</t>
  </si>
  <si>
    <t>alvaromej17@gmail.com</t>
  </si>
  <si>
    <t>HUANUCO</t>
  </si>
  <si>
    <t>AMARILIS</t>
  </si>
  <si>
    <t>00673199</t>
  </si>
  <si>
    <t>19/09/2025 14:47</t>
  </si>
  <si>
    <t>000036</t>
  </si>
  <si>
    <t>02/06/2026 17:13</t>
  </si>
  <si>
    <t>02785402</t>
  </si>
  <si>
    <t>23/06/2026 15:59</t>
  </si>
  <si>
    <t>1104</t>
  </si>
  <si>
    <t>Ana Fabiola Alvarez Elias</t>
  </si>
  <si>
    <t>06789211</t>
  </si>
  <si>
    <t>Jr. Caraveli 968 Interior 103</t>
  </si>
  <si>
    <t>991502978</t>
  </si>
  <si>
    <t>986642025</t>
  </si>
  <si>
    <t>anafabiola1@hotmail.com</t>
  </si>
  <si>
    <t>31010</t>
  </si>
  <si>
    <t>14/03/2025 17:47</t>
  </si>
  <si>
    <t>000009</t>
  </si>
  <si>
    <t>23450.00</t>
  </si>
  <si>
    <t>281328</t>
  </si>
  <si>
    <t>78000.00</t>
  </si>
  <si>
    <t>7502425</t>
  </si>
  <si>
    <t>704</t>
  </si>
  <si>
    <t>ANAMELVA JULIETA AQUISE TIZNADO</t>
  </si>
  <si>
    <t>40917666</t>
  </si>
  <si>
    <t>Urb. Aziruni Ciudad Jardin Mz. G2 Lt 04</t>
  </si>
  <si>
    <t>987249596</t>
  </si>
  <si>
    <t>anamelvaaquise@gmail.com</t>
  </si>
  <si>
    <t>PUNO</t>
  </si>
  <si>
    <t>0004071419</t>
  </si>
  <si>
    <t>5516474</t>
  </si>
  <si>
    <t>05/06/2026 08:25</t>
  </si>
  <si>
    <t>000014</t>
  </si>
  <si>
    <t>24/05/2026 21:14</t>
  </si>
  <si>
    <t>5531532</t>
  </si>
  <si>
    <t>24/05/2026 21:16</t>
  </si>
  <si>
    <t>1003</t>
  </si>
  <si>
    <t>E 11 - D 08</t>
  </si>
  <si>
    <t>ANDEAN AYNI TRAVEL AGENCIA DE VIAJES Y TRANSPORTE EIRL</t>
  </si>
  <si>
    <t>20610697403</t>
  </si>
  <si>
    <t>JR. DANTE NAVA NRO. 310 BAR. NUEVA UNVERSIDAD</t>
  </si>
  <si>
    <t>951923088</t>
  </si>
  <si>
    <t>operacionesjudith@gmail.com</t>
  </si>
  <si>
    <t>06083805</t>
  </si>
  <si>
    <t>24/11/2025 17:43</t>
  </si>
  <si>
    <t>000028</t>
  </si>
  <si>
    <t>09/06/2026 09:42</t>
  </si>
  <si>
    <t>270000.00</t>
  </si>
  <si>
    <t>0349568</t>
  </si>
  <si>
    <t>3.38</t>
  </si>
  <si>
    <t>09/06/2026 09:45</t>
  </si>
  <si>
    <t>66057.14</t>
  </si>
  <si>
    <t>0780435</t>
  </si>
  <si>
    <t>09/06/2026 09:47</t>
  </si>
  <si>
    <t>117000.00</t>
  </si>
  <si>
    <t>00157</t>
  </si>
  <si>
    <t>26/06/2026 17:23</t>
  </si>
  <si>
    <t>400400.00</t>
  </si>
  <si>
    <t>2612024</t>
  </si>
  <si>
    <t>26/06/2026 17:25</t>
  </si>
  <si>
    <t>204</t>
  </si>
  <si>
    <t>E 14 - D 4</t>
  </si>
  <si>
    <t>Carlos La Cruz Crespo</t>
  </si>
  <si>
    <t>09022488</t>
  </si>
  <si>
    <t>comas</t>
  </si>
  <si>
    <t>997009340</t>
  </si>
  <si>
    <t>carlos.14lacruz@gmail.com</t>
  </si>
  <si>
    <t>COMAS</t>
  </si>
  <si>
    <t>473500004737</t>
  </si>
  <si>
    <t>01/07/2025 08:03</t>
  </si>
  <si>
    <t>12/05/2026 10:32</t>
  </si>
  <si>
    <t>0091700000407141928</t>
  </si>
  <si>
    <t>24/05/2026 14:59</t>
  </si>
  <si>
    <t>45580.00</t>
  </si>
  <si>
    <t>0048320000004834</t>
  </si>
  <si>
    <t>24/05/2026 15:01</t>
  </si>
  <si>
    <t>30072025</t>
  </si>
  <si>
    <t>24/05/2026 15:05</t>
  </si>
  <si>
    <t>145740.00</t>
  </si>
  <si>
    <t>050126</t>
  </si>
  <si>
    <t>24/05/2026 15:09</t>
  </si>
  <si>
    <t>601</t>
  </si>
  <si>
    <t>E 28 - D 22</t>
  </si>
  <si>
    <t>Chistopher Omar Peña Camargo</t>
  </si>
  <si>
    <t>44062837</t>
  </si>
  <si>
    <t>Av. San Felipe 351</t>
  </si>
  <si>
    <t>964328569</t>
  </si>
  <si>
    <t>ciruvision@gmail.com</t>
  </si>
  <si>
    <t>00002220000000002222</t>
  </si>
  <si>
    <t>23/06/2025 16:37</t>
  </si>
  <si>
    <t>000012</t>
  </si>
  <si>
    <t>03/07/2026 14:39</t>
  </si>
  <si>
    <t>107000.00</t>
  </si>
  <si>
    <t>006128332</t>
  </si>
  <si>
    <t>370950.00</t>
  </si>
  <si>
    <t>EB01-76</t>
  </si>
  <si>
    <t>07/07/2026 08:58</t>
  </si>
  <si>
    <t>902</t>
  </si>
  <si>
    <t>E 43</t>
  </si>
  <si>
    <t>Daniel Alejandro Aguayo Vera</t>
  </si>
  <si>
    <t>76121899</t>
  </si>
  <si>
    <t>Calle los Rosales 743 Lima- Chaclacayo.</t>
  </si>
  <si>
    <t xml:space="preserve">943151339 </t>
  </si>
  <si>
    <t>943151339</t>
  </si>
  <si>
    <t>daniel_aguayo25@hotmail.com</t>
  </si>
  <si>
    <t>SAN ISIDRO</t>
  </si>
  <si>
    <t>45400.00</t>
  </si>
  <si>
    <t>00917000000276848424</t>
  </si>
  <si>
    <t>0797612</t>
  </si>
  <si>
    <t>17/12/2025 17:52</t>
  </si>
  <si>
    <t>000041</t>
  </si>
  <si>
    <t>05/06/2026 13:42</t>
  </si>
  <si>
    <t>Danixa Thalia Manosalva Ameri</t>
  </si>
  <si>
    <t>48569476</t>
  </si>
  <si>
    <t>Jr. Huáscar 1825 dpto.101</t>
  </si>
  <si>
    <t>992382005</t>
  </si>
  <si>
    <t>danixamanosalva94@gmail.com</t>
  </si>
  <si>
    <t>04998185</t>
  </si>
  <si>
    <t>10/10/2025 10:03</t>
  </si>
  <si>
    <t>01/05/2026 11:35</t>
  </si>
  <si>
    <t>17000.00</t>
  </si>
  <si>
    <t>VENCIDO</t>
  </si>
  <si>
    <t>1001</t>
  </si>
  <si>
    <t>Danny Romel Ore Guerreros</t>
  </si>
  <si>
    <t>47474967</t>
  </si>
  <si>
    <t>Psj. Ollantay 7 Barrio Vista Alegre</t>
  </si>
  <si>
    <t>966327809</t>
  </si>
  <si>
    <t>romelore67@gmail.com</t>
  </si>
  <si>
    <t>HUAMANGA</t>
  </si>
  <si>
    <t>CARMEN ALTO</t>
  </si>
  <si>
    <t>01135502</t>
  </si>
  <si>
    <t>16/08/2025 14:05</t>
  </si>
  <si>
    <t>000047</t>
  </si>
  <si>
    <t>03/06/2026 15:03</t>
  </si>
  <si>
    <t>202508169074890301303</t>
  </si>
  <si>
    <t>05/06/2026 14:08</t>
  </si>
  <si>
    <t>50000.00</t>
  </si>
  <si>
    <t>214000000001254</t>
  </si>
  <si>
    <t>05/06/2026 14:23</t>
  </si>
  <si>
    <t>34000.00</t>
  </si>
  <si>
    <t>2768484</t>
  </si>
  <si>
    <t>05/06/2026 14:25</t>
  </si>
  <si>
    <t>703</t>
  </si>
  <si>
    <t>E 06 - D 04</t>
  </si>
  <si>
    <t xml:space="preserve">David Edgar Valencia Cordova </t>
  </si>
  <si>
    <t>41844906</t>
  </si>
  <si>
    <t>P. Joven Año Nuevo Jr. Montero Rosas 860</t>
  </si>
  <si>
    <t>991846561</t>
  </si>
  <si>
    <t>davico29@gmail.com</t>
  </si>
  <si>
    <t>291500.00</t>
  </si>
  <si>
    <t>09599714</t>
  </si>
  <si>
    <t>30/01/2025 14:49</t>
  </si>
  <si>
    <t>000038</t>
  </si>
  <si>
    <t>05/06/2026 10:49</t>
  </si>
  <si>
    <t>34750.00</t>
  </si>
  <si>
    <t>2026083000000000028370</t>
  </si>
  <si>
    <t>05/06/2026 10:52</t>
  </si>
  <si>
    <t>50325</t>
  </si>
  <si>
    <t>05/06/2026 10:54</t>
  </si>
  <si>
    <t>503253</t>
  </si>
  <si>
    <t>05/06/2026 10:58</t>
  </si>
  <si>
    <t>05/06/2026 11:01</t>
  </si>
  <si>
    <t>5</t>
  </si>
  <si>
    <t>05/06/2026 11:03</t>
  </si>
  <si>
    <t>U26325</t>
  </si>
  <si>
    <t>07/07/2026 11:48</t>
  </si>
  <si>
    <t>7</t>
  </si>
  <si>
    <t>U27621</t>
  </si>
  <si>
    <t>07/07/2026 11:49</t>
  </si>
  <si>
    <t>8</t>
  </si>
  <si>
    <t>503251</t>
  </si>
  <si>
    <t>05/06/2026 11:05</t>
  </si>
  <si>
    <t>9</t>
  </si>
  <si>
    <t>0500010053</t>
  </si>
  <si>
    <t>05/06/2026 11:09</t>
  </si>
  <si>
    <t>10</t>
  </si>
  <si>
    <t>05/06/2026 11:11</t>
  </si>
  <si>
    <t>11</t>
  </si>
  <si>
    <t>05/06/2026 11:14</t>
  </si>
  <si>
    <t>801</t>
  </si>
  <si>
    <t>Denisse Estela Linares Suarez</t>
  </si>
  <si>
    <t>44457800</t>
  </si>
  <si>
    <t>Jr. Zorritos 1399 – Block 37 Dpto. 201 - Cercado Lima</t>
  </si>
  <si>
    <t>991810339</t>
  </si>
  <si>
    <t>dlinaressuarez@gmail.com</t>
  </si>
  <si>
    <t>00002657000000000</t>
  </si>
  <si>
    <t>11/08/2025 12:19</t>
  </si>
  <si>
    <t>000044</t>
  </si>
  <si>
    <t>03/06/2026 08:53</t>
  </si>
  <si>
    <t>6300922660</t>
  </si>
  <si>
    <t>05/06/2026 12:05</t>
  </si>
  <si>
    <t>05/06/2026 12:10</t>
  </si>
  <si>
    <t>53000.00</t>
  </si>
  <si>
    <t>7844655528281</t>
  </si>
  <si>
    <t>07/07/2026 12:17</t>
  </si>
  <si>
    <t>E 17</t>
  </si>
  <si>
    <t>Dolores Lissett Castillo Diaz</t>
  </si>
  <si>
    <t>43780263</t>
  </si>
  <si>
    <t xml:space="preserve"> Sargento Lores 950      </t>
  </si>
  <si>
    <t>920487874</t>
  </si>
  <si>
    <t>licady2486@gmail.com</t>
  </si>
  <si>
    <t>MAYNAS</t>
  </si>
  <si>
    <t>IQUITOS</t>
  </si>
  <si>
    <t>3623</t>
  </si>
  <si>
    <t>12/12/2025 09:48</t>
  </si>
  <si>
    <t>02/05/2026 12:21</t>
  </si>
  <si>
    <t>102</t>
  </si>
  <si>
    <t>Edwin Modigliani Efrai Suclla Flores</t>
  </si>
  <si>
    <t>08062531</t>
  </si>
  <si>
    <t xml:space="preserve">Jr. Monitor Huascar Norte N° 551 Urb. Ventura Rossi  </t>
  </si>
  <si>
    <t>997463109</t>
  </si>
  <si>
    <t>efrainchbxpar@gmail.com</t>
  </si>
  <si>
    <t>RIMAC</t>
  </si>
  <si>
    <t>00005340000000000</t>
  </si>
  <si>
    <t>03/06/2025 15:37</t>
  </si>
  <si>
    <t>000026</t>
  </si>
  <si>
    <t>02/06/2026 12:17</t>
  </si>
  <si>
    <t>150000.00</t>
  </si>
  <si>
    <t>0500010063</t>
  </si>
  <si>
    <t>04/06/2026 09:23</t>
  </si>
  <si>
    <t>115000.00</t>
  </si>
  <si>
    <t>005713000</t>
  </si>
  <si>
    <t>04/06/2026 09:26</t>
  </si>
  <si>
    <t>21400.00</t>
  </si>
  <si>
    <t>0500010044</t>
  </si>
  <si>
    <t>04/06/2026 09:28</t>
  </si>
  <si>
    <t>10600.00</t>
  </si>
  <si>
    <t>00754405</t>
  </si>
  <si>
    <t>04/06/2026 09:31</t>
  </si>
  <si>
    <t>7848619</t>
  </si>
  <si>
    <t>14/07/2026 08:11</t>
  </si>
  <si>
    <t>86000.00</t>
  </si>
  <si>
    <t>E 08</t>
  </si>
  <si>
    <t>3662503</t>
  </si>
  <si>
    <t>03/09/2025 16:33</t>
  </si>
  <si>
    <t>000053</t>
  </si>
  <si>
    <t>03/07/2026 10:22</t>
  </si>
  <si>
    <t>8000.00</t>
  </si>
  <si>
    <t>6821104</t>
  </si>
  <si>
    <t>03/07/2026 10:25</t>
  </si>
  <si>
    <t>573300.00</t>
  </si>
  <si>
    <t>26/06/2026 14:57</t>
  </si>
  <si>
    <t>E 06</t>
  </si>
  <si>
    <t>Erla Liseth Carhuavilca Pérez</t>
  </si>
  <si>
    <t>40642153</t>
  </si>
  <si>
    <t>Av. Bolivia 848 Dpto. 504</t>
  </si>
  <si>
    <t>999200216</t>
  </si>
  <si>
    <t>grecialiseth26@gmail.com</t>
  </si>
  <si>
    <t>7844651999205</t>
  </si>
  <si>
    <t>26/12/2025 10:13</t>
  </si>
  <si>
    <t>01/05/2026 17:44</t>
  </si>
  <si>
    <t>404</t>
  </si>
  <si>
    <t>Evelyn Arciela Leon Estela</t>
  </si>
  <si>
    <t>70313948</t>
  </si>
  <si>
    <t xml:space="preserve">Segunda Etapa.Mz 41 Lt. 35 -Urb. Torre Blanca </t>
  </si>
  <si>
    <t>980746975</t>
  </si>
  <si>
    <t>eale.050791@gmail.com</t>
  </si>
  <si>
    <t>05327974</t>
  </si>
  <si>
    <t>05/06/2026 08:12</t>
  </si>
  <si>
    <t>24/05/2026 19:12</t>
  </si>
  <si>
    <t>40000.00</t>
  </si>
  <si>
    <t>0285192</t>
  </si>
  <si>
    <t>24/05/2026 19:16</t>
  </si>
  <si>
    <t>E 04</t>
  </si>
  <si>
    <t>00377902</t>
  </si>
  <si>
    <t>02/10/2025 16:14</t>
  </si>
  <si>
    <t>000019</t>
  </si>
  <si>
    <t>02/07/2026 16:03</t>
  </si>
  <si>
    <t>16400.00</t>
  </si>
  <si>
    <t>572287</t>
  </si>
  <si>
    <t>02/07/2026 16:05</t>
  </si>
  <si>
    <t>1940.00</t>
  </si>
  <si>
    <t>U100022</t>
  </si>
  <si>
    <t>02/07/2026 16:06</t>
  </si>
  <si>
    <t>U27036</t>
  </si>
  <si>
    <t>02/07/2026 16:07</t>
  </si>
  <si>
    <t>U28777</t>
  </si>
  <si>
    <t>E 14 - D 12</t>
  </si>
  <si>
    <t>Francesca Giuliana Ramos Ortiz</t>
  </si>
  <si>
    <t>29412010</t>
  </si>
  <si>
    <t>Jr. Cotabambas 306</t>
  </si>
  <si>
    <t>996655477</t>
  </si>
  <si>
    <t>cheskagro@gmail.com</t>
  </si>
  <si>
    <t>02596461</t>
  </si>
  <si>
    <t>11/09/2025 09:26</t>
  </si>
  <si>
    <t>000030</t>
  </si>
  <si>
    <t>01/05/2026 18:27</t>
  </si>
  <si>
    <t>50950.00</t>
  </si>
  <si>
    <t>802</t>
  </si>
  <si>
    <t xml:space="preserve">Gersom Juver Gonzalez Alfaro </t>
  </si>
  <si>
    <t>42539680</t>
  </si>
  <si>
    <t>Jr. Grl. Zegarra 854 Dpto. 21 P. 4</t>
  </si>
  <si>
    <t>958600003</t>
  </si>
  <si>
    <t>gersonalfaro@gmail.com</t>
  </si>
  <si>
    <t>00002392000000000</t>
  </si>
  <si>
    <t>24/06/2025 12:28</t>
  </si>
  <si>
    <t>000045</t>
  </si>
  <si>
    <t>03/06/2026 09:06</t>
  </si>
  <si>
    <t>9400.00</t>
  </si>
  <si>
    <t>00002419000000000</t>
  </si>
  <si>
    <t>05/06/2026 12:18</t>
  </si>
  <si>
    <t>02908619</t>
  </si>
  <si>
    <t>30/06/2026 16:50</t>
  </si>
  <si>
    <t>15515.00</t>
  </si>
  <si>
    <t>00616715</t>
  </si>
  <si>
    <t>30/06/2026 16:54</t>
  </si>
  <si>
    <t>35515.00</t>
  </si>
  <si>
    <t>02719890</t>
  </si>
  <si>
    <t>30/06/2026 17:00</t>
  </si>
  <si>
    <t>535960.00</t>
  </si>
  <si>
    <t>07/07/2026 08:32</t>
  </si>
  <si>
    <t>304</t>
  </si>
  <si>
    <t>E 28 - D 15</t>
  </si>
  <si>
    <t>Giovani Chumioque Garcia</t>
  </si>
  <si>
    <t>46074285</t>
  </si>
  <si>
    <t xml:space="preserve">JR.CANGALLO Nº185 </t>
  </si>
  <si>
    <t>970793151</t>
  </si>
  <si>
    <t>giojoy@hotmail.com</t>
  </si>
  <si>
    <t>852856</t>
  </si>
  <si>
    <t>05/06/2026 08:08</t>
  </si>
  <si>
    <t>24/05/2026 16:37</t>
  </si>
  <si>
    <t>126000.00</t>
  </si>
  <si>
    <t>u27329</t>
  </si>
  <si>
    <t>24/05/2026 16:39</t>
  </si>
  <si>
    <t>u28740</t>
  </si>
  <si>
    <t>24/05/2026 16:40</t>
  </si>
  <si>
    <t>401</t>
  </si>
  <si>
    <t>Gladys Marta Moreano Bellido</t>
  </si>
  <si>
    <t>23951642</t>
  </si>
  <si>
    <t>General Sta. Cruz 416 interior 311</t>
  </si>
  <si>
    <t>944421327</t>
  </si>
  <si>
    <t>cuscoya@gmail.com</t>
  </si>
  <si>
    <t>00005585000000000</t>
  </si>
  <si>
    <t>26/04/2025 14:44</t>
  </si>
  <si>
    <t>02/06/2026 15:57</t>
  </si>
  <si>
    <t>187000.00</t>
  </si>
  <si>
    <t>004626773</t>
  </si>
  <si>
    <t>03/07/2026 11:38</t>
  </si>
  <si>
    <t>73333.33</t>
  </si>
  <si>
    <t>007089743</t>
  </si>
  <si>
    <t>03/07/2026 11:50</t>
  </si>
  <si>
    <t>009331226</t>
  </si>
  <si>
    <t>03/07/2026 11:54</t>
  </si>
  <si>
    <t>805</t>
  </si>
  <si>
    <t>Harry Anderson Yance Ruiz</t>
  </si>
  <si>
    <t>10582963</t>
  </si>
  <si>
    <t xml:space="preserve">Calle Las Pajillas 2329 - Urb. Mangomarca </t>
  </si>
  <si>
    <t>948519070</t>
  </si>
  <si>
    <t>harry_yance@hotmail.com</t>
  </si>
  <si>
    <t>SAN JUAN DE LURIGANCHO</t>
  </si>
  <si>
    <t>01808405</t>
  </si>
  <si>
    <t>17/01/2026 10:04</t>
  </si>
  <si>
    <t>000017</t>
  </si>
  <si>
    <t>23/05/2026 22:39</t>
  </si>
  <si>
    <t>Jhoully Kattherine Moreno Saavedra</t>
  </si>
  <si>
    <t>73600966</t>
  </si>
  <si>
    <t>Emilio de la Barrera 264</t>
  </si>
  <si>
    <t>934027061</t>
  </si>
  <si>
    <t>jhoullym@gmail.com</t>
  </si>
  <si>
    <t>SAN MARTIN DE PORRES</t>
  </si>
  <si>
    <t>04205706</t>
  </si>
  <si>
    <t>10/11/2025 04:26</t>
  </si>
  <si>
    <t>01/05/2026 10:13</t>
  </si>
  <si>
    <t>19500.00</t>
  </si>
  <si>
    <t>03263249</t>
  </si>
  <si>
    <t>18/05/2026 04:33</t>
  </si>
  <si>
    <t>E 19 - D 14</t>
  </si>
  <si>
    <t>Jimmy Luis Andrade Morveli</t>
  </si>
  <si>
    <t>40071918</t>
  </si>
  <si>
    <t>Av. Brasil 1836 Edif Bh South Dpto. 409</t>
  </si>
  <si>
    <t>924430158</t>
  </si>
  <si>
    <t>Jimmyandrademorveli@gmail.com</t>
  </si>
  <si>
    <t>02080794</t>
  </si>
  <si>
    <t>06/01/2026 09:42</t>
  </si>
  <si>
    <t>01/05/2026 19:53</t>
  </si>
  <si>
    <t>6000.00</t>
  </si>
  <si>
    <t>Jose Edgardo Camacho Cespedes</t>
  </si>
  <si>
    <t>16631860</t>
  </si>
  <si>
    <t>Jr. Huamachuco 1961Urb.Fundo Oyague</t>
  </si>
  <si>
    <t>985758164</t>
  </si>
  <si>
    <t>edgardocc1ro@gmail.com</t>
  </si>
  <si>
    <t>55556001</t>
  </si>
  <si>
    <t>27/01/2026 08:16</t>
  </si>
  <si>
    <t>000010</t>
  </si>
  <si>
    <t>24/05/2026 20:03</t>
  </si>
  <si>
    <t>605</t>
  </si>
  <si>
    <t>E 07 - D 05</t>
  </si>
  <si>
    <t>Jose Humberto Pehovaz Diez</t>
  </si>
  <si>
    <t>49073756</t>
  </si>
  <si>
    <t>952256518</t>
  </si>
  <si>
    <t>josehp99@gmail.com</t>
  </si>
  <si>
    <t>MAGDALENA DEL MAR</t>
  </si>
  <si>
    <t>7844655534521</t>
  </si>
  <si>
    <t>21/02/2025 16:43</t>
  </si>
  <si>
    <t>550000.00</t>
  </si>
  <si>
    <t>11122025</t>
  </si>
  <si>
    <t>07/07/2026 09:35</t>
  </si>
  <si>
    <t>E 10 - D 09</t>
  </si>
  <si>
    <t>Juana Mercedes Moran Peralta</t>
  </si>
  <si>
    <t>03495726</t>
  </si>
  <si>
    <t>Jr. Ignacio Álvarez Thomas 1573 - Dpto. 302</t>
  </si>
  <si>
    <t>978122557</t>
  </si>
  <si>
    <t>Juanamoran2371@gmail.com</t>
  </si>
  <si>
    <t>03861109</t>
  </si>
  <si>
    <t>05/06/2026 10:16</t>
  </si>
  <si>
    <t>000029</t>
  </si>
  <si>
    <t>01/05/2026 18:02</t>
  </si>
  <si>
    <t>903</t>
  </si>
  <si>
    <t>Karina Cabanillas Correa</t>
  </si>
  <si>
    <t>40065933</t>
  </si>
  <si>
    <t xml:space="preserve">Jr. Huiracocha 1639 Dpto. 1503 </t>
  </si>
  <si>
    <t>970096822</t>
  </si>
  <si>
    <t>karicab13@gmail.com</t>
  </si>
  <si>
    <t>234305</t>
  </si>
  <si>
    <t>17/03/2025 08:25</t>
  </si>
  <si>
    <t>000042</t>
  </si>
  <si>
    <t>06/07/2026 08:19</t>
  </si>
  <si>
    <t>53300.00</t>
  </si>
  <si>
    <t>U27813</t>
  </si>
  <si>
    <t>06/07/2026 08:21</t>
  </si>
  <si>
    <t>82100.00</t>
  </si>
  <si>
    <t>U27102</t>
  </si>
  <si>
    <t>06/07/2026 08:23</t>
  </si>
  <si>
    <t>553600.00</t>
  </si>
  <si>
    <t>300320025</t>
  </si>
  <si>
    <t>06/07/2026 08:27</t>
  </si>
  <si>
    <t>303</t>
  </si>
  <si>
    <t>Leidy Lucero Espíritu Zabarburu</t>
  </si>
  <si>
    <t>76936857</t>
  </si>
  <si>
    <t>Av. José Arnaldo Márquez Nº 1655 – Dpto.403</t>
  </si>
  <si>
    <t>966435253</t>
  </si>
  <si>
    <t>lespiritu@zgroup.com.pe</t>
  </si>
  <si>
    <t>04037482</t>
  </si>
  <si>
    <t>04/02/2026 10:05</t>
  </si>
  <si>
    <t>01/05/2026 16:29</t>
  </si>
  <si>
    <t>Leidy Pilar Espinoza Mariño</t>
  </si>
  <si>
    <t>46546054</t>
  </si>
  <si>
    <t>LAS AZUCENAS LT-34 MZ-F- HUMAYA</t>
  </si>
  <si>
    <t>945411554</t>
  </si>
  <si>
    <t>leidyespinoza30@gmail.com</t>
  </si>
  <si>
    <t>HUAURA</t>
  </si>
  <si>
    <t>5545523</t>
  </si>
  <si>
    <t>22/09/2025 08:05</t>
  </si>
  <si>
    <t>24/05/2026 16:09</t>
  </si>
  <si>
    <t>25850.00</t>
  </si>
  <si>
    <t>5569260</t>
  </si>
  <si>
    <t>24/05/2026 16:13</t>
  </si>
  <si>
    <t>5000.00</t>
  </si>
  <si>
    <t>588600.00</t>
  </si>
  <si>
    <t>07/07/2026 11:06</t>
  </si>
  <si>
    <t>E 09</t>
  </si>
  <si>
    <t>Luis Alberto Vargas Chacaltana</t>
  </si>
  <si>
    <t>09389936</t>
  </si>
  <si>
    <t>Los Tilos 388 – 392</t>
  </si>
  <si>
    <t>946890596</t>
  </si>
  <si>
    <t>nicolle1095@gmail.com</t>
  </si>
  <si>
    <t>0000254400000</t>
  </si>
  <si>
    <t>02/10/2025 10:08</t>
  </si>
  <si>
    <t>01/05/2026 17:20</t>
  </si>
  <si>
    <t>138000.00</t>
  </si>
  <si>
    <t>Luis Miguel Montero Monteza</t>
  </si>
  <si>
    <t>45611107</t>
  </si>
  <si>
    <t>calle los rosales 128</t>
  </si>
  <si>
    <t>970277190</t>
  </si>
  <si>
    <t>monter25@hotmail.com</t>
  </si>
  <si>
    <t>JAEN</t>
  </si>
  <si>
    <t>7844655520829</t>
  </si>
  <si>
    <t>27/11/2025 08:00</t>
  </si>
  <si>
    <t>12/05/2026 10:16</t>
  </si>
  <si>
    <t>U26790</t>
  </si>
  <si>
    <t>24/05/2026 14:46</t>
  </si>
  <si>
    <t>E 16</t>
  </si>
  <si>
    <t>Marco Antonio Cordova Oropeza</t>
  </si>
  <si>
    <t>22079563</t>
  </si>
  <si>
    <t>Av.Cayetano Heredia 435 Int.1 Urb Fundo Oyague</t>
  </si>
  <si>
    <t>1513-257-6062</t>
  </si>
  <si>
    <t>maancoor@gmail.com</t>
  </si>
  <si>
    <t>03836154</t>
  </si>
  <si>
    <t>25/11/2025 13:05</t>
  </si>
  <si>
    <t>01/05/2026 09:27</t>
  </si>
  <si>
    <t>803</t>
  </si>
  <si>
    <t>E 32 - D 24</t>
  </si>
  <si>
    <t>E 33 - D 25</t>
  </si>
  <si>
    <t>02822017</t>
  </si>
  <si>
    <t>25/07/2025 17:42</t>
  </si>
  <si>
    <t>000040</t>
  </si>
  <si>
    <t>03/07/2026 17:34</t>
  </si>
  <si>
    <t>304920.00</t>
  </si>
  <si>
    <t>0713083</t>
  </si>
  <si>
    <t>03/07/2026 17:03</t>
  </si>
  <si>
    <t>65982.86</t>
  </si>
  <si>
    <t>04169503</t>
  </si>
  <si>
    <t>03/07/2026 17:35</t>
  </si>
  <si>
    <t>02244690</t>
  </si>
  <si>
    <t>03/07/2026 17:36</t>
  </si>
  <si>
    <t>0210772</t>
  </si>
  <si>
    <t>03/07/2026 17:38</t>
  </si>
  <si>
    <t>Margarita Mercedes Lujas Paredes</t>
  </si>
  <si>
    <t>06772294</t>
  </si>
  <si>
    <t>Jr. Aguarico 1412 Dpto. 202</t>
  </si>
  <si>
    <t>949196249</t>
  </si>
  <si>
    <t>maggilujan@hotmail.com</t>
  </si>
  <si>
    <t>00007175000000000</t>
  </si>
  <si>
    <t>17/09/2025 04:08</t>
  </si>
  <si>
    <t>01/05/2026 09:58</t>
  </si>
  <si>
    <t>00007344000000000</t>
  </si>
  <si>
    <t>18/05/2026 04:17</t>
  </si>
  <si>
    <t>86380.00</t>
  </si>
  <si>
    <t>U100030</t>
  </si>
  <si>
    <t>29/06/2026 21:11</t>
  </si>
  <si>
    <t>357520.00</t>
  </si>
  <si>
    <t>30102025</t>
  </si>
  <si>
    <t>29/06/2026 21:12</t>
  </si>
  <si>
    <t>1002</t>
  </si>
  <si>
    <t>Maria de los Angeles Ibañez Mogrovejo</t>
  </si>
  <si>
    <t>72190258</t>
  </si>
  <si>
    <t xml:space="preserve">Coop.Colegio de Abogados Mz.ELT.1 </t>
  </si>
  <si>
    <t>982570759</t>
  </si>
  <si>
    <t>maria.benezmogrovejo@gmail.com</t>
  </si>
  <si>
    <t>AREQUIPA</t>
  </si>
  <si>
    <t>YANAHUARA</t>
  </si>
  <si>
    <t>2335911</t>
  </si>
  <si>
    <t>02/12/2025 17:40</t>
  </si>
  <si>
    <t>000016</t>
  </si>
  <si>
    <t>38500.00</t>
  </si>
  <si>
    <t>0241196</t>
  </si>
  <si>
    <t>03/07/2026 19:10</t>
  </si>
  <si>
    <t>E 20</t>
  </si>
  <si>
    <t>Mariela Gabriela Zapata Santivañez</t>
  </si>
  <si>
    <t>47172559</t>
  </si>
  <si>
    <t>Calle Manuel de Falla 233 - 237 Dpto. 102</t>
  </si>
  <si>
    <t>998346460</t>
  </si>
  <si>
    <t>g.zapata.santivanez@gmail.com</t>
  </si>
  <si>
    <t>SAN BORJA</t>
  </si>
  <si>
    <t>007246</t>
  </si>
  <si>
    <t>10/01/2026 09:10</t>
  </si>
  <si>
    <t>24/05/2026 15:45</t>
  </si>
  <si>
    <t>15623468</t>
  </si>
  <si>
    <t>05/06/2026 09:11</t>
  </si>
  <si>
    <t>050003001</t>
  </si>
  <si>
    <t>05/06/2026 09:08</t>
  </si>
  <si>
    <t>427000.00</t>
  </si>
  <si>
    <t>20032025</t>
  </si>
  <si>
    <t>07/07/2026 10:36</t>
  </si>
  <si>
    <t>Mayra Andrea Montenegro Gomez</t>
  </si>
  <si>
    <t>73214647</t>
  </si>
  <si>
    <t>Jr. Huiracocha 1740 Dpto. 202 Edif Maldonado</t>
  </si>
  <si>
    <t>987505094</t>
  </si>
  <si>
    <t>maya.monte18@hotmail.com</t>
  </si>
  <si>
    <t>021118111</t>
  </si>
  <si>
    <t>30/07/2025 09:47</t>
  </si>
  <si>
    <t>000022</t>
  </si>
  <si>
    <t>01/05/2026 21:41</t>
  </si>
  <si>
    <t>1005</t>
  </si>
  <si>
    <t>Noelia Abarca Chavez</t>
  </si>
  <si>
    <t>74834392</t>
  </si>
  <si>
    <t xml:space="preserve"> Juan  Dávalos 570 Piso Nº2  Urbanización Pamplona Baj</t>
  </si>
  <si>
    <t>977162821</t>
  </si>
  <si>
    <t>noeliaabarca@outlook.com</t>
  </si>
  <si>
    <t>SAN JUAN DE MIRAFLORES</t>
  </si>
  <si>
    <t>18600.00</t>
  </si>
  <si>
    <t>1859313</t>
  </si>
  <si>
    <t>09/08/2025 22:06</t>
  </si>
  <si>
    <t>000015</t>
  </si>
  <si>
    <t>24/05/2026 22:02</t>
  </si>
  <si>
    <t>E 11</t>
  </si>
  <si>
    <t>Norma Luz Tello Contreras</t>
  </si>
  <si>
    <t>04063971</t>
  </si>
  <si>
    <t>Av. Militar 1745 - Dpto. 1202</t>
  </si>
  <si>
    <t>952305311</t>
  </si>
  <si>
    <t>normatello@gmail.com</t>
  </si>
  <si>
    <t>LA VICTORIA</t>
  </si>
  <si>
    <t>26267</t>
  </si>
  <si>
    <t>19/07/2025 08:18</t>
  </si>
  <si>
    <t>24/05/2026 20:20</t>
  </si>
  <si>
    <t>72000.00</t>
  </si>
  <si>
    <t>U28740</t>
  </si>
  <si>
    <t>24/05/2026 20:22</t>
  </si>
  <si>
    <t>70000.00</t>
  </si>
  <si>
    <t>0261843</t>
  </si>
  <si>
    <t>24/05/2026 20:23</t>
  </si>
  <si>
    <t>95000.00</t>
  </si>
  <si>
    <t>24/05/2026 20:24</t>
  </si>
  <si>
    <t>6800.00</t>
  </si>
  <si>
    <t>0500010134</t>
  </si>
  <si>
    <t>04/06/2026 09:05</t>
  </si>
  <si>
    <t>7500.00</t>
  </si>
  <si>
    <t>0500010144</t>
  </si>
  <si>
    <t>04/06/2026 09:17</t>
  </si>
  <si>
    <t>U27847</t>
  </si>
  <si>
    <t>10/06/2026 17:20</t>
  </si>
  <si>
    <t>0500010177</t>
  </si>
  <si>
    <t>04/06/2026 09:25</t>
  </si>
  <si>
    <t>604</t>
  </si>
  <si>
    <t>Depósito</t>
  </si>
  <si>
    <t>D 06</t>
  </si>
  <si>
    <t>D 07</t>
  </si>
  <si>
    <t>PABLO JAIME CORNEJO PEREDA</t>
  </si>
  <si>
    <t>07763504</t>
  </si>
  <si>
    <t>Lima - Lima - San Miguel - Jr. Simon Bolivar 105 Dpto 1201</t>
  </si>
  <si>
    <t>998912031</t>
  </si>
  <si>
    <t>pablocornejo@yahoo.com</t>
  </si>
  <si>
    <t>435048</t>
  </si>
  <si>
    <t>14/04/2025 09:46</t>
  </si>
  <si>
    <t>29/05/2026 02:48</t>
  </si>
  <si>
    <t>104340.00</t>
  </si>
  <si>
    <t>004422892</t>
  </si>
  <si>
    <t>0748099</t>
  </si>
  <si>
    <t>9500.00</t>
  </si>
  <si>
    <t>0737014</t>
  </si>
  <si>
    <t>21168.00</t>
  </si>
  <si>
    <t>0825269</t>
  </si>
  <si>
    <t>0828384</t>
  </si>
  <si>
    <t>0831202</t>
  </si>
  <si>
    <t>0836496</t>
  </si>
  <si>
    <t>0836780</t>
  </si>
  <si>
    <t>0837109</t>
  </si>
  <si>
    <t>503</t>
  </si>
  <si>
    <t>PATROCINIO HUAMANI CUEVAS</t>
  </si>
  <si>
    <t>28965506</t>
  </si>
  <si>
    <t>AV. SALAVERRY N°2080 DPTO. 304</t>
  </si>
  <si>
    <t>991730000</t>
  </si>
  <si>
    <t>oftalmconsulta@gmail.com</t>
  </si>
  <si>
    <t>00016000000018</t>
  </si>
  <si>
    <t>18/07/2025 16:33</t>
  </si>
  <si>
    <t>162000.00</t>
  </si>
  <si>
    <t>006905091</t>
  </si>
  <si>
    <t>07/07/2026 09:46</t>
  </si>
  <si>
    <t>006913096</t>
  </si>
  <si>
    <t>405</t>
  </si>
  <si>
    <t>E 29 - D 14</t>
  </si>
  <si>
    <t>Petronila Tisnado Meneses</t>
  </si>
  <si>
    <t>01207150</t>
  </si>
  <si>
    <t>Jr. Jose de La Mar Nº 460 Barrio San Josè</t>
  </si>
  <si>
    <t>989735959</t>
  </si>
  <si>
    <t>lupequis60@hotmail.com</t>
  </si>
  <si>
    <t>00921160</t>
  </si>
  <si>
    <t>05/06/2026 08:14</t>
  </si>
  <si>
    <t>24/05/2026 19:37</t>
  </si>
  <si>
    <t>217500.00</t>
  </si>
  <si>
    <t>01202614</t>
  </si>
  <si>
    <t>000031195011094090000001705</t>
  </si>
  <si>
    <t>04/06/2026 08:45</t>
  </si>
  <si>
    <t>14300.00</t>
  </si>
  <si>
    <t>08/06/2026 11:42</t>
  </si>
  <si>
    <t>U26974</t>
  </si>
  <si>
    <t>08/06/2026 11:44</t>
  </si>
  <si>
    <t>602</t>
  </si>
  <si>
    <t>E 24 - D 5</t>
  </si>
  <si>
    <t>Rocio Chuquimango Valencia</t>
  </si>
  <si>
    <t>26707781</t>
  </si>
  <si>
    <t xml:space="preserve">AV.ATAHUALPA 337.INT 2 </t>
  </si>
  <si>
    <t>976685767</t>
  </si>
  <si>
    <t>rocio-0511@hotmail.com</t>
  </si>
  <si>
    <t>CAJAMARCA</t>
  </si>
  <si>
    <t>5529054</t>
  </si>
  <si>
    <t>29/08/2025 08:19</t>
  </si>
  <si>
    <t>24/05/2026 20:38</t>
  </si>
  <si>
    <t>54300.00</t>
  </si>
  <si>
    <t>29082025</t>
  </si>
  <si>
    <t>24/05/2026 20:40</t>
  </si>
  <si>
    <t>5521148</t>
  </si>
  <si>
    <t>E 07</t>
  </si>
  <si>
    <t>Ronald José Claudio Ramírez</t>
  </si>
  <si>
    <t>41129584</t>
  </si>
  <si>
    <t>Av. Nicolas Allyon 7550 torre 2 dpto. 302</t>
  </si>
  <si>
    <t>991470542</t>
  </si>
  <si>
    <t>ronald.claudio@gmail.com</t>
  </si>
  <si>
    <t>ATE</t>
  </si>
  <si>
    <t>04546190</t>
  </si>
  <si>
    <t>18/02/2026 09:39</t>
  </si>
  <si>
    <t>01/05/2026 19:05</t>
  </si>
  <si>
    <t>25000.00</t>
  </si>
  <si>
    <t>0500010135</t>
  </si>
  <si>
    <t>0500010060</t>
  </si>
  <si>
    <t>24800.00</t>
  </si>
  <si>
    <t>436200.00</t>
  </si>
  <si>
    <t>0270800001</t>
  </si>
  <si>
    <t>14/07/2026 09:19</t>
  </si>
  <si>
    <t>Sussan Yassmine Rubin Domínguez</t>
  </si>
  <si>
    <t>46963168</t>
  </si>
  <si>
    <t xml:space="preserve">URB LOS PORTALES MZ E LT 21 </t>
  </si>
  <si>
    <t>962099777</t>
  </si>
  <si>
    <t>yassmine.rubin12@gmail.com</t>
  </si>
  <si>
    <t>000000025900000000260</t>
  </si>
  <si>
    <t>26/06/2025 15:16</t>
  </si>
  <si>
    <t>000050</t>
  </si>
  <si>
    <t>07/07/2026 15:13</t>
  </si>
  <si>
    <t>39000.00</t>
  </si>
  <si>
    <t>006211911</t>
  </si>
  <si>
    <t>07/07/2026 15:15</t>
  </si>
  <si>
    <t>Tania Jackeline Valladares Timana</t>
  </si>
  <si>
    <t>43216992</t>
  </si>
  <si>
    <t>Jr. Maria Antonieta 130 Dpto. 301</t>
  </si>
  <si>
    <t>990000227</t>
  </si>
  <si>
    <t>tania.valladarest@gmail.com</t>
  </si>
  <si>
    <t>02514905</t>
  </si>
  <si>
    <t>01/08/2025 10:25</t>
  </si>
  <si>
    <t>22/05/2026 12:10</t>
  </si>
  <si>
    <t>22925.00</t>
  </si>
  <si>
    <t>AHORRO CASA</t>
  </si>
  <si>
    <t>13800.00</t>
  </si>
  <si>
    <t>89400.00</t>
  </si>
  <si>
    <t>0999590</t>
  </si>
  <si>
    <t>04/06/2026 10:43</t>
  </si>
  <si>
    <t>702</t>
  </si>
  <si>
    <t>Víctor Daniel Chuquihuaccha Hernandez</t>
  </si>
  <si>
    <t>73229140</t>
  </si>
  <si>
    <t>Calle Los Licopodios 468</t>
  </si>
  <si>
    <t>999533600</t>
  </si>
  <si>
    <t>victor.d.ch.h@gmail.com</t>
  </si>
  <si>
    <t>04023883</t>
  </si>
  <si>
    <t>09/01/2026 09:50</t>
  </si>
  <si>
    <t>000020</t>
  </si>
  <si>
    <t>12/05/2026 13:44</t>
  </si>
  <si>
    <t>E 04 - D 02</t>
  </si>
  <si>
    <t>Victor Hugo Quispe Cupe</t>
  </si>
  <si>
    <t>09848317</t>
  </si>
  <si>
    <t>Jr. Jose Arnaldo Marquez 1152</t>
  </si>
  <si>
    <t>998980237</t>
  </si>
  <si>
    <t>vitolosc58@gmail.com</t>
  </si>
  <si>
    <t>02146739</t>
  </si>
  <si>
    <t>24/04/2026 10:01</t>
  </si>
  <si>
    <t>01/05/2026 11:21</t>
  </si>
  <si>
    <t>54500.00</t>
  </si>
  <si>
    <t>52222.22</t>
  </si>
  <si>
    <t>wendy carolina junes Gonzáles Junes Gonzáles</t>
  </si>
  <si>
    <t>45871126</t>
  </si>
  <si>
    <t>Jr.Huiracocha 1430 Dpto 407</t>
  </si>
  <si>
    <t>951990414</t>
  </si>
  <si>
    <t>951990410</t>
  </si>
  <si>
    <t>jg_wendy-14@hotmail.com</t>
  </si>
  <si>
    <t>00992597</t>
  </si>
  <si>
    <t>18/08/2025 16:50</t>
  </si>
  <si>
    <t>11400.00</t>
  </si>
  <si>
    <t>Cobranzas_2026.csv</t>
  </si>
  <si>
    <t>2026</t>
  </si>
  <si>
    <t>185000.00</t>
  </si>
  <si>
    <t>PENDIENTE</t>
  </si>
  <si>
    <t>1705</t>
  </si>
  <si>
    <t>E 13 - D 11</t>
  </si>
  <si>
    <t>Alejandro David Dianderas Leyzaquia</t>
  </si>
  <si>
    <t>71802853</t>
  </si>
  <si>
    <t>Av. Revolucion 530 - Urb. Collique Etapa 1</t>
  </si>
  <si>
    <t>926428673</t>
  </si>
  <si>
    <t>926428673@gmail.com</t>
  </si>
  <si>
    <t>03334230</t>
  </si>
  <si>
    <t>30/05/2026 17:42</t>
  </si>
  <si>
    <t>09/06/2026 17:38</t>
  </si>
  <si>
    <t>03947119</t>
  </si>
  <si>
    <t>09/06/2026 17:40</t>
  </si>
  <si>
    <t>70415.00</t>
  </si>
  <si>
    <t>0624782</t>
  </si>
  <si>
    <t>26805.00</t>
  </si>
  <si>
    <t>528000.00</t>
  </si>
  <si>
    <t>1141936</t>
  </si>
  <si>
    <t>03/07/2026 11:00</t>
  </si>
  <si>
    <t>02708000009</t>
  </si>
  <si>
    <t>03/07/2026 11:02</t>
  </si>
  <si>
    <t>00000404300004045</t>
  </si>
  <si>
    <t>03/07/2026 11:19</t>
  </si>
  <si>
    <t>02222650</t>
  </si>
  <si>
    <t>23/06/2026 16:01</t>
  </si>
  <si>
    <t>5561540</t>
  </si>
  <si>
    <t>23/06/2026 16:02</t>
  </si>
  <si>
    <t>31000.00</t>
  </si>
  <si>
    <t>U100751</t>
  </si>
  <si>
    <t>23/06/2026 16:06</t>
  </si>
  <si>
    <t>352700.00</t>
  </si>
  <si>
    <t>02700800069</t>
  </si>
  <si>
    <t>23/06/2026 16:08</t>
  </si>
  <si>
    <t>292550.00</t>
  </si>
  <si>
    <t>23022025</t>
  </si>
  <si>
    <t>07/07/2026 14:22</t>
  </si>
  <si>
    <t>30032025</t>
  </si>
  <si>
    <t>07/07/2026 14:23</t>
  </si>
  <si>
    <t>20800.00</t>
  </si>
  <si>
    <t>16944610</t>
  </si>
  <si>
    <t>04/06/2026 09:50</t>
  </si>
  <si>
    <t>394200.00</t>
  </si>
  <si>
    <t>0623921</t>
  </si>
  <si>
    <t>09/06/2026 09:48</t>
  </si>
  <si>
    <t>0756802</t>
  </si>
  <si>
    <t>09/06/2026 09:51</t>
  </si>
  <si>
    <t>66057.16</t>
  </si>
  <si>
    <t>1105</t>
  </si>
  <si>
    <t xml:space="preserve">CARLOS ENRIQUE MORANTE ARROYO </t>
  </si>
  <si>
    <t>74307522</t>
  </si>
  <si>
    <t xml:space="preserve">JR. DANIEL ALCIDES CARRION 570, INT. 15 – MAGDALENA DEL MAR </t>
  </si>
  <si>
    <t>921881457</t>
  </si>
  <si>
    <t>cmorantea@uni.pe</t>
  </si>
  <si>
    <t>00000089000000091</t>
  </si>
  <si>
    <t>10/04/2026 14:25</t>
  </si>
  <si>
    <t>000049</t>
  </si>
  <si>
    <t>03/06/2026 15:51</t>
  </si>
  <si>
    <t>023801</t>
  </si>
  <si>
    <t>05/06/2026 15:32</t>
  </si>
  <si>
    <t>39900.00</t>
  </si>
  <si>
    <t>00005827000000000</t>
  </si>
  <si>
    <t>05/06/2026 15:34</t>
  </si>
  <si>
    <t>386100.00</t>
  </si>
  <si>
    <t>0270800070</t>
  </si>
  <si>
    <t>05/06/2026 15:37</t>
  </si>
  <si>
    <t>001368634</t>
  </si>
  <si>
    <t>24/05/2026 15:10</t>
  </si>
  <si>
    <t>043339</t>
  </si>
  <si>
    <t>11/06/2026 16:34</t>
  </si>
  <si>
    <t>110740.00</t>
  </si>
  <si>
    <t>034064</t>
  </si>
  <si>
    <t>12/06/2026 08:18</t>
  </si>
  <si>
    <t>580000.00</t>
  </si>
  <si>
    <t>1503</t>
  </si>
  <si>
    <t>E 01</t>
  </si>
  <si>
    <t>CHRISTELL XIMENA ROMAINVILLE MONGE</t>
  </si>
  <si>
    <t>70213991</t>
  </si>
  <si>
    <t>Av. Gregorio Escobedo 570, Dpto N°1602 - Jesus Maria – Lima</t>
  </si>
  <si>
    <t>966489295</t>
  </si>
  <si>
    <t>ximenaromainville@gmail.com</t>
  </si>
  <si>
    <t>03078443</t>
  </si>
  <si>
    <t>23/05/2026 09:44</t>
  </si>
  <si>
    <t>11/07/2026 09:42</t>
  </si>
  <si>
    <t>22000.00</t>
  </si>
  <si>
    <t>25250.00</t>
  </si>
  <si>
    <t>04176966</t>
  </si>
  <si>
    <t>11/07/2026 09:43</t>
  </si>
  <si>
    <t>05149943</t>
  </si>
  <si>
    <t>03/06/2026 09:48</t>
  </si>
  <si>
    <t>435600.00</t>
  </si>
  <si>
    <t>0270800012</t>
  </si>
  <si>
    <t>05/06/2026 13:43</t>
  </si>
  <si>
    <t>296000.00</t>
  </si>
  <si>
    <t>068000000001139</t>
  </si>
  <si>
    <t>05/06/2026 14:30</t>
  </si>
  <si>
    <t>508000.00</t>
  </si>
  <si>
    <t>30032026</t>
  </si>
  <si>
    <t>07/07/2026 14:04</t>
  </si>
  <si>
    <t>217040.00</t>
  </si>
  <si>
    <t>55992.00</t>
  </si>
  <si>
    <t>00000082000000000</t>
  </si>
  <si>
    <t>02/06/2026 18:05</t>
  </si>
  <si>
    <t>12</t>
  </si>
  <si>
    <t>05/06/2026 11:16</t>
  </si>
  <si>
    <t>504000.00</t>
  </si>
  <si>
    <t>02708000033</t>
  </si>
  <si>
    <t>07/07/2026 12:18</t>
  </si>
  <si>
    <t>1202</t>
  </si>
  <si>
    <t>Diana Carolina Asmat Cuno</t>
  </si>
  <si>
    <t>47198881</t>
  </si>
  <si>
    <t>Jr. Las Cidras 684 Coop Las Flores</t>
  </si>
  <si>
    <t>+61451852811</t>
  </si>
  <si>
    <t>ianikro@outlook.com</t>
  </si>
  <si>
    <t>03758507</t>
  </si>
  <si>
    <t>26/02/2026 10:30</t>
  </si>
  <si>
    <t>23/05/2026 21:55</t>
  </si>
  <si>
    <t>05503990</t>
  </si>
  <si>
    <t>23/05/2026 22:02</t>
  </si>
  <si>
    <t>06610290</t>
  </si>
  <si>
    <t>23/05/2026 22:03</t>
  </si>
  <si>
    <t>99500.00</t>
  </si>
  <si>
    <t>101360.00</t>
  </si>
  <si>
    <t>0152562</t>
  </si>
  <si>
    <t>24/05/2026 00:22</t>
  </si>
  <si>
    <t>417440.00</t>
  </si>
  <si>
    <t>379000.00</t>
  </si>
  <si>
    <t>0270800002</t>
  </si>
  <si>
    <t>04/06/2026 09:36</t>
  </si>
  <si>
    <t>EDWIN VICTOR ASHTU ACOSTA</t>
  </si>
  <si>
    <t>40910651</t>
  </si>
  <si>
    <t>Psj. Ramon Castilla 146 , San Felipe</t>
  </si>
  <si>
    <t>943011992</t>
  </si>
  <si>
    <t>edwin.ashtu@gmail.com</t>
  </si>
  <si>
    <t>430551</t>
  </si>
  <si>
    <t>30/03/2026 16:39</t>
  </si>
  <si>
    <t>02/06/2026 17:37</t>
  </si>
  <si>
    <t>234500.00</t>
  </si>
  <si>
    <t>170000003308</t>
  </si>
  <si>
    <t>09/06/2026 16:10</t>
  </si>
  <si>
    <t>210009</t>
  </si>
  <si>
    <t>09/06/2026 16:12</t>
  </si>
  <si>
    <t>237500.00</t>
  </si>
  <si>
    <t>9170</t>
  </si>
  <si>
    <t>16/06/2026 09:13</t>
  </si>
  <si>
    <t>E 44</t>
  </si>
  <si>
    <t>17032026</t>
  </si>
  <si>
    <t>17/08/2024 00:00</t>
  </si>
  <si>
    <t>000023</t>
  </si>
  <si>
    <t>14/07/2026 09:38</t>
  </si>
  <si>
    <t>00000235200000000</t>
  </si>
  <si>
    <t>501043</t>
  </si>
  <si>
    <t>14/07/2026 09:40</t>
  </si>
  <si>
    <t>Elizabeth Bertha Fierro Cancho</t>
  </si>
  <si>
    <t>10599276</t>
  </si>
  <si>
    <t>Calle uno Numero 270 Edif D Dpto. 301 – Urb. Los Parques del El Agustino</t>
  </si>
  <si>
    <t>966794666</t>
  </si>
  <si>
    <t>esdrasjoelpatillarojas@hotmail.com</t>
  </si>
  <si>
    <t>EL AGUSTINO</t>
  </si>
  <si>
    <t>0909063</t>
  </si>
  <si>
    <t>30/04/2026 09:59</t>
  </si>
  <si>
    <t>18/05/2026 05:29</t>
  </si>
  <si>
    <t>0962588</t>
  </si>
  <si>
    <t>23/05/2026 23:48</t>
  </si>
  <si>
    <t>0944792</t>
  </si>
  <si>
    <t>23/05/2026 23:49</t>
  </si>
  <si>
    <t>53700.00</t>
  </si>
  <si>
    <t>0637495</t>
  </si>
  <si>
    <t>09/06/2026 15:04</t>
  </si>
  <si>
    <t>0950768</t>
  </si>
  <si>
    <t>09/06/2026 15:05</t>
  </si>
  <si>
    <t>16800.00</t>
  </si>
  <si>
    <t>295800.00</t>
  </si>
  <si>
    <t>1301</t>
  </si>
  <si>
    <t>ELIZABETH MINDY DELGADO PEREYRA</t>
  </si>
  <si>
    <t>44350777</t>
  </si>
  <si>
    <t xml:space="preserve">Jr. Jorge Chavez 1219 </t>
  </si>
  <si>
    <t>988599067</t>
  </si>
  <si>
    <t>mindydelgado@hotmail.com</t>
  </si>
  <si>
    <t>095850</t>
  </si>
  <si>
    <t>20/03/2026 10:33</t>
  </si>
  <si>
    <t>000013</t>
  </si>
  <si>
    <t>23/05/2026 20:50</t>
  </si>
  <si>
    <t>8888.00</t>
  </si>
  <si>
    <t>0918237</t>
  </si>
  <si>
    <t>23/05/2026 20:52</t>
  </si>
  <si>
    <t>04691094</t>
  </si>
  <si>
    <t>22774.00</t>
  </si>
  <si>
    <t>409950.00</t>
  </si>
  <si>
    <t>392000.00</t>
  </si>
  <si>
    <t>07/07/2026 08:37</t>
  </si>
  <si>
    <t>8047007</t>
  </si>
  <si>
    <t>03/07/2026 10:26</t>
  </si>
  <si>
    <t>22500.00</t>
  </si>
  <si>
    <t>2798845</t>
  </si>
  <si>
    <t>03/07/2026 10:27</t>
  </si>
  <si>
    <t>E 12 - D 10</t>
  </si>
  <si>
    <t>ERICK RAUL BEDOYA BACA</t>
  </si>
  <si>
    <t>47551103</t>
  </si>
  <si>
    <t>Urb. Virgen del Rosario I Etapa Mz D Lt 11</t>
  </si>
  <si>
    <t>961968687</t>
  </si>
  <si>
    <t>ebedoyaba@gmail.com</t>
  </si>
  <si>
    <t>02283860</t>
  </si>
  <si>
    <t>27/01/2026 09:34</t>
  </si>
  <si>
    <t>01/05/2026 18:42</t>
  </si>
  <si>
    <t>5500.00</t>
  </si>
  <si>
    <t>107750.00</t>
  </si>
  <si>
    <t>173000.00</t>
  </si>
  <si>
    <t>304700.00</t>
  </si>
  <si>
    <t>0315785</t>
  </si>
  <si>
    <t>24/05/2026 19:17</t>
  </si>
  <si>
    <t>43000.00</t>
  </si>
  <si>
    <t>U24661</t>
  </si>
  <si>
    <t>24/05/2026 19:20</t>
  </si>
  <si>
    <t>344000.00</t>
  </si>
  <si>
    <t>02/07/2026 16:08</t>
  </si>
  <si>
    <t>U27655</t>
  </si>
  <si>
    <t>02/07/2026 16:09</t>
  </si>
  <si>
    <t>02/07/2026 16:10</t>
  </si>
  <si>
    <t>U1000499</t>
  </si>
  <si>
    <t>02/07/2026 16:11</t>
  </si>
  <si>
    <t>02/07/2026 16:12</t>
  </si>
  <si>
    <t>U101281</t>
  </si>
  <si>
    <t>13</t>
  </si>
  <si>
    <t>14</t>
  </si>
  <si>
    <t>15</t>
  </si>
  <si>
    <t>1205</t>
  </si>
  <si>
    <t>Fabiola Maria Lecca Vargas</t>
  </si>
  <si>
    <t>08034254</t>
  </si>
  <si>
    <t>Jr. Manuel Irribarren 1012 dpto 1</t>
  </si>
  <si>
    <t>988708317</t>
  </si>
  <si>
    <t>fabiolaleccavargas@g.mail.com</t>
  </si>
  <si>
    <t>0107263</t>
  </si>
  <si>
    <t>28/02/2026 10:31</t>
  </si>
  <si>
    <t>26/06/2026 11:53</t>
  </si>
  <si>
    <t>7844654520780</t>
  </si>
  <si>
    <t>26/06/2026 11:54</t>
  </si>
  <si>
    <t>16470.00</t>
  </si>
  <si>
    <t>7844655871084</t>
  </si>
  <si>
    <t>26/06/2026 11:55</t>
  </si>
  <si>
    <t>15000.00</t>
  </si>
  <si>
    <t>7844651936594</t>
  </si>
  <si>
    <t>26/06/2026 11:56</t>
  </si>
  <si>
    <t>7844655870147</t>
  </si>
  <si>
    <t>26/06/2026 11:57</t>
  </si>
  <si>
    <t>9900.00</t>
  </si>
  <si>
    <t>7844651936636</t>
  </si>
  <si>
    <t>26/06/2026 12:07</t>
  </si>
  <si>
    <t>10100.00</t>
  </si>
  <si>
    <t>7844651974157</t>
  </si>
  <si>
    <t>26/06/2026 12:08</t>
  </si>
  <si>
    <t>7844651928802</t>
  </si>
  <si>
    <t>26/06/2026 12:09</t>
  </si>
  <si>
    <t>7844651931615</t>
  </si>
  <si>
    <t>7844651932376</t>
  </si>
  <si>
    <t>26/06/2026 12:10</t>
  </si>
  <si>
    <t>419600.00</t>
  </si>
  <si>
    <t>Francescoli Del Aguila Bär</t>
  </si>
  <si>
    <t>38218240</t>
  </si>
  <si>
    <t>Jr. Inclan 222, Dpto. 704</t>
  </si>
  <si>
    <t>958417380</t>
  </si>
  <si>
    <t>francescoli.da.bar@gmail.com</t>
  </si>
  <si>
    <t>0000603801476559</t>
  </si>
  <si>
    <t>23/02/2026 16:45</t>
  </si>
  <si>
    <t>97000.00</t>
  </si>
  <si>
    <t>002514962</t>
  </si>
  <si>
    <t>400000.00</t>
  </si>
  <si>
    <t>0270800057</t>
  </si>
  <si>
    <t>23514.00</t>
  </si>
  <si>
    <t>05/06/2026 12:20</t>
  </si>
  <si>
    <t>12086.00</t>
  </si>
  <si>
    <t>00003077000000000</t>
  </si>
  <si>
    <t>05/06/2026 12:27</t>
  </si>
  <si>
    <t>05032026</t>
  </si>
  <si>
    <t>07/07/2026 12:27</t>
  </si>
  <si>
    <t>372000.00</t>
  </si>
  <si>
    <t>106545.00</t>
  </si>
  <si>
    <t>02249650</t>
  </si>
  <si>
    <t>30/06/2026 18:17</t>
  </si>
  <si>
    <t>02734027</t>
  </si>
  <si>
    <t>30/06/2026 18:19</t>
  </si>
  <si>
    <t>04494431</t>
  </si>
  <si>
    <t>30/06/2026 18:20</t>
  </si>
  <si>
    <t>402</t>
  </si>
  <si>
    <t>E 44 - D 26</t>
  </si>
  <si>
    <t>Gina Victoria Saenz Pasco</t>
  </si>
  <si>
    <t>70436237</t>
  </si>
  <si>
    <t>Av. Cordialidad 8079 Urb. La Floresta</t>
  </si>
  <si>
    <t>992686657</t>
  </si>
  <si>
    <t>g.saenz22@gmail.com</t>
  </si>
  <si>
    <t>00060044</t>
  </si>
  <si>
    <t>30/03/2026 10:11</t>
  </si>
  <si>
    <t>000027</t>
  </si>
  <si>
    <t>01/05/2026 17:30</t>
  </si>
  <si>
    <t>98375.00</t>
  </si>
  <si>
    <t>331000.00</t>
  </si>
  <si>
    <t>E 27 - D 21</t>
  </si>
  <si>
    <t>Gisella Isabel Martinez Andrade</t>
  </si>
  <si>
    <t>41633863</t>
  </si>
  <si>
    <t xml:space="preserve"> Pasaje Manuel Gonzales Prada 1286</t>
  </si>
  <si>
    <t>993079451</t>
  </si>
  <si>
    <t>gisella.martinez01@gmail.com</t>
  </si>
  <si>
    <t>03360743</t>
  </si>
  <si>
    <t>18/06/2026 15:49</t>
  </si>
  <si>
    <t>000052</t>
  </si>
  <si>
    <t>14/07/2026 12:19</t>
  </si>
  <si>
    <t>000078289</t>
  </si>
  <si>
    <t>14/07/2026 12:33</t>
  </si>
  <si>
    <t>15650.00</t>
  </si>
  <si>
    <t>06099409</t>
  </si>
  <si>
    <t>14/07/2026 12:36</t>
  </si>
  <si>
    <t>99850.00</t>
  </si>
  <si>
    <t>338000.00</t>
  </si>
  <si>
    <t>01291941</t>
  </si>
  <si>
    <t>03/07/2026 11:55</t>
  </si>
  <si>
    <t>01346005</t>
  </si>
  <si>
    <t>03/07/2026 11:57</t>
  </si>
  <si>
    <t>005509418</t>
  </si>
  <si>
    <t>0142288</t>
  </si>
  <si>
    <t>03/07/2026 11:59</t>
  </si>
  <si>
    <t>73333.35</t>
  </si>
  <si>
    <t>20210.00</t>
  </si>
  <si>
    <t>478890.00</t>
  </si>
  <si>
    <t>502</t>
  </si>
  <si>
    <t xml:space="preserve">HONOFRE JUAN GONZALES ATAHUALPA </t>
  </si>
  <si>
    <t>09518829</t>
  </si>
  <si>
    <t xml:space="preserve">Av. 17 de noviembre 229 - 231 </t>
  </si>
  <si>
    <t>990889063</t>
  </si>
  <si>
    <t>juanga0420@hotmail.com</t>
  </si>
  <si>
    <t>INDEPENDENCIA</t>
  </si>
  <si>
    <t>0000606321425788</t>
  </si>
  <si>
    <t>22/04/2026 09:37</t>
  </si>
  <si>
    <t>000043</t>
  </si>
  <si>
    <t>03/06/2026 08:37</t>
  </si>
  <si>
    <t>21350.00</t>
  </si>
  <si>
    <t>0500010095</t>
  </si>
  <si>
    <t>05/06/2026 08:47</t>
  </si>
  <si>
    <t>0500010046</t>
  </si>
  <si>
    <t>05/06/2026 08:48</t>
  </si>
  <si>
    <t>411300.00</t>
  </si>
  <si>
    <t>0270800024</t>
  </si>
  <si>
    <t>07/07/2026 09:38</t>
  </si>
  <si>
    <t>Irma Paulina Palomino Huaman</t>
  </si>
  <si>
    <t>76840101</t>
  </si>
  <si>
    <t>Jr. Manco Segundo 2202 Dpto. 102</t>
  </si>
  <si>
    <t>939315617</t>
  </si>
  <si>
    <t>paulinapalomino8@gmail.com</t>
  </si>
  <si>
    <t>04546375</t>
  </si>
  <si>
    <t>05/06/2026 08:22</t>
  </si>
  <si>
    <t>24/05/2026 20:56</t>
  </si>
  <si>
    <t>18900.00</t>
  </si>
  <si>
    <t>04640462</t>
  </si>
  <si>
    <t>24/05/2026 20:58</t>
  </si>
  <si>
    <t>34200.00</t>
  </si>
  <si>
    <t>504900.00</t>
  </si>
  <si>
    <t>Isabel Cristina Franco Zegarra</t>
  </si>
  <si>
    <t>09884970</t>
  </si>
  <si>
    <t>Coop Union Mz D Lt 5</t>
  </si>
  <si>
    <t>959158450</t>
  </si>
  <si>
    <t>959158450@gmail.com</t>
  </si>
  <si>
    <t>0038</t>
  </si>
  <si>
    <t>26/05/2026 09:38</t>
  </si>
  <si>
    <t>Josue andres Perez Chamorro</t>
  </si>
  <si>
    <t>17/05/2026 17:56</t>
  </si>
  <si>
    <t>109884970</t>
  </si>
  <si>
    <t>23/06/2026 10:59</t>
  </si>
  <si>
    <t>109884870</t>
  </si>
  <si>
    <t>AHORROS PERSONALES</t>
  </si>
  <si>
    <t>23/06/2026 11:00</t>
  </si>
  <si>
    <t>23/06/2026 11:01</t>
  </si>
  <si>
    <t>24000.00</t>
  </si>
  <si>
    <t>U100717</t>
  </si>
  <si>
    <t>23/06/2026 11:02</t>
  </si>
  <si>
    <t>17500.00</t>
  </si>
  <si>
    <t>0635520</t>
  </si>
  <si>
    <t>23/06/2026 11:03</t>
  </si>
  <si>
    <t>290500.00</t>
  </si>
  <si>
    <t>1401</t>
  </si>
  <si>
    <t>Jacqueline Elsa Moreno Huaman</t>
  </si>
  <si>
    <t>28276212</t>
  </si>
  <si>
    <t>Calle Padr Urraca 111 Edifc. 6 - Dpto. 603</t>
  </si>
  <si>
    <t>966689822</t>
  </si>
  <si>
    <t>jmoreno.incorp@gmail.com</t>
  </si>
  <si>
    <t>00833460</t>
  </si>
  <si>
    <t>30/05/2026 09:38</t>
  </si>
  <si>
    <t>000046</t>
  </si>
  <si>
    <t>11/07/2026 09:36</t>
  </si>
  <si>
    <t>06218150</t>
  </si>
  <si>
    <t>11/07/2026 09:37</t>
  </si>
  <si>
    <t>55000.00</t>
  </si>
  <si>
    <t>E 20 - D 15</t>
  </si>
  <si>
    <t>Jazmin Elizabeth Ramirez Lazaro</t>
  </si>
  <si>
    <t>75662644</t>
  </si>
  <si>
    <t>Av. Arnaldo Marquez 1440 Dpto.906</t>
  </si>
  <si>
    <t>915176274</t>
  </si>
  <si>
    <t>jazmin.ramirez.lazaro8@gmail.com</t>
  </si>
  <si>
    <t>4969236</t>
  </si>
  <si>
    <t>30/05/2026 18:13</t>
  </si>
  <si>
    <t>13/05/2026 17:12</t>
  </si>
  <si>
    <t>0319831</t>
  </si>
  <si>
    <t>09/06/2026 18:11</t>
  </si>
  <si>
    <t>57000.00</t>
  </si>
  <si>
    <t>360000.00</t>
  </si>
  <si>
    <t>00368899</t>
  </si>
  <si>
    <t>02476804</t>
  </si>
  <si>
    <t>18/05/2026 04:34</t>
  </si>
  <si>
    <t>405000.00</t>
  </si>
  <si>
    <t>1303</t>
  </si>
  <si>
    <t>E 50 - D 30</t>
  </si>
  <si>
    <t>Jimena Melissa Huayanca Lopez</t>
  </si>
  <si>
    <t>73268311</t>
  </si>
  <si>
    <t xml:space="preserve">Av. Cuba 560, Dpto N°1703 </t>
  </si>
  <si>
    <t>923732315</t>
  </si>
  <si>
    <t>jimelissahl@gmail.com</t>
  </si>
  <si>
    <t>008557</t>
  </si>
  <si>
    <t>28/05/2026 10:43</t>
  </si>
  <si>
    <t>22/05/2026 12:08</t>
  </si>
  <si>
    <t>47670.00</t>
  </si>
  <si>
    <t>01474178</t>
  </si>
  <si>
    <t>02/06/2026 17:11</t>
  </si>
  <si>
    <t>453030.00</t>
  </si>
  <si>
    <t>AFP TITULAR</t>
  </si>
  <si>
    <t>36269.23</t>
  </si>
  <si>
    <t>Jiri Ruzicka R</t>
  </si>
  <si>
    <t>001831906</t>
  </si>
  <si>
    <t xml:space="preserve">Calle Los Mirtos 230 Edificio Live Lima Flats Torre C </t>
  </si>
  <si>
    <t>943541529</t>
  </si>
  <si>
    <t>jiriruzicka@web.de</t>
  </si>
  <si>
    <t>0083</t>
  </si>
  <si>
    <t>22/05/2026 09:21</t>
  </si>
  <si>
    <t>17/05/2026 16:35</t>
  </si>
  <si>
    <t>22055.00</t>
  </si>
  <si>
    <t>046664</t>
  </si>
  <si>
    <t>02/06/2026 16:38</t>
  </si>
  <si>
    <t>E 28 - D 18</t>
  </si>
  <si>
    <t>Jorge Luis Montoya Mendoza</t>
  </si>
  <si>
    <t>21458250</t>
  </si>
  <si>
    <t>luismm65@hotmail.com</t>
  </si>
  <si>
    <t>962673705</t>
  </si>
  <si>
    <t>14032026</t>
  </si>
  <si>
    <t>30/04/2026 10:02</t>
  </si>
  <si>
    <t>000018</t>
  </si>
  <si>
    <t>23/05/2026 23:39</t>
  </si>
  <si>
    <t>154590.00</t>
  </si>
  <si>
    <t>00119</t>
  </si>
  <si>
    <t>23/05/2026 23:43</t>
  </si>
  <si>
    <t>105060.00</t>
  </si>
  <si>
    <t>18680.00</t>
  </si>
  <si>
    <t>5535877</t>
  </si>
  <si>
    <t>24/05/2026 20:06</t>
  </si>
  <si>
    <t>20520.00</t>
  </si>
  <si>
    <t>5527318</t>
  </si>
  <si>
    <t>385800.00</t>
  </si>
  <si>
    <t>E 10 - D 1</t>
  </si>
  <si>
    <t>Jose Edgardo Cespedes Camacho</t>
  </si>
  <si>
    <t>7844655558963</t>
  </si>
  <si>
    <t>26/02/2026 10:04</t>
  </si>
  <si>
    <t>08/06/2026 10:02</t>
  </si>
  <si>
    <t>784465558963</t>
  </si>
  <si>
    <t>02/07/2026 11:51</t>
  </si>
  <si>
    <t>3666.67</t>
  </si>
  <si>
    <t>7844655521396</t>
  </si>
  <si>
    <t>02/07/2026 11:50</t>
  </si>
  <si>
    <t>7844655521516</t>
  </si>
  <si>
    <t>02/07/2026 11:52</t>
  </si>
  <si>
    <t>52830.00</t>
  </si>
  <si>
    <t>u22607</t>
  </si>
  <si>
    <t>07/07/2026 16:31</t>
  </si>
  <si>
    <t>502470.00</t>
  </si>
  <si>
    <t>23000.00</t>
  </si>
  <si>
    <t>33235.71</t>
  </si>
  <si>
    <t>E 51 - D 39</t>
  </si>
  <si>
    <t>JUDITH MEDINA ALVAREZ</t>
  </si>
  <si>
    <t>45149889</t>
  </si>
  <si>
    <t>Calle Union 212 SubLt 2 Seccion 3 Dpto. 301</t>
  </si>
  <si>
    <t>959555038</t>
  </si>
  <si>
    <t>Judith_2588@hotmail.com</t>
  </si>
  <si>
    <t>0000607419191558</t>
  </si>
  <si>
    <t>30/04/2026 16:42</t>
  </si>
  <si>
    <t>05/06/2026 09:50</t>
  </si>
  <si>
    <t>44300.00</t>
  </si>
  <si>
    <t>00063</t>
  </si>
  <si>
    <t>07/07/2026 11:24</t>
  </si>
  <si>
    <t>397000.00</t>
  </si>
  <si>
    <t>0270800003</t>
  </si>
  <si>
    <t>09/07/2026 13:49</t>
  </si>
  <si>
    <t>28700.00</t>
  </si>
  <si>
    <t>305</t>
  </si>
  <si>
    <t>Karla Ivette Necochea Lopezv</t>
  </si>
  <si>
    <t>71128732</t>
  </si>
  <si>
    <t>Av. Venezuela 1036 Dpto. 301</t>
  </si>
  <si>
    <t>+19145079719</t>
  </si>
  <si>
    <t>karlanecoche_lo@hotmail.com</t>
  </si>
  <si>
    <t>04157602</t>
  </si>
  <si>
    <t>30/05/2026 08:39</t>
  </si>
  <si>
    <t>01/05/2026 16:39</t>
  </si>
  <si>
    <t>45880.00</t>
  </si>
  <si>
    <t>48880.00</t>
  </si>
  <si>
    <t>198620.00</t>
  </si>
  <si>
    <t>19900.00</t>
  </si>
  <si>
    <t>45800.00</t>
  </si>
  <si>
    <t>389300.00</t>
  </si>
  <si>
    <t>28850.00</t>
  </si>
  <si>
    <t>7844655508247</t>
  </si>
  <si>
    <t>04/06/2026 08:34</t>
  </si>
  <si>
    <t>519300.00</t>
  </si>
  <si>
    <t>904</t>
  </si>
  <si>
    <t xml:space="preserve">Lizet Lopez Paucar </t>
  </si>
  <si>
    <t>42459734</t>
  </si>
  <si>
    <t>Av. Arnaldo Márquez 1526 Dpto. 34 - Jesús María - Lima</t>
  </si>
  <si>
    <t>999889061</t>
  </si>
  <si>
    <t>lizetlopezp@gmail.com</t>
  </si>
  <si>
    <t>0000600519140030</t>
  </si>
  <si>
    <t>31/01/2026 13:56</t>
  </si>
  <si>
    <t>03/06/2026 10:04</t>
  </si>
  <si>
    <t>02462401</t>
  </si>
  <si>
    <t>07/07/2026 13:49</t>
  </si>
  <si>
    <t>02011578</t>
  </si>
  <si>
    <t>07/07/2026 13:50</t>
  </si>
  <si>
    <t>7844655529167</t>
  </si>
  <si>
    <t>07/07/2026 13:54</t>
  </si>
  <si>
    <t>20700.00</t>
  </si>
  <si>
    <t>7844655513571</t>
  </si>
  <si>
    <t>07/07/2026 13:56</t>
  </si>
  <si>
    <t>350000.00</t>
  </si>
  <si>
    <t>73800.00</t>
  </si>
  <si>
    <t>5100.00</t>
  </si>
  <si>
    <t>24600.00</t>
  </si>
  <si>
    <t>447300.00</t>
  </si>
  <si>
    <t>Luisa Liliana Esther Erazo Medina</t>
  </si>
  <si>
    <t>74477120</t>
  </si>
  <si>
    <t>Jr. Lastenia Larriva Se Llona 526 Urb. Esmeralda</t>
  </si>
  <si>
    <t>922975710</t>
  </si>
  <si>
    <t>lulleem95@gmail.com</t>
  </si>
  <si>
    <t>4280825</t>
  </si>
  <si>
    <t>10/04/2026 09:43</t>
  </si>
  <si>
    <t>01/05/2026 20:15</t>
  </si>
  <si>
    <t>03954028</t>
  </si>
  <si>
    <t>24/05/2026 14:32</t>
  </si>
  <si>
    <t>347000.00</t>
  </si>
  <si>
    <t>89920.00</t>
  </si>
  <si>
    <t>0697429</t>
  </si>
  <si>
    <t>18/05/2026 00:00</t>
  </si>
  <si>
    <t>100.00</t>
  </si>
  <si>
    <t>18/05/2026 03:48</t>
  </si>
  <si>
    <t>18/05/2026 03:51</t>
  </si>
  <si>
    <t>37270.91</t>
  </si>
  <si>
    <t>0914981</t>
  </si>
  <si>
    <t>03/07/2026 17:41</t>
  </si>
  <si>
    <t>65982.84</t>
  </si>
  <si>
    <t>E 03 - D 01</t>
  </si>
  <si>
    <t>05225356</t>
  </si>
  <si>
    <t>28/11/2025 17:55</t>
  </si>
  <si>
    <t>000039</t>
  </si>
  <si>
    <t>24/06/2026 17:40</t>
  </si>
  <si>
    <t>29000.00</t>
  </si>
  <si>
    <t>01886785</t>
  </si>
  <si>
    <t>24/06/2026 17:47</t>
  </si>
  <si>
    <t>23499.00</t>
  </si>
  <si>
    <t>02381234</t>
  </si>
  <si>
    <t>26/06/2026 11:33</t>
  </si>
  <si>
    <t>01282313</t>
  </si>
  <si>
    <t>18/05/2026 04:20</t>
  </si>
  <si>
    <t>387000.00</t>
  </si>
  <si>
    <t>129500.00</t>
  </si>
  <si>
    <t>004006999</t>
  </si>
  <si>
    <t>03/07/2026 19:11</t>
  </si>
  <si>
    <t>244000.00</t>
  </si>
  <si>
    <t>30062026</t>
  </si>
  <si>
    <t>03/07/2026 19:12</t>
  </si>
  <si>
    <t>18640.00</t>
  </si>
  <si>
    <t>06084927</t>
  </si>
  <si>
    <t>24/05/2026 15:50</t>
  </si>
  <si>
    <t>205580.00</t>
  </si>
  <si>
    <t>1004</t>
  </si>
  <si>
    <t>Marita Angeles Milla</t>
  </si>
  <si>
    <t>09096071</t>
  </si>
  <si>
    <t>Av. Olavegoya 1879 Dpto. 301</t>
  </si>
  <si>
    <t>997627864</t>
  </si>
  <si>
    <t>marita.angeles.milla@gmail.com</t>
  </si>
  <si>
    <t>002909488</t>
  </si>
  <si>
    <t>27/04/2026 17:45</t>
  </si>
  <si>
    <t>40770.00</t>
  </si>
  <si>
    <t>01633221410</t>
  </si>
  <si>
    <t>05/06/2026 14:47</t>
  </si>
  <si>
    <t>373930.00</t>
  </si>
  <si>
    <t>E 18</t>
  </si>
  <si>
    <t>Marynn Yahara Minetto Peralta</t>
  </si>
  <si>
    <t>40846697</t>
  </si>
  <si>
    <t>954133712</t>
  </si>
  <si>
    <t>marynn.minetto.mimi@hotmail.com</t>
  </si>
  <si>
    <t>01506294</t>
  </si>
  <si>
    <t>22/01/2026 00:00</t>
  </si>
  <si>
    <t>9000.00</t>
  </si>
  <si>
    <t>8500.00</t>
  </si>
  <si>
    <t>E 18 - D 13</t>
  </si>
  <si>
    <t>03/07/2026 15:25</t>
  </si>
  <si>
    <t>12833.33</t>
  </si>
  <si>
    <t>12833.34</t>
  </si>
  <si>
    <t>0857979</t>
  </si>
  <si>
    <t>24/05/2026 08:51</t>
  </si>
  <si>
    <t>396000.00</t>
  </si>
  <si>
    <t>Medaly Mendoza .</t>
  </si>
  <si>
    <t>75197073</t>
  </si>
  <si>
    <t>.</t>
  </si>
  <si>
    <t>979218897</t>
  </si>
  <si>
    <t>medalymendoza223@gmail.com</t>
  </si>
  <si>
    <t>05001718</t>
  </si>
  <si>
    <t>18/06/2026 09:31</t>
  </si>
  <si>
    <t>11/07/2026 08:51</t>
  </si>
  <si>
    <t>18450.00</t>
  </si>
  <si>
    <t>04992682</t>
  </si>
  <si>
    <t>11/07/2026 09:30</t>
  </si>
  <si>
    <t>21450.00</t>
  </si>
  <si>
    <t>1502</t>
  </si>
  <si>
    <t>E 39</t>
  </si>
  <si>
    <t>Melanny Dayanna Flores Blas</t>
  </si>
  <si>
    <t>75334346</t>
  </si>
  <si>
    <t xml:space="preserve">Av. Los Alisos Urb. Naranjal MZ Ñ-1 LT 27 </t>
  </si>
  <si>
    <t>979775301</t>
  </si>
  <si>
    <t>flores.d19958@gmail.com</t>
  </si>
  <si>
    <t>02463717</t>
  </si>
  <si>
    <t>24/01/2026 11:22</t>
  </si>
  <si>
    <t>23/05/2026 18:42</t>
  </si>
  <si>
    <t>00676390</t>
  </si>
  <si>
    <t>23/05/2026 18:50</t>
  </si>
  <si>
    <t>0062</t>
  </si>
  <si>
    <t>41270.00</t>
  </si>
  <si>
    <t>12000.00</t>
  </si>
  <si>
    <t>1603</t>
  </si>
  <si>
    <t>E 08 - D 08</t>
  </si>
  <si>
    <t>Mohammed Belhaj b</t>
  </si>
  <si>
    <t>NUoF6KHK3</t>
  </si>
  <si>
    <t>Jr. Los Aromos Coop. Las Flores Mz 21LT. 31</t>
  </si>
  <si>
    <t>922412765</t>
  </si>
  <si>
    <t>mo.belhaj@outlook.com</t>
  </si>
  <si>
    <t>559275</t>
  </si>
  <si>
    <t>08/06/2026 11:28</t>
  </si>
  <si>
    <t>23/05/2026 17:54</t>
  </si>
  <si>
    <t>175.50</t>
  </si>
  <si>
    <t>23052026</t>
  </si>
  <si>
    <t>23/05/2026 18:08</t>
  </si>
  <si>
    <t>306745.71</t>
  </si>
  <si>
    <t>30052026</t>
  </si>
  <si>
    <t>23/05/2026 18:11</t>
  </si>
  <si>
    <t>20008.75</t>
  </si>
  <si>
    <t>5526008</t>
  </si>
  <si>
    <t>24/05/2026 22:05</t>
  </si>
  <si>
    <t>334800.00</t>
  </si>
  <si>
    <t>0500010092</t>
  </si>
  <si>
    <t>04/06/2026 09:29</t>
  </si>
  <si>
    <t>U2874</t>
  </si>
  <si>
    <t>10/06/2026 17:21</t>
  </si>
  <si>
    <t>16</t>
  </si>
  <si>
    <t>1302</t>
  </si>
  <si>
    <t>Omar Edwin Riveros Tejada</t>
  </si>
  <si>
    <t>47136409</t>
  </si>
  <si>
    <t>Calle Berlin 734 - Dpto. 302</t>
  </si>
  <si>
    <t>959940936</t>
  </si>
  <si>
    <t>omarriveros91@gmail.com</t>
  </si>
  <si>
    <t>MIRAFLORES</t>
  </si>
  <si>
    <t>007665</t>
  </si>
  <si>
    <t>30/04/2026 10:36</t>
  </si>
  <si>
    <t>23/05/2026 20:30</t>
  </si>
  <si>
    <t>123500.00</t>
  </si>
  <si>
    <t>0991441</t>
  </si>
  <si>
    <t>23/05/2026 20:33</t>
  </si>
  <si>
    <t>120000.00</t>
  </si>
  <si>
    <t>190512.00</t>
  </si>
  <si>
    <t>Patricia Salazar Aparcana</t>
  </si>
  <si>
    <t>10142891</t>
  </si>
  <si>
    <t xml:space="preserve"> Jr. Manco segundo 2258 dpto 207</t>
  </si>
  <si>
    <t>996611448</t>
  </si>
  <si>
    <t>PATRICIASALAZAR25@HOTMAIL.COM</t>
  </si>
  <si>
    <t>575319</t>
  </si>
  <si>
    <t>28/02/2026 08:07</t>
  </si>
  <si>
    <t>28/03/2026 21:25</t>
  </si>
  <si>
    <t>00378339</t>
  </si>
  <si>
    <t>29/03/2026 17:29</t>
  </si>
  <si>
    <t>00602289</t>
  </si>
  <si>
    <t>29/03/2026 17:40</t>
  </si>
  <si>
    <t>009487222</t>
  </si>
  <si>
    <t>07/07/2026 10:03</t>
  </si>
  <si>
    <t>495000.00</t>
  </si>
  <si>
    <t>00001378000001380</t>
  </si>
  <si>
    <t>07/07/2026 10:04</t>
  </si>
  <si>
    <t>00001381000001383</t>
  </si>
  <si>
    <t>07/07/2026 10:05</t>
  </si>
  <si>
    <t>000001384000001386</t>
  </si>
  <si>
    <t>07/07/2026 10:06</t>
  </si>
  <si>
    <t>00001387000001389</t>
  </si>
  <si>
    <t>07/07/2026 10:08</t>
  </si>
  <si>
    <t>00004571000004573</t>
  </si>
  <si>
    <t>07/07/2026 10:09</t>
  </si>
  <si>
    <t>001334856</t>
  </si>
  <si>
    <t>07/07/2026 10:15</t>
  </si>
  <si>
    <t>476098</t>
  </si>
  <si>
    <t>08/06/2026 11:45</t>
  </si>
  <si>
    <t>162237</t>
  </si>
  <si>
    <t>08/06/2026 11:46</t>
  </si>
  <si>
    <t>172844</t>
  </si>
  <si>
    <t>08/06/2026 11:47</t>
  </si>
  <si>
    <t>RENZO VALDERRAMA REYES</t>
  </si>
  <si>
    <t>45416570</t>
  </si>
  <si>
    <t>Jr. Almudena 194</t>
  </si>
  <si>
    <t>932290459</t>
  </si>
  <si>
    <t>rvalderrama2488@hotmail.com</t>
  </si>
  <si>
    <t>SAN LUIS</t>
  </si>
  <si>
    <t>7844655550510</t>
  </si>
  <si>
    <t>12/06/2026 13:45</t>
  </si>
  <si>
    <t xml:space="preserve">Glenda Solano </t>
  </si>
  <si>
    <t>16/05/2026 19:32</t>
  </si>
  <si>
    <t>23400.00</t>
  </si>
  <si>
    <t>395586</t>
  </si>
  <si>
    <t>02/07/2026 13:43</t>
  </si>
  <si>
    <t>15200.00</t>
  </si>
  <si>
    <t>374400.00</t>
  </si>
  <si>
    <t>804</t>
  </si>
  <si>
    <t>E 42 - D 33</t>
  </si>
  <si>
    <t>RICARDO DANIEL ESPINOZA ANCHAYGUA</t>
  </si>
  <si>
    <t>71229453</t>
  </si>
  <si>
    <t>CALLE CALESA</t>
  </si>
  <si>
    <t>999698265</t>
  </si>
  <si>
    <t>RMENDOZA@GMAIL.COM</t>
  </si>
  <si>
    <t>LA MOLINA</t>
  </si>
  <si>
    <t>184</t>
  </si>
  <si>
    <t>30/05/2026 16:58</t>
  </si>
  <si>
    <t>26/06/2026 14:18</t>
  </si>
  <si>
    <t>47000.00</t>
  </si>
  <si>
    <t>7844655545806</t>
  </si>
  <si>
    <t>26/06/2026 14:20</t>
  </si>
  <si>
    <t>7844655545781</t>
  </si>
  <si>
    <t>26/06/2026 14:21</t>
  </si>
  <si>
    <t>7844655524245</t>
  </si>
  <si>
    <t>26/06/2026 14:22</t>
  </si>
  <si>
    <t>U101199</t>
  </si>
  <si>
    <t>26/06/2026 14:26</t>
  </si>
  <si>
    <t>189000.00</t>
  </si>
  <si>
    <t>U26606</t>
  </si>
  <si>
    <t>26/06/2026 14:27</t>
  </si>
  <si>
    <t>119900.00</t>
  </si>
  <si>
    <t>24266.67</t>
  </si>
  <si>
    <t>905</t>
  </si>
  <si>
    <t>Rocio del Pilar Quispe Vivanco</t>
  </si>
  <si>
    <t>46571077</t>
  </si>
  <si>
    <t>Calle 49 MZ UU2 Lt.14 Urb. La Floresta</t>
  </si>
  <si>
    <t>942198649</t>
  </si>
  <si>
    <t>chio22011@hotmail.com</t>
  </si>
  <si>
    <t>002-19400732577906596</t>
  </si>
  <si>
    <t>4926</t>
  </si>
  <si>
    <t>01/06/2026 08:04</t>
  </si>
  <si>
    <t>28/05/2026 15:37</t>
  </si>
  <si>
    <t>42000.00</t>
  </si>
  <si>
    <t>E 46 - D 35</t>
  </si>
  <si>
    <t>RODRIGO SANDRO CARDENAS BULLON</t>
  </si>
  <si>
    <t>72200919</t>
  </si>
  <si>
    <t>CALLE LOS NEGOCIOS 280 BLOCK 3 DPTO A401</t>
  </si>
  <si>
    <t>944456394</t>
  </si>
  <si>
    <t>rodrigo.cardenas.bullon@gmail.com</t>
  </si>
  <si>
    <t>SURQUILLO</t>
  </si>
  <si>
    <t>0123</t>
  </si>
  <si>
    <t>23/05/2026 16:23</t>
  </si>
  <si>
    <t>18/05/2026 16:40</t>
  </si>
  <si>
    <t>22600.00</t>
  </si>
  <si>
    <t>P046133</t>
  </si>
  <si>
    <t>23/06/2026 15:54</t>
  </si>
  <si>
    <t>25600.00</t>
  </si>
  <si>
    <t>460800.00</t>
  </si>
  <si>
    <t>RONALD ANTONIO TICONA ARONES</t>
  </si>
  <si>
    <t>41639626</t>
  </si>
  <si>
    <t>Av. Gregorio Escobedo 426 Dpto. N°402 - Jesus Maria.</t>
  </si>
  <si>
    <t>959833373</t>
  </si>
  <si>
    <t>gr103@gmail.com</t>
  </si>
  <si>
    <t>117090.00</t>
  </si>
  <si>
    <t>08/06/2026 09:52</t>
  </si>
  <si>
    <t>825610.00</t>
  </si>
  <si>
    <t>49500.00</t>
  </si>
  <si>
    <t>408000.00</t>
  </si>
  <si>
    <t xml:space="preserve">STEPHANIE LIZETH AQUINO HERRERA </t>
  </si>
  <si>
    <t>70292339</t>
  </si>
  <si>
    <t xml:space="preserve">Jr. Juan Olaechea Arnao 1217 URB. Elio 1era Et. Lima - Lima </t>
  </si>
  <si>
    <t>966050658</t>
  </si>
  <si>
    <t>nxtsyox@gmail.com</t>
  </si>
  <si>
    <t>60423122</t>
  </si>
  <si>
    <t>31/03/2026 14:09</t>
  </si>
  <si>
    <t>000048</t>
  </si>
  <si>
    <t>03/06/2026 15:38</t>
  </si>
  <si>
    <t>06360653</t>
  </si>
  <si>
    <t>05/06/2026 14:53</t>
  </si>
  <si>
    <t>11000.00</t>
  </si>
  <si>
    <t>06494216</t>
  </si>
  <si>
    <t>05/06/2026 14:54</t>
  </si>
  <si>
    <t>432000.00</t>
  </si>
  <si>
    <t>58000.00</t>
  </si>
  <si>
    <t>370500.00</t>
  </si>
  <si>
    <t>12125.00</t>
  </si>
  <si>
    <t>466650.00</t>
  </si>
  <si>
    <t>27600.00</t>
  </si>
  <si>
    <t>457000.00</t>
  </si>
  <si>
    <t>Ubaldo Yovera Puruguay</t>
  </si>
  <si>
    <t>44369489</t>
  </si>
  <si>
    <t>Av. Gerardo Unger 3601</t>
  </si>
  <si>
    <t>916692937</t>
  </si>
  <si>
    <t>ubaldoyoverap@gmail.com</t>
  </si>
  <si>
    <t>04099142</t>
  </si>
  <si>
    <t>18/02/2026 08:10</t>
  </si>
  <si>
    <t>000007</t>
  </si>
  <si>
    <t>24/05/2026 18:53</t>
  </si>
  <si>
    <t>01539288</t>
  </si>
  <si>
    <t>24/05/2026 18:56</t>
  </si>
  <si>
    <t>52300.00</t>
  </si>
  <si>
    <t>537700.00</t>
  </si>
  <si>
    <t>00672532</t>
  </si>
  <si>
    <t>23/05/2026 23:59</t>
  </si>
  <si>
    <t>02493584</t>
  </si>
  <si>
    <t>7844651926764</t>
  </si>
  <si>
    <t>24/05/2026 00:00</t>
  </si>
  <si>
    <t>013309973</t>
  </si>
  <si>
    <t>24/05/2026 00:01</t>
  </si>
  <si>
    <t>343800.00</t>
  </si>
  <si>
    <t>E 37 - D 23</t>
  </si>
  <si>
    <t>Vivina Pasco Blas Vda. De Saenz</t>
  </si>
  <si>
    <t>08494885</t>
  </si>
  <si>
    <t>Av. Cordialidad 8079 Urb. Floresta De Pro</t>
  </si>
  <si>
    <t>0046485044</t>
  </si>
  <si>
    <t>31/03/2026 09:44</t>
  </si>
  <si>
    <t>01/05/2026 20:31</t>
  </si>
  <si>
    <t>1000.00</t>
  </si>
  <si>
    <t>100000.00</t>
  </si>
  <si>
    <t>24/05/2026 14:12</t>
  </si>
  <si>
    <t>524000.00</t>
  </si>
  <si>
    <t>E 36</t>
  </si>
  <si>
    <t>Walther Antonio Espinoza Gomez</t>
  </si>
  <si>
    <t>08657121</t>
  </si>
  <si>
    <t>Jr. El Chaco 2422</t>
  </si>
  <si>
    <t>998144198</t>
  </si>
  <si>
    <t>wespinozawaeg@gmail.com</t>
  </si>
  <si>
    <t>53500.00</t>
  </si>
  <si>
    <t>7844655534658</t>
  </si>
  <si>
    <t>11/01/2026 15:47</t>
  </si>
  <si>
    <t>000051</t>
  </si>
  <si>
    <t>07/07/2026 15:44</t>
  </si>
  <si>
    <t>039000000012211</t>
  </si>
  <si>
    <t>07/07/2026 15:45</t>
  </si>
  <si>
    <t>481500.00</t>
  </si>
  <si>
    <t>0270800039</t>
  </si>
  <si>
    <t>07/07/2026 15:46</t>
  </si>
  <si>
    <t>007626769</t>
  </si>
  <si>
    <t>07/07/2026 12:06</t>
  </si>
  <si>
    <t>367700.00</t>
  </si>
  <si>
    <t>02708000001</t>
  </si>
  <si>
    <t>07/07/2026 12:07</t>
  </si>
  <si>
    <t>428880.00</t>
  </si>
  <si>
    <t>Cobranzas_2027.csv</t>
  </si>
  <si>
    <t>2027</t>
  </si>
  <si>
    <t>352250.00</t>
  </si>
  <si>
    <t>240500.00</t>
  </si>
  <si>
    <t>217630.00</t>
  </si>
  <si>
    <t>363000.00</t>
  </si>
  <si>
    <t>36269.24</t>
  </si>
  <si>
    <t>25055.00</t>
  </si>
  <si>
    <t>450990.00</t>
  </si>
  <si>
    <t>262650.00</t>
  </si>
  <si>
    <t>3666.63</t>
  </si>
  <si>
    <t>33235.77</t>
  </si>
  <si>
    <t>37270.90</t>
  </si>
  <si>
    <t>17</t>
  </si>
  <si>
    <t>18</t>
  </si>
  <si>
    <t>63930.00</t>
  </si>
  <si>
    <t>20008.79</t>
  </si>
  <si>
    <t>19</t>
  </si>
  <si>
    <t>20</t>
  </si>
  <si>
    <t>238000.00</t>
  </si>
  <si>
    <t>540000.00</t>
  </si>
  <si>
    <t>24266.61</t>
  </si>
  <si>
    <t>52222.24</t>
  </si>
  <si>
    <t>REPORTE DE COBRANZAS</t>
  </si>
  <si>
    <t>Tipo de Financiamiento</t>
  </si>
  <si>
    <t>Monto Vendido</t>
  </si>
  <si>
    <t>Deuda</t>
  </si>
  <si>
    <t>Días Atrasados</t>
  </si>
  <si>
    <t>Unidad Inmobiliaria</t>
  </si>
  <si>
    <t>Tasa de Morosidad</t>
  </si>
  <si>
    <t>REPORTE DE COBRANZAS POR CLIENTE</t>
  </si>
  <si>
    <t>RESUMEN DE COBRANZAS</t>
  </si>
  <si>
    <t>Cobrado</t>
  </si>
  <si>
    <t>Por Cobrar</t>
  </si>
  <si>
    <t>Vencido</t>
  </si>
  <si>
    <t>Tasa Morosidad</t>
  </si>
  <si>
    <t>Cantidad de Clientes Morosos</t>
  </si>
  <si>
    <t>Días de Atraso Promedio</t>
  </si>
  <si>
    <t>Residencial Prada</t>
  </si>
  <si>
    <t>Residencial Beyond</t>
  </si>
  <si>
    <t>Residencial Venecia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</si>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</sst>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S/&quot;\ #,##0.00"/>
    <numFmt numFmtId="165" formatCode="0\ &quot;días&quot;"/>
    <numFmt numFmtId="166" formatCode="0.0%"/>
    <numFmt numFmtId="167" formatCode="_-* #,##0_-;\-* #,##0_-;_-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rgb="FF0F2344"/>
      <name val="Aptos Narrow"/>
      <family val="2"/>
    </font>
    <font>
      <b/>
      <sz val="11"/>
      <color theme="0"/>
      <name val="Aptos Narrow"/>
      <family val="2"/>
    </font>
    <font>
      <b/>
      <sz val="12"/>
      <color rgb="FFFFFFFF"/>
      <name val="Aptos Narrow"/>
      <family val="2"/>
    </font>
    <font>
      <b/>
      <sz val="12"/>
      <color rgb="FFF4F6F8"/>
      <name val="Aptos Narrow"/>
      <family val="2"/>
      <scheme val="minor"/>
    </font>
    <font>
      <b/>
      <sz val="12"/>
      <name val="Aptos Narrow"/>
      <family val="2"/>
      <scheme val="minor"/>
    </font>
    <font>
      <b/>
      <sz val="13"/>
      <color rgb="FFFFFFFF"/>
      <name val="Aptos Narrow"/>
      <family val="2"/>
    </font>
    <font>
      <b/>
      <sz val="13"/>
      <color rgb="FF0F2344"/>
      <name val="Aptos Narrow"/>
      <family val="2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6"/>
      <color rgb="FFFFFFFF"/>
      <name val="Aptos Narrow"/>
      <family val="2"/>
    </font>
    <font>
      <b/>
      <sz val="12"/>
      <color rgb="FF0F2344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rgb="FF0F2344"/>
      </patternFill>
    </fill>
    <fill>
      <patternFill patternType="solid">
        <fgColor rgb="FFC17510"/>
      </patternFill>
    </fill>
    <fill>
      <patternFill patternType="solid">
        <fgColor rgb="FFF9DABD"/>
      </patternFill>
    </fill>
    <fill>
      <patternFill patternType="solid">
        <fgColor rgb="FFDC0D22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C17510"/>
        <bgColor indexed="64"/>
      </patternFill>
    </fill>
    <fill>
      <patternFill patternType="solid">
        <fgColor rgb="FFF9DABD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0F2344"/>
        <bgColor indexed="64"/>
      </patternFill>
    </fill>
    <fill>
      <patternFill patternType="solid">
        <fgColor rgb="FF80171B"/>
      </patternFill>
    </fill>
    <fill>
      <patternFill patternType="solid">
        <fgColor theme="0"/>
      </patternFill>
    </fill>
    <fill>
      <patternFill patternType="solid">
        <fgColor rgb="FFF4F6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0" fillId="7" borderId="0" xfId="0" applyFill="1"/>
    <xf numFmtId="0" fontId="4" fillId="7" borderId="0" xfId="0" applyFont="1" applyFill="1" applyAlignment="1">
      <alignment vertical="center"/>
    </xf>
    <xf numFmtId="0" fontId="0" fillId="7" borderId="0" xfId="0" applyFill="1" applyAlignment="1">
      <alignment horizontal="center"/>
    </xf>
    <xf numFmtId="0" fontId="0" fillId="10" borderId="0" xfId="0" applyFill="1"/>
    <xf numFmtId="0" fontId="5" fillId="11" borderId="0" xfId="0" applyFont="1" applyFill="1" applyAlignment="1">
      <alignment horizontal="center" vertical="center" wrapText="1"/>
    </xf>
    <xf numFmtId="164" fontId="4" fillId="10" borderId="0" xfId="0" applyNumberFormat="1" applyFont="1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3" fillId="12" borderId="0" xfId="0" applyFont="1" applyFill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165" fontId="4" fillId="13" borderId="0" xfId="0" applyNumberFormat="1" applyFont="1" applyFill="1" applyAlignment="1">
      <alignment horizontal="center" vertical="center" wrapText="1"/>
    </xf>
    <xf numFmtId="1" fontId="4" fillId="13" borderId="0" xfId="0" applyNumberFormat="1" applyFont="1" applyFill="1" applyAlignment="1">
      <alignment horizontal="center" vertical="center" wrapText="1"/>
    </xf>
    <xf numFmtId="0" fontId="4" fillId="14" borderId="0" xfId="0" applyFont="1" applyFill="1" applyAlignment="1">
      <alignment horizontal="center" vertical="center" wrapText="1"/>
    </xf>
    <xf numFmtId="165" fontId="4" fillId="14" borderId="0" xfId="0" applyNumberFormat="1" applyFont="1" applyFill="1" applyAlignment="1">
      <alignment horizontal="center" vertical="center" wrapText="1"/>
    </xf>
    <xf numFmtId="1" fontId="4" fillId="14" borderId="0" xfId="0" applyNumberFormat="1" applyFont="1" applyFill="1" applyAlignment="1">
      <alignment horizontal="center" vertical="center" wrapText="1"/>
    </xf>
    <xf numFmtId="43" fontId="0" fillId="7" borderId="0" xfId="1" applyFont="1" applyFill="1"/>
    <xf numFmtId="43" fontId="0" fillId="10" borderId="0" xfId="1" applyFont="1" applyFill="1"/>
    <xf numFmtId="0" fontId="4" fillId="7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 wrapText="1"/>
    </xf>
    <xf numFmtId="1" fontId="4" fillId="6" borderId="0" xfId="0" applyNumberFormat="1" applyFont="1" applyFill="1" applyAlignment="1">
      <alignment horizontal="center" vertical="center"/>
    </xf>
    <xf numFmtId="1" fontId="4" fillId="14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7" fontId="3" fillId="2" borderId="0" xfId="1" applyNumberFormat="1" applyFont="1" applyFill="1" applyAlignment="1">
      <alignment horizontal="center" vertical="center"/>
    </xf>
    <xf numFmtId="0" fontId="2" fillId="11" borderId="0" xfId="0" applyFont="1" applyFill="1"/>
    <xf numFmtId="0" fontId="2" fillId="11" borderId="0" xfId="1" applyNumberFormat="1" applyFont="1" applyFill="1" applyAlignment="1">
      <alignment horizontal="center"/>
    </xf>
    <xf numFmtId="164" fontId="4" fillId="7" borderId="0" xfId="0" applyNumberFormat="1" applyFont="1" applyFill="1" applyAlignment="1">
      <alignment horizontal="center" vertical="center"/>
    </xf>
    <xf numFmtId="0" fontId="14" fillId="10" borderId="0" xfId="0" applyFont="1" applyFill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8" fillId="9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164" fontId="7" fillId="8" borderId="0" xfId="0" applyNumberFormat="1" applyFont="1" applyFill="1" applyAlignment="1">
      <alignment horizontal="center"/>
    </xf>
    <xf numFmtId="164" fontId="4" fillId="10" borderId="0" xfId="0" applyNumberFormat="1" applyFont="1" applyFill="1" applyAlignment="1">
      <alignment horizontal="center" vertical="center"/>
    </xf>
    <xf numFmtId="164" fontId="4" fillId="7" borderId="0" xfId="0" applyNumberFormat="1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6" fillId="5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64" fontId="12" fillId="8" borderId="0" xfId="0" applyNumberFormat="1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166" fontId="0" fillId="14" borderId="0" xfId="0" applyNumberFormat="1" applyFill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164" fontId="4" fillId="13" borderId="0" xfId="0" applyNumberFormat="1" applyFont="1" applyFill="1" applyAlignment="1">
      <alignment horizontal="center" vertical="center" wrapText="1"/>
    </xf>
    <xf numFmtId="166" fontId="0" fillId="13" borderId="0" xfId="0" applyNumberFormat="1" applyFill="1" applyAlignment="1">
      <alignment horizontal="center" vertical="center" wrapText="1"/>
    </xf>
    <xf numFmtId="0" fontId="4" fillId="14" borderId="0" xfId="0" applyFont="1" applyFill="1" applyAlignment="1">
      <alignment horizontal="center" vertical="center" wrapText="1"/>
    </xf>
    <xf numFmtId="164" fontId="4" fillId="14" borderId="0" xfId="0" applyNumberFormat="1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2">
    <dxf>
      <font>
        <b/>
        <color rgb="FF80171B"/>
      </font>
      <fill>
        <patternFill patternType="solid">
          <bgColor rgb="FFF9DABD"/>
        </patternFill>
      </fill>
    </dxf>
    <dxf>
      <font>
        <b/>
        <color rgb="FF80171B"/>
      </font>
      <fill>
        <patternFill patternType="solid">
          <bgColor rgb="FFF9DABD"/>
        </patternFill>
      </fill>
    </dxf>
  </dxfs>
  <tableStyles count="0" defaultTableStyle="TableStyleMedium2" defaultPivotStyle="PivotStyleLight16"/>
  <colors>
    <mruColors>
      <color rgb="FFF4F6F8"/>
      <color rgb="FFEFB26A"/>
      <color rgb="FFF9DABD"/>
      <color rgb="FFC17510"/>
      <color rgb="FF0F23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251461</xdr:colOff>
      <xdr:row>0</xdr:row>
      <xdr:rowOff>0</xdr:rowOff>
    </xdr:from>
    <xdr:to>
      <xdr:col>2</xdr:col>
      <xdr:colOff>137160</xdr:colOff>
      <xdr:row>1</xdr:row>
      <xdr:rowOff>367447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E6BF1F6-A841-DEAB-73CD-820EE744F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1" y="0"/>
          <a:ext cx="1470659" cy="7865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251461</xdr:colOff>
      <xdr:row>0</xdr:row>
      <xdr:rowOff>0</xdr:rowOff>
    </xdr:from>
    <xdr:to>
      <xdr:col>2</xdr:col>
      <xdr:colOff>137160</xdr:colOff>
      <xdr:row>1</xdr:row>
      <xdr:rowOff>352207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2DEB59A-015A-41DA-B41A-CADC93795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1" y="0"/>
          <a:ext cx="1470659" cy="7865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251461</xdr:colOff>
      <xdr:row>0</xdr:row>
      <xdr:rowOff>0</xdr:rowOff>
    </xdr:from>
    <xdr:to>
      <xdr:col>1</xdr:col>
      <xdr:colOff>121920</xdr:colOff>
      <xdr:row>1</xdr:row>
      <xdr:rowOff>329347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EB2DA7-FB00-48F7-BFB9-C76EEED27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461" y="0"/>
          <a:ext cx="1470659" cy="78654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Reporte_Cobranzas_Gerencia_Consolidado.xlsx" TargetMode="External"/><Relationship Id="rId2" Type="http://schemas.openxmlformats.org/officeDocument/2006/relationships/externalLinkPath" Target="file:///C:\Users\ehuamani\Downloads\Reporte_Cobranzas_Gerencia_Consolidado.xlsx" TargetMode="External"/><Relationship Id="rId1" Type="http://schemas.openxmlformats.org/officeDocument/2006/relationships/externalLinkPath" Target="/Users/ehuamani/Downloads/Reporte_Cobranzas_Gerencia_Consolid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se de datos"/>
      <sheetName val="Dashboard_Gerencia"/>
      <sheetName val="Gerencia_3_Proyectos"/>
      <sheetName val="Resumen_por_Proyecto"/>
    </sheetNames>
    <sheetDataSet>
      <sheetData sheetId="0">
        <row r="3">
          <cell r="A3" t="str">
            <v/>
          </cell>
        </row>
        <row r="4">
          <cell r="A4" t="str">
            <v/>
          </cell>
        </row>
        <row r="5">
          <cell r="A5" t="str">
            <v/>
          </cell>
        </row>
        <row r="6">
          <cell r="A6" t="str">
            <v/>
          </cell>
        </row>
        <row r="7">
          <cell r="A7" t="str">
            <v/>
          </cell>
        </row>
        <row r="8">
          <cell r="A8" t="str">
            <v/>
          </cell>
        </row>
        <row r="9">
          <cell r="A9" t="str">
            <v/>
          </cell>
        </row>
        <row r="10">
          <cell r="A10" t="str">
            <v/>
          </cell>
        </row>
        <row r="11">
          <cell r="A11" t="str">
            <v/>
          </cell>
        </row>
        <row r="12">
          <cell r="A12" t="str">
            <v/>
          </cell>
        </row>
        <row r="13">
          <cell r="A13" t="str">
            <v/>
          </cell>
        </row>
        <row r="14">
          <cell r="A14" t="str">
            <v/>
          </cell>
        </row>
        <row r="15">
          <cell r="A15" t="str">
            <v/>
          </cell>
        </row>
        <row r="16">
          <cell r="A16" t="str">
            <v/>
          </cell>
        </row>
        <row r="17">
          <cell r="A17" t="str">
            <v/>
          </cell>
        </row>
        <row r="18">
          <cell r="A18" t="str">
            <v/>
          </cell>
        </row>
        <row r="19">
          <cell r="A19" t="str">
            <v/>
          </cell>
        </row>
        <row r="20">
          <cell r="A20" t="str">
            <v/>
          </cell>
        </row>
        <row r="21">
          <cell r="A21" t="str">
            <v/>
          </cell>
        </row>
        <row r="22">
          <cell r="A22" t="str">
            <v/>
          </cell>
        </row>
        <row r="23">
          <cell r="A23" t="str">
            <v/>
          </cell>
        </row>
        <row r="24">
          <cell r="A24" t="str">
            <v/>
          </cell>
        </row>
        <row r="25">
          <cell r="A25" t="str">
            <v/>
          </cell>
        </row>
        <row r="26">
          <cell r="A26" t="str">
            <v/>
          </cell>
        </row>
        <row r="27">
          <cell r="A27" t="str">
            <v/>
          </cell>
        </row>
        <row r="28">
          <cell r="A28" t="str">
            <v/>
          </cell>
        </row>
        <row r="29">
          <cell r="A29" t="str">
            <v/>
          </cell>
        </row>
        <row r="30">
          <cell r="A30" t="str">
            <v/>
          </cell>
        </row>
        <row r="31">
          <cell r="A31" t="str">
            <v/>
          </cell>
        </row>
        <row r="32">
          <cell r="A32" t="str">
            <v/>
          </cell>
        </row>
        <row r="33">
          <cell r="A33" t="str">
            <v/>
          </cell>
        </row>
        <row r="34">
          <cell r="A34" t="str">
            <v/>
          </cell>
        </row>
        <row r="35">
          <cell r="A35" t="str">
            <v/>
          </cell>
        </row>
        <row r="36">
          <cell r="A36" t="str">
            <v/>
          </cell>
        </row>
        <row r="37">
          <cell r="A37" t="str">
            <v/>
          </cell>
        </row>
        <row r="38">
          <cell r="A38" t="str">
            <v/>
          </cell>
        </row>
        <row r="39">
          <cell r="A39" t="str">
            <v/>
          </cell>
        </row>
        <row r="40">
          <cell r="A40" t="str">
            <v/>
          </cell>
        </row>
        <row r="41">
          <cell r="A41" t="str">
            <v/>
          </cell>
        </row>
        <row r="42">
          <cell r="A42" t="str">
            <v/>
          </cell>
        </row>
        <row r="43">
          <cell r="A43" t="str">
            <v/>
          </cell>
        </row>
        <row r="44">
          <cell r="A44" t="str">
            <v/>
          </cell>
        </row>
        <row r="45">
          <cell r="A45" t="str">
            <v/>
          </cell>
        </row>
        <row r="46">
          <cell r="A46" t="str">
            <v/>
          </cell>
        </row>
        <row r="47">
          <cell r="A47" t="str">
            <v/>
          </cell>
        </row>
        <row r="48">
          <cell r="A48" t="str">
            <v/>
          </cell>
        </row>
        <row r="49">
          <cell r="A49" t="str">
            <v/>
          </cell>
        </row>
        <row r="50">
          <cell r="A50" t="str">
            <v/>
          </cell>
        </row>
        <row r="51">
          <cell r="A51" t="str">
            <v/>
          </cell>
        </row>
        <row r="52">
          <cell r="A52" t="str">
            <v/>
          </cell>
        </row>
        <row r="53">
          <cell r="A53" t="str">
            <v/>
          </cell>
        </row>
        <row r="54">
          <cell r="A54" t="str">
            <v/>
          </cell>
        </row>
        <row r="55">
          <cell r="A55" t="str">
            <v/>
          </cell>
        </row>
        <row r="56">
          <cell r="A56" t="str">
            <v/>
          </cell>
        </row>
        <row r="57">
          <cell r="A57" t="str">
            <v/>
          </cell>
        </row>
        <row r="58">
          <cell r="A58" t="str">
            <v/>
          </cell>
        </row>
        <row r="59">
          <cell r="A59" t="str">
            <v/>
          </cell>
        </row>
        <row r="60">
          <cell r="A60" t="str">
            <v/>
          </cell>
        </row>
        <row r="61">
          <cell r="A61" t="str">
            <v/>
          </cell>
        </row>
        <row r="62">
          <cell r="A62" t="str">
            <v/>
          </cell>
        </row>
        <row r="63">
          <cell r="A63" t="str">
            <v/>
          </cell>
        </row>
        <row r="64">
          <cell r="A64" t="str">
            <v/>
          </cell>
        </row>
        <row r="65">
          <cell r="A65" t="str">
            <v/>
          </cell>
        </row>
        <row r="66">
          <cell r="A66" t="str">
            <v/>
          </cell>
        </row>
        <row r="67">
          <cell r="A67" t="str">
            <v/>
          </cell>
        </row>
        <row r="68">
          <cell r="A68" t="str">
            <v/>
          </cell>
        </row>
        <row r="69">
          <cell r="A69" t="str">
            <v/>
          </cell>
        </row>
        <row r="70">
          <cell r="A70" t="str">
            <v/>
          </cell>
        </row>
        <row r="71">
          <cell r="A71" t="str">
            <v/>
          </cell>
        </row>
        <row r="72">
          <cell r="A72" t="str">
            <v/>
          </cell>
        </row>
        <row r="73">
          <cell r="A73" t="str">
            <v/>
          </cell>
        </row>
        <row r="74">
          <cell r="A74" t="str">
            <v/>
          </cell>
        </row>
        <row r="75">
          <cell r="A75" t="str">
            <v/>
          </cell>
        </row>
        <row r="76">
          <cell r="A76" t="str">
            <v/>
          </cell>
        </row>
        <row r="77">
          <cell r="A77" t="str">
            <v/>
          </cell>
        </row>
        <row r="78">
          <cell r="A78" t="str">
            <v/>
          </cell>
        </row>
        <row r="79">
          <cell r="A79" t="str">
            <v/>
          </cell>
        </row>
        <row r="80">
          <cell r="A80" t="str">
            <v/>
          </cell>
        </row>
        <row r="81">
          <cell r="A81" t="str">
            <v/>
          </cell>
        </row>
        <row r="82">
          <cell r="A82" t="str">
            <v/>
          </cell>
        </row>
        <row r="83">
          <cell r="A83" t="str">
            <v/>
          </cell>
        </row>
        <row r="84">
          <cell r="A84" t="str">
            <v/>
          </cell>
        </row>
        <row r="85">
          <cell r="A85" t="str">
            <v/>
          </cell>
        </row>
        <row r="86">
          <cell r="A86" t="str">
            <v/>
          </cell>
        </row>
        <row r="87">
          <cell r="A87" t="str">
            <v/>
          </cell>
        </row>
        <row r="88">
          <cell r="A88" t="str">
            <v/>
          </cell>
        </row>
        <row r="89">
          <cell r="A89" t="str">
            <v/>
          </cell>
        </row>
        <row r="90">
          <cell r="A90" t="str">
            <v/>
          </cell>
        </row>
        <row r="91">
          <cell r="A91" t="str">
            <v/>
          </cell>
        </row>
        <row r="92">
          <cell r="A92" t="str">
            <v/>
          </cell>
        </row>
        <row r="93">
          <cell r="A93" t="str">
            <v/>
          </cell>
        </row>
        <row r="94">
          <cell r="A94" t="str">
            <v/>
          </cell>
        </row>
        <row r="95">
          <cell r="A95" t="str">
            <v/>
          </cell>
        </row>
        <row r="96">
          <cell r="A96" t="str">
            <v/>
          </cell>
        </row>
        <row r="97">
          <cell r="A97" t="str">
            <v/>
          </cell>
        </row>
        <row r="98">
          <cell r="A98" t="str">
            <v/>
          </cell>
        </row>
        <row r="99">
          <cell r="A99" t="str">
            <v/>
          </cell>
        </row>
        <row r="100">
          <cell r="A100" t="str">
            <v/>
          </cell>
        </row>
        <row r="101">
          <cell r="A101" t="str">
            <v/>
          </cell>
        </row>
        <row r="102">
          <cell r="A102" t="str">
            <v/>
          </cell>
        </row>
        <row r="103">
          <cell r="A103" t="str">
            <v/>
          </cell>
        </row>
        <row r="104">
          <cell r="A104" t="str">
            <v/>
          </cell>
        </row>
        <row r="105">
          <cell r="A105" t="str">
            <v/>
          </cell>
        </row>
        <row r="106">
          <cell r="A106" t="str">
            <v/>
          </cell>
        </row>
        <row r="107">
          <cell r="A107" t="str">
            <v/>
          </cell>
        </row>
        <row r="108">
          <cell r="A108" t="str">
            <v/>
          </cell>
        </row>
        <row r="109">
          <cell r="A109" t="str">
            <v/>
          </cell>
        </row>
        <row r="110">
          <cell r="A110" t="str">
            <v/>
          </cell>
        </row>
        <row r="111">
          <cell r="A111" t="str">
            <v/>
          </cell>
        </row>
        <row r="112">
          <cell r="A112" t="str">
            <v/>
          </cell>
        </row>
        <row r="113">
          <cell r="A113" t="str">
            <v/>
          </cell>
        </row>
        <row r="114">
          <cell r="A114" t="str">
            <v/>
          </cell>
        </row>
        <row r="115">
          <cell r="A115" t="str">
            <v/>
          </cell>
        </row>
        <row r="116">
          <cell r="A116" t="str">
            <v/>
          </cell>
        </row>
        <row r="117">
          <cell r="A117" t="str">
            <v/>
          </cell>
        </row>
        <row r="118">
          <cell r="A118" t="str">
            <v/>
          </cell>
        </row>
        <row r="119">
          <cell r="A119" t="str">
            <v/>
          </cell>
        </row>
        <row r="120">
          <cell r="A120" t="str">
            <v/>
          </cell>
        </row>
        <row r="121">
          <cell r="A121" t="str">
            <v/>
          </cell>
        </row>
        <row r="122">
          <cell r="A122" t="str">
            <v/>
          </cell>
        </row>
        <row r="123">
          <cell r="A123" t="str">
            <v/>
          </cell>
        </row>
        <row r="124">
          <cell r="A124" t="str">
            <v/>
          </cell>
        </row>
        <row r="125">
          <cell r="A125" t="str">
            <v/>
          </cell>
        </row>
        <row r="126">
          <cell r="A126" t="str">
            <v/>
          </cell>
        </row>
        <row r="127">
          <cell r="A127" t="str">
            <v/>
          </cell>
        </row>
        <row r="128">
          <cell r="A128" t="str">
            <v/>
          </cell>
        </row>
        <row r="129">
          <cell r="A129" t="str">
            <v/>
          </cell>
        </row>
        <row r="130">
          <cell r="A130" t="str">
            <v/>
          </cell>
        </row>
        <row r="131">
          <cell r="A131" t="str">
            <v/>
          </cell>
        </row>
        <row r="132">
          <cell r="A132" t="str">
            <v/>
          </cell>
        </row>
        <row r="133">
          <cell r="A133" t="str">
            <v/>
          </cell>
        </row>
        <row r="134">
          <cell r="A134" t="str">
            <v/>
          </cell>
        </row>
        <row r="135">
          <cell r="A135" t="str">
            <v/>
          </cell>
        </row>
        <row r="136">
          <cell r="A136" t="str">
            <v/>
          </cell>
        </row>
        <row r="137">
          <cell r="A137" t="str">
            <v/>
          </cell>
        </row>
        <row r="138">
          <cell r="A138" t="str">
            <v/>
          </cell>
        </row>
        <row r="139">
          <cell r="A139" t="str">
            <v/>
          </cell>
        </row>
        <row r="140">
          <cell r="A140" t="str">
            <v/>
          </cell>
        </row>
        <row r="141">
          <cell r="A141" t="str">
            <v/>
          </cell>
        </row>
        <row r="142">
          <cell r="A142" t="str">
            <v/>
          </cell>
        </row>
        <row r="143">
          <cell r="A143" t="str">
            <v/>
          </cell>
        </row>
        <row r="144">
          <cell r="A144" t="str">
            <v/>
          </cell>
        </row>
        <row r="145">
          <cell r="A145" t="str">
            <v/>
          </cell>
        </row>
        <row r="146">
          <cell r="A146" t="str">
            <v/>
          </cell>
        </row>
        <row r="147">
          <cell r="A147" t="str">
            <v/>
          </cell>
        </row>
        <row r="148">
          <cell r="A148" t="str">
            <v/>
          </cell>
        </row>
        <row r="149">
          <cell r="A149" t="str">
            <v/>
          </cell>
        </row>
        <row r="150">
          <cell r="A150" t="str">
            <v/>
          </cell>
        </row>
        <row r="151">
          <cell r="A151" t="str">
            <v/>
          </cell>
        </row>
        <row r="152">
          <cell r="A152" t="str">
            <v/>
          </cell>
        </row>
        <row r="153">
          <cell r="A153" t="str">
            <v/>
          </cell>
        </row>
        <row r="154">
          <cell r="A154" t="str">
            <v/>
          </cell>
        </row>
        <row r="155">
          <cell r="A155" t="str">
            <v/>
          </cell>
        </row>
        <row r="156">
          <cell r="A156" t="str">
            <v/>
          </cell>
        </row>
        <row r="157">
          <cell r="A157" t="str">
            <v/>
          </cell>
        </row>
        <row r="158">
          <cell r="A158" t="str">
            <v/>
          </cell>
        </row>
        <row r="159">
          <cell r="A159" t="str">
            <v/>
          </cell>
        </row>
        <row r="160">
          <cell r="A160" t="str">
            <v/>
          </cell>
        </row>
        <row r="161">
          <cell r="A161" t="str">
            <v/>
          </cell>
        </row>
        <row r="162">
          <cell r="A162" t="str">
            <v/>
          </cell>
        </row>
        <row r="163">
          <cell r="A163" t="str">
            <v/>
          </cell>
        </row>
        <row r="164">
          <cell r="A164" t="str">
            <v/>
          </cell>
        </row>
        <row r="165">
          <cell r="A165" t="str">
            <v/>
          </cell>
        </row>
        <row r="166">
          <cell r="A166" t="str">
            <v/>
          </cell>
        </row>
        <row r="167">
          <cell r="A167" t="str">
            <v/>
          </cell>
        </row>
        <row r="168">
          <cell r="A168" t="str">
            <v/>
          </cell>
        </row>
        <row r="169">
          <cell r="A169" t="str">
            <v/>
          </cell>
        </row>
        <row r="170">
          <cell r="A170" t="str">
            <v/>
          </cell>
        </row>
        <row r="171">
          <cell r="A171" t="str">
            <v/>
          </cell>
        </row>
        <row r="172">
          <cell r="A172" t="str">
            <v/>
          </cell>
        </row>
        <row r="173">
          <cell r="A173" t="str">
            <v/>
          </cell>
        </row>
        <row r="174">
          <cell r="A174" t="str">
            <v/>
          </cell>
        </row>
        <row r="175">
          <cell r="A175" t="str">
            <v/>
          </cell>
        </row>
        <row r="176">
          <cell r="A176" t="str">
            <v/>
          </cell>
        </row>
        <row r="177">
          <cell r="A177" t="str">
            <v/>
          </cell>
        </row>
        <row r="178">
          <cell r="A178" t="str">
            <v/>
          </cell>
        </row>
        <row r="179">
          <cell r="A179" t="str">
            <v/>
          </cell>
        </row>
        <row r="180">
          <cell r="A180" t="str">
            <v/>
          </cell>
        </row>
        <row r="181">
          <cell r="A181" t="str">
            <v/>
          </cell>
        </row>
        <row r="182">
          <cell r="A182" t="str">
            <v/>
          </cell>
        </row>
        <row r="183">
          <cell r="A183" t="str">
            <v/>
          </cell>
        </row>
        <row r="184">
          <cell r="A184" t="str">
            <v/>
          </cell>
        </row>
        <row r="185">
          <cell r="A185" t="str">
            <v/>
          </cell>
        </row>
        <row r="186">
          <cell r="A186" t="str">
            <v/>
          </cell>
        </row>
        <row r="187">
          <cell r="A187" t="str">
            <v/>
          </cell>
        </row>
        <row r="188">
          <cell r="A188" t="str">
            <v/>
          </cell>
        </row>
        <row r="189">
          <cell r="A189" t="str">
            <v/>
          </cell>
        </row>
        <row r="190">
          <cell r="A190" t="str">
            <v/>
          </cell>
        </row>
        <row r="191">
          <cell r="A191" t="str">
            <v/>
          </cell>
        </row>
        <row r="192">
          <cell r="A192" t="str">
            <v/>
          </cell>
        </row>
        <row r="193">
          <cell r="A193" t="str">
            <v/>
          </cell>
        </row>
        <row r="194">
          <cell r="A194" t="str">
            <v/>
          </cell>
        </row>
        <row r="195">
          <cell r="A195" t="str">
            <v/>
          </cell>
        </row>
        <row r="196">
          <cell r="A196" t="str">
            <v/>
          </cell>
        </row>
        <row r="197">
          <cell r="A197" t="str">
            <v/>
          </cell>
        </row>
        <row r="198">
          <cell r="A198" t="str">
            <v/>
          </cell>
        </row>
        <row r="199">
          <cell r="A199" t="str">
            <v/>
          </cell>
        </row>
        <row r="200">
          <cell r="A200" t="str">
            <v/>
          </cell>
        </row>
        <row r="201">
          <cell r="A201" t="str">
            <v/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  <row r="301">
          <cell r="A301" t="str">
            <v/>
          </cell>
        </row>
        <row r="302">
          <cell r="A302" t="str">
            <v/>
          </cell>
        </row>
        <row r="303">
          <cell r="A303" t="str">
            <v/>
          </cell>
        </row>
        <row r="304">
          <cell r="A304" t="str">
            <v/>
          </cell>
        </row>
        <row r="305">
          <cell r="A305" t="str">
            <v/>
          </cell>
        </row>
        <row r="306">
          <cell r="A306" t="str">
            <v/>
          </cell>
        </row>
        <row r="307">
          <cell r="A307" t="str">
            <v/>
          </cell>
        </row>
        <row r="308">
          <cell r="A308" t="str">
            <v/>
          </cell>
        </row>
        <row r="309">
          <cell r="A309" t="str">
            <v/>
          </cell>
        </row>
        <row r="310">
          <cell r="A310" t="str">
            <v/>
          </cell>
        </row>
        <row r="311">
          <cell r="A311" t="str">
            <v/>
          </cell>
        </row>
        <row r="312">
          <cell r="A312" t="str">
            <v/>
          </cell>
        </row>
        <row r="313">
          <cell r="A313" t="str">
            <v/>
          </cell>
        </row>
        <row r="314">
          <cell r="A314" t="str">
            <v/>
          </cell>
        </row>
        <row r="315">
          <cell r="A315" t="str">
            <v/>
          </cell>
        </row>
        <row r="316">
          <cell r="A316" t="str">
            <v/>
          </cell>
        </row>
        <row r="317">
          <cell r="A317" t="str">
            <v/>
          </cell>
        </row>
        <row r="318">
          <cell r="A318" t="str">
            <v/>
          </cell>
        </row>
        <row r="319">
          <cell r="A319" t="str">
            <v/>
          </cell>
        </row>
        <row r="320">
          <cell r="A320" t="str">
            <v/>
          </cell>
        </row>
        <row r="321">
          <cell r="A321" t="str">
            <v/>
          </cell>
        </row>
        <row r="322">
          <cell r="A322" t="str">
            <v/>
          </cell>
        </row>
        <row r="323">
          <cell r="A323" t="str">
            <v/>
          </cell>
        </row>
        <row r="324">
          <cell r="A324" t="str">
            <v/>
          </cell>
        </row>
        <row r="325">
          <cell r="A325" t="str">
            <v/>
          </cell>
        </row>
        <row r="326">
          <cell r="A326" t="str">
            <v/>
          </cell>
        </row>
        <row r="327">
          <cell r="A327" t="str">
            <v/>
          </cell>
        </row>
        <row r="328">
          <cell r="A328" t="str">
            <v/>
          </cell>
        </row>
        <row r="329">
          <cell r="A329" t="str">
            <v/>
          </cell>
        </row>
        <row r="330">
          <cell r="A330" t="str">
            <v/>
          </cell>
        </row>
        <row r="331">
          <cell r="A331" t="str">
            <v/>
          </cell>
        </row>
        <row r="332">
          <cell r="A332" t="str">
            <v/>
          </cell>
        </row>
        <row r="333">
          <cell r="A333" t="str">
            <v/>
          </cell>
        </row>
        <row r="334">
          <cell r="A334" t="str">
            <v/>
          </cell>
        </row>
        <row r="335">
          <cell r="A335" t="str">
            <v/>
          </cell>
        </row>
        <row r="336">
          <cell r="A336" t="str">
            <v/>
          </cell>
        </row>
        <row r="337">
          <cell r="A337" t="str">
            <v/>
          </cell>
        </row>
        <row r="338">
          <cell r="A338" t="str">
            <v/>
          </cell>
        </row>
        <row r="339">
          <cell r="A339" t="str">
            <v/>
          </cell>
        </row>
        <row r="340">
          <cell r="A340" t="str">
            <v/>
          </cell>
        </row>
        <row r="341">
          <cell r="A341" t="str">
            <v/>
          </cell>
        </row>
        <row r="342">
          <cell r="A342" t="str">
            <v/>
          </cell>
        </row>
        <row r="343">
          <cell r="A343" t="str">
            <v/>
          </cell>
        </row>
        <row r="344">
          <cell r="A344" t="str">
            <v/>
          </cell>
        </row>
        <row r="345">
          <cell r="A345" t="str">
            <v/>
          </cell>
        </row>
        <row r="346">
          <cell r="A346" t="str">
            <v/>
          </cell>
        </row>
        <row r="347">
          <cell r="A347" t="str">
            <v/>
          </cell>
        </row>
        <row r="348">
          <cell r="A348" t="str">
            <v/>
          </cell>
        </row>
        <row r="349">
          <cell r="A349" t="str">
            <v/>
          </cell>
        </row>
        <row r="350">
          <cell r="A350" t="str">
            <v/>
          </cell>
        </row>
        <row r="351">
          <cell r="A351" t="str">
            <v/>
          </cell>
        </row>
        <row r="352">
          <cell r="A352" t="str">
            <v/>
          </cell>
        </row>
        <row r="353">
          <cell r="A353" t="str">
            <v/>
          </cell>
        </row>
        <row r="354">
          <cell r="A354" t="str">
            <v/>
          </cell>
        </row>
        <row r="355">
          <cell r="A355" t="str">
            <v/>
          </cell>
        </row>
        <row r="356">
          <cell r="A356" t="str">
            <v/>
          </cell>
        </row>
        <row r="357">
          <cell r="A357" t="str">
            <v/>
          </cell>
        </row>
        <row r="358">
          <cell r="A358" t="str">
            <v/>
          </cell>
        </row>
        <row r="359">
          <cell r="A359" t="str">
            <v/>
          </cell>
        </row>
        <row r="360">
          <cell r="A360" t="str">
            <v/>
          </cell>
        </row>
        <row r="361">
          <cell r="A361" t="str">
            <v/>
          </cell>
        </row>
        <row r="362">
          <cell r="A362" t="str">
            <v/>
          </cell>
        </row>
        <row r="363">
          <cell r="A363" t="str">
            <v/>
          </cell>
        </row>
        <row r="364">
          <cell r="A364" t="str">
            <v/>
          </cell>
        </row>
        <row r="365">
          <cell r="A365" t="str">
            <v/>
          </cell>
        </row>
        <row r="366">
          <cell r="A366" t="str">
            <v/>
          </cell>
        </row>
        <row r="367">
          <cell r="A367" t="str">
            <v/>
          </cell>
        </row>
        <row r="368">
          <cell r="A368" t="str">
            <v/>
          </cell>
        </row>
        <row r="369">
          <cell r="A369" t="str">
            <v/>
          </cell>
        </row>
        <row r="370">
          <cell r="A370" t="str">
            <v/>
          </cell>
        </row>
        <row r="371">
          <cell r="A371" t="str">
            <v/>
          </cell>
        </row>
        <row r="372">
          <cell r="A372" t="str">
            <v/>
          </cell>
        </row>
        <row r="373">
          <cell r="A373" t="str">
            <v/>
          </cell>
        </row>
        <row r="374">
          <cell r="A374" t="str">
            <v/>
          </cell>
        </row>
        <row r="375">
          <cell r="A375" t="str">
            <v/>
          </cell>
        </row>
        <row r="376">
          <cell r="A376" t="str">
            <v/>
          </cell>
        </row>
        <row r="377">
          <cell r="A377" t="str">
            <v/>
          </cell>
        </row>
        <row r="378">
          <cell r="A378" t="str">
            <v/>
          </cell>
        </row>
        <row r="379">
          <cell r="A379" t="str">
            <v/>
          </cell>
        </row>
        <row r="380">
          <cell r="A380" t="str">
            <v/>
          </cell>
        </row>
        <row r="381">
          <cell r="A381" t="str">
            <v/>
          </cell>
        </row>
        <row r="382">
          <cell r="A382" t="str">
            <v/>
          </cell>
        </row>
        <row r="383">
          <cell r="A383" t="str">
            <v/>
          </cell>
        </row>
        <row r="384">
          <cell r="A384" t="str">
            <v/>
          </cell>
        </row>
        <row r="385">
          <cell r="A385" t="str">
            <v/>
          </cell>
        </row>
        <row r="386">
          <cell r="A386" t="str">
            <v/>
          </cell>
        </row>
        <row r="387">
          <cell r="A387" t="str">
            <v/>
          </cell>
        </row>
        <row r="388">
          <cell r="A388" t="str">
            <v/>
          </cell>
        </row>
        <row r="389">
          <cell r="A389" t="str">
            <v/>
          </cell>
        </row>
        <row r="390">
          <cell r="A390" t="str">
            <v/>
          </cell>
        </row>
        <row r="391">
          <cell r="A391" t="str">
            <v/>
          </cell>
        </row>
        <row r="392">
          <cell r="A392" t="str">
            <v/>
          </cell>
        </row>
        <row r="393">
          <cell r="A393" t="str">
            <v/>
          </cell>
        </row>
        <row r="394">
          <cell r="A394" t="str">
            <v/>
          </cell>
        </row>
        <row r="395">
          <cell r="A395" t="str">
            <v/>
          </cell>
        </row>
        <row r="396">
          <cell r="A396" t="str">
            <v/>
          </cell>
        </row>
        <row r="397">
          <cell r="A397" t="str">
            <v/>
          </cell>
        </row>
        <row r="398">
          <cell r="A398" t="str">
            <v/>
          </cell>
        </row>
        <row r="399">
          <cell r="A399" t="str">
            <v/>
          </cell>
        </row>
        <row r="400">
          <cell r="A400" t="str">
            <v/>
          </cell>
        </row>
        <row r="401">
          <cell r="A401" t="str">
            <v/>
          </cell>
        </row>
        <row r="402">
          <cell r="A402" t="str">
            <v/>
          </cell>
        </row>
        <row r="403">
          <cell r="A403" t="str">
            <v/>
          </cell>
        </row>
        <row r="404">
          <cell r="A404" t="str">
            <v/>
          </cell>
        </row>
        <row r="405">
          <cell r="A405" t="str">
            <v/>
          </cell>
        </row>
        <row r="406">
          <cell r="A406" t="str">
            <v/>
          </cell>
        </row>
        <row r="407">
          <cell r="A407" t="str">
            <v/>
          </cell>
        </row>
        <row r="408">
          <cell r="A408" t="str">
            <v/>
          </cell>
        </row>
        <row r="409">
          <cell r="A409" t="str">
            <v/>
          </cell>
        </row>
        <row r="410">
          <cell r="A410" t="str">
            <v/>
          </cell>
        </row>
        <row r="411">
          <cell r="A411" t="str">
            <v/>
          </cell>
        </row>
        <row r="412">
          <cell r="A412" t="str">
            <v/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3">
          <cell r="A423" t="str">
            <v/>
          </cell>
        </row>
        <row r="424">
          <cell r="A424" t="str">
            <v/>
          </cell>
        </row>
        <row r="425">
          <cell r="A425" t="str">
            <v/>
          </cell>
        </row>
        <row r="426">
          <cell r="A426" t="str">
            <v/>
          </cell>
        </row>
        <row r="427">
          <cell r="A427" t="str">
            <v/>
          </cell>
        </row>
        <row r="428">
          <cell r="A428" t="str">
            <v/>
          </cell>
        </row>
        <row r="429">
          <cell r="A429" t="str">
            <v/>
          </cell>
        </row>
        <row r="430">
          <cell r="A430" t="str">
            <v/>
          </cell>
        </row>
        <row r="431">
          <cell r="A431" t="str">
            <v/>
          </cell>
        </row>
        <row r="432">
          <cell r="A432" t="str">
            <v/>
          </cell>
        </row>
        <row r="433">
          <cell r="A433" t="str">
            <v/>
          </cell>
        </row>
        <row r="434">
          <cell r="A434" t="str">
            <v/>
          </cell>
        </row>
        <row r="435">
          <cell r="A435" t="str">
            <v/>
          </cell>
        </row>
        <row r="436">
          <cell r="A436" t="str">
            <v/>
          </cell>
        </row>
        <row r="437">
          <cell r="A437" t="str">
            <v/>
          </cell>
        </row>
        <row r="438">
          <cell r="A438" t="str">
            <v/>
          </cell>
        </row>
        <row r="439">
          <cell r="A439" t="str">
            <v/>
          </cell>
        </row>
        <row r="440">
          <cell r="A440" t="str">
            <v/>
          </cell>
        </row>
        <row r="441">
          <cell r="A441" t="str">
            <v/>
          </cell>
        </row>
        <row r="442">
          <cell r="A442" t="str">
            <v/>
          </cell>
        </row>
        <row r="443">
          <cell r="A443" t="str">
            <v/>
          </cell>
        </row>
        <row r="444">
          <cell r="A444" t="str">
            <v/>
          </cell>
        </row>
        <row r="445">
          <cell r="A445" t="str">
            <v/>
          </cell>
        </row>
        <row r="446">
          <cell r="A446" t="str">
            <v/>
          </cell>
        </row>
        <row r="447">
          <cell r="A447" t="str">
            <v/>
          </cell>
        </row>
        <row r="448">
          <cell r="A448" t="str">
            <v/>
          </cell>
        </row>
        <row r="449">
          <cell r="A449" t="str">
            <v/>
          </cell>
        </row>
        <row r="450">
          <cell r="A450" t="str">
            <v/>
          </cell>
        </row>
        <row r="451">
          <cell r="A451" t="str">
            <v/>
          </cell>
        </row>
        <row r="452">
          <cell r="A452" t="str">
            <v/>
          </cell>
        </row>
        <row r="453">
          <cell r="A453" t="str">
            <v/>
          </cell>
        </row>
        <row r="454">
          <cell r="A454" t="str">
            <v/>
          </cell>
        </row>
        <row r="455">
          <cell r="A455" t="str">
            <v/>
          </cell>
        </row>
        <row r="456">
          <cell r="A456" t="str">
            <v/>
          </cell>
        </row>
        <row r="457">
          <cell r="A457" t="str">
            <v/>
          </cell>
        </row>
        <row r="458">
          <cell r="A458" t="str">
            <v/>
          </cell>
        </row>
        <row r="459">
          <cell r="A459" t="str">
            <v/>
          </cell>
        </row>
        <row r="460">
          <cell r="A460" t="str">
            <v/>
          </cell>
        </row>
        <row r="461">
          <cell r="A461" t="str">
            <v/>
          </cell>
        </row>
        <row r="462">
          <cell r="A462" t="str">
            <v/>
          </cell>
        </row>
        <row r="463">
          <cell r="A463" t="str">
            <v/>
          </cell>
        </row>
        <row r="464">
          <cell r="A464" t="str">
            <v/>
          </cell>
        </row>
        <row r="465">
          <cell r="A465" t="str">
            <v/>
          </cell>
        </row>
        <row r="466">
          <cell r="A466" t="str">
            <v/>
          </cell>
        </row>
        <row r="467">
          <cell r="A467" t="str">
            <v/>
          </cell>
        </row>
        <row r="468">
          <cell r="A468" t="str">
            <v/>
          </cell>
        </row>
        <row r="469">
          <cell r="A469" t="str">
            <v/>
          </cell>
        </row>
        <row r="470">
          <cell r="A470" t="str">
            <v/>
          </cell>
        </row>
        <row r="471">
          <cell r="A471" t="str">
            <v/>
          </cell>
        </row>
        <row r="472">
          <cell r="A472" t="str">
            <v/>
          </cell>
        </row>
        <row r="473">
          <cell r="A473" t="str">
            <v/>
          </cell>
        </row>
        <row r="474">
          <cell r="A474" t="str">
            <v/>
          </cell>
        </row>
        <row r="475">
          <cell r="A475" t="str">
            <v/>
          </cell>
        </row>
        <row r="476">
          <cell r="A476" t="str">
            <v/>
          </cell>
        </row>
        <row r="477">
          <cell r="A477" t="str">
            <v/>
          </cell>
        </row>
        <row r="478">
          <cell r="A478" t="str">
            <v/>
          </cell>
        </row>
        <row r="479">
          <cell r="A479" t="str">
            <v/>
          </cell>
        </row>
        <row r="480">
          <cell r="A480" t="str">
            <v/>
          </cell>
        </row>
        <row r="481">
          <cell r="A481" t="str">
            <v/>
          </cell>
        </row>
        <row r="482">
          <cell r="A482" t="str">
            <v/>
          </cell>
        </row>
        <row r="483">
          <cell r="A483" t="str">
            <v/>
          </cell>
        </row>
        <row r="484">
          <cell r="A484" t="str">
            <v/>
          </cell>
        </row>
        <row r="485">
          <cell r="A485" t="str">
            <v/>
          </cell>
        </row>
        <row r="486">
          <cell r="A486" t="str">
            <v/>
          </cell>
        </row>
        <row r="487">
          <cell r="A487" t="str">
            <v/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  <row r="501">
          <cell r="A501" t="str">
            <v/>
          </cell>
        </row>
        <row r="502">
          <cell r="A502" t="str">
            <v/>
          </cell>
        </row>
        <row r="503">
          <cell r="A503" t="str">
            <v/>
          </cell>
        </row>
        <row r="504">
          <cell r="A504" t="str">
            <v/>
          </cell>
        </row>
        <row r="505">
          <cell r="A505" t="str">
            <v/>
          </cell>
        </row>
        <row r="506">
          <cell r="A506" t="str">
            <v/>
          </cell>
        </row>
        <row r="507">
          <cell r="A507" t="str">
            <v/>
          </cell>
        </row>
        <row r="508">
          <cell r="A508" t="str">
            <v/>
          </cell>
        </row>
        <row r="509">
          <cell r="A509" t="str">
            <v/>
          </cell>
        </row>
        <row r="510">
          <cell r="A510" t="str">
            <v/>
          </cell>
        </row>
        <row r="511">
          <cell r="A511" t="str">
            <v/>
          </cell>
        </row>
        <row r="512">
          <cell r="A512" t="str">
            <v/>
          </cell>
        </row>
        <row r="513">
          <cell r="A513" t="str">
            <v/>
          </cell>
        </row>
        <row r="514">
          <cell r="A514" t="str">
            <v/>
          </cell>
        </row>
        <row r="515">
          <cell r="A515" t="str">
            <v/>
          </cell>
        </row>
        <row r="516">
          <cell r="A516" t="str">
            <v/>
          </cell>
        </row>
        <row r="517">
          <cell r="A517" t="str">
            <v/>
          </cell>
        </row>
        <row r="518">
          <cell r="A518" t="str">
            <v/>
          </cell>
        </row>
        <row r="519">
          <cell r="A519" t="str">
            <v/>
          </cell>
        </row>
        <row r="520">
          <cell r="A520" t="str">
            <v/>
          </cell>
        </row>
        <row r="521">
          <cell r="A521" t="str">
            <v/>
          </cell>
        </row>
        <row r="522">
          <cell r="A522" t="str">
            <v/>
          </cell>
        </row>
        <row r="523">
          <cell r="A523" t="str">
            <v/>
          </cell>
        </row>
        <row r="524">
          <cell r="A524" t="str">
            <v/>
          </cell>
        </row>
        <row r="525">
          <cell r="A525" t="str">
            <v/>
          </cell>
        </row>
        <row r="526">
          <cell r="A526" t="str">
            <v/>
          </cell>
        </row>
        <row r="527">
          <cell r="A527" t="str">
            <v/>
          </cell>
        </row>
        <row r="528">
          <cell r="A528" t="str">
            <v/>
          </cell>
        </row>
        <row r="529">
          <cell r="A529" t="str">
            <v/>
          </cell>
        </row>
        <row r="530">
          <cell r="A530" t="str">
            <v/>
          </cell>
        </row>
        <row r="531">
          <cell r="A531" t="str">
            <v/>
          </cell>
        </row>
        <row r="532">
          <cell r="A532" t="str">
            <v/>
          </cell>
        </row>
        <row r="533">
          <cell r="A533" t="str">
            <v/>
          </cell>
        </row>
        <row r="534">
          <cell r="A534" t="str">
            <v/>
          </cell>
        </row>
        <row r="535">
          <cell r="A535" t="str">
            <v/>
          </cell>
        </row>
        <row r="536">
          <cell r="A536" t="str">
            <v/>
          </cell>
        </row>
        <row r="537">
          <cell r="A537" t="str">
            <v/>
          </cell>
        </row>
        <row r="538">
          <cell r="A538" t="str">
            <v/>
          </cell>
        </row>
        <row r="539">
          <cell r="A539" t="str">
            <v/>
          </cell>
        </row>
        <row r="540">
          <cell r="A540" t="str">
            <v/>
          </cell>
        </row>
        <row r="541">
          <cell r="A541" t="str">
            <v/>
          </cell>
        </row>
        <row r="542">
          <cell r="A542" t="str">
            <v/>
          </cell>
        </row>
        <row r="543">
          <cell r="A543" t="str">
            <v/>
          </cell>
        </row>
        <row r="544">
          <cell r="A544" t="str">
            <v/>
          </cell>
        </row>
        <row r="545">
          <cell r="A545" t="str">
            <v/>
          </cell>
        </row>
        <row r="546">
          <cell r="A546" t="str">
            <v/>
          </cell>
        </row>
        <row r="547">
          <cell r="A547" t="str">
            <v/>
          </cell>
        </row>
        <row r="548">
          <cell r="A548" t="str">
            <v/>
          </cell>
        </row>
        <row r="549">
          <cell r="A549" t="str">
            <v/>
          </cell>
        </row>
        <row r="550">
          <cell r="A550" t="str">
            <v/>
          </cell>
        </row>
        <row r="551">
          <cell r="A551" t="str">
            <v/>
          </cell>
        </row>
        <row r="552">
          <cell r="A552" t="str">
            <v/>
          </cell>
        </row>
        <row r="553">
          <cell r="A553" t="str">
            <v/>
          </cell>
        </row>
        <row r="554">
          <cell r="A554" t="str">
            <v/>
          </cell>
        </row>
        <row r="555">
          <cell r="A555" t="str">
            <v/>
          </cell>
        </row>
        <row r="556">
          <cell r="A556" t="str">
            <v/>
          </cell>
        </row>
        <row r="557">
          <cell r="A557" t="str">
            <v/>
          </cell>
        </row>
        <row r="558">
          <cell r="A558" t="str">
            <v/>
          </cell>
        </row>
        <row r="559">
          <cell r="A559" t="str">
            <v/>
          </cell>
        </row>
        <row r="560">
          <cell r="A560" t="str">
            <v/>
          </cell>
        </row>
        <row r="561">
          <cell r="A561" t="str">
            <v/>
          </cell>
        </row>
        <row r="562">
          <cell r="A562" t="str">
            <v/>
          </cell>
        </row>
        <row r="563">
          <cell r="A563" t="str">
            <v/>
          </cell>
        </row>
        <row r="564">
          <cell r="A564" t="str">
            <v/>
          </cell>
        </row>
        <row r="565">
          <cell r="A565" t="str">
            <v/>
          </cell>
        </row>
        <row r="566">
          <cell r="A566" t="str">
            <v/>
          </cell>
        </row>
        <row r="567">
          <cell r="A567" t="str">
            <v/>
          </cell>
        </row>
        <row r="568">
          <cell r="A568" t="str">
            <v/>
          </cell>
        </row>
        <row r="569">
          <cell r="A569" t="str">
            <v/>
          </cell>
        </row>
        <row r="570">
          <cell r="A570" t="str">
            <v/>
          </cell>
        </row>
        <row r="571">
          <cell r="A571" t="str">
            <v/>
          </cell>
        </row>
        <row r="572">
          <cell r="A572" t="str">
            <v/>
          </cell>
        </row>
        <row r="573">
          <cell r="A573" t="str">
            <v/>
          </cell>
        </row>
        <row r="574">
          <cell r="A574" t="str">
            <v/>
          </cell>
        </row>
        <row r="575">
          <cell r="A575" t="str">
            <v/>
          </cell>
        </row>
        <row r="576">
          <cell r="A576" t="str">
            <v/>
          </cell>
        </row>
        <row r="577">
          <cell r="A577" t="str">
            <v/>
          </cell>
        </row>
        <row r="578">
          <cell r="A578" t="str">
            <v/>
          </cell>
        </row>
        <row r="579">
          <cell r="A579" t="str">
            <v/>
          </cell>
        </row>
        <row r="580">
          <cell r="A580" t="str">
            <v/>
          </cell>
        </row>
        <row r="581">
          <cell r="A581" t="str">
            <v/>
          </cell>
        </row>
        <row r="582">
          <cell r="A582" t="str">
            <v/>
          </cell>
        </row>
        <row r="583">
          <cell r="A583" t="str">
            <v/>
          </cell>
        </row>
        <row r="584">
          <cell r="A584" t="str">
            <v/>
          </cell>
        </row>
        <row r="585">
          <cell r="A585" t="str">
            <v/>
          </cell>
        </row>
        <row r="586">
          <cell r="A586" t="str">
            <v/>
          </cell>
        </row>
        <row r="587">
          <cell r="A587" t="str">
            <v/>
          </cell>
        </row>
        <row r="588">
          <cell r="A588" t="str">
            <v/>
          </cell>
        </row>
        <row r="589">
          <cell r="A589" t="str">
            <v/>
          </cell>
        </row>
        <row r="590">
          <cell r="A590" t="str">
            <v/>
          </cell>
        </row>
        <row r="591">
          <cell r="A591" t="str">
            <v/>
          </cell>
        </row>
        <row r="592">
          <cell r="A592" t="str">
            <v/>
          </cell>
        </row>
        <row r="593">
          <cell r="A593" t="str">
            <v/>
          </cell>
        </row>
        <row r="594">
          <cell r="A594" t="str">
            <v/>
          </cell>
        </row>
        <row r="595">
          <cell r="A595" t="str">
            <v/>
          </cell>
        </row>
        <row r="596">
          <cell r="A596" t="str">
            <v/>
          </cell>
        </row>
        <row r="597">
          <cell r="A597" t="str">
            <v/>
          </cell>
        </row>
        <row r="598">
          <cell r="A598" t="str">
            <v/>
          </cell>
        </row>
        <row r="599">
          <cell r="A599" t="str">
            <v/>
          </cell>
        </row>
        <row r="600">
          <cell r="A600" t="str">
            <v/>
          </cell>
        </row>
        <row r="601">
          <cell r="A601" t="str">
            <v/>
          </cell>
        </row>
        <row r="602">
          <cell r="A602" t="str">
            <v/>
          </cell>
        </row>
        <row r="603">
          <cell r="A603" t="str">
            <v/>
          </cell>
        </row>
        <row r="604">
          <cell r="A604" t="str">
            <v/>
          </cell>
        </row>
        <row r="605">
          <cell r="A605" t="str">
            <v/>
          </cell>
        </row>
        <row r="606">
          <cell r="A606" t="str">
            <v/>
          </cell>
        </row>
        <row r="607">
          <cell r="A607" t="str">
            <v/>
          </cell>
        </row>
        <row r="608">
          <cell r="A608" t="str">
            <v/>
          </cell>
        </row>
        <row r="609">
          <cell r="A609" t="str">
            <v/>
          </cell>
        </row>
        <row r="610">
          <cell r="A610" t="str">
            <v/>
          </cell>
        </row>
        <row r="611">
          <cell r="A611" t="str">
            <v/>
          </cell>
        </row>
        <row r="612">
          <cell r="A612" t="str">
            <v/>
          </cell>
        </row>
        <row r="613">
          <cell r="A613" t="str">
            <v/>
          </cell>
        </row>
        <row r="614">
          <cell r="A614" t="str">
            <v/>
          </cell>
        </row>
        <row r="615">
          <cell r="A615" t="str">
            <v/>
          </cell>
        </row>
        <row r="616">
          <cell r="A616" t="str">
            <v/>
          </cell>
        </row>
        <row r="617">
          <cell r="A617" t="str">
            <v/>
          </cell>
        </row>
        <row r="618">
          <cell r="A618" t="str">
            <v/>
          </cell>
        </row>
        <row r="619">
          <cell r="A619" t="str">
            <v/>
          </cell>
        </row>
        <row r="620">
          <cell r="A620" t="str">
            <v/>
          </cell>
        </row>
        <row r="621">
          <cell r="A621" t="str">
            <v/>
          </cell>
        </row>
        <row r="622">
          <cell r="A622" t="str">
            <v/>
          </cell>
        </row>
        <row r="623">
          <cell r="A623" t="str">
            <v/>
          </cell>
        </row>
        <row r="624">
          <cell r="A624" t="str">
            <v/>
          </cell>
        </row>
        <row r="625">
          <cell r="A625" t="str">
            <v/>
          </cell>
        </row>
        <row r="626">
          <cell r="A626" t="str">
            <v/>
          </cell>
        </row>
        <row r="627">
          <cell r="A627" t="str">
            <v/>
          </cell>
        </row>
        <row r="628">
          <cell r="A628" t="str">
            <v/>
          </cell>
        </row>
        <row r="629">
          <cell r="A629" t="str">
            <v/>
          </cell>
        </row>
        <row r="630">
          <cell r="A630" t="str">
            <v/>
          </cell>
        </row>
        <row r="631">
          <cell r="A631" t="str">
            <v/>
          </cell>
        </row>
        <row r="632">
          <cell r="A632" t="str">
            <v/>
          </cell>
        </row>
        <row r="633">
          <cell r="A633" t="str">
            <v/>
          </cell>
        </row>
        <row r="634">
          <cell r="A634" t="str">
            <v/>
          </cell>
        </row>
        <row r="635">
          <cell r="A635" t="str">
            <v/>
          </cell>
        </row>
        <row r="636">
          <cell r="A636" t="str">
            <v/>
          </cell>
        </row>
        <row r="637">
          <cell r="A637" t="str">
            <v/>
          </cell>
        </row>
        <row r="638">
          <cell r="A638" t="str">
            <v/>
          </cell>
        </row>
        <row r="639">
          <cell r="A639" t="str">
            <v/>
          </cell>
        </row>
        <row r="640">
          <cell r="A640" t="str">
            <v/>
          </cell>
        </row>
        <row r="641">
          <cell r="A641" t="str">
            <v/>
          </cell>
        </row>
        <row r="642">
          <cell r="A642" t="str">
            <v/>
          </cell>
        </row>
        <row r="643">
          <cell r="A643" t="str">
            <v/>
          </cell>
        </row>
        <row r="644">
          <cell r="A644" t="str">
            <v/>
          </cell>
        </row>
        <row r="645">
          <cell r="A645" t="str">
            <v/>
          </cell>
        </row>
        <row r="646">
          <cell r="A646" t="str">
            <v/>
          </cell>
        </row>
        <row r="647">
          <cell r="A647" t="str">
            <v/>
          </cell>
        </row>
        <row r="648">
          <cell r="A648" t="str">
            <v/>
          </cell>
        </row>
        <row r="649">
          <cell r="A649" t="str">
            <v/>
          </cell>
        </row>
        <row r="650">
          <cell r="A650" t="str">
            <v/>
          </cell>
        </row>
        <row r="651">
          <cell r="A651" t="str">
            <v/>
          </cell>
        </row>
        <row r="652">
          <cell r="A652" t="str">
            <v/>
          </cell>
        </row>
        <row r="653">
          <cell r="A653" t="str">
            <v/>
          </cell>
        </row>
        <row r="654">
          <cell r="A654" t="str">
            <v/>
          </cell>
        </row>
        <row r="655">
          <cell r="A655" t="str">
            <v/>
          </cell>
        </row>
        <row r="656">
          <cell r="A656" t="str">
            <v/>
          </cell>
        </row>
        <row r="657">
          <cell r="A657" t="str">
            <v/>
          </cell>
        </row>
        <row r="658">
          <cell r="A658" t="str">
            <v/>
          </cell>
        </row>
        <row r="659">
          <cell r="A659" t="str">
            <v/>
          </cell>
        </row>
        <row r="660">
          <cell r="A660" t="str">
            <v/>
          </cell>
        </row>
        <row r="661">
          <cell r="A661" t="str">
            <v/>
          </cell>
        </row>
        <row r="662">
          <cell r="A662" t="str">
            <v/>
          </cell>
        </row>
        <row r="663">
          <cell r="A663" t="str">
            <v/>
          </cell>
        </row>
        <row r="664">
          <cell r="A664" t="str">
            <v/>
          </cell>
        </row>
        <row r="665">
          <cell r="A665" t="str">
            <v/>
          </cell>
        </row>
        <row r="666">
          <cell r="A666" t="str">
            <v/>
          </cell>
        </row>
        <row r="667">
          <cell r="A667" t="str">
            <v/>
          </cell>
        </row>
        <row r="668">
          <cell r="A668" t="str">
            <v/>
          </cell>
        </row>
        <row r="669">
          <cell r="A669" t="str">
            <v/>
          </cell>
        </row>
        <row r="670">
          <cell r="A670" t="str">
            <v/>
          </cell>
        </row>
        <row r="671">
          <cell r="A671" t="str">
            <v/>
          </cell>
        </row>
        <row r="672">
          <cell r="A672" t="str">
            <v/>
          </cell>
        </row>
        <row r="673">
          <cell r="A673" t="str">
            <v/>
          </cell>
        </row>
        <row r="674">
          <cell r="A674" t="str">
            <v/>
          </cell>
        </row>
        <row r="675">
          <cell r="A675" t="str">
            <v/>
          </cell>
        </row>
        <row r="676">
          <cell r="A676" t="str">
            <v/>
          </cell>
        </row>
        <row r="677">
          <cell r="A677" t="str">
            <v/>
          </cell>
        </row>
        <row r="678">
          <cell r="A678" t="str">
            <v/>
          </cell>
        </row>
        <row r="679">
          <cell r="A679" t="str">
            <v/>
          </cell>
        </row>
        <row r="680">
          <cell r="A680" t="str">
            <v/>
          </cell>
        </row>
        <row r="681">
          <cell r="A681" t="str">
            <v/>
          </cell>
        </row>
        <row r="682">
          <cell r="A682" t="str">
            <v/>
          </cell>
        </row>
        <row r="683">
          <cell r="A683" t="str">
            <v/>
          </cell>
        </row>
        <row r="684">
          <cell r="A684" t="str">
            <v/>
          </cell>
        </row>
        <row r="685">
          <cell r="A685" t="str">
            <v/>
          </cell>
        </row>
        <row r="686">
          <cell r="A686" t="str">
            <v/>
          </cell>
        </row>
        <row r="687">
          <cell r="A687" t="str">
            <v/>
          </cell>
        </row>
        <row r="688">
          <cell r="A688" t="str">
            <v/>
          </cell>
        </row>
        <row r="689">
          <cell r="A689" t="str">
            <v/>
          </cell>
        </row>
        <row r="690">
          <cell r="A690" t="str">
            <v/>
          </cell>
        </row>
        <row r="691">
          <cell r="A691" t="str">
            <v/>
          </cell>
        </row>
        <row r="692">
          <cell r="A692" t="str">
            <v/>
          </cell>
        </row>
        <row r="693">
          <cell r="A693" t="str">
            <v/>
          </cell>
        </row>
        <row r="694">
          <cell r="A694" t="str">
            <v/>
          </cell>
        </row>
        <row r="695">
          <cell r="A695" t="str">
            <v/>
          </cell>
        </row>
        <row r="696">
          <cell r="A696" t="str">
            <v/>
          </cell>
        </row>
        <row r="697">
          <cell r="A697" t="str">
            <v/>
          </cell>
        </row>
        <row r="698">
          <cell r="A698" t="str">
            <v/>
          </cell>
        </row>
        <row r="699">
          <cell r="A699" t="str">
            <v/>
          </cell>
        </row>
        <row r="700">
          <cell r="A700" t="str">
            <v/>
          </cell>
        </row>
        <row r="701">
          <cell r="A701" t="str">
            <v/>
          </cell>
        </row>
        <row r="702">
          <cell r="A702" t="str">
            <v/>
          </cell>
        </row>
        <row r="703">
          <cell r="A703" t="str">
            <v/>
          </cell>
        </row>
        <row r="704">
          <cell r="A704" t="str">
            <v/>
          </cell>
        </row>
        <row r="705">
          <cell r="A705" t="str">
            <v/>
          </cell>
        </row>
        <row r="706">
          <cell r="A706" t="str">
            <v/>
          </cell>
        </row>
        <row r="707">
          <cell r="A707" t="str">
            <v/>
          </cell>
        </row>
        <row r="708">
          <cell r="A708" t="str">
            <v/>
          </cell>
        </row>
        <row r="709">
          <cell r="A709" t="str">
            <v/>
          </cell>
        </row>
        <row r="710">
          <cell r="A710" t="str">
            <v/>
          </cell>
        </row>
        <row r="711">
          <cell r="A711" t="str">
            <v/>
          </cell>
        </row>
        <row r="712">
          <cell r="A712" t="str">
            <v/>
          </cell>
        </row>
        <row r="713">
          <cell r="A713" t="str">
            <v/>
          </cell>
        </row>
        <row r="714">
          <cell r="A714" t="str">
            <v/>
          </cell>
        </row>
        <row r="715">
          <cell r="A715" t="str">
            <v/>
          </cell>
        </row>
        <row r="716">
          <cell r="A716" t="str">
            <v/>
          </cell>
        </row>
        <row r="717">
          <cell r="A717" t="str">
            <v/>
          </cell>
        </row>
        <row r="718">
          <cell r="A718" t="str">
            <v/>
          </cell>
        </row>
        <row r="719">
          <cell r="A719" t="str">
            <v/>
          </cell>
        </row>
        <row r="720">
          <cell r="A720" t="str">
            <v/>
          </cell>
        </row>
        <row r="721">
          <cell r="A721" t="str">
            <v/>
          </cell>
        </row>
        <row r="722">
          <cell r="A722" t="str">
            <v/>
          </cell>
        </row>
        <row r="723">
          <cell r="A723" t="str">
            <v/>
          </cell>
        </row>
        <row r="724">
          <cell r="A724" t="str">
            <v/>
          </cell>
        </row>
        <row r="725">
          <cell r="A725" t="str">
            <v/>
          </cell>
        </row>
        <row r="726">
          <cell r="A726" t="str">
            <v/>
          </cell>
        </row>
        <row r="727">
          <cell r="A727" t="str">
            <v/>
          </cell>
        </row>
        <row r="728">
          <cell r="A728" t="str">
            <v/>
          </cell>
        </row>
        <row r="729">
          <cell r="A729" t="str">
            <v/>
          </cell>
        </row>
        <row r="730">
          <cell r="A730" t="str">
            <v/>
          </cell>
        </row>
        <row r="731">
          <cell r="A731" t="str">
            <v/>
          </cell>
        </row>
        <row r="732">
          <cell r="A732" t="str">
            <v/>
          </cell>
        </row>
        <row r="733">
          <cell r="A733" t="str">
            <v/>
          </cell>
        </row>
        <row r="734">
          <cell r="A734" t="str">
            <v/>
          </cell>
        </row>
        <row r="735">
          <cell r="A735" t="str">
            <v/>
          </cell>
        </row>
        <row r="736">
          <cell r="A736" t="str">
            <v/>
          </cell>
        </row>
        <row r="737">
          <cell r="A737" t="str">
            <v/>
          </cell>
        </row>
        <row r="738">
          <cell r="A738" t="str">
            <v/>
          </cell>
        </row>
        <row r="739">
          <cell r="A739" t="str">
            <v/>
          </cell>
        </row>
        <row r="740">
          <cell r="A740" t="str">
            <v/>
          </cell>
        </row>
        <row r="741">
          <cell r="A741" t="str">
            <v/>
          </cell>
        </row>
        <row r="742">
          <cell r="A742" t="str">
            <v/>
          </cell>
        </row>
        <row r="743">
          <cell r="A743" t="str">
            <v/>
          </cell>
        </row>
        <row r="744">
          <cell r="A744" t="str">
            <v/>
          </cell>
        </row>
        <row r="745">
          <cell r="A745" t="str">
            <v/>
          </cell>
        </row>
        <row r="746">
          <cell r="A746" t="str">
            <v/>
          </cell>
        </row>
        <row r="747">
          <cell r="A747" t="str">
            <v/>
          </cell>
        </row>
        <row r="748">
          <cell r="A748" t="str">
            <v/>
          </cell>
        </row>
        <row r="749">
          <cell r="A749" t="str">
            <v/>
          </cell>
        </row>
        <row r="750">
          <cell r="A750" t="str">
            <v/>
          </cell>
        </row>
        <row r="751">
          <cell r="A751" t="str">
            <v/>
          </cell>
        </row>
        <row r="752">
          <cell r="A752" t="str">
            <v/>
          </cell>
        </row>
        <row r="753">
          <cell r="A753" t="str">
            <v/>
          </cell>
        </row>
        <row r="754">
          <cell r="A754" t="str">
            <v/>
          </cell>
        </row>
        <row r="755">
          <cell r="A755" t="str">
            <v/>
          </cell>
        </row>
        <row r="756">
          <cell r="A756" t="str">
            <v/>
          </cell>
        </row>
        <row r="757">
          <cell r="A757" t="str">
            <v/>
          </cell>
        </row>
        <row r="758">
          <cell r="A758" t="str">
            <v/>
          </cell>
        </row>
        <row r="759">
          <cell r="A759" t="str">
            <v/>
          </cell>
        </row>
        <row r="760">
          <cell r="A760" t="str">
            <v/>
          </cell>
        </row>
        <row r="761">
          <cell r="A761" t="str">
            <v/>
          </cell>
        </row>
        <row r="762">
          <cell r="A762" t="str">
            <v/>
          </cell>
        </row>
        <row r="763">
          <cell r="A763" t="str">
            <v/>
          </cell>
        </row>
        <row r="764">
          <cell r="A764" t="str">
            <v/>
          </cell>
        </row>
        <row r="765">
          <cell r="A765" t="str">
            <v/>
          </cell>
        </row>
        <row r="766">
          <cell r="A766" t="str">
            <v/>
          </cell>
        </row>
        <row r="767">
          <cell r="A767" t="str">
            <v/>
          </cell>
        </row>
        <row r="768">
          <cell r="A768" t="str">
            <v/>
          </cell>
        </row>
        <row r="769">
          <cell r="A769" t="str">
            <v/>
          </cell>
        </row>
        <row r="770">
          <cell r="A770" t="str">
            <v/>
          </cell>
        </row>
        <row r="771">
          <cell r="A771" t="str">
            <v/>
          </cell>
        </row>
        <row r="772">
          <cell r="A772" t="str">
            <v/>
          </cell>
        </row>
        <row r="773">
          <cell r="A773" t="str">
            <v/>
          </cell>
        </row>
        <row r="774">
          <cell r="A774" t="str">
            <v/>
          </cell>
        </row>
        <row r="775">
          <cell r="A775" t="str">
            <v/>
          </cell>
        </row>
        <row r="776">
          <cell r="A776" t="str">
            <v/>
          </cell>
        </row>
        <row r="777">
          <cell r="A777" t="str">
            <v/>
          </cell>
        </row>
        <row r="778">
          <cell r="A778" t="str">
            <v/>
          </cell>
        </row>
        <row r="779">
          <cell r="A779" t="str">
            <v/>
          </cell>
        </row>
        <row r="780">
          <cell r="A780" t="str">
            <v/>
          </cell>
        </row>
        <row r="781">
          <cell r="A781" t="str">
            <v/>
          </cell>
        </row>
        <row r="782">
          <cell r="A782" t="str">
            <v/>
          </cell>
        </row>
        <row r="783">
          <cell r="A783" t="str">
            <v/>
          </cell>
        </row>
        <row r="784">
          <cell r="A784" t="str">
            <v/>
          </cell>
        </row>
        <row r="785">
          <cell r="A785" t="str">
            <v/>
          </cell>
        </row>
        <row r="786">
          <cell r="A786" t="str">
            <v/>
          </cell>
        </row>
        <row r="787">
          <cell r="A787" t="str">
            <v/>
          </cell>
        </row>
        <row r="788">
          <cell r="A788" t="str">
            <v/>
          </cell>
        </row>
        <row r="789">
          <cell r="A789" t="str">
            <v/>
          </cell>
        </row>
        <row r="790">
          <cell r="A790" t="str">
            <v/>
          </cell>
        </row>
        <row r="791">
          <cell r="A791" t="str">
            <v/>
          </cell>
        </row>
        <row r="792">
          <cell r="A792" t="str">
            <v/>
          </cell>
        </row>
        <row r="793">
          <cell r="A793" t="str">
            <v/>
          </cell>
        </row>
        <row r="794">
          <cell r="A794" t="str">
            <v/>
          </cell>
        </row>
        <row r="795">
          <cell r="A795" t="str">
            <v/>
          </cell>
        </row>
        <row r="796">
          <cell r="A796" t="str">
            <v/>
          </cell>
        </row>
        <row r="797">
          <cell r="A797" t="str">
            <v/>
          </cell>
        </row>
        <row r="798">
          <cell r="A798" t="str">
            <v/>
          </cell>
        </row>
        <row r="799">
          <cell r="A799" t="str">
            <v/>
          </cell>
        </row>
        <row r="800">
          <cell r="A800" t="str">
            <v/>
          </cell>
        </row>
        <row r="801">
          <cell r="A801" t="str">
            <v/>
          </cell>
        </row>
        <row r="802">
          <cell r="A802" t="str">
            <v/>
          </cell>
        </row>
        <row r="803">
          <cell r="A803" t="str">
            <v/>
          </cell>
        </row>
        <row r="804">
          <cell r="A804" t="str">
            <v/>
          </cell>
        </row>
        <row r="805">
          <cell r="A805" t="str">
            <v/>
          </cell>
        </row>
        <row r="806">
          <cell r="A806" t="str">
            <v/>
          </cell>
        </row>
        <row r="807">
          <cell r="A807" t="str">
            <v/>
          </cell>
        </row>
        <row r="808">
          <cell r="A808" t="str">
            <v/>
          </cell>
        </row>
        <row r="809">
          <cell r="A809" t="str">
            <v/>
          </cell>
        </row>
        <row r="810">
          <cell r="A810" t="str">
            <v/>
          </cell>
        </row>
        <row r="811">
          <cell r="A811" t="str">
            <v/>
          </cell>
        </row>
        <row r="812">
          <cell r="A812" t="str">
            <v/>
          </cell>
        </row>
        <row r="813">
          <cell r="A813" t="str">
            <v/>
          </cell>
        </row>
        <row r="814">
          <cell r="A814" t="str">
            <v/>
          </cell>
        </row>
        <row r="815">
          <cell r="A815" t="str">
            <v/>
          </cell>
        </row>
        <row r="816">
          <cell r="A816" t="str">
            <v/>
          </cell>
        </row>
        <row r="817">
          <cell r="A817" t="str">
            <v/>
          </cell>
        </row>
        <row r="818">
          <cell r="A818" t="str">
            <v/>
          </cell>
        </row>
        <row r="819">
          <cell r="A819" t="str">
            <v/>
          </cell>
        </row>
        <row r="820">
          <cell r="A820" t="str">
            <v/>
          </cell>
        </row>
        <row r="821">
          <cell r="A821" t="str">
            <v/>
          </cell>
        </row>
        <row r="822">
          <cell r="A822" t="str">
            <v/>
          </cell>
        </row>
        <row r="823">
          <cell r="A823" t="str">
            <v/>
          </cell>
        </row>
        <row r="824">
          <cell r="A824" t="str">
            <v/>
          </cell>
        </row>
        <row r="825">
          <cell r="A825" t="str">
            <v/>
          </cell>
        </row>
        <row r="826">
          <cell r="A826" t="str">
            <v/>
          </cell>
        </row>
        <row r="827">
          <cell r="A827" t="str">
            <v/>
          </cell>
        </row>
        <row r="828">
          <cell r="A828" t="str">
            <v/>
          </cell>
        </row>
        <row r="829">
          <cell r="A829" t="str">
            <v/>
          </cell>
        </row>
        <row r="830">
          <cell r="A830" t="str">
            <v/>
          </cell>
        </row>
        <row r="831">
          <cell r="A831" t="str">
            <v/>
          </cell>
        </row>
        <row r="832">
          <cell r="A832" t="str">
            <v/>
          </cell>
        </row>
        <row r="833">
          <cell r="A833" t="str">
            <v/>
          </cell>
        </row>
        <row r="834">
          <cell r="A834" t="str">
            <v/>
          </cell>
        </row>
        <row r="835">
          <cell r="A835" t="str">
            <v/>
          </cell>
        </row>
        <row r="836">
          <cell r="A836" t="str">
            <v/>
          </cell>
        </row>
        <row r="837">
          <cell r="A837" t="str">
            <v/>
          </cell>
        </row>
        <row r="838">
          <cell r="A838" t="str">
            <v/>
          </cell>
        </row>
        <row r="839">
          <cell r="A839" t="str">
            <v/>
          </cell>
        </row>
        <row r="840">
          <cell r="A840" t="str">
            <v/>
          </cell>
        </row>
        <row r="841">
          <cell r="A841" t="str">
            <v/>
          </cell>
        </row>
        <row r="842">
          <cell r="A842" t="str">
            <v/>
          </cell>
        </row>
        <row r="843">
          <cell r="A843" t="str">
            <v/>
          </cell>
        </row>
        <row r="844">
          <cell r="A844" t="str">
            <v/>
          </cell>
        </row>
        <row r="845">
          <cell r="A845" t="str">
            <v/>
          </cell>
        </row>
        <row r="846">
          <cell r="A846" t="str">
            <v/>
          </cell>
        </row>
        <row r="847">
          <cell r="A847" t="str">
            <v/>
          </cell>
        </row>
        <row r="848">
          <cell r="A848" t="str">
            <v/>
          </cell>
        </row>
        <row r="849">
          <cell r="A849" t="str">
            <v/>
          </cell>
        </row>
        <row r="850">
          <cell r="A850" t="str">
            <v/>
          </cell>
        </row>
        <row r="851">
          <cell r="A851" t="str">
            <v/>
          </cell>
        </row>
        <row r="852">
          <cell r="A852" t="str">
            <v/>
          </cell>
        </row>
        <row r="853">
          <cell r="A853" t="str">
            <v/>
          </cell>
        </row>
        <row r="854">
          <cell r="A854" t="str">
            <v/>
          </cell>
        </row>
        <row r="855">
          <cell r="A855" t="str">
            <v/>
          </cell>
        </row>
        <row r="856">
          <cell r="A856" t="str">
            <v/>
          </cell>
        </row>
        <row r="857">
          <cell r="A857" t="str">
            <v/>
          </cell>
        </row>
        <row r="858">
          <cell r="A858" t="str">
            <v/>
          </cell>
        </row>
        <row r="859">
          <cell r="A859" t="str">
            <v/>
          </cell>
        </row>
        <row r="860">
          <cell r="A860" t="str">
            <v/>
          </cell>
        </row>
        <row r="861">
          <cell r="A861" t="str">
            <v/>
          </cell>
        </row>
        <row r="862">
          <cell r="A862" t="str">
            <v/>
          </cell>
        </row>
        <row r="863">
          <cell r="A863" t="str">
            <v/>
          </cell>
        </row>
        <row r="864">
          <cell r="A864" t="str">
            <v/>
          </cell>
        </row>
        <row r="865">
          <cell r="A865" t="str">
            <v/>
          </cell>
        </row>
        <row r="866">
          <cell r="A866" t="str">
            <v/>
          </cell>
        </row>
        <row r="867">
          <cell r="A867" t="str">
            <v/>
          </cell>
        </row>
        <row r="868">
          <cell r="A868" t="str">
            <v/>
          </cell>
        </row>
        <row r="869">
          <cell r="A869" t="str">
            <v/>
          </cell>
        </row>
        <row r="870">
          <cell r="A870" t="str">
            <v/>
          </cell>
        </row>
        <row r="871">
          <cell r="A871" t="str">
            <v/>
          </cell>
        </row>
        <row r="872">
          <cell r="A872" t="str">
            <v/>
          </cell>
        </row>
        <row r="873">
          <cell r="A873" t="str">
            <v/>
          </cell>
        </row>
        <row r="874">
          <cell r="A874" t="str">
            <v/>
          </cell>
        </row>
        <row r="875">
          <cell r="A875" t="str">
            <v/>
          </cell>
        </row>
        <row r="876">
          <cell r="A876" t="str">
            <v/>
          </cell>
        </row>
        <row r="877">
          <cell r="A877" t="str">
            <v/>
          </cell>
        </row>
        <row r="878">
          <cell r="A878" t="str">
            <v/>
          </cell>
        </row>
        <row r="879">
          <cell r="A879" t="str">
            <v/>
          </cell>
        </row>
        <row r="880">
          <cell r="A880" t="str">
            <v/>
          </cell>
        </row>
        <row r="881">
          <cell r="A881" t="str">
            <v/>
          </cell>
        </row>
        <row r="882">
          <cell r="A882" t="str">
            <v/>
          </cell>
        </row>
        <row r="883">
          <cell r="A883" t="str">
            <v/>
          </cell>
        </row>
        <row r="884">
          <cell r="A884" t="str">
            <v/>
          </cell>
        </row>
        <row r="885">
          <cell r="A885" t="str">
            <v/>
          </cell>
        </row>
        <row r="886">
          <cell r="A886" t="str">
            <v/>
          </cell>
        </row>
        <row r="887">
          <cell r="A887" t="str">
            <v/>
          </cell>
        </row>
        <row r="888">
          <cell r="A888" t="str">
            <v/>
          </cell>
        </row>
        <row r="889">
          <cell r="A889" t="str">
            <v/>
          </cell>
        </row>
        <row r="890">
          <cell r="A890" t="str">
            <v/>
          </cell>
        </row>
        <row r="891">
          <cell r="A891" t="str">
            <v/>
          </cell>
        </row>
        <row r="892">
          <cell r="A892" t="str">
            <v/>
          </cell>
        </row>
        <row r="893">
          <cell r="A893" t="str">
            <v/>
          </cell>
        </row>
        <row r="894">
          <cell r="A894" t="str">
            <v/>
          </cell>
        </row>
        <row r="895">
          <cell r="A895" t="str">
            <v/>
          </cell>
        </row>
        <row r="896">
          <cell r="A896" t="str">
            <v/>
          </cell>
        </row>
        <row r="897">
          <cell r="A897" t="str">
            <v/>
          </cell>
        </row>
        <row r="898">
          <cell r="A898" t="str">
            <v/>
          </cell>
        </row>
        <row r="899">
          <cell r="A899" t="str">
            <v/>
          </cell>
        </row>
        <row r="900">
          <cell r="A900" t="str">
            <v/>
          </cell>
        </row>
        <row r="901">
          <cell r="A901" t="str">
            <v/>
          </cell>
        </row>
        <row r="902">
          <cell r="A902" t="str">
            <v/>
          </cell>
        </row>
        <row r="903">
          <cell r="A903" t="str">
            <v/>
          </cell>
        </row>
        <row r="904">
          <cell r="A904" t="str">
            <v/>
          </cell>
        </row>
        <row r="905">
          <cell r="A905" t="str">
            <v/>
          </cell>
        </row>
        <row r="906">
          <cell r="A906" t="str">
            <v/>
          </cell>
        </row>
        <row r="907">
          <cell r="A907" t="str">
            <v/>
          </cell>
        </row>
        <row r="908">
          <cell r="A908" t="str">
            <v/>
          </cell>
        </row>
        <row r="909">
          <cell r="A909" t="str">
            <v/>
          </cell>
        </row>
        <row r="910">
          <cell r="A910" t="str">
            <v/>
          </cell>
        </row>
        <row r="911">
          <cell r="A911" t="str">
            <v/>
          </cell>
        </row>
        <row r="912">
          <cell r="A912" t="str">
            <v/>
          </cell>
        </row>
        <row r="913">
          <cell r="A913" t="str">
            <v/>
          </cell>
        </row>
        <row r="914">
          <cell r="A914" t="str">
            <v/>
          </cell>
        </row>
        <row r="915">
          <cell r="A915" t="str">
            <v/>
          </cell>
        </row>
        <row r="916">
          <cell r="A916" t="str">
            <v/>
          </cell>
        </row>
        <row r="917">
          <cell r="A917" t="str">
            <v/>
          </cell>
        </row>
        <row r="918">
          <cell r="A918" t="str">
            <v/>
          </cell>
        </row>
        <row r="919">
          <cell r="A919" t="str">
            <v/>
          </cell>
        </row>
        <row r="920">
          <cell r="A920" t="str">
            <v/>
          </cell>
        </row>
        <row r="921">
          <cell r="A921" t="str">
            <v/>
          </cell>
        </row>
        <row r="922">
          <cell r="A922" t="str">
            <v/>
          </cell>
        </row>
        <row r="923">
          <cell r="A923" t="str">
            <v/>
          </cell>
        </row>
        <row r="924">
          <cell r="A924" t="str">
            <v/>
          </cell>
        </row>
        <row r="925">
          <cell r="A925" t="str">
            <v/>
          </cell>
        </row>
        <row r="926">
          <cell r="A926" t="str">
            <v/>
          </cell>
        </row>
        <row r="927">
          <cell r="A927" t="str">
            <v/>
          </cell>
        </row>
        <row r="928">
          <cell r="A928" t="str">
            <v/>
          </cell>
        </row>
        <row r="929">
          <cell r="A929" t="str">
            <v/>
          </cell>
        </row>
        <row r="930">
          <cell r="A930" t="str">
            <v/>
          </cell>
        </row>
        <row r="931">
          <cell r="A931" t="str">
            <v/>
          </cell>
        </row>
        <row r="932">
          <cell r="A932" t="str">
            <v/>
          </cell>
        </row>
        <row r="933">
          <cell r="A933" t="str">
            <v/>
          </cell>
        </row>
        <row r="934">
          <cell r="A934" t="str">
            <v/>
          </cell>
        </row>
        <row r="935">
          <cell r="A935" t="str">
            <v/>
          </cell>
        </row>
        <row r="936">
          <cell r="A936" t="str">
            <v/>
          </cell>
        </row>
        <row r="937">
          <cell r="A937" t="str">
            <v/>
          </cell>
        </row>
        <row r="938">
          <cell r="A938" t="str">
            <v/>
          </cell>
        </row>
        <row r="939">
          <cell r="A939" t="str">
            <v/>
          </cell>
        </row>
        <row r="940">
          <cell r="A940" t="str">
            <v/>
          </cell>
        </row>
        <row r="941">
          <cell r="A941" t="str">
            <v/>
          </cell>
        </row>
        <row r="942">
          <cell r="A942" t="str">
            <v/>
          </cell>
        </row>
        <row r="943">
          <cell r="A943" t="str">
            <v/>
          </cell>
        </row>
        <row r="944">
          <cell r="A944" t="str">
            <v/>
          </cell>
        </row>
        <row r="945">
          <cell r="A945" t="str">
            <v/>
          </cell>
        </row>
        <row r="946">
          <cell r="A946" t="str">
            <v/>
          </cell>
        </row>
        <row r="947">
          <cell r="A947" t="str">
            <v/>
          </cell>
        </row>
        <row r="948">
          <cell r="A948" t="str">
            <v/>
          </cell>
        </row>
        <row r="949">
          <cell r="A949" t="str">
            <v/>
          </cell>
        </row>
        <row r="950">
          <cell r="A950" t="str">
            <v/>
          </cell>
        </row>
        <row r="951">
          <cell r="A951" t="str">
            <v/>
          </cell>
        </row>
        <row r="952">
          <cell r="A952" t="str">
            <v/>
          </cell>
        </row>
        <row r="953">
          <cell r="A953" t="str">
            <v/>
          </cell>
        </row>
        <row r="954">
          <cell r="A954" t="str">
            <v/>
          </cell>
        </row>
        <row r="955">
          <cell r="A955" t="str">
            <v/>
          </cell>
        </row>
        <row r="956">
          <cell r="A956" t="str">
            <v/>
          </cell>
        </row>
        <row r="957">
          <cell r="A957" t="str">
            <v/>
          </cell>
        </row>
        <row r="958">
          <cell r="A958" t="str">
            <v/>
          </cell>
        </row>
        <row r="959">
          <cell r="A959" t="str">
            <v/>
          </cell>
        </row>
        <row r="960">
          <cell r="A960" t="str">
            <v/>
          </cell>
        </row>
        <row r="961">
          <cell r="A961" t="str">
            <v/>
          </cell>
        </row>
        <row r="962">
          <cell r="A962" t="str">
            <v/>
          </cell>
        </row>
        <row r="963">
          <cell r="A963" t="str">
            <v/>
          </cell>
        </row>
        <row r="964">
          <cell r="A964" t="str">
            <v/>
          </cell>
        </row>
        <row r="965">
          <cell r="A965" t="str">
            <v/>
          </cell>
        </row>
        <row r="966">
          <cell r="A966" t="str">
            <v/>
          </cell>
        </row>
        <row r="967">
          <cell r="A967" t="str">
            <v/>
          </cell>
        </row>
        <row r="968">
          <cell r="A968" t="str">
            <v/>
          </cell>
        </row>
        <row r="969">
          <cell r="A969" t="str">
            <v/>
          </cell>
        </row>
        <row r="970">
          <cell r="A970" t="str">
            <v/>
          </cell>
        </row>
        <row r="971">
          <cell r="A971" t="str">
            <v/>
          </cell>
        </row>
        <row r="972">
          <cell r="A972" t="str">
            <v/>
          </cell>
        </row>
        <row r="973">
          <cell r="A973" t="str">
            <v/>
          </cell>
        </row>
        <row r="974">
          <cell r="A974" t="str">
            <v/>
          </cell>
        </row>
        <row r="975">
          <cell r="A975" t="str">
            <v/>
          </cell>
        </row>
        <row r="976">
          <cell r="A976" t="str">
            <v/>
          </cell>
        </row>
        <row r="977">
          <cell r="A977" t="str">
            <v/>
          </cell>
        </row>
        <row r="978">
          <cell r="A978" t="str">
            <v/>
          </cell>
        </row>
        <row r="979">
          <cell r="A979" t="str">
            <v/>
          </cell>
        </row>
        <row r="980">
          <cell r="A980" t="str">
            <v/>
          </cell>
        </row>
        <row r="981">
          <cell r="A981" t="str">
            <v/>
          </cell>
        </row>
        <row r="982">
          <cell r="A982" t="str">
            <v/>
          </cell>
        </row>
        <row r="983">
          <cell r="A983" t="str">
            <v/>
          </cell>
        </row>
        <row r="984">
          <cell r="A984" t="str">
            <v/>
          </cell>
        </row>
        <row r="985">
          <cell r="A985" t="str">
            <v/>
          </cell>
        </row>
        <row r="986">
          <cell r="A986" t="str">
            <v/>
          </cell>
        </row>
        <row r="987">
          <cell r="A987" t="str">
            <v/>
          </cell>
        </row>
        <row r="988">
          <cell r="A988" t="str">
            <v/>
          </cell>
        </row>
        <row r="989">
          <cell r="A989" t="str">
            <v/>
          </cell>
        </row>
        <row r="990">
          <cell r="A990" t="str">
            <v/>
          </cell>
        </row>
        <row r="991">
          <cell r="A991" t="str">
            <v/>
          </cell>
        </row>
        <row r="992">
          <cell r="A992" t="str">
            <v/>
          </cell>
        </row>
        <row r="993">
          <cell r="A993" t="str">
            <v/>
          </cell>
        </row>
        <row r="994">
          <cell r="A994" t="str">
            <v/>
          </cell>
        </row>
        <row r="995">
          <cell r="A995" t="str">
            <v/>
          </cell>
        </row>
        <row r="996">
          <cell r="A996" t="str">
            <v/>
          </cell>
        </row>
        <row r="997">
          <cell r="A997" t="str">
            <v/>
          </cell>
        </row>
        <row r="998">
          <cell r="A998" t="str">
            <v/>
          </cell>
        </row>
        <row r="999">
          <cell r="A999" t="str">
            <v/>
          </cell>
        </row>
        <row r="1000">
          <cell r="A1000" t="str">
            <v/>
          </cell>
        </row>
        <row r="1001">
          <cell r="A1001" t="str">
            <v/>
          </cell>
        </row>
        <row r="1002">
          <cell r="A1002" t="str">
            <v/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BA665-F1F0-45F6-95D5-B0D63910EC20}">
  <dimension ref="A1:BZ734"/>
  <sheetViews>
    <sheetView workbookViewId="0">
      <selection activeCell="J12" sqref="J12"/>
    </sheetView>
  </sheetViews>
  <sheetFormatPr baseColWidth="10" defaultRowHeight="14.4" x14ac:dyDescent="0.3"/>
  <sheetData>
    <row r="1" spans="1:78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  <c r="BD1" t="s">
        <v>69</v>
      </c>
      <c r="BE1" t="s">
        <v>70</v>
      </c>
      <c r="BF1" t="s">
        <v>71</v>
      </c>
      <c r="BG1" t="s">
        <v>72</v>
      </c>
      <c r="BH1" t="s">
        <v>73</v>
      </c>
      <c r="BI1" t="s">
        <v>74</v>
      </c>
      <c r="BJ1" t="s">
        <v>75</v>
      </c>
      <c r="BK1" t="s">
        <v>76</v>
      </c>
      <c r="BL1" t="s">
        <v>77</v>
      </c>
      <c r="BM1" t="s">
        <v>78</v>
      </c>
      <c r="BN1" t="s">
        <v>79</v>
      </c>
      <c r="BO1" t="s">
        <v>80</v>
      </c>
      <c r="BP1" t="s">
        <v>81</v>
      </c>
      <c r="BQ1" t="s">
        <v>82</v>
      </c>
      <c r="BR1" t="s">
        <v>83</v>
      </c>
      <c r="BS1" t="s">
        <v>84</v>
      </c>
      <c r="BT1" t="s">
        <v>85</v>
      </c>
      <c r="BU1" t="s">
        <v>86</v>
      </c>
      <c r="BV1" t="s">
        <v>87</v>
      </c>
      <c r="BW1" t="s">
        <v>88</v>
      </c>
      <c r="BX1" t="s">
        <v>89</v>
      </c>
      <c r="BY1" t="s">
        <v>90</v>
      </c>
      <c r="BZ1" t="s">
        <v>91</v>
      </c>
    </row>
    <row r="2" spans="1:78" x14ac:dyDescent="0.3">
      <c r="A2" t="s">
        <v>2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>
        <v>520400</v>
      </c>
      <c r="H2">
        <v>520400</v>
      </c>
      <c r="AA2" t="s">
        <v>97</v>
      </c>
      <c r="AB2" t="s">
        <v>98</v>
      </c>
      <c r="AC2" t="s">
        <v>99</v>
      </c>
      <c r="AD2" t="s">
        <v>100</v>
      </c>
      <c r="AE2" t="s">
        <v>100</v>
      </c>
      <c r="AF2" t="s">
        <v>101</v>
      </c>
      <c r="AG2" t="s">
        <v>102</v>
      </c>
      <c r="AH2" t="s">
        <v>103</v>
      </c>
      <c r="AI2">
        <v>45578</v>
      </c>
      <c r="AJ2">
        <v>45578</v>
      </c>
      <c r="AK2" t="s">
        <v>104</v>
      </c>
      <c r="AL2" t="s">
        <v>105</v>
      </c>
      <c r="AM2" t="s">
        <v>106</v>
      </c>
      <c r="AN2" t="s">
        <v>107</v>
      </c>
      <c r="AO2" t="s">
        <v>107</v>
      </c>
      <c r="AP2">
        <v>3000</v>
      </c>
      <c r="AQ2">
        <v>3000</v>
      </c>
      <c r="AR2">
        <v>0</v>
      </c>
      <c r="AS2" t="s">
        <v>107</v>
      </c>
      <c r="AT2" t="s">
        <v>108</v>
      </c>
      <c r="AU2" t="s">
        <v>109</v>
      </c>
      <c r="AV2" t="s">
        <v>110</v>
      </c>
      <c r="AW2" t="s">
        <v>111</v>
      </c>
      <c r="AY2" t="s">
        <v>112</v>
      </c>
      <c r="AZ2" t="s">
        <v>113</v>
      </c>
      <c r="BB2" t="s">
        <v>114</v>
      </c>
      <c r="BC2" t="s">
        <v>115</v>
      </c>
      <c r="BN2" t="s">
        <v>116</v>
      </c>
      <c r="BO2" t="s">
        <v>117</v>
      </c>
      <c r="BP2" t="s">
        <v>118</v>
      </c>
      <c r="BR2" t="s">
        <v>119</v>
      </c>
      <c r="BS2" t="s">
        <v>120</v>
      </c>
      <c r="BW2" t="s">
        <v>121</v>
      </c>
      <c r="BX2" t="s">
        <v>122</v>
      </c>
      <c r="BY2" t="s">
        <v>123</v>
      </c>
      <c r="BZ2" t="s">
        <v>124</v>
      </c>
    </row>
    <row r="3" spans="1:78" x14ac:dyDescent="0.3">
      <c r="A3" t="s">
        <v>2</v>
      </c>
      <c r="B3" t="s">
        <v>92</v>
      </c>
      <c r="C3" t="s">
        <v>93</v>
      </c>
      <c r="D3" t="s">
        <v>94</v>
      </c>
      <c r="E3" t="s">
        <v>95</v>
      </c>
      <c r="F3" t="s">
        <v>125</v>
      </c>
      <c r="G3">
        <v>435500</v>
      </c>
      <c r="H3">
        <v>435500</v>
      </c>
      <c r="AA3" t="s">
        <v>126</v>
      </c>
      <c r="AB3" t="s">
        <v>127</v>
      </c>
      <c r="AC3" t="s">
        <v>128</v>
      </c>
      <c r="AD3" t="s">
        <v>129</v>
      </c>
      <c r="AE3" t="s">
        <v>129</v>
      </c>
      <c r="AF3" t="s">
        <v>130</v>
      </c>
      <c r="AG3" t="s">
        <v>102</v>
      </c>
      <c r="AH3" t="s">
        <v>131</v>
      </c>
      <c r="AI3">
        <v>45473</v>
      </c>
      <c r="AJ3">
        <v>45473</v>
      </c>
      <c r="AK3" t="s">
        <v>104</v>
      </c>
      <c r="AL3" t="s">
        <v>105</v>
      </c>
      <c r="AM3" t="s">
        <v>106</v>
      </c>
      <c r="AN3" t="s">
        <v>107</v>
      </c>
      <c r="AO3" t="s">
        <v>107</v>
      </c>
      <c r="AP3">
        <v>3000</v>
      </c>
      <c r="AQ3">
        <v>3000</v>
      </c>
      <c r="AR3">
        <v>0</v>
      </c>
      <c r="AS3" t="s">
        <v>107</v>
      </c>
      <c r="AT3" t="s">
        <v>108</v>
      </c>
      <c r="AU3" t="s">
        <v>109</v>
      </c>
      <c r="AV3" t="s">
        <v>110</v>
      </c>
      <c r="AW3" t="s">
        <v>111</v>
      </c>
      <c r="AX3" t="s">
        <v>127</v>
      </c>
      <c r="AY3" t="s">
        <v>132</v>
      </c>
      <c r="AZ3" t="s">
        <v>113</v>
      </c>
      <c r="BA3" t="s">
        <v>133</v>
      </c>
      <c r="BB3" t="s">
        <v>114</v>
      </c>
      <c r="BC3" t="s">
        <v>115</v>
      </c>
      <c r="BN3" t="s">
        <v>116</v>
      </c>
      <c r="BO3" t="s">
        <v>134</v>
      </c>
      <c r="BP3" t="s">
        <v>118</v>
      </c>
      <c r="BR3" t="s">
        <v>135</v>
      </c>
      <c r="BS3" t="s">
        <v>136</v>
      </c>
      <c r="BW3" t="s">
        <v>121</v>
      </c>
      <c r="BX3" t="s">
        <v>122</v>
      </c>
      <c r="BY3" t="s">
        <v>123</v>
      </c>
      <c r="BZ3" t="s">
        <v>124</v>
      </c>
    </row>
    <row r="4" spans="1:78" x14ac:dyDescent="0.3">
      <c r="A4" t="s">
        <v>2</v>
      </c>
      <c r="B4" t="s">
        <v>92</v>
      </c>
      <c r="C4" t="s">
        <v>93</v>
      </c>
      <c r="D4" t="s">
        <v>94</v>
      </c>
      <c r="E4" t="s">
        <v>95</v>
      </c>
      <c r="F4" t="s">
        <v>125</v>
      </c>
      <c r="G4">
        <v>435500</v>
      </c>
      <c r="H4">
        <v>435500</v>
      </c>
      <c r="AA4" t="s">
        <v>126</v>
      </c>
      <c r="AB4" t="s">
        <v>127</v>
      </c>
      <c r="AC4" t="s">
        <v>128</v>
      </c>
      <c r="AD4" t="s">
        <v>129</v>
      </c>
      <c r="AE4" t="s">
        <v>129</v>
      </c>
      <c r="AF4" t="s">
        <v>130</v>
      </c>
      <c r="AG4" t="s">
        <v>102</v>
      </c>
      <c r="AH4" t="s">
        <v>131</v>
      </c>
      <c r="AI4">
        <v>45499</v>
      </c>
      <c r="AJ4">
        <v>45511</v>
      </c>
      <c r="AK4" t="s">
        <v>137</v>
      </c>
      <c r="AL4" t="s">
        <v>105</v>
      </c>
      <c r="AM4" t="s">
        <v>138</v>
      </c>
      <c r="AN4" t="s">
        <v>107</v>
      </c>
      <c r="AO4" t="s">
        <v>107</v>
      </c>
      <c r="AP4">
        <v>20000</v>
      </c>
      <c r="AQ4">
        <v>20000</v>
      </c>
      <c r="AR4">
        <v>0</v>
      </c>
      <c r="AS4" t="s">
        <v>107</v>
      </c>
      <c r="AT4" t="s">
        <v>108</v>
      </c>
      <c r="AU4" t="s">
        <v>109</v>
      </c>
      <c r="AV4" t="s">
        <v>110</v>
      </c>
      <c r="AW4" t="s">
        <v>139</v>
      </c>
      <c r="AX4" t="s">
        <v>127</v>
      </c>
      <c r="AY4" t="s">
        <v>140</v>
      </c>
      <c r="AZ4" t="s">
        <v>113</v>
      </c>
      <c r="BA4" t="s">
        <v>133</v>
      </c>
      <c r="BB4" t="s">
        <v>114</v>
      </c>
      <c r="BC4" t="s">
        <v>115</v>
      </c>
      <c r="BN4" t="s">
        <v>116</v>
      </c>
      <c r="BO4" t="s">
        <v>134</v>
      </c>
      <c r="BP4" t="s">
        <v>118</v>
      </c>
      <c r="BR4" t="s">
        <v>135</v>
      </c>
      <c r="BS4" t="s">
        <v>141</v>
      </c>
      <c r="BW4" t="s">
        <v>121</v>
      </c>
      <c r="BX4" t="s">
        <v>122</v>
      </c>
      <c r="BY4" t="s">
        <v>123</v>
      </c>
      <c r="BZ4" t="s">
        <v>124</v>
      </c>
    </row>
    <row r="5" spans="1:78" x14ac:dyDescent="0.3">
      <c r="A5" t="s">
        <v>2</v>
      </c>
      <c r="B5" t="s">
        <v>92</v>
      </c>
      <c r="C5" t="s">
        <v>93</v>
      </c>
      <c r="D5" t="s">
        <v>94</v>
      </c>
      <c r="E5" t="s">
        <v>95</v>
      </c>
      <c r="F5" t="s">
        <v>125</v>
      </c>
      <c r="G5">
        <v>435500</v>
      </c>
      <c r="H5">
        <v>435500</v>
      </c>
      <c r="AA5" t="s">
        <v>126</v>
      </c>
      <c r="AB5" t="s">
        <v>127</v>
      </c>
      <c r="AC5" t="s">
        <v>128</v>
      </c>
      <c r="AD5" t="s">
        <v>129</v>
      </c>
      <c r="AE5" t="s">
        <v>129</v>
      </c>
      <c r="AF5" t="s">
        <v>130</v>
      </c>
      <c r="AG5" t="s">
        <v>102</v>
      </c>
      <c r="AH5" t="s">
        <v>131</v>
      </c>
      <c r="AI5">
        <v>45534</v>
      </c>
      <c r="AJ5">
        <v>45538</v>
      </c>
      <c r="AK5" t="s">
        <v>137</v>
      </c>
      <c r="AL5" t="s">
        <v>142</v>
      </c>
      <c r="AM5" t="s">
        <v>143</v>
      </c>
      <c r="AN5" t="s">
        <v>107</v>
      </c>
      <c r="AO5" t="s">
        <v>107</v>
      </c>
      <c r="AP5">
        <v>8775</v>
      </c>
      <c r="AQ5">
        <v>8775</v>
      </c>
      <c r="AR5">
        <v>0</v>
      </c>
      <c r="AS5" t="s">
        <v>107</v>
      </c>
      <c r="AT5" t="s">
        <v>108</v>
      </c>
      <c r="AU5" t="s">
        <v>109</v>
      </c>
      <c r="AV5" t="s">
        <v>110</v>
      </c>
      <c r="AW5" t="s">
        <v>111</v>
      </c>
      <c r="AY5" t="s">
        <v>144</v>
      </c>
      <c r="AZ5" t="s">
        <v>113</v>
      </c>
      <c r="BB5" t="s">
        <v>114</v>
      </c>
      <c r="BC5" t="s">
        <v>115</v>
      </c>
      <c r="BN5" t="s">
        <v>116</v>
      </c>
      <c r="BO5" t="s">
        <v>134</v>
      </c>
      <c r="BP5" t="s">
        <v>118</v>
      </c>
      <c r="BR5" t="s">
        <v>135</v>
      </c>
      <c r="BS5" t="s">
        <v>145</v>
      </c>
      <c r="BW5" t="s">
        <v>121</v>
      </c>
      <c r="BX5" t="s">
        <v>122</v>
      </c>
      <c r="BY5" t="s">
        <v>123</v>
      </c>
      <c r="BZ5" t="s">
        <v>124</v>
      </c>
    </row>
    <row r="6" spans="1:78" x14ac:dyDescent="0.3">
      <c r="A6" t="s">
        <v>2</v>
      </c>
      <c r="B6" t="s">
        <v>92</v>
      </c>
      <c r="C6" t="s">
        <v>93</v>
      </c>
      <c r="D6" t="s">
        <v>94</v>
      </c>
      <c r="E6" t="s">
        <v>95</v>
      </c>
      <c r="F6" t="s">
        <v>125</v>
      </c>
      <c r="G6">
        <v>435500</v>
      </c>
      <c r="H6">
        <v>435500</v>
      </c>
      <c r="AA6" t="s">
        <v>126</v>
      </c>
      <c r="AB6" t="s">
        <v>127</v>
      </c>
      <c r="AC6" t="s">
        <v>128</v>
      </c>
      <c r="AD6" t="s">
        <v>129</v>
      </c>
      <c r="AE6" t="s">
        <v>129</v>
      </c>
      <c r="AF6" t="s">
        <v>130</v>
      </c>
      <c r="AG6" t="s">
        <v>102</v>
      </c>
      <c r="AH6" t="s">
        <v>131</v>
      </c>
      <c r="AI6">
        <v>45565</v>
      </c>
      <c r="AJ6">
        <v>45538</v>
      </c>
      <c r="AK6" t="s">
        <v>137</v>
      </c>
      <c r="AL6" t="s">
        <v>146</v>
      </c>
      <c r="AM6" t="s">
        <v>107</v>
      </c>
      <c r="AN6" t="s">
        <v>107</v>
      </c>
      <c r="AO6" t="s">
        <v>107</v>
      </c>
      <c r="AP6">
        <v>11775</v>
      </c>
      <c r="AQ6">
        <v>1225</v>
      </c>
      <c r="AR6">
        <v>0</v>
      </c>
      <c r="AS6" t="s">
        <v>107</v>
      </c>
      <c r="AT6" t="s">
        <v>108</v>
      </c>
      <c r="AU6" t="s">
        <v>109</v>
      </c>
      <c r="AV6" t="s">
        <v>110</v>
      </c>
      <c r="AW6" t="s">
        <v>111</v>
      </c>
      <c r="AY6" t="s">
        <v>144</v>
      </c>
      <c r="AZ6" t="s">
        <v>113</v>
      </c>
      <c r="BB6" t="s">
        <v>114</v>
      </c>
      <c r="BC6" t="s">
        <v>115</v>
      </c>
      <c r="BN6" t="s">
        <v>116</v>
      </c>
      <c r="BO6" t="s">
        <v>134</v>
      </c>
      <c r="BP6" t="s">
        <v>118</v>
      </c>
      <c r="BR6" t="s">
        <v>135</v>
      </c>
      <c r="BS6" t="s">
        <v>145</v>
      </c>
      <c r="BW6" t="s">
        <v>121</v>
      </c>
      <c r="BX6" t="s">
        <v>122</v>
      </c>
      <c r="BY6" t="s">
        <v>123</v>
      </c>
      <c r="BZ6" t="s">
        <v>124</v>
      </c>
    </row>
    <row r="7" spans="1:78" x14ac:dyDescent="0.3">
      <c r="A7" t="s">
        <v>2</v>
      </c>
      <c r="B7" t="s">
        <v>92</v>
      </c>
      <c r="C7" t="s">
        <v>93</v>
      </c>
      <c r="D7" t="s">
        <v>94</v>
      </c>
      <c r="E7" t="s">
        <v>95</v>
      </c>
      <c r="F7" t="s">
        <v>125</v>
      </c>
      <c r="G7">
        <v>435500</v>
      </c>
      <c r="H7">
        <v>435500</v>
      </c>
      <c r="AA7" t="s">
        <v>126</v>
      </c>
      <c r="AB7" t="s">
        <v>127</v>
      </c>
      <c r="AC7" t="s">
        <v>128</v>
      </c>
      <c r="AD7" t="s">
        <v>129</v>
      </c>
      <c r="AE7" t="s">
        <v>129</v>
      </c>
      <c r="AF7" t="s">
        <v>130</v>
      </c>
      <c r="AG7" t="s">
        <v>102</v>
      </c>
      <c r="AH7" t="s">
        <v>131</v>
      </c>
      <c r="AI7">
        <v>45565</v>
      </c>
      <c r="AJ7">
        <v>45934</v>
      </c>
      <c r="AK7" t="s">
        <v>137</v>
      </c>
      <c r="AL7" t="s">
        <v>146</v>
      </c>
      <c r="AM7" t="s">
        <v>107</v>
      </c>
      <c r="AN7" t="s">
        <v>107</v>
      </c>
      <c r="AO7" t="s">
        <v>107</v>
      </c>
      <c r="AP7">
        <v>0</v>
      </c>
      <c r="AQ7">
        <v>10000</v>
      </c>
      <c r="AR7">
        <v>0</v>
      </c>
      <c r="AS7" t="s">
        <v>107</v>
      </c>
      <c r="AT7" t="s">
        <v>108</v>
      </c>
      <c r="AU7" t="s">
        <v>109</v>
      </c>
      <c r="AV7" t="s">
        <v>110</v>
      </c>
      <c r="AW7" t="s">
        <v>111</v>
      </c>
      <c r="AY7" t="s">
        <v>147</v>
      </c>
      <c r="AZ7" t="s">
        <v>113</v>
      </c>
      <c r="BB7" t="s">
        <v>114</v>
      </c>
      <c r="BC7" t="s">
        <v>115</v>
      </c>
      <c r="BN7" t="s">
        <v>116</v>
      </c>
      <c r="BO7" t="s">
        <v>134</v>
      </c>
      <c r="BP7" t="s">
        <v>118</v>
      </c>
      <c r="BR7" t="s">
        <v>135</v>
      </c>
      <c r="BS7" t="s">
        <v>148</v>
      </c>
      <c r="BW7" t="s">
        <v>121</v>
      </c>
      <c r="BX7" t="s">
        <v>122</v>
      </c>
      <c r="BY7" t="s">
        <v>123</v>
      </c>
      <c r="BZ7" t="s">
        <v>124</v>
      </c>
    </row>
    <row r="8" spans="1:78" x14ac:dyDescent="0.3">
      <c r="A8" t="s">
        <v>2</v>
      </c>
      <c r="B8" t="s">
        <v>92</v>
      </c>
      <c r="C8" t="s">
        <v>93</v>
      </c>
      <c r="D8" t="s">
        <v>94</v>
      </c>
      <c r="E8" t="s">
        <v>95</v>
      </c>
      <c r="F8" t="s">
        <v>125</v>
      </c>
      <c r="G8">
        <v>435500</v>
      </c>
      <c r="H8">
        <v>435500</v>
      </c>
      <c r="AA8" t="s">
        <v>126</v>
      </c>
      <c r="AB8" t="s">
        <v>127</v>
      </c>
      <c r="AC8" t="s">
        <v>128</v>
      </c>
      <c r="AD8" t="s">
        <v>129</v>
      </c>
      <c r="AE8" t="s">
        <v>129</v>
      </c>
      <c r="AF8" t="s">
        <v>130</v>
      </c>
      <c r="AG8" t="s">
        <v>102</v>
      </c>
      <c r="AH8" t="s">
        <v>131</v>
      </c>
      <c r="AI8">
        <v>45565</v>
      </c>
      <c r="AJ8">
        <v>45693</v>
      </c>
      <c r="AK8" t="s">
        <v>137</v>
      </c>
      <c r="AL8" t="s">
        <v>146</v>
      </c>
      <c r="AM8" t="s">
        <v>149</v>
      </c>
      <c r="AN8" t="s">
        <v>107</v>
      </c>
      <c r="AO8" t="s">
        <v>107</v>
      </c>
      <c r="AP8">
        <v>0</v>
      </c>
      <c r="AQ8">
        <v>550</v>
      </c>
      <c r="AR8">
        <v>0</v>
      </c>
      <c r="AS8" t="s">
        <v>107</v>
      </c>
      <c r="AT8" t="s">
        <v>108</v>
      </c>
      <c r="AU8" t="s">
        <v>109</v>
      </c>
      <c r="AV8" t="s">
        <v>110</v>
      </c>
      <c r="AW8" t="s">
        <v>111</v>
      </c>
      <c r="AY8" t="s">
        <v>150</v>
      </c>
      <c r="AZ8" t="s">
        <v>113</v>
      </c>
      <c r="BB8" t="s">
        <v>114</v>
      </c>
      <c r="BC8" t="s">
        <v>115</v>
      </c>
      <c r="BN8" t="s">
        <v>116</v>
      </c>
      <c r="BO8" t="s">
        <v>134</v>
      </c>
      <c r="BP8" t="s">
        <v>118</v>
      </c>
      <c r="BR8" t="s">
        <v>135</v>
      </c>
      <c r="BS8" t="s">
        <v>151</v>
      </c>
      <c r="BW8" t="s">
        <v>121</v>
      </c>
      <c r="BX8" t="s">
        <v>122</v>
      </c>
      <c r="BY8" t="s">
        <v>123</v>
      </c>
      <c r="BZ8" t="s">
        <v>124</v>
      </c>
    </row>
    <row r="9" spans="1:78" x14ac:dyDescent="0.3">
      <c r="A9" t="s">
        <v>2</v>
      </c>
      <c r="B9" t="s">
        <v>92</v>
      </c>
      <c r="C9" t="s">
        <v>93</v>
      </c>
      <c r="D9" t="s">
        <v>94</v>
      </c>
      <c r="E9" t="s">
        <v>95</v>
      </c>
      <c r="F9" t="s">
        <v>125</v>
      </c>
      <c r="G9">
        <v>435500</v>
      </c>
      <c r="H9">
        <v>435500</v>
      </c>
      <c r="AA9" t="s">
        <v>126</v>
      </c>
      <c r="AB9" t="s">
        <v>127</v>
      </c>
      <c r="AC9" t="s">
        <v>128</v>
      </c>
      <c r="AD9" t="s">
        <v>129</v>
      </c>
      <c r="AE9" t="s">
        <v>129</v>
      </c>
      <c r="AF9" t="s">
        <v>130</v>
      </c>
      <c r="AG9" t="s">
        <v>102</v>
      </c>
      <c r="AH9" t="s">
        <v>131</v>
      </c>
      <c r="AI9">
        <v>45656</v>
      </c>
      <c r="AJ9">
        <v>45693</v>
      </c>
      <c r="AK9" t="s">
        <v>137</v>
      </c>
      <c r="AL9" t="s">
        <v>152</v>
      </c>
      <c r="AM9" t="s">
        <v>153</v>
      </c>
      <c r="AN9" t="s">
        <v>107</v>
      </c>
      <c r="AO9" t="s">
        <v>107</v>
      </c>
      <c r="AP9">
        <v>21000</v>
      </c>
      <c r="AQ9">
        <v>21000</v>
      </c>
      <c r="AR9">
        <v>0</v>
      </c>
      <c r="AS9" t="s">
        <v>107</v>
      </c>
      <c r="AT9" t="s">
        <v>108</v>
      </c>
      <c r="AU9" t="s">
        <v>109</v>
      </c>
      <c r="AV9" t="s">
        <v>110</v>
      </c>
      <c r="AW9" t="s">
        <v>111</v>
      </c>
      <c r="AY9" t="s">
        <v>150</v>
      </c>
      <c r="AZ9" t="s">
        <v>113</v>
      </c>
      <c r="BB9" t="s">
        <v>114</v>
      </c>
      <c r="BC9" t="s">
        <v>115</v>
      </c>
      <c r="BN9" t="s">
        <v>116</v>
      </c>
      <c r="BO9" t="s">
        <v>134</v>
      </c>
      <c r="BP9" t="s">
        <v>118</v>
      </c>
      <c r="BR9" t="s">
        <v>135</v>
      </c>
      <c r="BS9" t="s">
        <v>151</v>
      </c>
      <c r="BW9" t="s">
        <v>121</v>
      </c>
      <c r="BX9" t="s">
        <v>122</v>
      </c>
      <c r="BY9" t="s">
        <v>123</v>
      </c>
      <c r="BZ9" t="s">
        <v>124</v>
      </c>
    </row>
    <row r="10" spans="1:78" x14ac:dyDescent="0.3">
      <c r="A10" t="s">
        <v>11</v>
      </c>
      <c r="B10" t="s">
        <v>92</v>
      </c>
      <c r="C10" t="s">
        <v>93</v>
      </c>
      <c r="D10" t="s">
        <v>94</v>
      </c>
      <c r="E10" t="s">
        <v>95</v>
      </c>
      <c r="F10" t="s">
        <v>154</v>
      </c>
      <c r="G10">
        <v>532100</v>
      </c>
      <c r="H10">
        <v>500000</v>
      </c>
      <c r="AA10" t="s">
        <v>155</v>
      </c>
      <c r="AB10" t="s">
        <v>156</v>
      </c>
      <c r="AC10" t="s">
        <v>157</v>
      </c>
      <c r="AD10" t="s">
        <v>158</v>
      </c>
      <c r="AE10" t="s">
        <v>158</v>
      </c>
      <c r="AF10" t="s">
        <v>159</v>
      </c>
      <c r="AG10" t="s">
        <v>102</v>
      </c>
      <c r="AH10" t="s">
        <v>160</v>
      </c>
      <c r="AI10">
        <v>45368</v>
      </c>
      <c r="AJ10">
        <v>45368</v>
      </c>
      <c r="AK10" t="s">
        <v>104</v>
      </c>
      <c r="AL10" t="s">
        <v>105</v>
      </c>
      <c r="AM10" t="s">
        <v>106</v>
      </c>
      <c r="AN10" t="s">
        <v>107</v>
      </c>
      <c r="AO10" t="s">
        <v>107</v>
      </c>
      <c r="AP10">
        <v>3000</v>
      </c>
      <c r="AQ10">
        <v>3000</v>
      </c>
      <c r="AR10">
        <v>0</v>
      </c>
      <c r="AS10" t="s">
        <v>107</v>
      </c>
      <c r="AT10" t="s">
        <v>161</v>
      </c>
      <c r="AU10" t="s">
        <v>162</v>
      </c>
      <c r="AV10" t="s">
        <v>163</v>
      </c>
      <c r="AW10" t="s">
        <v>111</v>
      </c>
      <c r="AY10" t="s">
        <v>164</v>
      </c>
      <c r="AZ10" t="s">
        <v>113</v>
      </c>
      <c r="BB10" t="s">
        <v>114</v>
      </c>
      <c r="BC10" t="s">
        <v>115</v>
      </c>
      <c r="BN10" t="s">
        <v>116</v>
      </c>
      <c r="BO10" t="s">
        <v>165</v>
      </c>
      <c r="BP10" t="s">
        <v>166</v>
      </c>
      <c r="BR10" t="s">
        <v>167</v>
      </c>
      <c r="BS10" t="s">
        <v>168</v>
      </c>
      <c r="BW10" t="s">
        <v>121</v>
      </c>
      <c r="BX10" t="s">
        <v>122</v>
      </c>
      <c r="BY10" t="s">
        <v>123</v>
      </c>
      <c r="BZ10" t="s">
        <v>124</v>
      </c>
    </row>
    <row r="11" spans="1:78" x14ac:dyDescent="0.3">
      <c r="A11" t="s">
        <v>2</v>
      </c>
      <c r="B11" t="s">
        <v>92</v>
      </c>
      <c r="C11" t="s">
        <v>93</v>
      </c>
      <c r="D11" t="s">
        <v>94</v>
      </c>
      <c r="E11" t="s">
        <v>95</v>
      </c>
      <c r="F11" t="s">
        <v>169</v>
      </c>
      <c r="G11">
        <v>490000</v>
      </c>
      <c r="H11">
        <v>490000</v>
      </c>
      <c r="AA11" t="s">
        <v>170</v>
      </c>
      <c r="AB11" t="s">
        <v>171</v>
      </c>
      <c r="AC11" t="s">
        <v>172</v>
      </c>
      <c r="AE11" t="s">
        <v>173</v>
      </c>
      <c r="AF11" t="s">
        <v>174</v>
      </c>
      <c r="AG11" t="s">
        <v>102</v>
      </c>
      <c r="AH11" t="s">
        <v>175</v>
      </c>
      <c r="AI11">
        <v>45620</v>
      </c>
      <c r="AJ11">
        <v>45620</v>
      </c>
      <c r="AK11" t="s">
        <v>104</v>
      </c>
      <c r="AL11" t="s">
        <v>105</v>
      </c>
      <c r="AM11" t="s">
        <v>176</v>
      </c>
      <c r="AN11" t="s">
        <v>107</v>
      </c>
      <c r="AO11" t="s">
        <v>107</v>
      </c>
      <c r="AP11">
        <v>2000</v>
      </c>
      <c r="AQ11">
        <v>2000</v>
      </c>
      <c r="AR11">
        <v>0</v>
      </c>
      <c r="AS11" t="s">
        <v>107</v>
      </c>
      <c r="AT11" t="s">
        <v>108</v>
      </c>
      <c r="AU11" t="s">
        <v>109</v>
      </c>
      <c r="AV11" t="s">
        <v>110</v>
      </c>
      <c r="AW11" t="s">
        <v>111</v>
      </c>
      <c r="AY11" t="s">
        <v>177</v>
      </c>
      <c r="AZ11" t="s">
        <v>113</v>
      </c>
      <c r="BB11" t="s">
        <v>114</v>
      </c>
      <c r="BC11" t="s">
        <v>115</v>
      </c>
      <c r="BN11" t="s">
        <v>116</v>
      </c>
      <c r="BO11" t="s">
        <v>178</v>
      </c>
      <c r="BP11" t="s">
        <v>166</v>
      </c>
      <c r="BR11" t="s">
        <v>179</v>
      </c>
      <c r="BS11" t="s">
        <v>180</v>
      </c>
      <c r="BW11" t="s">
        <v>121</v>
      </c>
      <c r="BX11" t="s">
        <v>122</v>
      </c>
      <c r="BY11" t="s">
        <v>123</v>
      </c>
      <c r="BZ11" t="s">
        <v>124</v>
      </c>
    </row>
    <row r="12" spans="1:78" x14ac:dyDescent="0.3">
      <c r="A12" t="s">
        <v>2</v>
      </c>
      <c r="B12" t="s">
        <v>92</v>
      </c>
      <c r="C12" t="s">
        <v>93</v>
      </c>
      <c r="D12" t="s">
        <v>94</v>
      </c>
      <c r="E12" t="s">
        <v>95</v>
      </c>
      <c r="F12" t="s">
        <v>181</v>
      </c>
      <c r="G12">
        <v>637000</v>
      </c>
      <c r="H12">
        <v>637000</v>
      </c>
      <c r="AA12" t="s">
        <v>182</v>
      </c>
      <c r="AB12" t="s">
        <v>183</v>
      </c>
      <c r="AC12" t="s">
        <v>184</v>
      </c>
      <c r="AD12" t="s">
        <v>185</v>
      </c>
      <c r="AE12" t="s">
        <v>185</v>
      </c>
      <c r="AF12" t="s">
        <v>186</v>
      </c>
      <c r="AG12" t="s">
        <v>102</v>
      </c>
      <c r="AH12" t="s">
        <v>187</v>
      </c>
      <c r="AI12">
        <v>45595</v>
      </c>
      <c r="AJ12">
        <v>45595</v>
      </c>
      <c r="AK12" t="s">
        <v>104</v>
      </c>
      <c r="AL12" t="s">
        <v>105</v>
      </c>
      <c r="AM12" t="s">
        <v>106</v>
      </c>
      <c r="AN12" t="s">
        <v>107</v>
      </c>
      <c r="AO12" t="s">
        <v>107</v>
      </c>
      <c r="AP12">
        <v>3000</v>
      </c>
      <c r="AQ12">
        <v>3000</v>
      </c>
      <c r="AR12">
        <v>0</v>
      </c>
      <c r="AS12" t="s">
        <v>107</v>
      </c>
      <c r="AT12" t="s">
        <v>108</v>
      </c>
      <c r="AU12" t="s">
        <v>109</v>
      </c>
      <c r="AV12" t="s">
        <v>110</v>
      </c>
      <c r="AW12" t="s">
        <v>111</v>
      </c>
      <c r="AY12" t="s">
        <v>188</v>
      </c>
      <c r="AZ12" t="s">
        <v>113</v>
      </c>
      <c r="BB12" t="s">
        <v>114</v>
      </c>
      <c r="BC12" t="s">
        <v>115</v>
      </c>
      <c r="BN12" t="s">
        <v>116</v>
      </c>
      <c r="BO12" t="s">
        <v>189</v>
      </c>
      <c r="BP12" t="s">
        <v>118</v>
      </c>
      <c r="BR12" t="s">
        <v>190</v>
      </c>
      <c r="BS12" t="s">
        <v>191</v>
      </c>
      <c r="BW12" t="s">
        <v>121</v>
      </c>
      <c r="BX12" t="s">
        <v>122</v>
      </c>
      <c r="BY12" t="s">
        <v>123</v>
      </c>
      <c r="BZ12" t="s">
        <v>124</v>
      </c>
    </row>
    <row r="13" spans="1:78" x14ac:dyDescent="0.3">
      <c r="A13" t="s">
        <v>2</v>
      </c>
      <c r="B13" t="s">
        <v>92</v>
      </c>
      <c r="C13" t="s">
        <v>93</v>
      </c>
      <c r="D13" t="s">
        <v>94</v>
      </c>
      <c r="E13" t="s">
        <v>95</v>
      </c>
      <c r="F13" t="s">
        <v>181</v>
      </c>
      <c r="G13">
        <v>637000</v>
      </c>
      <c r="H13">
        <v>637000</v>
      </c>
      <c r="AA13" t="s">
        <v>182</v>
      </c>
      <c r="AB13" t="s">
        <v>183</v>
      </c>
      <c r="AC13" t="s">
        <v>184</v>
      </c>
      <c r="AD13" t="s">
        <v>185</v>
      </c>
      <c r="AE13" t="s">
        <v>185</v>
      </c>
      <c r="AF13" t="s">
        <v>186</v>
      </c>
      <c r="AG13" t="s">
        <v>102</v>
      </c>
      <c r="AH13" t="s">
        <v>187</v>
      </c>
      <c r="AI13">
        <v>45626</v>
      </c>
      <c r="AJ13">
        <v>45626</v>
      </c>
      <c r="AK13" t="s">
        <v>137</v>
      </c>
      <c r="AL13" t="s">
        <v>105</v>
      </c>
      <c r="AM13" t="s">
        <v>192</v>
      </c>
      <c r="AN13" t="s">
        <v>107</v>
      </c>
      <c r="AO13" t="s">
        <v>107</v>
      </c>
      <c r="AP13">
        <v>27000</v>
      </c>
      <c r="AQ13">
        <v>27000</v>
      </c>
      <c r="AR13">
        <v>0</v>
      </c>
      <c r="AS13" t="s">
        <v>107</v>
      </c>
      <c r="AT13" t="s">
        <v>108</v>
      </c>
      <c r="AU13" t="s">
        <v>109</v>
      </c>
      <c r="AV13" t="s">
        <v>110</v>
      </c>
      <c r="AW13" t="s">
        <v>111</v>
      </c>
      <c r="AY13" t="s">
        <v>193</v>
      </c>
      <c r="AZ13" t="s">
        <v>113</v>
      </c>
      <c r="BB13" t="s">
        <v>114</v>
      </c>
      <c r="BC13" t="s">
        <v>115</v>
      </c>
      <c r="BN13" t="s">
        <v>116</v>
      </c>
      <c r="BO13" t="s">
        <v>189</v>
      </c>
      <c r="BP13" t="s">
        <v>118</v>
      </c>
      <c r="BR13" t="s">
        <v>190</v>
      </c>
      <c r="BS13" t="s">
        <v>194</v>
      </c>
      <c r="BW13" t="s">
        <v>121</v>
      </c>
      <c r="BX13" t="s">
        <v>122</v>
      </c>
      <c r="BY13" t="s">
        <v>123</v>
      </c>
      <c r="BZ13" t="s">
        <v>124</v>
      </c>
    </row>
    <row r="14" spans="1:78" x14ac:dyDescent="0.3">
      <c r="A14" t="s">
        <v>2</v>
      </c>
      <c r="B14" t="s">
        <v>92</v>
      </c>
      <c r="C14" t="s">
        <v>93</v>
      </c>
      <c r="D14" t="s">
        <v>94</v>
      </c>
      <c r="E14" t="s">
        <v>95</v>
      </c>
      <c r="F14" t="s">
        <v>181</v>
      </c>
      <c r="G14">
        <v>637000</v>
      </c>
      <c r="H14">
        <v>637000</v>
      </c>
      <c r="AA14" t="s">
        <v>182</v>
      </c>
      <c r="AB14" t="s">
        <v>183</v>
      </c>
      <c r="AC14" t="s">
        <v>184</v>
      </c>
      <c r="AD14" t="s">
        <v>185</v>
      </c>
      <c r="AE14" t="s">
        <v>185</v>
      </c>
      <c r="AF14" t="s">
        <v>186</v>
      </c>
      <c r="AG14" t="s">
        <v>102</v>
      </c>
      <c r="AH14" t="s">
        <v>187</v>
      </c>
      <c r="AI14">
        <v>45626</v>
      </c>
      <c r="AJ14">
        <v>45626</v>
      </c>
      <c r="AK14" t="s">
        <v>137</v>
      </c>
      <c r="AL14" t="s">
        <v>142</v>
      </c>
      <c r="AM14" t="s">
        <v>106</v>
      </c>
      <c r="AN14" t="s">
        <v>107</v>
      </c>
      <c r="AO14" t="s">
        <v>107</v>
      </c>
      <c r="AP14">
        <v>3000</v>
      </c>
      <c r="AQ14">
        <v>3000</v>
      </c>
      <c r="AR14">
        <v>0</v>
      </c>
      <c r="AS14" t="s">
        <v>107</v>
      </c>
      <c r="AT14" t="s">
        <v>108</v>
      </c>
      <c r="AU14" t="s">
        <v>109</v>
      </c>
      <c r="AV14" t="s">
        <v>110</v>
      </c>
      <c r="AW14" t="s">
        <v>111</v>
      </c>
      <c r="AY14" t="s">
        <v>195</v>
      </c>
      <c r="AZ14" t="s">
        <v>113</v>
      </c>
      <c r="BB14" t="s">
        <v>114</v>
      </c>
      <c r="BC14" t="s">
        <v>115</v>
      </c>
      <c r="BN14" t="s">
        <v>116</v>
      </c>
      <c r="BO14" t="s">
        <v>189</v>
      </c>
      <c r="BP14" t="s">
        <v>118</v>
      </c>
      <c r="BR14" t="s">
        <v>190</v>
      </c>
      <c r="BS14" t="s">
        <v>194</v>
      </c>
      <c r="BW14" t="s">
        <v>121</v>
      </c>
      <c r="BX14" t="s">
        <v>122</v>
      </c>
      <c r="BY14" t="s">
        <v>123</v>
      </c>
      <c r="BZ14" t="s">
        <v>124</v>
      </c>
    </row>
    <row r="15" spans="1:78" x14ac:dyDescent="0.3">
      <c r="A15" t="s">
        <v>2</v>
      </c>
      <c r="B15" t="s">
        <v>92</v>
      </c>
      <c r="C15" t="s">
        <v>93</v>
      </c>
      <c r="D15" t="s">
        <v>94</v>
      </c>
      <c r="E15" t="s">
        <v>95</v>
      </c>
      <c r="F15" t="s">
        <v>181</v>
      </c>
      <c r="G15">
        <v>637000</v>
      </c>
      <c r="H15">
        <v>637000</v>
      </c>
      <c r="AA15" t="s">
        <v>182</v>
      </c>
      <c r="AB15" t="s">
        <v>183</v>
      </c>
      <c r="AC15" t="s">
        <v>184</v>
      </c>
      <c r="AD15" t="s">
        <v>185</v>
      </c>
      <c r="AE15" t="s">
        <v>185</v>
      </c>
      <c r="AF15" t="s">
        <v>186</v>
      </c>
      <c r="AG15" t="s">
        <v>102</v>
      </c>
      <c r="AH15" t="s">
        <v>187</v>
      </c>
      <c r="AI15">
        <v>45656</v>
      </c>
      <c r="AJ15">
        <v>45656</v>
      </c>
      <c r="AK15" t="s">
        <v>137</v>
      </c>
      <c r="AL15" t="s">
        <v>146</v>
      </c>
      <c r="AM15" t="s">
        <v>107</v>
      </c>
      <c r="AN15" t="s">
        <v>107</v>
      </c>
      <c r="AO15" t="s">
        <v>107</v>
      </c>
      <c r="AP15">
        <v>30700</v>
      </c>
      <c r="AQ15">
        <v>30000</v>
      </c>
      <c r="AR15">
        <v>0</v>
      </c>
      <c r="AS15" t="s">
        <v>107</v>
      </c>
      <c r="AT15" t="s">
        <v>108</v>
      </c>
      <c r="AU15" t="s">
        <v>109</v>
      </c>
      <c r="AV15" t="s">
        <v>110</v>
      </c>
      <c r="AW15" t="s">
        <v>111</v>
      </c>
      <c r="AY15" t="s">
        <v>196</v>
      </c>
      <c r="AZ15" t="s">
        <v>113</v>
      </c>
      <c r="BB15" t="s">
        <v>114</v>
      </c>
      <c r="BC15" t="s">
        <v>115</v>
      </c>
      <c r="BN15" t="s">
        <v>116</v>
      </c>
      <c r="BO15" t="s">
        <v>189</v>
      </c>
      <c r="BP15" t="s">
        <v>118</v>
      </c>
      <c r="BR15" t="s">
        <v>190</v>
      </c>
      <c r="BS15" t="s">
        <v>197</v>
      </c>
      <c r="BW15" t="s">
        <v>121</v>
      </c>
      <c r="BX15" t="s">
        <v>122</v>
      </c>
      <c r="BY15" t="s">
        <v>123</v>
      </c>
      <c r="BZ15" t="s">
        <v>124</v>
      </c>
    </row>
    <row r="16" spans="1:78" x14ac:dyDescent="0.3">
      <c r="A16" t="s">
        <v>2</v>
      </c>
      <c r="B16" t="s">
        <v>92</v>
      </c>
      <c r="C16" t="s">
        <v>93</v>
      </c>
      <c r="D16" t="s">
        <v>94</v>
      </c>
      <c r="E16" t="s">
        <v>95</v>
      </c>
      <c r="F16" t="s">
        <v>181</v>
      </c>
      <c r="G16">
        <v>637000</v>
      </c>
      <c r="H16">
        <v>637000</v>
      </c>
      <c r="AA16" t="s">
        <v>182</v>
      </c>
      <c r="AB16" t="s">
        <v>183</v>
      </c>
      <c r="AC16" t="s">
        <v>184</v>
      </c>
      <c r="AD16" t="s">
        <v>185</v>
      </c>
      <c r="AE16" t="s">
        <v>185</v>
      </c>
      <c r="AF16" t="s">
        <v>186</v>
      </c>
      <c r="AG16" t="s">
        <v>102</v>
      </c>
      <c r="AH16" t="s">
        <v>187</v>
      </c>
      <c r="AI16">
        <v>45656</v>
      </c>
      <c r="AJ16">
        <v>45656</v>
      </c>
      <c r="AK16" t="s">
        <v>137</v>
      </c>
      <c r="AL16" t="s">
        <v>146</v>
      </c>
      <c r="AM16" t="s">
        <v>198</v>
      </c>
      <c r="AN16" t="s">
        <v>107</v>
      </c>
      <c r="AO16" t="s">
        <v>107</v>
      </c>
      <c r="AP16">
        <v>0</v>
      </c>
      <c r="AQ16">
        <v>700</v>
      </c>
      <c r="AR16">
        <v>0</v>
      </c>
      <c r="AS16" t="s">
        <v>107</v>
      </c>
      <c r="AT16" t="s">
        <v>108</v>
      </c>
      <c r="AU16" t="s">
        <v>109</v>
      </c>
      <c r="AV16" t="s">
        <v>110</v>
      </c>
      <c r="AW16" t="s">
        <v>111</v>
      </c>
      <c r="AY16" t="s">
        <v>199</v>
      </c>
      <c r="AZ16" t="s">
        <v>113</v>
      </c>
      <c r="BB16" t="s">
        <v>114</v>
      </c>
      <c r="BC16" t="s">
        <v>115</v>
      </c>
      <c r="BN16" t="s">
        <v>116</v>
      </c>
      <c r="BO16" t="s">
        <v>189</v>
      </c>
      <c r="BP16" t="s">
        <v>118</v>
      </c>
      <c r="BR16" t="s">
        <v>190</v>
      </c>
      <c r="BS16" t="s">
        <v>200</v>
      </c>
      <c r="BW16" t="s">
        <v>121</v>
      </c>
      <c r="BX16" t="s">
        <v>122</v>
      </c>
      <c r="BY16" t="s">
        <v>123</v>
      </c>
      <c r="BZ16" t="s">
        <v>124</v>
      </c>
    </row>
    <row r="17" spans="1:78" x14ac:dyDescent="0.3">
      <c r="A17" t="s">
        <v>2</v>
      </c>
      <c r="B17" t="s">
        <v>92</v>
      </c>
      <c r="C17" t="s">
        <v>93</v>
      </c>
      <c r="D17" t="s">
        <v>94</v>
      </c>
      <c r="E17" t="s">
        <v>95</v>
      </c>
      <c r="F17" t="s">
        <v>201</v>
      </c>
      <c r="G17">
        <v>654000</v>
      </c>
      <c r="H17">
        <v>654000</v>
      </c>
      <c r="I17" t="s">
        <v>93</v>
      </c>
      <c r="J17" t="s">
        <v>94</v>
      </c>
      <c r="K17" t="s">
        <v>202</v>
      </c>
      <c r="L17" t="s">
        <v>203</v>
      </c>
      <c r="M17">
        <v>56300</v>
      </c>
      <c r="N17">
        <v>56300</v>
      </c>
      <c r="AA17" t="s">
        <v>204</v>
      </c>
      <c r="AB17" t="s">
        <v>205</v>
      </c>
      <c r="AC17" t="s">
        <v>206</v>
      </c>
      <c r="AE17" t="s">
        <v>207</v>
      </c>
      <c r="AF17" t="s">
        <v>208</v>
      </c>
      <c r="AG17" t="s">
        <v>102</v>
      </c>
      <c r="AH17" t="s">
        <v>187</v>
      </c>
      <c r="AI17">
        <v>45535</v>
      </c>
      <c r="AJ17">
        <v>45535</v>
      </c>
      <c r="AK17" t="s">
        <v>104</v>
      </c>
      <c r="AL17" t="s">
        <v>105</v>
      </c>
      <c r="AM17" t="s">
        <v>106</v>
      </c>
      <c r="AN17" t="s">
        <v>107</v>
      </c>
      <c r="AO17" t="s">
        <v>107</v>
      </c>
      <c r="AP17">
        <v>3000</v>
      </c>
      <c r="AQ17">
        <v>3000</v>
      </c>
      <c r="AR17">
        <v>0</v>
      </c>
      <c r="AS17" t="s">
        <v>107</v>
      </c>
      <c r="AT17" t="s">
        <v>161</v>
      </c>
      <c r="AU17" t="s">
        <v>109</v>
      </c>
      <c r="AV17" t="s">
        <v>110</v>
      </c>
      <c r="AW17" t="s">
        <v>209</v>
      </c>
      <c r="AX17" t="s">
        <v>205</v>
      </c>
      <c r="AY17" t="s">
        <v>210</v>
      </c>
      <c r="AZ17" t="s">
        <v>113</v>
      </c>
      <c r="BA17" t="s">
        <v>133</v>
      </c>
      <c r="BB17" t="s">
        <v>211</v>
      </c>
      <c r="BC17" t="s">
        <v>115</v>
      </c>
      <c r="BN17" t="s">
        <v>116</v>
      </c>
      <c r="BO17" t="s">
        <v>212</v>
      </c>
      <c r="BP17" t="s">
        <v>166</v>
      </c>
      <c r="BR17" t="s">
        <v>213</v>
      </c>
      <c r="BS17" t="s">
        <v>214</v>
      </c>
      <c r="BW17" t="s">
        <v>121</v>
      </c>
      <c r="BX17" t="s">
        <v>122</v>
      </c>
      <c r="BY17" t="s">
        <v>123</v>
      </c>
      <c r="BZ17" t="s">
        <v>124</v>
      </c>
    </row>
    <row r="18" spans="1:78" x14ac:dyDescent="0.3">
      <c r="A18" t="s">
        <v>2</v>
      </c>
      <c r="B18" t="s">
        <v>92</v>
      </c>
      <c r="C18" t="s">
        <v>93</v>
      </c>
      <c r="D18" t="s">
        <v>94</v>
      </c>
      <c r="E18" t="s">
        <v>95</v>
      </c>
      <c r="F18" t="s">
        <v>201</v>
      </c>
      <c r="G18">
        <v>654000</v>
      </c>
      <c r="H18">
        <v>654000</v>
      </c>
      <c r="I18" t="s">
        <v>93</v>
      </c>
      <c r="J18" t="s">
        <v>94</v>
      </c>
      <c r="K18" t="s">
        <v>202</v>
      </c>
      <c r="L18" t="s">
        <v>203</v>
      </c>
      <c r="M18">
        <v>56300</v>
      </c>
      <c r="N18">
        <v>56300</v>
      </c>
      <c r="AA18" t="s">
        <v>204</v>
      </c>
      <c r="AB18" t="s">
        <v>205</v>
      </c>
      <c r="AC18" t="s">
        <v>206</v>
      </c>
      <c r="AE18" t="s">
        <v>207</v>
      </c>
      <c r="AF18" t="s">
        <v>208</v>
      </c>
      <c r="AG18" t="s">
        <v>102</v>
      </c>
      <c r="AH18" t="s">
        <v>187</v>
      </c>
      <c r="AI18">
        <v>45539</v>
      </c>
      <c r="AJ18">
        <v>45539</v>
      </c>
      <c r="AK18" t="s">
        <v>137</v>
      </c>
      <c r="AL18" t="s">
        <v>142</v>
      </c>
      <c r="AM18" t="s">
        <v>215</v>
      </c>
      <c r="AN18" t="s">
        <v>107</v>
      </c>
      <c r="AO18" t="s">
        <v>107</v>
      </c>
      <c r="AP18">
        <v>281120</v>
      </c>
      <c r="AQ18">
        <v>281120</v>
      </c>
      <c r="AR18">
        <v>0</v>
      </c>
      <c r="AS18" t="s">
        <v>107</v>
      </c>
      <c r="AT18" t="s">
        <v>161</v>
      </c>
      <c r="AU18" t="s">
        <v>109</v>
      </c>
      <c r="AV18" t="s">
        <v>110</v>
      </c>
      <c r="AW18" t="s">
        <v>111</v>
      </c>
      <c r="AY18" t="s">
        <v>216</v>
      </c>
      <c r="AZ18" t="s">
        <v>113</v>
      </c>
      <c r="BB18" t="s">
        <v>114</v>
      </c>
      <c r="BC18" t="s">
        <v>115</v>
      </c>
      <c r="BN18" t="s">
        <v>116</v>
      </c>
      <c r="BO18" t="s">
        <v>212</v>
      </c>
      <c r="BP18" t="s">
        <v>166</v>
      </c>
      <c r="BR18" t="s">
        <v>213</v>
      </c>
      <c r="BS18" t="s">
        <v>217</v>
      </c>
      <c r="BW18" t="s">
        <v>121</v>
      </c>
      <c r="BX18" t="s">
        <v>122</v>
      </c>
      <c r="BY18" t="s">
        <v>123</v>
      </c>
      <c r="BZ18" t="s">
        <v>124</v>
      </c>
    </row>
    <row r="19" spans="1:78" x14ac:dyDescent="0.3">
      <c r="A19" t="s">
        <v>2</v>
      </c>
      <c r="B19" t="s">
        <v>92</v>
      </c>
      <c r="C19" t="s">
        <v>93</v>
      </c>
      <c r="D19" t="s">
        <v>94</v>
      </c>
      <c r="E19" t="s">
        <v>95</v>
      </c>
      <c r="F19" t="s">
        <v>201</v>
      </c>
      <c r="G19">
        <v>654000</v>
      </c>
      <c r="H19">
        <v>654000</v>
      </c>
      <c r="I19" t="s">
        <v>93</v>
      </c>
      <c r="J19" t="s">
        <v>94</v>
      </c>
      <c r="K19" t="s">
        <v>202</v>
      </c>
      <c r="L19" t="s">
        <v>203</v>
      </c>
      <c r="M19">
        <v>56300</v>
      </c>
      <c r="N19">
        <v>56300</v>
      </c>
      <c r="AA19" t="s">
        <v>204</v>
      </c>
      <c r="AB19" t="s">
        <v>205</v>
      </c>
      <c r="AC19" t="s">
        <v>206</v>
      </c>
      <c r="AE19" t="s">
        <v>207</v>
      </c>
      <c r="AF19" t="s">
        <v>208</v>
      </c>
      <c r="AG19" t="s">
        <v>102</v>
      </c>
      <c r="AH19" t="s">
        <v>187</v>
      </c>
      <c r="AI19">
        <v>45565</v>
      </c>
      <c r="AJ19">
        <v>45559</v>
      </c>
      <c r="AK19" t="s">
        <v>218</v>
      </c>
      <c r="AL19" t="s">
        <v>146</v>
      </c>
      <c r="AM19" t="s">
        <v>219</v>
      </c>
      <c r="AN19" t="s">
        <v>107</v>
      </c>
      <c r="AO19" t="s">
        <v>107</v>
      </c>
      <c r="AP19">
        <v>248605</v>
      </c>
      <c r="AQ19">
        <v>248605</v>
      </c>
      <c r="AR19">
        <v>0</v>
      </c>
      <c r="AS19" t="s">
        <v>107</v>
      </c>
      <c r="AT19" t="s">
        <v>161</v>
      </c>
      <c r="AU19" t="s">
        <v>109</v>
      </c>
      <c r="AV19" t="s">
        <v>110</v>
      </c>
      <c r="AW19" t="s">
        <v>111</v>
      </c>
      <c r="AY19" t="s">
        <v>220</v>
      </c>
      <c r="AZ19" t="s">
        <v>113</v>
      </c>
      <c r="BB19" t="s">
        <v>114</v>
      </c>
      <c r="BC19" t="s">
        <v>115</v>
      </c>
      <c r="BN19" t="s">
        <v>116</v>
      </c>
      <c r="BO19" t="s">
        <v>212</v>
      </c>
      <c r="BP19" t="s">
        <v>166</v>
      </c>
      <c r="BR19" t="s">
        <v>213</v>
      </c>
      <c r="BS19" t="s">
        <v>221</v>
      </c>
      <c r="BW19" t="s">
        <v>121</v>
      </c>
      <c r="BX19" t="s">
        <v>122</v>
      </c>
      <c r="BY19" t="s">
        <v>123</v>
      </c>
      <c r="BZ19" t="s">
        <v>124</v>
      </c>
    </row>
    <row r="20" spans="1:78" x14ac:dyDescent="0.3">
      <c r="A20" t="s">
        <v>2</v>
      </c>
      <c r="B20" t="s">
        <v>92</v>
      </c>
      <c r="C20" t="s">
        <v>93</v>
      </c>
      <c r="D20" t="s">
        <v>94</v>
      </c>
      <c r="E20" t="s">
        <v>95</v>
      </c>
      <c r="F20" t="s">
        <v>222</v>
      </c>
      <c r="G20">
        <v>609100</v>
      </c>
      <c r="H20">
        <v>609100</v>
      </c>
      <c r="I20" t="s">
        <v>93</v>
      </c>
      <c r="J20" t="s">
        <v>94</v>
      </c>
      <c r="K20" t="s">
        <v>202</v>
      </c>
      <c r="L20" t="s">
        <v>223</v>
      </c>
      <c r="M20">
        <v>64600</v>
      </c>
      <c r="N20">
        <v>64600</v>
      </c>
      <c r="AA20" t="s">
        <v>224</v>
      </c>
      <c r="AB20" t="s">
        <v>225</v>
      </c>
      <c r="AC20" t="s">
        <v>226</v>
      </c>
      <c r="AD20" t="s">
        <v>227</v>
      </c>
      <c r="AE20" t="s">
        <v>227</v>
      </c>
      <c r="AF20" t="s">
        <v>228</v>
      </c>
      <c r="AG20" t="s">
        <v>102</v>
      </c>
      <c r="AH20" t="s">
        <v>131</v>
      </c>
      <c r="AI20">
        <v>45494</v>
      </c>
      <c r="AJ20">
        <v>45494</v>
      </c>
      <c r="AK20" t="s">
        <v>104</v>
      </c>
      <c r="AL20" t="s">
        <v>105</v>
      </c>
      <c r="AM20" t="s">
        <v>106</v>
      </c>
      <c r="AN20" t="s">
        <v>107</v>
      </c>
      <c r="AO20" t="s">
        <v>107</v>
      </c>
      <c r="AP20">
        <v>3000</v>
      </c>
      <c r="AQ20">
        <v>3000</v>
      </c>
      <c r="AR20">
        <v>0</v>
      </c>
      <c r="AS20" t="s">
        <v>107</v>
      </c>
      <c r="AT20" t="s">
        <v>108</v>
      </c>
      <c r="AU20" t="s">
        <v>109</v>
      </c>
      <c r="AV20" t="s">
        <v>110</v>
      </c>
      <c r="AW20" t="s">
        <v>111</v>
      </c>
      <c r="AX20" t="s">
        <v>225</v>
      </c>
      <c r="AY20" t="s">
        <v>229</v>
      </c>
      <c r="AZ20" t="s">
        <v>113</v>
      </c>
      <c r="BA20" t="s">
        <v>133</v>
      </c>
      <c r="BB20" t="s">
        <v>114</v>
      </c>
      <c r="BC20" t="s">
        <v>115</v>
      </c>
      <c r="BN20" t="s">
        <v>116</v>
      </c>
      <c r="BO20" t="s">
        <v>230</v>
      </c>
      <c r="BP20" t="s">
        <v>118</v>
      </c>
      <c r="BR20" t="s">
        <v>231</v>
      </c>
      <c r="BS20" t="s">
        <v>232</v>
      </c>
      <c r="BW20" t="s">
        <v>121</v>
      </c>
      <c r="BX20" t="s">
        <v>122</v>
      </c>
      <c r="BY20" t="s">
        <v>123</v>
      </c>
      <c r="BZ20" t="s">
        <v>124</v>
      </c>
    </row>
    <row r="21" spans="1:78" x14ac:dyDescent="0.3">
      <c r="A21" t="s">
        <v>2</v>
      </c>
      <c r="B21" t="s">
        <v>92</v>
      </c>
      <c r="C21" t="s">
        <v>93</v>
      </c>
      <c r="D21" t="s">
        <v>94</v>
      </c>
      <c r="E21" t="s">
        <v>95</v>
      </c>
      <c r="F21" t="s">
        <v>222</v>
      </c>
      <c r="G21">
        <v>609100</v>
      </c>
      <c r="H21">
        <v>609100</v>
      </c>
      <c r="I21" t="s">
        <v>93</v>
      </c>
      <c r="J21" t="s">
        <v>94</v>
      </c>
      <c r="K21" t="s">
        <v>202</v>
      </c>
      <c r="L21" t="s">
        <v>223</v>
      </c>
      <c r="M21">
        <v>64600</v>
      </c>
      <c r="N21">
        <v>64600</v>
      </c>
      <c r="AA21" t="s">
        <v>224</v>
      </c>
      <c r="AB21" t="s">
        <v>225</v>
      </c>
      <c r="AC21" t="s">
        <v>226</v>
      </c>
      <c r="AD21" t="s">
        <v>227</v>
      </c>
      <c r="AE21" t="s">
        <v>227</v>
      </c>
      <c r="AF21" t="s">
        <v>228</v>
      </c>
      <c r="AG21" t="s">
        <v>102</v>
      </c>
      <c r="AH21" t="s">
        <v>131</v>
      </c>
      <c r="AI21">
        <v>45537</v>
      </c>
      <c r="AJ21">
        <v>45537</v>
      </c>
      <c r="AK21" t="s">
        <v>137</v>
      </c>
      <c r="AL21" t="s">
        <v>105</v>
      </c>
      <c r="AM21" t="s">
        <v>233</v>
      </c>
      <c r="AN21" t="s">
        <v>107</v>
      </c>
      <c r="AO21" t="s">
        <v>107</v>
      </c>
      <c r="AP21">
        <v>134740</v>
      </c>
      <c r="AQ21">
        <v>134740</v>
      </c>
      <c r="AR21">
        <v>0</v>
      </c>
      <c r="AS21" t="s">
        <v>107</v>
      </c>
      <c r="AT21" t="s">
        <v>108</v>
      </c>
      <c r="AU21" t="s">
        <v>109</v>
      </c>
      <c r="AV21" t="s">
        <v>110</v>
      </c>
      <c r="AW21" t="s">
        <v>111</v>
      </c>
      <c r="AX21" t="s">
        <v>225</v>
      </c>
      <c r="AY21" t="s">
        <v>234</v>
      </c>
      <c r="AZ21" t="s">
        <v>113</v>
      </c>
      <c r="BA21" t="s">
        <v>133</v>
      </c>
      <c r="BB21" t="s">
        <v>114</v>
      </c>
      <c r="BC21" t="s">
        <v>115</v>
      </c>
      <c r="BN21" t="s">
        <v>116</v>
      </c>
      <c r="BO21" t="s">
        <v>230</v>
      </c>
      <c r="BP21" t="s">
        <v>118</v>
      </c>
      <c r="BR21" t="s">
        <v>231</v>
      </c>
      <c r="BS21" t="s">
        <v>235</v>
      </c>
      <c r="BW21" t="s">
        <v>121</v>
      </c>
      <c r="BX21" t="s">
        <v>122</v>
      </c>
      <c r="BY21" t="s">
        <v>123</v>
      </c>
      <c r="BZ21" t="s">
        <v>124</v>
      </c>
    </row>
    <row r="22" spans="1:78" x14ac:dyDescent="0.3">
      <c r="A22" t="s">
        <v>2</v>
      </c>
      <c r="B22" t="s">
        <v>92</v>
      </c>
      <c r="C22" t="s">
        <v>93</v>
      </c>
      <c r="D22" t="s">
        <v>94</v>
      </c>
      <c r="E22" t="s">
        <v>95</v>
      </c>
      <c r="F22" t="s">
        <v>236</v>
      </c>
      <c r="G22">
        <v>622500</v>
      </c>
      <c r="H22">
        <v>622500</v>
      </c>
      <c r="AA22" t="s">
        <v>237</v>
      </c>
      <c r="AB22" t="s">
        <v>238</v>
      </c>
      <c r="AC22" t="s">
        <v>239</v>
      </c>
      <c r="AE22" t="s">
        <v>240</v>
      </c>
      <c r="AF22" t="s">
        <v>241</v>
      </c>
      <c r="AG22" t="s">
        <v>102</v>
      </c>
      <c r="AH22" t="s">
        <v>242</v>
      </c>
      <c r="AI22">
        <v>45479</v>
      </c>
      <c r="AJ22">
        <v>45478</v>
      </c>
      <c r="AK22" t="s">
        <v>137</v>
      </c>
      <c r="AL22" t="s">
        <v>105</v>
      </c>
      <c r="AM22" t="s">
        <v>106</v>
      </c>
      <c r="AN22" t="s">
        <v>107</v>
      </c>
      <c r="AO22" t="s">
        <v>107</v>
      </c>
      <c r="AP22">
        <v>3000</v>
      </c>
      <c r="AQ22">
        <v>3000</v>
      </c>
      <c r="AR22">
        <v>0</v>
      </c>
      <c r="AS22" t="s">
        <v>107</v>
      </c>
      <c r="AT22" t="s">
        <v>243</v>
      </c>
      <c r="AU22" t="s">
        <v>109</v>
      </c>
      <c r="AV22" t="s">
        <v>110</v>
      </c>
      <c r="AW22" t="s">
        <v>111</v>
      </c>
      <c r="AY22" t="s">
        <v>244</v>
      </c>
      <c r="AZ22" t="s">
        <v>113</v>
      </c>
      <c r="BB22" t="s">
        <v>114</v>
      </c>
      <c r="BC22" t="s">
        <v>115</v>
      </c>
      <c r="BN22" t="s">
        <v>116</v>
      </c>
      <c r="BO22" t="s">
        <v>245</v>
      </c>
      <c r="BP22" t="s">
        <v>166</v>
      </c>
      <c r="BR22" t="s">
        <v>246</v>
      </c>
      <c r="BS22" t="s">
        <v>247</v>
      </c>
      <c r="BW22" t="s">
        <v>121</v>
      </c>
      <c r="BX22" t="s">
        <v>122</v>
      </c>
      <c r="BY22" t="s">
        <v>123</v>
      </c>
      <c r="BZ22" t="s">
        <v>124</v>
      </c>
    </row>
    <row r="23" spans="1:78" x14ac:dyDescent="0.3">
      <c r="A23" t="s">
        <v>2</v>
      </c>
      <c r="B23" t="s">
        <v>92</v>
      </c>
      <c r="C23" t="s">
        <v>93</v>
      </c>
      <c r="D23" t="s">
        <v>94</v>
      </c>
      <c r="E23" t="s">
        <v>95</v>
      </c>
      <c r="F23" t="s">
        <v>236</v>
      </c>
      <c r="G23">
        <v>622500</v>
      </c>
      <c r="H23">
        <v>622500</v>
      </c>
      <c r="AA23" t="s">
        <v>237</v>
      </c>
      <c r="AB23" t="s">
        <v>238</v>
      </c>
      <c r="AC23" t="s">
        <v>239</v>
      </c>
      <c r="AE23" t="s">
        <v>240</v>
      </c>
      <c r="AF23" t="s">
        <v>241</v>
      </c>
      <c r="AG23" t="s">
        <v>102</v>
      </c>
      <c r="AH23" t="s">
        <v>242</v>
      </c>
      <c r="AI23">
        <v>45488</v>
      </c>
      <c r="AJ23">
        <v>45488</v>
      </c>
      <c r="AK23" t="s">
        <v>137</v>
      </c>
      <c r="AL23" t="s">
        <v>142</v>
      </c>
      <c r="AM23" t="s">
        <v>138</v>
      </c>
      <c r="AN23" t="s">
        <v>107</v>
      </c>
      <c r="AO23" t="s">
        <v>107</v>
      </c>
      <c r="AP23">
        <v>20000</v>
      </c>
      <c r="AQ23">
        <v>20000</v>
      </c>
      <c r="AR23">
        <v>0</v>
      </c>
      <c r="AS23" t="s">
        <v>107</v>
      </c>
      <c r="AT23" t="s">
        <v>243</v>
      </c>
      <c r="AU23" t="s">
        <v>109</v>
      </c>
      <c r="AV23" t="s">
        <v>110</v>
      </c>
      <c r="AW23" t="s">
        <v>111</v>
      </c>
      <c r="AY23" t="s">
        <v>248</v>
      </c>
      <c r="AZ23" t="s">
        <v>113</v>
      </c>
      <c r="BB23" t="s">
        <v>114</v>
      </c>
      <c r="BC23" t="s">
        <v>115</v>
      </c>
      <c r="BN23" t="s">
        <v>116</v>
      </c>
      <c r="BO23" t="s">
        <v>245</v>
      </c>
      <c r="BP23" t="s">
        <v>166</v>
      </c>
      <c r="BR23" t="s">
        <v>246</v>
      </c>
      <c r="BS23" t="s">
        <v>249</v>
      </c>
      <c r="BW23" t="s">
        <v>121</v>
      </c>
      <c r="BX23" t="s">
        <v>122</v>
      </c>
      <c r="BY23" t="s">
        <v>123</v>
      </c>
      <c r="BZ23" t="s">
        <v>124</v>
      </c>
    </row>
    <row r="24" spans="1:78" x14ac:dyDescent="0.3">
      <c r="A24" t="s">
        <v>2</v>
      </c>
      <c r="B24" t="s">
        <v>92</v>
      </c>
      <c r="C24" t="s">
        <v>93</v>
      </c>
      <c r="D24" t="s">
        <v>94</v>
      </c>
      <c r="E24" t="s">
        <v>95</v>
      </c>
      <c r="F24" t="s">
        <v>236</v>
      </c>
      <c r="G24">
        <v>622500</v>
      </c>
      <c r="H24">
        <v>622500</v>
      </c>
      <c r="AA24" t="s">
        <v>237</v>
      </c>
      <c r="AB24" t="s">
        <v>238</v>
      </c>
      <c r="AC24" t="s">
        <v>239</v>
      </c>
      <c r="AE24" t="s">
        <v>240</v>
      </c>
      <c r="AF24" t="s">
        <v>241</v>
      </c>
      <c r="AG24" t="s">
        <v>102</v>
      </c>
      <c r="AH24" t="s">
        <v>242</v>
      </c>
      <c r="AI24">
        <v>45657</v>
      </c>
      <c r="AJ24">
        <v>45722</v>
      </c>
      <c r="AK24" t="s">
        <v>137</v>
      </c>
      <c r="AL24" t="s">
        <v>146</v>
      </c>
      <c r="AM24" t="s">
        <v>107</v>
      </c>
      <c r="AN24" t="s">
        <v>107</v>
      </c>
      <c r="AO24" t="s">
        <v>107</v>
      </c>
      <c r="AP24">
        <v>67000</v>
      </c>
      <c r="AQ24">
        <v>65000</v>
      </c>
      <c r="AR24">
        <v>0</v>
      </c>
      <c r="AS24" t="s">
        <v>107</v>
      </c>
      <c r="AT24" t="s">
        <v>243</v>
      </c>
      <c r="AU24" t="s">
        <v>109</v>
      </c>
      <c r="AV24" t="s">
        <v>110</v>
      </c>
      <c r="AW24" t="s">
        <v>111</v>
      </c>
      <c r="AY24" t="s">
        <v>250</v>
      </c>
      <c r="AZ24" t="s">
        <v>113</v>
      </c>
      <c r="BB24" t="s">
        <v>114</v>
      </c>
      <c r="BC24" t="s">
        <v>115</v>
      </c>
      <c r="BN24" t="s">
        <v>116</v>
      </c>
      <c r="BO24" t="s">
        <v>245</v>
      </c>
      <c r="BP24" t="s">
        <v>166</v>
      </c>
      <c r="BR24" t="s">
        <v>246</v>
      </c>
      <c r="BS24" t="s">
        <v>251</v>
      </c>
      <c r="BW24" t="s">
        <v>121</v>
      </c>
      <c r="BX24" t="s">
        <v>122</v>
      </c>
      <c r="BY24" t="s">
        <v>123</v>
      </c>
      <c r="BZ24" t="s">
        <v>124</v>
      </c>
    </row>
    <row r="25" spans="1:78" x14ac:dyDescent="0.3">
      <c r="A25" t="s">
        <v>2</v>
      </c>
      <c r="B25" t="s">
        <v>92</v>
      </c>
      <c r="C25" t="s">
        <v>93</v>
      </c>
      <c r="D25" t="s">
        <v>94</v>
      </c>
      <c r="E25" t="s">
        <v>95</v>
      </c>
      <c r="F25" t="s">
        <v>236</v>
      </c>
      <c r="G25">
        <v>622500</v>
      </c>
      <c r="H25">
        <v>622500</v>
      </c>
      <c r="AA25" t="s">
        <v>237</v>
      </c>
      <c r="AB25" t="s">
        <v>238</v>
      </c>
      <c r="AC25" t="s">
        <v>239</v>
      </c>
      <c r="AE25" t="s">
        <v>240</v>
      </c>
      <c r="AF25" t="s">
        <v>241</v>
      </c>
      <c r="AG25" t="s">
        <v>102</v>
      </c>
      <c r="AH25" t="s">
        <v>242</v>
      </c>
      <c r="AI25">
        <v>45657</v>
      </c>
      <c r="AJ25">
        <v>46202</v>
      </c>
      <c r="AK25" t="s">
        <v>137</v>
      </c>
      <c r="AL25" t="s">
        <v>146</v>
      </c>
      <c r="AM25" t="s">
        <v>252</v>
      </c>
      <c r="AN25" t="s">
        <v>107</v>
      </c>
      <c r="AO25" t="s">
        <v>107</v>
      </c>
      <c r="AP25">
        <v>0</v>
      </c>
      <c r="AQ25">
        <v>2000</v>
      </c>
      <c r="AR25">
        <v>0</v>
      </c>
      <c r="AS25" t="s">
        <v>107</v>
      </c>
      <c r="AT25" t="s">
        <v>243</v>
      </c>
      <c r="AU25" t="s">
        <v>109</v>
      </c>
      <c r="AV25" t="s">
        <v>110</v>
      </c>
      <c r="AW25" t="s">
        <v>111</v>
      </c>
      <c r="AY25" t="s">
        <v>253</v>
      </c>
      <c r="AZ25" t="s">
        <v>113</v>
      </c>
      <c r="BB25" t="s">
        <v>114</v>
      </c>
      <c r="BC25" t="s">
        <v>115</v>
      </c>
      <c r="BN25" t="s">
        <v>116</v>
      </c>
      <c r="BO25" t="s">
        <v>245</v>
      </c>
      <c r="BP25" t="s">
        <v>166</v>
      </c>
      <c r="BR25" t="s">
        <v>246</v>
      </c>
      <c r="BS25" t="s">
        <v>254</v>
      </c>
      <c r="BW25" t="s">
        <v>121</v>
      </c>
      <c r="BX25" t="s">
        <v>122</v>
      </c>
      <c r="BY25" t="s">
        <v>123</v>
      </c>
      <c r="BZ25" t="s">
        <v>124</v>
      </c>
    </row>
    <row r="26" spans="1:78" x14ac:dyDescent="0.3">
      <c r="A26" t="s">
        <v>2</v>
      </c>
      <c r="B26" t="s">
        <v>92</v>
      </c>
      <c r="C26" t="s">
        <v>93</v>
      </c>
      <c r="D26" t="s">
        <v>94</v>
      </c>
      <c r="E26" t="s">
        <v>95</v>
      </c>
      <c r="F26" t="s">
        <v>236</v>
      </c>
      <c r="G26">
        <v>622500</v>
      </c>
      <c r="H26">
        <v>622500</v>
      </c>
      <c r="AA26" t="s">
        <v>237</v>
      </c>
      <c r="AB26" t="s">
        <v>238</v>
      </c>
      <c r="AC26" t="s">
        <v>239</v>
      </c>
      <c r="AE26" t="s">
        <v>240</v>
      </c>
      <c r="AF26" t="s">
        <v>241</v>
      </c>
      <c r="AG26" t="s">
        <v>102</v>
      </c>
      <c r="AH26" t="s">
        <v>242</v>
      </c>
      <c r="AI26">
        <v>45350</v>
      </c>
      <c r="AJ26">
        <v>46202</v>
      </c>
      <c r="AK26" t="s">
        <v>218</v>
      </c>
      <c r="AL26" t="s">
        <v>105</v>
      </c>
      <c r="AM26" t="s">
        <v>255</v>
      </c>
      <c r="AN26" t="s">
        <v>107</v>
      </c>
      <c r="AO26" t="s">
        <v>107</v>
      </c>
      <c r="AP26">
        <v>532500</v>
      </c>
      <c r="AQ26">
        <v>20000</v>
      </c>
      <c r="AR26">
        <v>0</v>
      </c>
      <c r="AS26" t="s">
        <v>107</v>
      </c>
      <c r="AT26" t="s">
        <v>243</v>
      </c>
      <c r="AU26" t="s">
        <v>109</v>
      </c>
      <c r="AV26" t="s">
        <v>110</v>
      </c>
      <c r="AW26" t="s">
        <v>111</v>
      </c>
      <c r="AY26" t="s">
        <v>253</v>
      </c>
      <c r="AZ26" t="s">
        <v>113</v>
      </c>
      <c r="BB26" t="s">
        <v>114</v>
      </c>
      <c r="BC26" t="s">
        <v>115</v>
      </c>
      <c r="BN26" t="s">
        <v>116</v>
      </c>
      <c r="BO26" t="s">
        <v>245</v>
      </c>
      <c r="BP26" t="s">
        <v>166</v>
      </c>
      <c r="BR26" t="s">
        <v>246</v>
      </c>
      <c r="BS26" t="s">
        <v>254</v>
      </c>
      <c r="BW26" t="s">
        <v>121</v>
      </c>
      <c r="BX26" t="s">
        <v>122</v>
      </c>
      <c r="BY26" t="s">
        <v>123</v>
      </c>
      <c r="BZ26" t="s">
        <v>124</v>
      </c>
    </row>
    <row r="27" spans="1:78" x14ac:dyDescent="0.3">
      <c r="A27" t="s">
        <v>2</v>
      </c>
      <c r="B27" t="s">
        <v>92</v>
      </c>
      <c r="C27" t="s">
        <v>93</v>
      </c>
      <c r="D27" t="s">
        <v>94</v>
      </c>
      <c r="E27" t="s">
        <v>95</v>
      </c>
      <c r="F27" t="s">
        <v>236</v>
      </c>
      <c r="G27">
        <v>622500</v>
      </c>
      <c r="H27">
        <v>622500</v>
      </c>
      <c r="AA27" t="s">
        <v>237</v>
      </c>
      <c r="AB27" t="s">
        <v>238</v>
      </c>
      <c r="AC27" t="s">
        <v>239</v>
      </c>
      <c r="AE27" t="s">
        <v>240</v>
      </c>
      <c r="AF27" t="s">
        <v>241</v>
      </c>
      <c r="AG27" t="s">
        <v>102</v>
      </c>
      <c r="AH27" t="s">
        <v>242</v>
      </c>
      <c r="AI27">
        <v>45350</v>
      </c>
      <c r="AJ27">
        <v>45747</v>
      </c>
      <c r="AK27" t="s">
        <v>218</v>
      </c>
      <c r="AL27" t="s">
        <v>105</v>
      </c>
      <c r="AM27" t="s">
        <v>107</v>
      </c>
      <c r="AN27" t="s">
        <v>107</v>
      </c>
      <c r="AO27" t="s">
        <v>107</v>
      </c>
      <c r="AP27">
        <v>0</v>
      </c>
      <c r="AQ27">
        <v>512500</v>
      </c>
      <c r="AR27">
        <v>0</v>
      </c>
      <c r="AS27" t="s">
        <v>107</v>
      </c>
      <c r="AT27" t="s">
        <v>243</v>
      </c>
      <c r="AU27" t="s">
        <v>109</v>
      </c>
      <c r="AV27" t="s">
        <v>110</v>
      </c>
      <c r="AW27" t="s">
        <v>111</v>
      </c>
      <c r="AY27" t="s">
        <v>256</v>
      </c>
      <c r="AZ27" t="s">
        <v>113</v>
      </c>
      <c r="BB27" t="s">
        <v>114</v>
      </c>
      <c r="BC27" t="s">
        <v>115</v>
      </c>
      <c r="BN27" t="s">
        <v>116</v>
      </c>
      <c r="BO27" t="s">
        <v>245</v>
      </c>
      <c r="BP27" t="s">
        <v>166</v>
      </c>
      <c r="BR27" t="s">
        <v>246</v>
      </c>
      <c r="BS27" t="s">
        <v>257</v>
      </c>
      <c r="BW27" t="s">
        <v>121</v>
      </c>
      <c r="BX27" t="s">
        <v>122</v>
      </c>
      <c r="BY27" t="s">
        <v>123</v>
      </c>
      <c r="BZ27" t="s">
        <v>124</v>
      </c>
    </row>
    <row r="28" spans="1:78" x14ac:dyDescent="0.3">
      <c r="A28" t="s">
        <v>2</v>
      </c>
      <c r="B28" t="s">
        <v>92</v>
      </c>
      <c r="C28" t="s">
        <v>93</v>
      </c>
      <c r="D28" t="s">
        <v>94</v>
      </c>
      <c r="E28" t="s">
        <v>95</v>
      </c>
      <c r="F28" t="s">
        <v>258</v>
      </c>
      <c r="G28">
        <v>612000</v>
      </c>
      <c r="H28">
        <v>612000</v>
      </c>
      <c r="AA28" t="s">
        <v>259</v>
      </c>
      <c r="AB28" t="s">
        <v>260</v>
      </c>
      <c r="AC28" t="s">
        <v>261</v>
      </c>
      <c r="AE28" t="s">
        <v>262</v>
      </c>
      <c r="AF28" t="s">
        <v>263</v>
      </c>
      <c r="AG28" t="s">
        <v>264</v>
      </c>
      <c r="AH28" t="s">
        <v>264</v>
      </c>
      <c r="AI28">
        <v>45520</v>
      </c>
      <c r="AJ28">
        <v>45520</v>
      </c>
      <c r="AK28" t="s">
        <v>104</v>
      </c>
      <c r="AL28" t="s">
        <v>105</v>
      </c>
      <c r="AM28" t="s">
        <v>106</v>
      </c>
      <c r="AN28" t="s">
        <v>107</v>
      </c>
      <c r="AO28" t="s">
        <v>107</v>
      </c>
      <c r="AP28">
        <v>3000</v>
      </c>
      <c r="AQ28">
        <v>3000</v>
      </c>
      <c r="AR28">
        <v>0</v>
      </c>
      <c r="AS28" t="s">
        <v>107</v>
      </c>
      <c r="AT28" t="s">
        <v>243</v>
      </c>
      <c r="AU28" t="s">
        <v>109</v>
      </c>
      <c r="AV28" t="s">
        <v>110</v>
      </c>
      <c r="AW28" t="s">
        <v>111</v>
      </c>
      <c r="AX28" t="s">
        <v>260</v>
      </c>
      <c r="AY28" t="s">
        <v>265</v>
      </c>
      <c r="AZ28" t="s">
        <v>113</v>
      </c>
      <c r="BA28" t="s">
        <v>133</v>
      </c>
      <c r="BB28" t="s">
        <v>211</v>
      </c>
      <c r="BC28" t="s">
        <v>115</v>
      </c>
      <c r="BN28" t="s">
        <v>116</v>
      </c>
      <c r="BO28" t="s">
        <v>266</v>
      </c>
      <c r="BP28" t="s">
        <v>166</v>
      </c>
      <c r="BR28" t="s">
        <v>267</v>
      </c>
      <c r="BS28" t="s">
        <v>214</v>
      </c>
      <c r="BW28" t="s">
        <v>121</v>
      </c>
      <c r="BX28" t="s">
        <v>122</v>
      </c>
      <c r="BY28" t="s">
        <v>123</v>
      </c>
      <c r="BZ28" t="s">
        <v>124</v>
      </c>
    </row>
    <row r="29" spans="1:78" x14ac:dyDescent="0.3">
      <c r="A29" t="s">
        <v>2</v>
      </c>
      <c r="B29" t="s">
        <v>92</v>
      </c>
      <c r="C29" t="s">
        <v>93</v>
      </c>
      <c r="D29" t="s">
        <v>94</v>
      </c>
      <c r="E29" t="s">
        <v>95</v>
      </c>
      <c r="F29" t="s">
        <v>258</v>
      </c>
      <c r="G29">
        <v>612000</v>
      </c>
      <c r="H29">
        <v>612000</v>
      </c>
      <c r="AA29" t="s">
        <v>259</v>
      </c>
      <c r="AB29" t="s">
        <v>260</v>
      </c>
      <c r="AC29" t="s">
        <v>261</v>
      </c>
      <c r="AE29" t="s">
        <v>262</v>
      </c>
      <c r="AF29" t="s">
        <v>263</v>
      </c>
      <c r="AG29" t="s">
        <v>264</v>
      </c>
      <c r="AH29" t="s">
        <v>264</v>
      </c>
      <c r="AI29">
        <v>45541</v>
      </c>
      <c r="AJ29">
        <v>45541</v>
      </c>
      <c r="AK29" t="s">
        <v>137</v>
      </c>
      <c r="AL29" t="s">
        <v>142</v>
      </c>
      <c r="AM29" t="s">
        <v>268</v>
      </c>
      <c r="AN29" t="s">
        <v>107</v>
      </c>
      <c r="AO29" t="s">
        <v>107</v>
      </c>
      <c r="AP29">
        <v>29500</v>
      </c>
      <c r="AQ29">
        <v>29500</v>
      </c>
      <c r="AR29">
        <v>0</v>
      </c>
      <c r="AS29" t="s">
        <v>107</v>
      </c>
      <c r="AT29" t="s">
        <v>243</v>
      </c>
      <c r="AU29" t="s">
        <v>109</v>
      </c>
      <c r="AV29" t="s">
        <v>110</v>
      </c>
      <c r="AW29" t="s">
        <v>111</v>
      </c>
      <c r="AX29" t="s">
        <v>260</v>
      </c>
      <c r="AY29" t="s">
        <v>269</v>
      </c>
      <c r="AZ29" t="s">
        <v>113</v>
      </c>
      <c r="BA29" t="s">
        <v>133</v>
      </c>
      <c r="BB29" t="s">
        <v>211</v>
      </c>
      <c r="BC29" t="s">
        <v>115</v>
      </c>
      <c r="BN29" t="s">
        <v>116</v>
      </c>
      <c r="BO29" t="s">
        <v>266</v>
      </c>
      <c r="BP29" t="s">
        <v>166</v>
      </c>
      <c r="BR29" t="s">
        <v>267</v>
      </c>
      <c r="BS29" t="s">
        <v>214</v>
      </c>
      <c r="BW29" t="s">
        <v>121</v>
      </c>
      <c r="BX29" t="s">
        <v>122</v>
      </c>
      <c r="BY29" t="s">
        <v>123</v>
      </c>
      <c r="BZ29" t="s">
        <v>124</v>
      </c>
    </row>
    <row r="30" spans="1:78" x14ac:dyDescent="0.3">
      <c r="A30" t="s">
        <v>2</v>
      </c>
      <c r="B30" t="s">
        <v>92</v>
      </c>
      <c r="C30" t="s">
        <v>93</v>
      </c>
      <c r="D30" t="s">
        <v>94</v>
      </c>
      <c r="E30" t="s">
        <v>95</v>
      </c>
      <c r="F30" t="s">
        <v>258</v>
      </c>
      <c r="G30">
        <v>612000</v>
      </c>
      <c r="H30">
        <v>612000</v>
      </c>
      <c r="AA30" t="s">
        <v>259</v>
      </c>
      <c r="AB30" t="s">
        <v>260</v>
      </c>
      <c r="AC30" t="s">
        <v>261</v>
      </c>
      <c r="AE30" t="s">
        <v>262</v>
      </c>
      <c r="AF30" t="s">
        <v>263</v>
      </c>
      <c r="AG30" t="s">
        <v>264</v>
      </c>
      <c r="AH30" t="s">
        <v>264</v>
      </c>
      <c r="AI30">
        <v>45657</v>
      </c>
      <c r="AJ30">
        <v>45653</v>
      </c>
      <c r="AK30" t="s">
        <v>137</v>
      </c>
      <c r="AL30" t="s">
        <v>146</v>
      </c>
      <c r="AM30" t="s">
        <v>268</v>
      </c>
      <c r="AN30" t="s">
        <v>107</v>
      </c>
      <c r="AO30" t="s">
        <v>107</v>
      </c>
      <c r="AP30">
        <v>29500</v>
      </c>
      <c r="AQ30">
        <v>29500</v>
      </c>
      <c r="AR30">
        <v>0</v>
      </c>
      <c r="AS30" t="s">
        <v>107</v>
      </c>
      <c r="AT30" t="s">
        <v>243</v>
      </c>
      <c r="AU30" t="s">
        <v>109</v>
      </c>
      <c r="AV30" t="s">
        <v>110</v>
      </c>
      <c r="AW30" t="s">
        <v>111</v>
      </c>
      <c r="AX30" t="s">
        <v>260</v>
      </c>
      <c r="AY30" t="s">
        <v>270</v>
      </c>
      <c r="AZ30" t="s">
        <v>113</v>
      </c>
      <c r="BA30" t="s">
        <v>133</v>
      </c>
      <c r="BB30" t="s">
        <v>211</v>
      </c>
      <c r="BC30" t="s">
        <v>115</v>
      </c>
      <c r="BN30" t="s">
        <v>116</v>
      </c>
      <c r="BO30" t="s">
        <v>266</v>
      </c>
      <c r="BP30" t="s">
        <v>166</v>
      </c>
      <c r="BR30" t="s">
        <v>267</v>
      </c>
      <c r="BS30" t="s">
        <v>214</v>
      </c>
      <c r="BW30" t="s">
        <v>121</v>
      </c>
      <c r="BX30" t="s">
        <v>122</v>
      </c>
      <c r="BY30" t="s">
        <v>123</v>
      </c>
      <c r="BZ30" t="s">
        <v>124</v>
      </c>
    </row>
    <row r="31" spans="1:78" x14ac:dyDescent="0.3">
      <c r="A31" t="s">
        <v>2</v>
      </c>
      <c r="B31" t="s">
        <v>92</v>
      </c>
      <c r="C31" t="s">
        <v>93</v>
      </c>
      <c r="D31" t="s">
        <v>94</v>
      </c>
      <c r="E31" t="s">
        <v>95</v>
      </c>
      <c r="F31" t="s">
        <v>271</v>
      </c>
      <c r="G31">
        <v>654000</v>
      </c>
      <c r="H31">
        <v>654000</v>
      </c>
      <c r="AA31" t="s">
        <v>272</v>
      </c>
      <c r="AB31" t="s">
        <v>273</v>
      </c>
      <c r="AC31" t="s">
        <v>274</v>
      </c>
      <c r="AE31" t="s">
        <v>275</v>
      </c>
      <c r="AF31" t="s">
        <v>276</v>
      </c>
      <c r="AG31" t="s">
        <v>277</v>
      </c>
      <c r="AH31" t="s">
        <v>278</v>
      </c>
      <c r="AI31">
        <v>45586</v>
      </c>
      <c r="AJ31">
        <v>45586</v>
      </c>
      <c r="AK31" t="s">
        <v>104</v>
      </c>
      <c r="AL31" t="s">
        <v>105</v>
      </c>
      <c r="AM31" t="s">
        <v>106</v>
      </c>
      <c r="AN31" t="s">
        <v>107</v>
      </c>
      <c r="AO31" t="s">
        <v>107</v>
      </c>
      <c r="AP31">
        <v>3000</v>
      </c>
      <c r="AQ31">
        <v>3000</v>
      </c>
      <c r="AR31">
        <v>0</v>
      </c>
      <c r="AS31" t="s">
        <v>107</v>
      </c>
      <c r="AT31" t="s">
        <v>108</v>
      </c>
      <c r="AU31" t="s">
        <v>109</v>
      </c>
      <c r="AV31" t="s">
        <v>110</v>
      </c>
      <c r="AW31" t="s">
        <v>279</v>
      </c>
      <c r="AX31" t="s">
        <v>273</v>
      </c>
      <c r="AY31" t="s">
        <v>280</v>
      </c>
      <c r="AZ31" t="s">
        <v>113</v>
      </c>
      <c r="BA31" t="s">
        <v>133</v>
      </c>
      <c r="BB31" t="s">
        <v>211</v>
      </c>
      <c r="BC31" t="s">
        <v>115</v>
      </c>
      <c r="BN31" t="s">
        <v>116</v>
      </c>
      <c r="BO31" t="s">
        <v>281</v>
      </c>
      <c r="BP31" t="s">
        <v>166</v>
      </c>
      <c r="BR31" t="s">
        <v>282</v>
      </c>
      <c r="BS31" t="s">
        <v>283</v>
      </c>
      <c r="BW31" t="s">
        <v>121</v>
      </c>
      <c r="BX31" t="s">
        <v>122</v>
      </c>
      <c r="BY31" t="s">
        <v>123</v>
      </c>
      <c r="BZ31" t="s">
        <v>124</v>
      </c>
    </row>
    <row r="32" spans="1:78" x14ac:dyDescent="0.3">
      <c r="A32" t="s">
        <v>2</v>
      </c>
      <c r="B32" t="s">
        <v>92</v>
      </c>
      <c r="C32" t="s">
        <v>93</v>
      </c>
      <c r="D32" t="s">
        <v>94</v>
      </c>
      <c r="E32" t="s">
        <v>95</v>
      </c>
      <c r="F32" t="s">
        <v>271</v>
      </c>
      <c r="G32">
        <v>654000</v>
      </c>
      <c r="H32">
        <v>654000</v>
      </c>
      <c r="AA32" t="s">
        <v>272</v>
      </c>
      <c r="AB32" t="s">
        <v>273</v>
      </c>
      <c r="AC32" t="s">
        <v>274</v>
      </c>
      <c r="AE32" t="s">
        <v>275</v>
      </c>
      <c r="AF32" t="s">
        <v>276</v>
      </c>
      <c r="AG32" t="s">
        <v>277</v>
      </c>
      <c r="AH32" t="s">
        <v>278</v>
      </c>
      <c r="AI32">
        <v>45619</v>
      </c>
      <c r="AJ32">
        <v>45619</v>
      </c>
      <c r="AK32" t="s">
        <v>137</v>
      </c>
      <c r="AL32" t="s">
        <v>142</v>
      </c>
      <c r="AM32" t="s">
        <v>284</v>
      </c>
      <c r="AN32" t="s">
        <v>107</v>
      </c>
      <c r="AO32" t="s">
        <v>107</v>
      </c>
      <c r="AP32">
        <v>97800</v>
      </c>
      <c r="AQ32">
        <v>97800</v>
      </c>
      <c r="AR32">
        <v>0</v>
      </c>
      <c r="AS32" t="s">
        <v>107</v>
      </c>
      <c r="AT32" t="s">
        <v>108</v>
      </c>
      <c r="AU32" t="s">
        <v>109</v>
      </c>
      <c r="AV32" t="s">
        <v>110</v>
      </c>
      <c r="AW32" t="s">
        <v>111</v>
      </c>
      <c r="AY32" t="s">
        <v>285</v>
      </c>
      <c r="AZ32" t="s">
        <v>113</v>
      </c>
      <c r="BB32" t="s">
        <v>114</v>
      </c>
      <c r="BC32" t="s">
        <v>115</v>
      </c>
      <c r="BN32" t="s">
        <v>116</v>
      </c>
      <c r="BO32" t="s">
        <v>281</v>
      </c>
      <c r="BP32" t="s">
        <v>166</v>
      </c>
      <c r="BR32" t="s">
        <v>282</v>
      </c>
      <c r="BS32" t="s">
        <v>286</v>
      </c>
      <c r="BW32" t="s">
        <v>121</v>
      </c>
      <c r="BX32" t="s">
        <v>122</v>
      </c>
      <c r="BY32" t="s">
        <v>123</v>
      </c>
      <c r="BZ32" t="s">
        <v>124</v>
      </c>
    </row>
    <row r="33" spans="1:78" x14ac:dyDescent="0.3">
      <c r="A33" t="s">
        <v>2</v>
      </c>
      <c r="B33" t="s">
        <v>92</v>
      </c>
      <c r="C33" t="s">
        <v>93</v>
      </c>
      <c r="D33" t="s">
        <v>94</v>
      </c>
      <c r="E33" t="s">
        <v>95</v>
      </c>
      <c r="F33" t="s">
        <v>271</v>
      </c>
      <c r="G33">
        <v>654000</v>
      </c>
      <c r="H33">
        <v>654000</v>
      </c>
      <c r="AA33" t="s">
        <v>272</v>
      </c>
      <c r="AB33" t="s">
        <v>273</v>
      </c>
      <c r="AC33" t="s">
        <v>274</v>
      </c>
      <c r="AE33" t="s">
        <v>275</v>
      </c>
      <c r="AF33" t="s">
        <v>276</v>
      </c>
      <c r="AG33" t="s">
        <v>277</v>
      </c>
      <c r="AH33" t="s">
        <v>278</v>
      </c>
      <c r="AI33">
        <v>45657</v>
      </c>
      <c r="AJ33">
        <v>45631</v>
      </c>
      <c r="AK33" t="s">
        <v>137</v>
      </c>
      <c r="AL33" t="s">
        <v>146</v>
      </c>
      <c r="AM33" t="s">
        <v>287</v>
      </c>
      <c r="AN33" t="s">
        <v>107</v>
      </c>
      <c r="AO33" t="s">
        <v>107</v>
      </c>
      <c r="AP33">
        <v>30000</v>
      </c>
      <c r="AQ33">
        <v>30000</v>
      </c>
      <c r="AR33">
        <v>0</v>
      </c>
      <c r="AS33" t="s">
        <v>107</v>
      </c>
      <c r="AT33" t="s">
        <v>108</v>
      </c>
      <c r="AU33" t="s">
        <v>109</v>
      </c>
      <c r="AV33" t="s">
        <v>110</v>
      </c>
      <c r="AW33" t="s">
        <v>288</v>
      </c>
      <c r="AX33" t="s">
        <v>273</v>
      </c>
      <c r="AY33" t="s">
        <v>289</v>
      </c>
      <c r="AZ33" t="s">
        <v>113</v>
      </c>
      <c r="BA33" t="s">
        <v>133</v>
      </c>
      <c r="BB33" t="s">
        <v>211</v>
      </c>
      <c r="BC33" t="s">
        <v>115</v>
      </c>
      <c r="BN33" t="s">
        <v>116</v>
      </c>
      <c r="BO33" t="s">
        <v>281</v>
      </c>
      <c r="BP33" t="s">
        <v>166</v>
      </c>
      <c r="BR33" t="s">
        <v>282</v>
      </c>
      <c r="BS33" t="s">
        <v>283</v>
      </c>
      <c r="BW33" t="s">
        <v>121</v>
      </c>
      <c r="BX33" t="s">
        <v>122</v>
      </c>
      <c r="BY33" t="s">
        <v>123</v>
      </c>
      <c r="BZ33" t="s">
        <v>124</v>
      </c>
    </row>
    <row r="34" spans="1:78" x14ac:dyDescent="0.3">
      <c r="A34" t="s">
        <v>2</v>
      </c>
      <c r="B34" t="s">
        <v>92</v>
      </c>
      <c r="C34" t="s">
        <v>93</v>
      </c>
      <c r="D34" t="s">
        <v>94</v>
      </c>
      <c r="E34" t="s">
        <v>95</v>
      </c>
      <c r="F34" t="s">
        <v>271</v>
      </c>
      <c r="G34">
        <v>654000</v>
      </c>
      <c r="H34">
        <v>654000</v>
      </c>
      <c r="AA34" t="s">
        <v>272</v>
      </c>
      <c r="AB34" t="s">
        <v>273</v>
      </c>
      <c r="AC34" t="s">
        <v>274</v>
      </c>
      <c r="AE34" t="s">
        <v>275</v>
      </c>
      <c r="AF34" t="s">
        <v>276</v>
      </c>
      <c r="AG34" t="s">
        <v>277</v>
      </c>
      <c r="AH34" t="s">
        <v>278</v>
      </c>
      <c r="AI34">
        <v>45657</v>
      </c>
      <c r="AJ34">
        <v>45723</v>
      </c>
      <c r="AK34" t="s">
        <v>218</v>
      </c>
      <c r="AL34" t="s">
        <v>152</v>
      </c>
      <c r="AM34" t="s">
        <v>290</v>
      </c>
      <c r="AN34" t="s">
        <v>107</v>
      </c>
      <c r="AO34" t="s">
        <v>107</v>
      </c>
      <c r="AP34">
        <v>523200</v>
      </c>
      <c r="AQ34">
        <v>523200</v>
      </c>
      <c r="AR34">
        <v>0</v>
      </c>
      <c r="AS34" t="s">
        <v>107</v>
      </c>
      <c r="AT34" t="s">
        <v>108</v>
      </c>
      <c r="AU34" t="s">
        <v>109</v>
      </c>
      <c r="AV34" t="s">
        <v>110</v>
      </c>
      <c r="AW34" t="s">
        <v>111</v>
      </c>
      <c r="AY34" t="s">
        <v>291</v>
      </c>
      <c r="AZ34" t="s">
        <v>116</v>
      </c>
      <c r="BB34" t="s">
        <v>114</v>
      </c>
      <c r="BC34" t="s">
        <v>115</v>
      </c>
      <c r="BN34" t="s">
        <v>116</v>
      </c>
      <c r="BO34" t="s">
        <v>281</v>
      </c>
      <c r="BP34" t="s">
        <v>166</v>
      </c>
      <c r="BR34" t="s">
        <v>282</v>
      </c>
      <c r="BS34" t="s">
        <v>292</v>
      </c>
      <c r="BW34" t="s">
        <v>121</v>
      </c>
      <c r="BX34" t="s">
        <v>122</v>
      </c>
      <c r="BY34" t="s">
        <v>123</v>
      </c>
      <c r="BZ34" t="s">
        <v>124</v>
      </c>
    </row>
    <row r="35" spans="1:78" x14ac:dyDescent="0.3">
      <c r="A35" t="s">
        <v>2</v>
      </c>
      <c r="B35" t="s">
        <v>92</v>
      </c>
      <c r="C35" t="s">
        <v>93</v>
      </c>
      <c r="D35" t="s">
        <v>94</v>
      </c>
      <c r="E35" t="s">
        <v>95</v>
      </c>
      <c r="F35" t="s">
        <v>293</v>
      </c>
      <c r="G35">
        <v>654000</v>
      </c>
      <c r="H35">
        <v>654000</v>
      </c>
      <c r="AA35" t="s">
        <v>294</v>
      </c>
      <c r="AB35" t="s">
        <v>295</v>
      </c>
      <c r="AC35" t="s">
        <v>296</v>
      </c>
      <c r="AE35" t="s">
        <v>297</v>
      </c>
      <c r="AF35" t="s">
        <v>298</v>
      </c>
      <c r="AG35" t="s">
        <v>102</v>
      </c>
      <c r="AH35" t="s">
        <v>299</v>
      </c>
      <c r="AI35">
        <v>45477</v>
      </c>
      <c r="AJ35">
        <v>45477</v>
      </c>
      <c r="AK35" t="s">
        <v>104</v>
      </c>
      <c r="AL35" t="s">
        <v>105</v>
      </c>
      <c r="AM35" t="s">
        <v>106</v>
      </c>
      <c r="AN35" t="s">
        <v>107</v>
      </c>
      <c r="AO35" t="s">
        <v>107</v>
      </c>
      <c r="AP35">
        <v>3000</v>
      </c>
      <c r="AQ35">
        <v>3000</v>
      </c>
      <c r="AR35">
        <v>0</v>
      </c>
      <c r="AS35" t="s">
        <v>107</v>
      </c>
      <c r="AT35" t="s">
        <v>243</v>
      </c>
      <c r="AU35" t="s">
        <v>109</v>
      </c>
      <c r="AV35" t="s">
        <v>110</v>
      </c>
      <c r="AW35" t="s">
        <v>111</v>
      </c>
      <c r="AY35" t="s">
        <v>300</v>
      </c>
      <c r="AZ35" t="s">
        <v>113</v>
      </c>
      <c r="BB35" t="s">
        <v>114</v>
      </c>
      <c r="BC35" t="s">
        <v>115</v>
      </c>
      <c r="BN35" t="s">
        <v>116</v>
      </c>
      <c r="BO35" t="s">
        <v>301</v>
      </c>
      <c r="BP35" t="s">
        <v>166</v>
      </c>
      <c r="BR35" t="s">
        <v>302</v>
      </c>
      <c r="BS35" t="s">
        <v>303</v>
      </c>
      <c r="BW35" t="s">
        <v>121</v>
      </c>
      <c r="BX35" t="s">
        <v>122</v>
      </c>
      <c r="BY35" t="s">
        <v>123</v>
      </c>
      <c r="BZ35" t="s">
        <v>124</v>
      </c>
    </row>
    <row r="36" spans="1:78" x14ac:dyDescent="0.3">
      <c r="A36" t="s">
        <v>2</v>
      </c>
      <c r="B36" t="s">
        <v>92</v>
      </c>
      <c r="C36" t="s">
        <v>93</v>
      </c>
      <c r="D36" t="s">
        <v>94</v>
      </c>
      <c r="E36" t="s">
        <v>95</v>
      </c>
      <c r="F36" t="s">
        <v>293</v>
      </c>
      <c r="G36">
        <v>654000</v>
      </c>
      <c r="H36">
        <v>654000</v>
      </c>
      <c r="AA36" t="s">
        <v>294</v>
      </c>
      <c r="AB36" t="s">
        <v>295</v>
      </c>
      <c r="AC36" t="s">
        <v>296</v>
      </c>
      <c r="AE36" t="s">
        <v>297</v>
      </c>
      <c r="AF36" t="s">
        <v>298</v>
      </c>
      <c r="AG36" t="s">
        <v>102</v>
      </c>
      <c r="AH36" t="s">
        <v>299</v>
      </c>
      <c r="AI36">
        <v>45657</v>
      </c>
      <c r="AJ36">
        <v>45567</v>
      </c>
      <c r="AK36" t="s">
        <v>137</v>
      </c>
      <c r="AL36" t="s">
        <v>105</v>
      </c>
      <c r="AM36" t="s">
        <v>304</v>
      </c>
      <c r="AN36" t="s">
        <v>107</v>
      </c>
      <c r="AO36" t="s">
        <v>107</v>
      </c>
      <c r="AP36">
        <v>57400</v>
      </c>
      <c r="AQ36">
        <v>20000</v>
      </c>
      <c r="AR36">
        <v>0</v>
      </c>
      <c r="AS36" t="s">
        <v>107</v>
      </c>
      <c r="AT36" t="s">
        <v>243</v>
      </c>
      <c r="AU36" t="s">
        <v>109</v>
      </c>
      <c r="AV36" t="s">
        <v>110</v>
      </c>
      <c r="AW36" t="s">
        <v>111</v>
      </c>
      <c r="AY36" t="s">
        <v>305</v>
      </c>
      <c r="AZ36" t="s">
        <v>113</v>
      </c>
      <c r="BB36" t="s">
        <v>114</v>
      </c>
      <c r="BC36" t="s">
        <v>115</v>
      </c>
      <c r="BN36" t="s">
        <v>116</v>
      </c>
      <c r="BO36" t="s">
        <v>301</v>
      </c>
      <c r="BP36" t="s">
        <v>166</v>
      </c>
      <c r="BR36" t="s">
        <v>302</v>
      </c>
      <c r="BS36" t="s">
        <v>306</v>
      </c>
      <c r="BW36" t="s">
        <v>121</v>
      </c>
      <c r="BX36" t="s">
        <v>122</v>
      </c>
      <c r="BY36" t="s">
        <v>123</v>
      </c>
      <c r="BZ36" t="s">
        <v>124</v>
      </c>
    </row>
    <row r="37" spans="1:78" x14ac:dyDescent="0.3">
      <c r="A37" t="s">
        <v>2</v>
      </c>
      <c r="B37" t="s">
        <v>92</v>
      </c>
      <c r="C37" t="s">
        <v>93</v>
      </c>
      <c r="D37" t="s">
        <v>94</v>
      </c>
      <c r="E37" t="s">
        <v>95</v>
      </c>
      <c r="F37" t="s">
        <v>293</v>
      </c>
      <c r="G37">
        <v>654000</v>
      </c>
      <c r="H37">
        <v>654000</v>
      </c>
      <c r="AA37" t="s">
        <v>294</v>
      </c>
      <c r="AB37" t="s">
        <v>295</v>
      </c>
      <c r="AC37" t="s">
        <v>296</v>
      </c>
      <c r="AE37" t="s">
        <v>297</v>
      </c>
      <c r="AF37" t="s">
        <v>298</v>
      </c>
      <c r="AG37" t="s">
        <v>102</v>
      </c>
      <c r="AH37" t="s">
        <v>299</v>
      </c>
      <c r="AI37">
        <v>45657</v>
      </c>
      <c r="AJ37">
        <v>45723</v>
      </c>
      <c r="AK37" t="s">
        <v>137</v>
      </c>
      <c r="AL37" t="s">
        <v>105</v>
      </c>
      <c r="AM37" t="s">
        <v>107</v>
      </c>
      <c r="AN37" t="s">
        <v>107</v>
      </c>
      <c r="AO37" t="s">
        <v>107</v>
      </c>
      <c r="AP37">
        <v>0</v>
      </c>
      <c r="AQ37">
        <v>37400</v>
      </c>
      <c r="AR37">
        <v>0</v>
      </c>
      <c r="AS37" t="s">
        <v>107</v>
      </c>
      <c r="AT37" t="s">
        <v>243</v>
      </c>
      <c r="AU37" t="s">
        <v>109</v>
      </c>
      <c r="AV37" t="s">
        <v>110</v>
      </c>
      <c r="AW37" t="s">
        <v>111</v>
      </c>
      <c r="AY37" t="s">
        <v>307</v>
      </c>
      <c r="AZ37" t="s">
        <v>113</v>
      </c>
      <c r="BB37" t="s">
        <v>114</v>
      </c>
      <c r="BC37" t="s">
        <v>115</v>
      </c>
      <c r="BN37" t="s">
        <v>116</v>
      </c>
      <c r="BO37" t="s">
        <v>301</v>
      </c>
      <c r="BP37" t="s">
        <v>166</v>
      </c>
      <c r="BR37" t="s">
        <v>302</v>
      </c>
      <c r="BS37" t="s">
        <v>308</v>
      </c>
      <c r="BW37" t="s">
        <v>121</v>
      </c>
      <c r="BX37" t="s">
        <v>122</v>
      </c>
      <c r="BY37" t="s">
        <v>123</v>
      </c>
      <c r="BZ37" t="s">
        <v>124</v>
      </c>
    </row>
    <row r="38" spans="1:78" x14ac:dyDescent="0.3">
      <c r="A38" t="s">
        <v>2</v>
      </c>
      <c r="B38" t="s">
        <v>92</v>
      </c>
      <c r="C38" t="s">
        <v>93</v>
      </c>
      <c r="D38" t="s">
        <v>94</v>
      </c>
      <c r="E38" t="s">
        <v>95</v>
      </c>
      <c r="F38" t="s">
        <v>309</v>
      </c>
      <c r="G38">
        <v>446900</v>
      </c>
      <c r="H38">
        <v>446900</v>
      </c>
      <c r="AA38" t="s">
        <v>310</v>
      </c>
      <c r="AB38" t="s">
        <v>311</v>
      </c>
      <c r="AC38" t="s">
        <v>312</v>
      </c>
      <c r="AD38" t="s">
        <v>313</v>
      </c>
      <c r="AE38" t="s">
        <v>314</v>
      </c>
      <c r="AF38" t="s">
        <v>315</v>
      </c>
      <c r="AG38" t="s">
        <v>316</v>
      </c>
      <c r="AH38" t="s">
        <v>316</v>
      </c>
      <c r="AI38">
        <v>45526</v>
      </c>
      <c r="AJ38">
        <v>45526</v>
      </c>
      <c r="AK38" t="s">
        <v>104</v>
      </c>
      <c r="AL38" t="s">
        <v>105</v>
      </c>
      <c r="AM38" t="s">
        <v>106</v>
      </c>
      <c r="AN38" t="s">
        <v>107</v>
      </c>
      <c r="AO38" t="s">
        <v>107</v>
      </c>
      <c r="AP38">
        <v>3000</v>
      </c>
      <c r="AQ38">
        <v>3000</v>
      </c>
      <c r="AR38">
        <v>0</v>
      </c>
      <c r="AS38" t="s">
        <v>107</v>
      </c>
      <c r="AT38" t="s">
        <v>108</v>
      </c>
      <c r="AU38" t="s">
        <v>109</v>
      </c>
      <c r="AV38" t="s">
        <v>110</v>
      </c>
      <c r="AW38" t="s">
        <v>111</v>
      </c>
      <c r="AX38" t="s">
        <v>311</v>
      </c>
      <c r="AY38" t="s">
        <v>317</v>
      </c>
      <c r="AZ38" t="s">
        <v>113</v>
      </c>
      <c r="BA38" t="s">
        <v>133</v>
      </c>
      <c r="BB38" t="s">
        <v>114</v>
      </c>
      <c r="BC38" t="s">
        <v>115</v>
      </c>
      <c r="BN38" t="s">
        <v>116</v>
      </c>
      <c r="BO38" t="s">
        <v>318</v>
      </c>
      <c r="BP38" t="s">
        <v>118</v>
      </c>
      <c r="BR38" t="s">
        <v>319</v>
      </c>
      <c r="BS38" t="s">
        <v>320</v>
      </c>
      <c r="BW38" t="s">
        <v>121</v>
      </c>
      <c r="BX38" t="s">
        <v>122</v>
      </c>
      <c r="BY38" t="s">
        <v>123</v>
      </c>
      <c r="BZ38" t="s">
        <v>124</v>
      </c>
    </row>
    <row r="39" spans="1:78" x14ac:dyDescent="0.3">
      <c r="A39" t="s">
        <v>2</v>
      </c>
      <c r="B39" t="s">
        <v>92</v>
      </c>
      <c r="C39" t="s">
        <v>93</v>
      </c>
      <c r="D39" t="s">
        <v>94</v>
      </c>
      <c r="E39" t="s">
        <v>95</v>
      </c>
      <c r="F39" t="s">
        <v>154</v>
      </c>
      <c r="G39">
        <v>490000</v>
      </c>
      <c r="H39">
        <v>490000</v>
      </c>
      <c r="AA39" t="s">
        <v>321</v>
      </c>
      <c r="AB39" t="s">
        <v>322</v>
      </c>
      <c r="AC39" t="s">
        <v>323</v>
      </c>
      <c r="AD39" t="s">
        <v>324</v>
      </c>
      <c r="AE39" t="s">
        <v>324</v>
      </c>
      <c r="AF39" t="s">
        <v>325</v>
      </c>
      <c r="AG39" t="s">
        <v>102</v>
      </c>
      <c r="AH39" t="s">
        <v>326</v>
      </c>
      <c r="AI39">
        <v>45617</v>
      </c>
      <c r="AJ39">
        <v>45617</v>
      </c>
      <c r="AK39" t="s">
        <v>104</v>
      </c>
      <c r="AL39" t="s">
        <v>105</v>
      </c>
      <c r="AM39" t="s">
        <v>106</v>
      </c>
      <c r="AN39" t="s">
        <v>107</v>
      </c>
      <c r="AO39" t="s">
        <v>107</v>
      </c>
      <c r="AP39">
        <v>3000</v>
      </c>
      <c r="AQ39">
        <v>3000</v>
      </c>
      <c r="AR39">
        <v>0</v>
      </c>
      <c r="AS39" t="s">
        <v>107</v>
      </c>
      <c r="AT39" t="s">
        <v>108</v>
      </c>
      <c r="AU39" t="s">
        <v>109</v>
      </c>
      <c r="AV39" t="s">
        <v>110</v>
      </c>
      <c r="AW39" t="s">
        <v>111</v>
      </c>
      <c r="AX39" t="s">
        <v>322</v>
      </c>
      <c r="AY39" t="s">
        <v>327</v>
      </c>
      <c r="AZ39" t="s">
        <v>113</v>
      </c>
      <c r="BA39" t="s">
        <v>133</v>
      </c>
      <c r="BB39" t="s">
        <v>114</v>
      </c>
      <c r="BC39" t="s">
        <v>115</v>
      </c>
      <c r="BN39" t="s">
        <v>116</v>
      </c>
      <c r="BO39" t="s">
        <v>328</v>
      </c>
      <c r="BP39" t="s">
        <v>118</v>
      </c>
      <c r="BR39" t="s">
        <v>329</v>
      </c>
      <c r="BS39" t="s">
        <v>330</v>
      </c>
      <c r="BW39" t="s">
        <v>121</v>
      </c>
      <c r="BX39" t="s">
        <v>122</v>
      </c>
      <c r="BY39" t="s">
        <v>123</v>
      </c>
      <c r="BZ39" t="s">
        <v>124</v>
      </c>
    </row>
    <row r="40" spans="1:78" x14ac:dyDescent="0.3">
      <c r="A40" t="s">
        <v>2</v>
      </c>
      <c r="B40" t="s">
        <v>92</v>
      </c>
      <c r="C40" t="s">
        <v>93</v>
      </c>
      <c r="D40" t="s">
        <v>94</v>
      </c>
      <c r="E40" t="s">
        <v>95</v>
      </c>
      <c r="F40" t="s">
        <v>154</v>
      </c>
      <c r="G40">
        <v>490000</v>
      </c>
      <c r="H40">
        <v>490000</v>
      </c>
      <c r="AA40" t="s">
        <v>321</v>
      </c>
      <c r="AB40" t="s">
        <v>322</v>
      </c>
      <c r="AC40" t="s">
        <v>323</v>
      </c>
      <c r="AD40" t="s">
        <v>324</v>
      </c>
      <c r="AE40" t="s">
        <v>324</v>
      </c>
      <c r="AF40" t="s">
        <v>325</v>
      </c>
      <c r="AG40" t="s">
        <v>102</v>
      </c>
      <c r="AH40" t="s">
        <v>326</v>
      </c>
      <c r="AI40">
        <v>45652</v>
      </c>
      <c r="AJ40">
        <v>45652</v>
      </c>
      <c r="AK40" t="s">
        <v>137</v>
      </c>
      <c r="AL40" t="s">
        <v>105</v>
      </c>
      <c r="AM40" t="s">
        <v>138</v>
      </c>
      <c r="AN40" t="s">
        <v>107</v>
      </c>
      <c r="AO40" t="s">
        <v>107</v>
      </c>
      <c r="AP40">
        <v>20000</v>
      </c>
      <c r="AQ40">
        <v>20000</v>
      </c>
      <c r="AR40">
        <v>0</v>
      </c>
      <c r="AS40" t="s">
        <v>107</v>
      </c>
      <c r="AT40" t="s">
        <v>108</v>
      </c>
      <c r="AU40" t="s">
        <v>109</v>
      </c>
      <c r="AV40" t="s">
        <v>110</v>
      </c>
      <c r="AW40" t="s">
        <v>111</v>
      </c>
      <c r="AY40" t="s">
        <v>331</v>
      </c>
      <c r="AZ40" t="s">
        <v>113</v>
      </c>
      <c r="BB40" t="s">
        <v>114</v>
      </c>
      <c r="BC40" t="s">
        <v>115</v>
      </c>
      <c r="BN40" t="s">
        <v>116</v>
      </c>
      <c r="BO40" t="s">
        <v>328</v>
      </c>
      <c r="BP40" t="s">
        <v>118</v>
      </c>
      <c r="BR40" t="s">
        <v>329</v>
      </c>
      <c r="BS40" t="s">
        <v>332</v>
      </c>
      <c r="BW40" t="s">
        <v>121</v>
      </c>
      <c r="BX40" t="s">
        <v>122</v>
      </c>
      <c r="BY40" t="s">
        <v>123</v>
      </c>
      <c r="BZ40" t="s">
        <v>124</v>
      </c>
    </row>
    <row r="41" spans="1:78" x14ac:dyDescent="0.3">
      <c r="A41" t="s">
        <v>2</v>
      </c>
      <c r="B41" t="s">
        <v>92</v>
      </c>
      <c r="C41" t="s">
        <v>93</v>
      </c>
      <c r="D41" t="s">
        <v>94</v>
      </c>
      <c r="E41" t="s">
        <v>95</v>
      </c>
      <c r="F41" t="s">
        <v>333</v>
      </c>
      <c r="G41">
        <v>592500</v>
      </c>
      <c r="H41">
        <v>592500</v>
      </c>
      <c r="AA41" t="s">
        <v>334</v>
      </c>
      <c r="AB41" t="s">
        <v>335</v>
      </c>
      <c r="AC41" t="s">
        <v>336</v>
      </c>
      <c r="AE41" t="s">
        <v>337</v>
      </c>
      <c r="AF41" t="s">
        <v>338</v>
      </c>
      <c r="AG41" t="s">
        <v>102</v>
      </c>
      <c r="AH41" t="s">
        <v>339</v>
      </c>
      <c r="AI41">
        <v>45593</v>
      </c>
      <c r="AJ41">
        <v>45593</v>
      </c>
      <c r="AK41" t="s">
        <v>104</v>
      </c>
      <c r="AL41" t="s">
        <v>105</v>
      </c>
      <c r="AM41" t="s">
        <v>106</v>
      </c>
      <c r="AN41" t="s">
        <v>107</v>
      </c>
      <c r="AO41" t="s">
        <v>107</v>
      </c>
      <c r="AP41">
        <v>3000</v>
      </c>
      <c r="AQ41">
        <v>3000</v>
      </c>
      <c r="AR41">
        <v>0</v>
      </c>
      <c r="AS41" t="s">
        <v>107</v>
      </c>
      <c r="AT41" t="s">
        <v>108</v>
      </c>
      <c r="AU41" t="s">
        <v>109</v>
      </c>
      <c r="AV41" t="s">
        <v>110</v>
      </c>
      <c r="AW41" t="s">
        <v>111</v>
      </c>
      <c r="AX41" t="s">
        <v>335</v>
      </c>
      <c r="AY41" t="s">
        <v>340</v>
      </c>
      <c r="AZ41" t="s">
        <v>113</v>
      </c>
      <c r="BA41" t="s">
        <v>133</v>
      </c>
      <c r="BB41" t="s">
        <v>211</v>
      </c>
      <c r="BC41" t="s">
        <v>115</v>
      </c>
      <c r="BN41" t="s">
        <v>116</v>
      </c>
      <c r="BO41" t="s">
        <v>341</v>
      </c>
      <c r="BP41" t="s">
        <v>166</v>
      </c>
      <c r="BR41" t="s">
        <v>342</v>
      </c>
      <c r="BS41" t="s">
        <v>214</v>
      </c>
      <c r="BW41" t="s">
        <v>121</v>
      </c>
      <c r="BX41" t="s">
        <v>122</v>
      </c>
      <c r="BY41" t="s">
        <v>123</v>
      </c>
      <c r="BZ41" t="s">
        <v>124</v>
      </c>
    </row>
    <row r="42" spans="1:78" x14ac:dyDescent="0.3">
      <c r="A42" t="s">
        <v>2</v>
      </c>
      <c r="B42" t="s">
        <v>92</v>
      </c>
      <c r="C42" t="s">
        <v>93</v>
      </c>
      <c r="D42" t="s">
        <v>94</v>
      </c>
      <c r="E42" t="s">
        <v>95</v>
      </c>
      <c r="F42" t="s">
        <v>333</v>
      </c>
      <c r="G42">
        <v>592500</v>
      </c>
      <c r="H42">
        <v>592500</v>
      </c>
      <c r="AA42" t="s">
        <v>334</v>
      </c>
      <c r="AB42" t="s">
        <v>335</v>
      </c>
      <c r="AC42" t="s">
        <v>336</v>
      </c>
      <c r="AE42" t="s">
        <v>337</v>
      </c>
      <c r="AF42" t="s">
        <v>338</v>
      </c>
      <c r="AG42" t="s">
        <v>102</v>
      </c>
      <c r="AH42" t="s">
        <v>339</v>
      </c>
      <c r="AI42">
        <v>45618</v>
      </c>
      <c r="AJ42">
        <v>45618</v>
      </c>
      <c r="AK42" t="s">
        <v>137</v>
      </c>
      <c r="AL42" t="s">
        <v>142</v>
      </c>
      <c r="AM42" t="s">
        <v>343</v>
      </c>
      <c r="AN42" t="s">
        <v>107</v>
      </c>
      <c r="AO42" t="s">
        <v>107</v>
      </c>
      <c r="AP42">
        <v>48000</v>
      </c>
      <c r="AQ42">
        <v>48000</v>
      </c>
      <c r="AR42">
        <v>0</v>
      </c>
      <c r="AS42" t="s">
        <v>107</v>
      </c>
      <c r="AT42" t="s">
        <v>108</v>
      </c>
      <c r="AU42" t="s">
        <v>109</v>
      </c>
      <c r="AV42" t="s">
        <v>110</v>
      </c>
      <c r="AW42" t="s">
        <v>111</v>
      </c>
      <c r="AY42" t="s">
        <v>344</v>
      </c>
      <c r="AZ42" t="s">
        <v>113</v>
      </c>
      <c r="BB42" t="s">
        <v>114</v>
      </c>
      <c r="BC42" t="s">
        <v>115</v>
      </c>
      <c r="BN42" t="s">
        <v>116</v>
      </c>
      <c r="BO42" t="s">
        <v>341</v>
      </c>
      <c r="BP42" t="s">
        <v>166</v>
      </c>
      <c r="BR42" t="s">
        <v>342</v>
      </c>
      <c r="BS42" t="s">
        <v>345</v>
      </c>
      <c r="BW42" t="s">
        <v>121</v>
      </c>
      <c r="BX42" t="s">
        <v>122</v>
      </c>
      <c r="BY42" t="s">
        <v>123</v>
      </c>
      <c r="BZ42" t="s">
        <v>124</v>
      </c>
    </row>
    <row r="43" spans="1:78" x14ac:dyDescent="0.3">
      <c r="A43" t="s">
        <v>2</v>
      </c>
      <c r="B43" t="s">
        <v>92</v>
      </c>
      <c r="C43" t="s">
        <v>93</v>
      </c>
      <c r="D43" t="s">
        <v>94</v>
      </c>
      <c r="E43" t="s">
        <v>95</v>
      </c>
      <c r="F43" t="s">
        <v>333</v>
      </c>
      <c r="G43">
        <v>592500</v>
      </c>
      <c r="H43">
        <v>592500</v>
      </c>
      <c r="AA43" t="s">
        <v>334</v>
      </c>
      <c r="AB43" t="s">
        <v>335</v>
      </c>
      <c r="AC43" t="s">
        <v>336</v>
      </c>
      <c r="AE43" t="s">
        <v>337</v>
      </c>
      <c r="AF43" t="s">
        <v>338</v>
      </c>
      <c r="AG43" t="s">
        <v>102</v>
      </c>
      <c r="AH43" t="s">
        <v>339</v>
      </c>
      <c r="AI43">
        <v>45638</v>
      </c>
      <c r="AJ43">
        <v>45638</v>
      </c>
      <c r="AK43" t="s">
        <v>137</v>
      </c>
      <c r="AL43" t="s">
        <v>146</v>
      </c>
      <c r="AM43" t="s">
        <v>346</v>
      </c>
      <c r="AN43" t="s">
        <v>107</v>
      </c>
      <c r="AO43" t="s">
        <v>107</v>
      </c>
      <c r="AP43">
        <v>8250</v>
      </c>
      <c r="AQ43">
        <v>8250</v>
      </c>
      <c r="AR43">
        <v>0</v>
      </c>
      <c r="AS43" t="s">
        <v>107</v>
      </c>
      <c r="AT43" t="s">
        <v>108</v>
      </c>
      <c r="AU43" t="s">
        <v>109</v>
      </c>
      <c r="AV43" t="s">
        <v>110</v>
      </c>
      <c r="AW43" t="s">
        <v>111</v>
      </c>
      <c r="AX43" t="s">
        <v>335</v>
      </c>
      <c r="AY43" t="s">
        <v>347</v>
      </c>
      <c r="AZ43" t="s">
        <v>113</v>
      </c>
      <c r="BA43" t="s">
        <v>133</v>
      </c>
      <c r="BB43" t="s">
        <v>211</v>
      </c>
      <c r="BC43" t="s">
        <v>115</v>
      </c>
      <c r="BN43" t="s">
        <v>116</v>
      </c>
      <c r="BO43" t="s">
        <v>341</v>
      </c>
      <c r="BP43" t="s">
        <v>166</v>
      </c>
      <c r="BR43" t="s">
        <v>342</v>
      </c>
      <c r="BS43" t="s">
        <v>214</v>
      </c>
      <c r="BW43" t="s">
        <v>121</v>
      </c>
      <c r="BX43" t="s">
        <v>122</v>
      </c>
      <c r="BY43" t="s">
        <v>123</v>
      </c>
      <c r="BZ43" t="s">
        <v>124</v>
      </c>
    </row>
    <row r="44" spans="1:78" x14ac:dyDescent="0.3">
      <c r="A44" t="s">
        <v>2</v>
      </c>
      <c r="B44" t="s">
        <v>92</v>
      </c>
      <c r="C44" t="s">
        <v>93</v>
      </c>
      <c r="D44" t="s">
        <v>94</v>
      </c>
      <c r="E44" t="s">
        <v>95</v>
      </c>
      <c r="F44" t="s">
        <v>333</v>
      </c>
      <c r="G44">
        <v>592500</v>
      </c>
      <c r="H44">
        <v>592500</v>
      </c>
      <c r="AA44" t="s">
        <v>334</v>
      </c>
      <c r="AB44" t="s">
        <v>335</v>
      </c>
      <c r="AC44" t="s">
        <v>336</v>
      </c>
      <c r="AE44" t="s">
        <v>337</v>
      </c>
      <c r="AF44" t="s">
        <v>338</v>
      </c>
      <c r="AG44" t="s">
        <v>102</v>
      </c>
      <c r="AH44" t="s">
        <v>339</v>
      </c>
      <c r="AI44">
        <v>45657</v>
      </c>
      <c r="AJ44">
        <v>45747</v>
      </c>
      <c r="AK44" t="s">
        <v>218</v>
      </c>
      <c r="AL44" t="s">
        <v>152</v>
      </c>
      <c r="AM44" t="s">
        <v>348</v>
      </c>
      <c r="AN44" t="s">
        <v>107</v>
      </c>
      <c r="AO44" t="s">
        <v>107</v>
      </c>
      <c r="AP44">
        <v>533250</v>
      </c>
      <c r="AQ44">
        <v>533250</v>
      </c>
      <c r="AR44">
        <v>0</v>
      </c>
      <c r="AS44" t="s">
        <v>107</v>
      </c>
      <c r="AT44" t="s">
        <v>108</v>
      </c>
      <c r="AU44" t="s">
        <v>109</v>
      </c>
      <c r="AV44" t="s">
        <v>110</v>
      </c>
      <c r="AW44" t="s">
        <v>111</v>
      </c>
      <c r="AY44" t="s">
        <v>256</v>
      </c>
      <c r="AZ44" t="s">
        <v>116</v>
      </c>
      <c r="BB44" t="s">
        <v>114</v>
      </c>
      <c r="BC44" t="s">
        <v>115</v>
      </c>
      <c r="BN44" t="s">
        <v>116</v>
      </c>
      <c r="BO44" t="s">
        <v>341</v>
      </c>
      <c r="BP44" t="s">
        <v>166</v>
      </c>
      <c r="BR44" t="s">
        <v>342</v>
      </c>
      <c r="BS44" t="s">
        <v>349</v>
      </c>
      <c r="BW44" t="s">
        <v>121</v>
      </c>
      <c r="BX44" t="s">
        <v>122</v>
      </c>
      <c r="BY44" t="s">
        <v>123</v>
      </c>
      <c r="BZ44" t="s">
        <v>124</v>
      </c>
    </row>
    <row r="45" spans="1:78" x14ac:dyDescent="0.3">
      <c r="A45" t="s">
        <v>2</v>
      </c>
      <c r="B45" t="s">
        <v>92</v>
      </c>
      <c r="C45" t="s">
        <v>93</v>
      </c>
      <c r="D45" t="s">
        <v>94</v>
      </c>
      <c r="E45" t="s">
        <v>95</v>
      </c>
      <c r="F45" t="s">
        <v>350</v>
      </c>
      <c r="G45">
        <v>496000</v>
      </c>
      <c r="H45">
        <v>496000</v>
      </c>
      <c r="AA45" t="s">
        <v>351</v>
      </c>
      <c r="AB45" t="s">
        <v>352</v>
      </c>
      <c r="AC45" t="s">
        <v>353</v>
      </c>
      <c r="AE45" t="s">
        <v>354</v>
      </c>
      <c r="AF45" t="s">
        <v>355</v>
      </c>
      <c r="AG45" t="s">
        <v>102</v>
      </c>
      <c r="AH45" t="s">
        <v>160</v>
      </c>
      <c r="AI45">
        <v>45586</v>
      </c>
      <c r="AJ45">
        <v>45586</v>
      </c>
      <c r="AK45" t="s">
        <v>104</v>
      </c>
      <c r="AL45" t="s">
        <v>105</v>
      </c>
      <c r="AM45" t="s">
        <v>356</v>
      </c>
      <c r="AN45" t="s">
        <v>107</v>
      </c>
      <c r="AO45" t="s">
        <v>107</v>
      </c>
      <c r="AP45">
        <v>200</v>
      </c>
      <c r="AQ45">
        <v>200</v>
      </c>
      <c r="AR45">
        <v>0</v>
      </c>
      <c r="AS45" t="s">
        <v>107</v>
      </c>
      <c r="AT45" t="s">
        <v>243</v>
      </c>
      <c r="AU45" t="s">
        <v>109</v>
      </c>
      <c r="AV45" t="s">
        <v>110</v>
      </c>
      <c r="AW45" t="s">
        <v>111</v>
      </c>
      <c r="AX45" t="s">
        <v>352</v>
      </c>
      <c r="AY45" t="s">
        <v>357</v>
      </c>
      <c r="AZ45" t="s">
        <v>113</v>
      </c>
      <c r="BA45" t="s">
        <v>133</v>
      </c>
      <c r="BB45" t="s">
        <v>211</v>
      </c>
      <c r="BC45" t="s">
        <v>115</v>
      </c>
      <c r="BN45" t="s">
        <v>116</v>
      </c>
      <c r="BO45" t="s">
        <v>358</v>
      </c>
      <c r="BP45" t="s">
        <v>166</v>
      </c>
      <c r="BR45" t="s">
        <v>359</v>
      </c>
      <c r="BS45" t="s">
        <v>283</v>
      </c>
      <c r="BW45" t="s">
        <v>121</v>
      </c>
      <c r="BX45" t="s">
        <v>122</v>
      </c>
      <c r="BY45" t="s">
        <v>123</v>
      </c>
      <c r="BZ45" t="s">
        <v>124</v>
      </c>
    </row>
    <row r="46" spans="1:78" x14ac:dyDescent="0.3">
      <c r="A46" t="s">
        <v>2</v>
      </c>
      <c r="B46" t="s">
        <v>92</v>
      </c>
      <c r="C46" t="s">
        <v>93</v>
      </c>
      <c r="D46" t="s">
        <v>94</v>
      </c>
      <c r="E46" t="s">
        <v>95</v>
      </c>
      <c r="F46" t="s">
        <v>350</v>
      </c>
      <c r="G46">
        <v>496000</v>
      </c>
      <c r="H46">
        <v>496000</v>
      </c>
      <c r="AA46" t="s">
        <v>351</v>
      </c>
      <c r="AB46" t="s">
        <v>352</v>
      </c>
      <c r="AC46" t="s">
        <v>353</v>
      </c>
      <c r="AE46" t="s">
        <v>354</v>
      </c>
      <c r="AF46" t="s">
        <v>355</v>
      </c>
      <c r="AG46" t="s">
        <v>102</v>
      </c>
      <c r="AH46" t="s">
        <v>160</v>
      </c>
      <c r="AI46">
        <v>45587</v>
      </c>
      <c r="AJ46">
        <v>45587</v>
      </c>
      <c r="AK46" t="s">
        <v>104</v>
      </c>
      <c r="AL46" t="s">
        <v>142</v>
      </c>
      <c r="AM46" t="s">
        <v>360</v>
      </c>
      <c r="AN46" t="s">
        <v>107</v>
      </c>
      <c r="AO46" t="s">
        <v>107</v>
      </c>
      <c r="AP46">
        <v>2800</v>
      </c>
      <c r="AQ46">
        <v>2800</v>
      </c>
      <c r="AR46">
        <v>0</v>
      </c>
      <c r="AS46" t="s">
        <v>107</v>
      </c>
      <c r="AT46" t="s">
        <v>243</v>
      </c>
      <c r="AU46" t="s">
        <v>109</v>
      </c>
      <c r="AV46" t="s">
        <v>110</v>
      </c>
      <c r="AW46" t="s">
        <v>279</v>
      </c>
      <c r="AX46" t="s">
        <v>352</v>
      </c>
      <c r="AY46" t="s">
        <v>361</v>
      </c>
      <c r="AZ46" t="s">
        <v>113</v>
      </c>
      <c r="BA46" t="s">
        <v>133</v>
      </c>
      <c r="BB46" t="s">
        <v>211</v>
      </c>
      <c r="BC46" t="s">
        <v>115</v>
      </c>
      <c r="BN46" t="s">
        <v>116</v>
      </c>
      <c r="BO46" t="s">
        <v>358</v>
      </c>
      <c r="BP46" t="s">
        <v>166</v>
      </c>
      <c r="BR46" t="s">
        <v>359</v>
      </c>
      <c r="BS46" t="s">
        <v>283</v>
      </c>
      <c r="BW46" t="s">
        <v>121</v>
      </c>
      <c r="BX46" t="s">
        <v>122</v>
      </c>
      <c r="BY46" t="s">
        <v>123</v>
      </c>
      <c r="BZ46" t="s">
        <v>124</v>
      </c>
    </row>
    <row r="47" spans="1:78" x14ac:dyDescent="0.3">
      <c r="A47" t="s">
        <v>11</v>
      </c>
      <c r="B47" t="s">
        <v>92</v>
      </c>
      <c r="C47" t="s">
        <v>93</v>
      </c>
      <c r="D47" t="s">
        <v>94</v>
      </c>
      <c r="E47" t="s">
        <v>95</v>
      </c>
      <c r="F47" t="s">
        <v>169</v>
      </c>
      <c r="G47">
        <v>587000</v>
      </c>
      <c r="H47">
        <v>577000</v>
      </c>
      <c r="AA47" t="s">
        <v>362</v>
      </c>
      <c r="AB47" t="s">
        <v>363</v>
      </c>
      <c r="AC47" t="s">
        <v>364</v>
      </c>
      <c r="AD47" t="s">
        <v>365</v>
      </c>
      <c r="AE47" t="s">
        <v>366</v>
      </c>
      <c r="AF47" t="s">
        <v>367</v>
      </c>
      <c r="AG47" t="s">
        <v>102</v>
      </c>
      <c r="AH47" t="s">
        <v>131</v>
      </c>
      <c r="AI47">
        <v>45641</v>
      </c>
      <c r="AJ47">
        <v>45641</v>
      </c>
      <c r="AK47" t="s">
        <v>104</v>
      </c>
      <c r="AL47" t="s">
        <v>105</v>
      </c>
      <c r="AM47" t="s">
        <v>106</v>
      </c>
      <c r="AN47" t="s">
        <v>107</v>
      </c>
      <c r="AO47" t="s">
        <v>107</v>
      </c>
      <c r="AP47">
        <v>3000</v>
      </c>
      <c r="AQ47">
        <v>3000</v>
      </c>
      <c r="AR47">
        <v>0</v>
      </c>
      <c r="AS47" t="s">
        <v>107</v>
      </c>
      <c r="AT47" t="s">
        <v>243</v>
      </c>
      <c r="AU47" t="s">
        <v>162</v>
      </c>
      <c r="AV47" t="s">
        <v>163</v>
      </c>
      <c r="AW47" t="s">
        <v>209</v>
      </c>
      <c r="AX47" t="s">
        <v>363</v>
      </c>
      <c r="AY47" t="s">
        <v>368</v>
      </c>
      <c r="AZ47" t="s">
        <v>113</v>
      </c>
      <c r="BA47" t="s">
        <v>133</v>
      </c>
      <c r="BB47" t="s">
        <v>114</v>
      </c>
      <c r="BC47" t="s">
        <v>115</v>
      </c>
      <c r="BN47" t="s">
        <v>116</v>
      </c>
      <c r="BO47" t="s">
        <v>369</v>
      </c>
      <c r="BP47" t="s">
        <v>370</v>
      </c>
      <c r="BR47" t="s">
        <v>371</v>
      </c>
      <c r="BS47" t="s">
        <v>372</v>
      </c>
      <c r="BW47" t="s">
        <v>121</v>
      </c>
      <c r="BX47" t="s">
        <v>122</v>
      </c>
      <c r="BY47" t="s">
        <v>123</v>
      </c>
      <c r="BZ47" t="s">
        <v>124</v>
      </c>
    </row>
    <row r="48" spans="1:78" x14ac:dyDescent="0.3">
      <c r="A48" t="s">
        <v>11</v>
      </c>
      <c r="B48" t="s">
        <v>92</v>
      </c>
      <c r="C48" t="s">
        <v>93</v>
      </c>
      <c r="D48" t="s">
        <v>94</v>
      </c>
      <c r="E48" t="s">
        <v>95</v>
      </c>
      <c r="F48" t="s">
        <v>373</v>
      </c>
      <c r="G48">
        <v>312500</v>
      </c>
      <c r="H48">
        <v>265000</v>
      </c>
      <c r="AA48" t="s">
        <v>374</v>
      </c>
      <c r="AB48" t="s">
        <v>375</v>
      </c>
      <c r="AC48" t="s">
        <v>376</v>
      </c>
      <c r="AD48" t="s">
        <v>365</v>
      </c>
      <c r="AE48" t="s">
        <v>377</v>
      </c>
      <c r="AF48" t="s">
        <v>378</v>
      </c>
      <c r="AG48" t="s">
        <v>102</v>
      </c>
      <c r="AH48" t="s">
        <v>160</v>
      </c>
      <c r="AI48">
        <v>45919</v>
      </c>
      <c r="AJ48">
        <v>45919</v>
      </c>
      <c r="AK48" t="s">
        <v>104</v>
      </c>
      <c r="AL48" t="s">
        <v>105</v>
      </c>
      <c r="AM48" t="s">
        <v>106</v>
      </c>
      <c r="AN48" t="s">
        <v>107</v>
      </c>
      <c r="AO48" t="s">
        <v>107</v>
      </c>
      <c r="AP48">
        <v>3000</v>
      </c>
      <c r="AQ48">
        <v>3000</v>
      </c>
      <c r="AR48">
        <v>0</v>
      </c>
      <c r="AS48" t="s">
        <v>107</v>
      </c>
      <c r="AT48" t="s">
        <v>243</v>
      </c>
      <c r="AU48" t="s">
        <v>162</v>
      </c>
      <c r="AV48" t="s">
        <v>163</v>
      </c>
      <c r="AW48" t="s">
        <v>111</v>
      </c>
      <c r="AY48" t="s">
        <v>379</v>
      </c>
      <c r="AZ48" t="s">
        <v>113</v>
      </c>
      <c r="BB48" t="s">
        <v>114</v>
      </c>
      <c r="BC48" t="s">
        <v>115</v>
      </c>
      <c r="BN48" t="s">
        <v>113</v>
      </c>
      <c r="BO48" t="s">
        <v>380</v>
      </c>
      <c r="BP48" t="s">
        <v>166</v>
      </c>
      <c r="BR48" t="s">
        <v>302</v>
      </c>
      <c r="BS48" t="s">
        <v>381</v>
      </c>
      <c r="BW48" t="s">
        <v>382</v>
      </c>
      <c r="BX48" t="s">
        <v>383</v>
      </c>
      <c r="BY48" t="s">
        <v>123</v>
      </c>
      <c r="BZ48" t="s">
        <v>124</v>
      </c>
    </row>
    <row r="49" spans="1:78" x14ac:dyDescent="0.3">
      <c r="A49" t="s">
        <v>11</v>
      </c>
      <c r="B49" t="s">
        <v>92</v>
      </c>
      <c r="C49" t="s">
        <v>93</v>
      </c>
      <c r="D49" t="s">
        <v>94</v>
      </c>
      <c r="E49" t="s">
        <v>95</v>
      </c>
      <c r="F49" t="s">
        <v>373</v>
      </c>
      <c r="G49">
        <v>312500</v>
      </c>
      <c r="H49">
        <v>265000</v>
      </c>
      <c r="AA49" t="s">
        <v>374</v>
      </c>
      <c r="AB49" t="s">
        <v>375</v>
      </c>
      <c r="AC49" t="s">
        <v>376</v>
      </c>
      <c r="AD49" t="s">
        <v>365</v>
      </c>
      <c r="AE49" t="s">
        <v>377</v>
      </c>
      <c r="AF49" t="s">
        <v>378</v>
      </c>
      <c r="AG49" t="s">
        <v>102</v>
      </c>
      <c r="AH49" t="s">
        <v>160</v>
      </c>
      <c r="AI49">
        <v>45904</v>
      </c>
      <c r="AJ49">
        <v>45904</v>
      </c>
      <c r="AK49" t="s">
        <v>137</v>
      </c>
      <c r="AL49" t="s">
        <v>105</v>
      </c>
      <c r="AM49" t="s">
        <v>384</v>
      </c>
      <c r="AN49" t="s">
        <v>107</v>
      </c>
      <c r="AO49" t="s">
        <v>107</v>
      </c>
      <c r="AP49">
        <v>65600</v>
      </c>
      <c r="AQ49">
        <v>65600</v>
      </c>
      <c r="AR49">
        <v>0</v>
      </c>
      <c r="AS49" t="s">
        <v>107</v>
      </c>
      <c r="AT49" t="s">
        <v>243</v>
      </c>
      <c r="AU49" t="s">
        <v>162</v>
      </c>
      <c r="AV49" t="s">
        <v>163</v>
      </c>
      <c r="AW49" t="s">
        <v>111</v>
      </c>
      <c r="AY49" t="s">
        <v>385</v>
      </c>
      <c r="AZ49" t="s">
        <v>113</v>
      </c>
      <c r="BB49" t="s">
        <v>114</v>
      </c>
      <c r="BC49" t="s">
        <v>115</v>
      </c>
      <c r="BN49" t="s">
        <v>113</v>
      </c>
      <c r="BO49" t="s">
        <v>380</v>
      </c>
      <c r="BP49" t="s">
        <v>166</v>
      </c>
      <c r="BR49" t="s">
        <v>302</v>
      </c>
      <c r="BS49" t="s">
        <v>386</v>
      </c>
      <c r="BW49" t="s">
        <v>382</v>
      </c>
      <c r="BX49" t="s">
        <v>383</v>
      </c>
      <c r="BY49" t="s">
        <v>123</v>
      </c>
      <c r="BZ49" t="s">
        <v>124</v>
      </c>
    </row>
    <row r="50" spans="1:78" x14ac:dyDescent="0.3">
      <c r="A50" t="s">
        <v>2</v>
      </c>
      <c r="B50" t="s">
        <v>92</v>
      </c>
      <c r="C50" t="s">
        <v>93</v>
      </c>
      <c r="D50" t="s">
        <v>94</v>
      </c>
      <c r="E50" t="s">
        <v>95</v>
      </c>
      <c r="F50" t="s">
        <v>387</v>
      </c>
      <c r="G50">
        <v>630000</v>
      </c>
      <c r="H50">
        <v>630000</v>
      </c>
      <c r="AA50" t="s">
        <v>388</v>
      </c>
      <c r="AB50" t="s">
        <v>389</v>
      </c>
      <c r="AC50" t="s">
        <v>390</v>
      </c>
      <c r="AE50" t="s">
        <v>391</v>
      </c>
      <c r="AF50" t="s">
        <v>392</v>
      </c>
      <c r="AG50" t="s">
        <v>102</v>
      </c>
      <c r="AH50" t="s">
        <v>393</v>
      </c>
      <c r="AI50">
        <v>45754</v>
      </c>
      <c r="AJ50">
        <v>45754</v>
      </c>
      <c r="AK50" t="s">
        <v>104</v>
      </c>
      <c r="AL50" t="s">
        <v>105</v>
      </c>
      <c r="AM50" t="s">
        <v>106</v>
      </c>
      <c r="AN50" t="s">
        <v>107</v>
      </c>
      <c r="AO50" t="s">
        <v>107</v>
      </c>
      <c r="AP50">
        <v>3000</v>
      </c>
      <c r="AQ50">
        <v>3000</v>
      </c>
      <c r="AR50">
        <v>0</v>
      </c>
      <c r="AS50" t="s">
        <v>107</v>
      </c>
      <c r="AT50" t="s">
        <v>108</v>
      </c>
      <c r="AU50" t="s">
        <v>109</v>
      </c>
      <c r="AV50" t="s">
        <v>110</v>
      </c>
      <c r="AW50" t="s">
        <v>111</v>
      </c>
      <c r="AX50" t="s">
        <v>389</v>
      </c>
      <c r="AY50" t="s">
        <v>394</v>
      </c>
      <c r="AZ50" t="s">
        <v>113</v>
      </c>
      <c r="BA50" t="s">
        <v>133</v>
      </c>
      <c r="BB50" t="s">
        <v>211</v>
      </c>
      <c r="BC50" t="s">
        <v>115</v>
      </c>
      <c r="BN50" t="s">
        <v>116</v>
      </c>
      <c r="BO50" t="s">
        <v>395</v>
      </c>
      <c r="BP50" t="s">
        <v>166</v>
      </c>
      <c r="BR50" t="s">
        <v>396</v>
      </c>
      <c r="BS50" t="s">
        <v>214</v>
      </c>
      <c r="BW50" t="s">
        <v>382</v>
      </c>
      <c r="BX50" t="s">
        <v>383</v>
      </c>
      <c r="BY50" t="s">
        <v>123</v>
      </c>
      <c r="BZ50" t="s">
        <v>124</v>
      </c>
    </row>
    <row r="51" spans="1:78" x14ac:dyDescent="0.3">
      <c r="A51" t="s">
        <v>2</v>
      </c>
      <c r="B51" t="s">
        <v>92</v>
      </c>
      <c r="C51" t="s">
        <v>93</v>
      </c>
      <c r="D51" t="s">
        <v>94</v>
      </c>
      <c r="E51" t="s">
        <v>95</v>
      </c>
      <c r="F51" t="s">
        <v>387</v>
      </c>
      <c r="G51">
        <v>630000</v>
      </c>
      <c r="H51">
        <v>630000</v>
      </c>
      <c r="AA51" t="s">
        <v>388</v>
      </c>
      <c r="AB51" t="s">
        <v>389</v>
      </c>
      <c r="AC51" t="s">
        <v>390</v>
      </c>
      <c r="AE51" t="s">
        <v>391</v>
      </c>
      <c r="AF51" t="s">
        <v>392</v>
      </c>
      <c r="AG51" t="s">
        <v>102</v>
      </c>
      <c r="AH51" t="s">
        <v>393</v>
      </c>
      <c r="AI51">
        <v>45873</v>
      </c>
      <c r="AJ51">
        <v>45775</v>
      </c>
      <c r="AK51" t="s">
        <v>104</v>
      </c>
      <c r="AL51" t="s">
        <v>397</v>
      </c>
      <c r="AM51" t="s">
        <v>398</v>
      </c>
      <c r="AN51" t="s">
        <v>107</v>
      </c>
      <c r="AO51" t="s">
        <v>107</v>
      </c>
      <c r="AP51">
        <v>10000</v>
      </c>
      <c r="AQ51">
        <v>10000</v>
      </c>
      <c r="AR51">
        <v>0</v>
      </c>
      <c r="AS51" t="s">
        <v>107</v>
      </c>
      <c r="AT51" t="s">
        <v>108</v>
      </c>
      <c r="AU51" t="s">
        <v>109</v>
      </c>
      <c r="AV51" t="s">
        <v>110</v>
      </c>
      <c r="AW51" t="s">
        <v>111</v>
      </c>
      <c r="AY51" t="s">
        <v>399</v>
      </c>
      <c r="AZ51" t="s">
        <v>113</v>
      </c>
      <c r="BB51" t="s">
        <v>114</v>
      </c>
      <c r="BC51" t="s">
        <v>115</v>
      </c>
      <c r="BN51" t="s">
        <v>116</v>
      </c>
      <c r="BO51" t="s">
        <v>395</v>
      </c>
      <c r="BP51" t="s">
        <v>166</v>
      </c>
      <c r="BR51" t="s">
        <v>396</v>
      </c>
      <c r="BS51" t="s">
        <v>400</v>
      </c>
      <c r="BW51" t="s">
        <v>382</v>
      </c>
      <c r="BX51" t="s">
        <v>383</v>
      </c>
      <c r="BY51" t="s">
        <v>123</v>
      </c>
      <c r="BZ51" t="s">
        <v>124</v>
      </c>
    </row>
    <row r="52" spans="1:78" x14ac:dyDescent="0.3">
      <c r="A52" t="s">
        <v>2</v>
      </c>
      <c r="B52" t="s">
        <v>92</v>
      </c>
      <c r="C52" t="s">
        <v>93</v>
      </c>
      <c r="D52" t="s">
        <v>94</v>
      </c>
      <c r="E52" t="s">
        <v>95</v>
      </c>
      <c r="F52" t="s">
        <v>387</v>
      </c>
      <c r="G52">
        <v>630000</v>
      </c>
      <c r="H52">
        <v>630000</v>
      </c>
      <c r="AA52" t="s">
        <v>388</v>
      </c>
      <c r="AB52" t="s">
        <v>389</v>
      </c>
      <c r="AC52" t="s">
        <v>390</v>
      </c>
      <c r="AE52" t="s">
        <v>391</v>
      </c>
      <c r="AF52" t="s">
        <v>392</v>
      </c>
      <c r="AG52" t="s">
        <v>102</v>
      </c>
      <c r="AH52" t="s">
        <v>393</v>
      </c>
      <c r="AI52">
        <v>45775</v>
      </c>
      <c r="AJ52">
        <v>45775</v>
      </c>
      <c r="AK52" t="s">
        <v>137</v>
      </c>
      <c r="AL52" t="s">
        <v>105</v>
      </c>
      <c r="AM52" t="s">
        <v>401</v>
      </c>
      <c r="AN52" t="s">
        <v>107</v>
      </c>
      <c r="AO52" t="s">
        <v>107</v>
      </c>
      <c r="AP52">
        <v>45000</v>
      </c>
      <c r="AQ52">
        <v>45000</v>
      </c>
      <c r="AR52">
        <v>0</v>
      </c>
      <c r="AS52" t="s">
        <v>107</v>
      </c>
      <c r="AT52" t="s">
        <v>108</v>
      </c>
      <c r="AU52" t="s">
        <v>109</v>
      </c>
      <c r="AV52" t="s">
        <v>110</v>
      </c>
      <c r="AW52" t="s">
        <v>111</v>
      </c>
      <c r="AY52" t="s">
        <v>399</v>
      </c>
      <c r="AZ52" t="s">
        <v>113</v>
      </c>
      <c r="BB52" t="s">
        <v>114</v>
      </c>
      <c r="BC52" t="s">
        <v>115</v>
      </c>
      <c r="BN52" t="s">
        <v>116</v>
      </c>
      <c r="BO52" t="s">
        <v>395</v>
      </c>
      <c r="BP52" t="s">
        <v>166</v>
      </c>
      <c r="BR52" t="s">
        <v>396</v>
      </c>
      <c r="BS52" t="s">
        <v>400</v>
      </c>
      <c r="BW52" t="s">
        <v>382</v>
      </c>
      <c r="BX52" t="s">
        <v>383</v>
      </c>
      <c r="BY52" t="s">
        <v>123</v>
      </c>
      <c r="BZ52" t="s">
        <v>124</v>
      </c>
    </row>
    <row r="53" spans="1:78" x14ac:dyDescent="0.3">
      <c r="A53" t="s">
        <v>2</v>
      </c>
      <c r="B53" t="s">
        <v>92</v>
      </c>
      <c r="C53" t="s">
        <v>93</v>
      </c>
      <c r="D53" t="s">
        <v>94</v>
      </c>
      <c r="E53" t="s">
        <v>95</v>
      </c>
      <c r="F53" t="s">
        <v>387</v>
      </c>
      <c r="G53">
        <v>630000</v>
      </c>
      <c r="H53">
        <v>630000</v>
      </c>
      <c r="AA53" t="s">
        <v>388</v>
      </c>
      <c r="AB53" t="s">
        <v>389</v>
      </c>
      <c r="AC53" t="s">
        <v>390</v>
      </c>
      <c r="AE53" t="s">
        <v>391</v>
      </c>
      <c r="AF53" t="s">
        <v>392</v>
      </c>
      <c r="AG53" t="s">
        <v>102</v>
      </c>
      <c r="AH53" t="s">
        <v>393</v>
      </c>
      <c r="AI53">
        <v>45833</v>
      </c>
      <c r="AJ53">
        <v>45833</v>
      </c>
      <c r="AK53" t="s">
        <v>137</v>
      </c>
      <c r="AL53" t="s">
        <v>142</v>
      </c>
      <c r="AM53" t="s">
        <v>402</v>
      </c>
      <c r="AN53" t="s">
        <v>107</v>
      </c>
      <c r="AO53" t="s">
        <v>107</v>
      </c>
      <c r="AP53">
        <v>44000</v>
      </c>
      <c r="AQ53">
        <v>44000</v>
      </c>
      <c r="AR53">
        <v>0</v>
      </c>
      <c r="AS53" t="s">
        <v>107</v>
      </c>
      <c r="AT53" t="s">
        <v>108</v>
      </c>
      <c r="AU53" t="s">
        <v>109</v>
      </c>
      <c r="AV53" t="s">
        <v>110</v>
      </c>
      <c r="AW53" t="s">
        <v>111</v>
      </c>
      <c r="AY53" t="s">
        <v>403</v>
      </c>
      <c r="AZ53" t="s">
        <v>113</v>
      </c>
      <c r="BB53" t="s">
        <v>114</v>
      </c>
      <c r="BC53" t="s">
        <v>115</v>
      </c>
      <c r="BN53" t="s">
        <v>116</v>
      </c>
      <c r="BO53" t="s">
        <v>395</v>
      </c>
      <c r="BP53" t="s">
        <v>166</v>
      </c>
      <c r="BR53" t="s">
        <v>396</v>
      </c>
      <c r="BS53" t="s">
        <v>404</v>
      </c>
      <c r="BW53" t="s">
        <v>382</v>
      </c>
      <c r="BX53" t="s">
        <v>383</v>
      </c>
      <c r="BY53" t="s">
        <v>123</v>
      </c>
      <c r="BZ53" t="s">
        <v>124</v>
      </c>
    </row>
    <row r="54" spans="1:78" x14ac:dyDescent="0.3">
      <c r="A54" t="s">
        <v>2</v>
      </c>
      <c r="B54" t="s">
        <v>92</v>
      </c>
      <c r="C54" t="s">
        <v>93</v>
      </c>
      <c r="D54" t="s">
        <v>94</v>
      </c>
      <c r="E54" t="s">
        <v>202</v>
      </c>
      <c r="F54" t="s">
        <v>405</v>
      </c>
      <c r="G54">
        <v>52000</v>
      </c>
      <c r="H54">
        <v>52000</v>
      </c>
      <c r="AA54" t="s">
        <v>388</v>
      </c>
      <c r="AB54" t="s">
        <v>389</v>
      </c>
      <c r="AC54" t="s">
        <v>390</v>
      </c>
      <c r="AD54" t="s">
        <v>365</v>
      </c>
      <c r="AE54" t="s">
        <v>391</v>
      </c>
      <c r="AF54" t="s">
        <v>392</v>
      </c>
      <c r="AG54" t="s">
        <v>102</v>
      </c>
      <c r="AH54" t="s">
        <v>393</v>
      </c>
      <c r="AI54">
        <v>45877</v>
      </c>
      <c r="AJ54">
        <v>45873</v>
      </c>
      <c r="AK54" t="s">
        <v>104</v>
      </c>
      <c r="AL54" t="s">
        <v>105</v>
      </c>
      <c r="AM54" t="s">
        <v>106</v>
      </c>
      <c r="AN54" t="s">
        <v>107</v>
      </c>
      <c r="AO54" t="s">
        <v>107</v>
      </c>
      <c r="AP54">
        <v>3000</v>
      </c>
      <c r="AQ54">
        <v>3000</v>
      </c>
      <c r="AR54">
        <v>0</v>
      </c>
      <c r="AS54" t="s">
        <v>107</v>
      </c>
      <c r="AT54" t="s">
        <v>161</v>
      </c>
      <c r="AU54" t="s">
        <v>109</v>
      </c>
      <c r="AV54" t="s">
        <v>110</v>
      </c>
      <c r="AW54" t="s">
        <v>111</v>
      </c>
      <c r="AY54" t="s">
        <v>406</v>
      </c>
      <c r="AZ54" t="s">
        <v>113</v>
      </c>
      <c r="BB54" t="s">
        <v>114</v>
      </c>
      <c r="BC54" t="s">
        <v>115</v>
      </c>
      <c r="BN54" t="s">
        <v>116</v>
      </c>
      <c r="BO54" t="s">
        <v>407</v>
      </c>
      <c r="BP54" t="s">
        <v>370</v>
      </c>
      <c r="BR54" t="s">
        <v>408</v>
      </c>
      <c r="BS54" t="s">
        <v>409</v>
      </c>
      <c r="BW54" t="s">
        <v>382</v>
      </c>
      <c r="BX54" t="s">
        <v>383</v>
      </c>
      <c r="BY54" t="s">
        <v>123</v>
      </c>
      <c r="BZ54" t="s">
        <v>124</v>
      </c>
    </row>
    <row r="55" spans="1:78" x14ac:dyDescent="0.3">
      <c r="A55" t="s">
        <v>2</v>
      </c>
      <c r="B55" t="s">
        <v>92</v>
      </c>
      <c r="C55" t="s">
        <v>93</v>
      </c>
      <c r="D55" t="s">
        <v>94</v>
      </c>
      <c r="E55" t="s">
        <v>202</v>
      </c>
      <c r="F55" t="s">
        <v>405</v>
      </c>
      <c r="G55">
        <v>52000</v>
      </c>
      <c r="H55">
        <v>52000</v>
      </c>
      <c r="AA55" t="s">
        <v>388</v>
      </c>
      <c r="AB55" t="s">
        <v>389</v>
      </c>
      <c r="AC55" t="s">
        <v>390</v>
      </c>
      <c r="AD55" t="s">
        <v>365</v>
      </c>
      <c r="AE55" t="s">
        <v>391</v>
      </c>
      <c r="AF55" t="s">
        <v>392</v>
      </c>
      <c r="AG55" t="s">
        <v>102</v>
      </c>
      <c r="AH55" t="s">
        <v>393</v>
      </c>
      <c r="AI55">
        <v>45877</v>
      </c>
      <c r="AJ55">
        <v>45873</v>
      </c>
      <c r="AK55" t="s">
        <v>137</v>
      </c>
      <c r="AL55" t="s">
        <v>105</v>
      </c>
      <c r="AM55" t="s">
        <v>410</v>
      </c>
      <c r="AN55" t="s">
        <v>107</v>
      </c>
      <c r="AO55" t="s">
        <v>107</v>
      </c>
      <c r="AP55">
        <v>7000</v>
      </c>
      <c r="AQ55">
        <v>7000</v>
      </c>
      <c r="AR55">
        <v>0</v>
      </c>
      <c r="AS55" t="s">
        <v>107</v>
      </c>
      <c r="AT55" t="s">
        <v>161</v>
      </c>
      <c r="AU55" t="s">
        <v>109</v>
      </c>
      <c r="AV55" t="s">
        <v>110</v>
      </c>
      <c r="AW55" t="s">
        <v>111</v>
      </c>
      <c r="AY55" t="s">
        <v>406</v>
      </c>
      <c r="AZ55" t="s">
        <v>113</v>
      </c>
      <c r="BB55" t="s">
        <v>114</v>
      </c>
      <c r="BC55" t="s">
        <v>115</v>
      </c>
      <c r="BN55" t="s">
        <v>116</v>
      </c>
      <c r="BO55" t="s">
        <v>407</v>
      </c>
      <c r="BP55" t="s">
        <v>370</v>
      </c>
      <c r="BR55" t="s">
        <v>408</v>
      </c>
      <c r="BS55" t="s">
        <v>409</v>
      </c>
      <c r="BW55" t="s">
        <v>382</v>
      </c>
      <c r="BX55" t="s">
        <v>383</v>
      </c>
      <c r="BY55" t="s">
        <v>123</v>
      </c>
      <c r="BZ55" t="s">
        <v>124</v>
      </c>
    </row>
    <row r="56" spans="1:78" x14ac:dyDescent="0.3">
      <c r="A56" t="s">
        <v>2</v>
      </c>
      <c r="B56" t="s">
        <v>92</v>
      </c>
      <c r="C56" t="s">
        <v>93</v>
      </c>
      <c r="D56" t="s">
        <v>94</v>
      </c>
      <c r="E56" t="s">
        <v>202</v>
      </c>
      <c r="F56" t="s">
        <v>405</v>
      </c>
      <c r="G56">
        <v>52000</v>
      </c>
      <c r="H56">
        <v>52000</v>
      </c>
      <c r="AA56" t="s">
        <v>388</v>
      </c>
      <c r="AB56" t="s">
        <v>389</v>
      </c>
      <c r="AC56" t="s">
        <v>390</v>
      </c>
      <c r="AD56" t="s">
        <v>365</v>
      </c>
      <c r="AE56" t="s">
        <v>391</v>
      </c>
      <c r="AF56" t="s">
        <v>392</v>
      </c>
      <c r="AG56" t="s">
        <v>102</v>
      </c>
      <c r="AH56" t="s">
        <v>393</v>
      </c>
      <c r="AI56">
        <v>45961</v>
      </c>
      <c r="AJ56">
        <v>45961</v>
      </c>
      <c r="AK56" t="s">
        <v>218</v>
      </c>
      <c r="AL56" t="s">
        <v>105</v>
      </c>
      <c r="AM56" t="s">
        <v>411</v>
      </c>
      <c r="AN56" t="s">
        <v>107</v>
      </c>
      <c r="AO56" t="s">
        <v>107</v>
      </c>
      <c r="AP56">
        <v>14000</v>
      </c>
      <c r="AQ56">
        <v>14000</v>
      </c>
      <c r="AR56">
        <v>0</v>
      </c>
      <c r="AS56" t="s">
        <v>107</v>
      </c>
      <c r="AT56" t="s">
        <v>161</v>
      </c>
      <c r="AU56" t="s">
        <v>109</v>
      </c>
      <c r="AV56" t="s">
        <v>110</v>
      </c>
      <c r="AW56" t="s">
        <v>111</v>
      </c>
      <c r="AY56" t="s">
        <v>412</v>
      </c>
      <c r="AZ56" t="s">
        <v>113</v>
      </c>
      <c r="BB56" t="s">
        <v>114</v>
      </c>
      <c r="BC56" t="s">
        <v>115</v>
      </c>
      <c r="BN56" t="s">
        <v>116</v>
      </c>
      <c r="BO56" t="s">
        <v>407</v>
      </c>
      <c r="BP56" t="s">
        <v>370</v>
      </c>
      <c r="BR56" t="s">
        <v>408</v>
      </c>
      <c r="BS56" t="s">
        <v>413</v>
      </c>
      <c r="BW56" t="s">
        <v>382</v>
      </c>
      <c r="BX56" t="s">
        <v>383</v>
      </c>
      <c r="BY56" t="s">
        <v>123</v>
      </c>
      <c r="BZ56" t="s">
        <v>124</v>
      </c>
    </row>
    <row r="57" spans="1:78" x14ac:dyDescent="0.3">
      <c r="A57" t="s">
        <v>2</v>
      </c>
      <c r="B57" t="s">
        <v>92</v>
      </c>
      <c r="C57" t="s">
        <v>93</v>
      </c>
      <c r="D57" t="s">
        <v>94</v>
      </c>
      <c r="E57" t="s">
        <v>202</v>
      </c>
      <c r="F57" t="s">
        <v>405</v>
      </c>
      <c r="G57">
        <v>52000</v>
      </c>
      <c r="H57">
        <v>52000</v>
      </c>
      <c r="AA57" t="s">
        <v>388</v>
      </c>
      <c r="AB57" t="s">
        <v>389</v>
      </c>
      <c r="AC57" t="s">
        <v>390</v>
      </c>
      <c r="AD57" t="s">
        <v>365</v>
      </c>
      <c r="AE57" t="s">
        <v>391</v>
      </c>
      <c r="AF57" t="s">
        <v>392</v>
      </c>
      <c r="AG57" t="s">
        <v>102</v>
      </c>
      <c r="AH57" t="s">
        <v>393</v>
      </c>
      <c r="AI57">
        <v>46022</v>
      </c>
      <c r="AJ57">
        <v>46022</v>
      </c>
      <c r="AK57" t="s">
        <v>218</v>
      </c>
      <c r="AL57" t="s">
        <v>142</v>
      </c>
      <c r="AM57" t="s">
        <v>411</v>
      </c>
      <c r="AN57" t="s">
        <v>107</v>
      </c>
      <c r="AO57" t="s">
        <v>107</v>
      </c>
      <c r="AP57">
        <v>14000</v>
      </c>
      <c r="AQ57">
        <v>14000</v>
      </c>
      <c r="AR57">
        <v>0</v>
      </c>
      <c r="AS57" t="s">
        <v>107</v>
      </c>
      <c r="AT57" t="s">
        <v>161</v>
      </c>
      <c r="AU57" t="s">
        <v>109</v>
      </c>
      <c r="AV57" t="s">
        <v>110</v>
      </c>
      <c r="AW57" t="s">
        <v>111</v>
      </c>
      <c r="AY57" t="s">
        <v>414</v>
      </c>
      <c r="AZ57" t="s">
        <v>113</v>
      </c>
      <c r="BB57" t="s">
        <v>114</v>
      </c>
      <c r="BC57" t="s">
        <v>115</v>
      </c>
      <c r="BN57" t="s">
        <v>116</v>
      </c>
      <c r="BO57" t="s">
        <v>407</v>
      </c>
      <c r="BP57" t="s">
        <v>370</v>
      </c>
      <c r="BR57" t="s">
        <v>408</v>
      </c>
      <c r="BS57" t="s">
        <v>415</v>
      </c>
      <c r="BW57" t="s">
        <v>382</v>
      </c>
      <c r="BX57" t="s">
        <v>383</v>
      </c>
      <c r="BY57" t="s">
        <v>123</v>
      </c>
      <c r="BZ57" t="s">
        <v>124</v>
      </c>
    </row>
    <row r="58" spans="1:78" x14ac:dyDescent="0.3">
      <c r="A58" t="s">
        <v>2</v>
      </c>
      <c r="B58" t="s">
        <v>92</v>
      </c>
      <c r="C58" t="s">
        <v>93</v>
      </c>
      <c r="D58" t="s">
        <v>94</v>
      </c>
      <c r="E58" t="s">
        <v>95</v>
      </c>
      <c r="F58" t="s">
        <v>416</v>
      </c>
      <c r="G58">
        <v>417700</v>
      </c>
      <c r="H58">
        <v>417700</v>
      </c>
      <c r="AA58" t="s">
        <v>417</v>
      </c>
      <c r="AB58" t="s">
        <v>418</v>
      </c>
      <c r="AC58" t="s">
        <v>419</v>
      </c>
      <c r="AD58" t="s">
        <v>420</v>
      </c>
      <c r="AE58" t="s">
        <v>420</v>
      </c>
      <c r="AF58" t="s">
        <v>421</v>
      </c>
      <c r="AG58" t="s">
        <v>422</v>
      </c>
      <c r="AH58" t="s">
        <v>423</v>
      </c>
      <c r="AI58">
        <v>45912</v>
      </c>
      <c r="AJ58">
        <v>45912</v>
      </c>
      <c r="AK58" t="s">
        <v>104</v>
      </c>
      <c r="AL58" t="s">
        <v>105</v>
      </c>
      <c r="AM58" t="s">
        <v>106</v>
      </c>
      <c r="AN58" t="s">
        <v>107</v>
      </c>
      <c r="AO58" t="s">
        <v>107</v>
      </c>
      <c r="AP58">
        <v>3000</v>
      </c>
      <c r="AQ58">
        <v>3000</v>
      </c>
      <c r="AR58">
        <v>0</v>
      </c>
      <c r="AS58" t="s">
        <v>107</v>
      </c>
      <c r="AT58" t="s">
        <v>243</v>
      </c>
      <c r="AU58" t="s">
        <v>109</v>
      </c>
      <c r="AV58" t="s">
        <v>110</v>
      </c>
      <c r="AW58" t="s">
        <v>111</v>
      </c>
      <c r="AY58" t="s">
        <v>424</v>
      </c>
      <c r="AZ58" t="s">
        <v>113</v>
      </c>
      <c r="BB58" t="s">
        <v>114</v>
      </c>
      <c r="BC58" t="s">
        <v>115</v>
      </c>
      <c r="BN58" t="s">
        <v>116</v>
      </c>
      <c r="BO58" t="s">
        <v>425</v>
      </c>
      <c r="BP58" t="s">
        <v>118</v>
      </c>
      <c r="BR58" t="s">
        <v>426</v>
      </c>
      <c r="BS58" t="s">
        <v>427</v>
      </c>
      <c r="BW58" t="s">
        <v>382</v>
      </c>
      <c r="BX58" t="s">
        <v>383</v>
      </c>
      <c r="BY58" t="s">
        <v>123</v>
      </c>
      <c r="BZ58" t="s">
        <v>124</v>
      </c>
    </row>
    <row r="59" spans="1:78" x14ac:dyDescent="0.3">
      <c r="A59" t="s">
        <v>2</v>
      </c>
      <c r="B59" t="s">
        <v>92</v>
      </c>
      <c r="C59" t="s">
        <v>93</v>
      </c>
      <c r="D59" t="s">
        <v>94</v>
      </c>
      <c r="E59" t="s">
        <v>95</v>
      </c>
      <c r="F59" t="s">
        <v>416</v>
      </c>
      <c r="G59">
        <v>417700</v>
      </c>
      <c r="H59">
        <v>417700</v>
      </c>
      <c r="AA59" t="s">
        <v>417</v>
      </c>
      <c r="AB59" t="s">
        <v>418</v>
      </c>
      <c r="AC59" t="s">
        <v>419</v>
      </c>
      <c r="AD59" t="s">
        <v>420</v>
      </c>
      <c r="AE59" t="s">
        <v>420</v>
      </c>
      <c r="AF59" t="s">
        <v>421</v>
      </c>
      <c r="AG59" t="s">
        <v>422</v>
      </c>
      <c r="AH59" t="s">
        <v>423</v>
      </c>
      <c r="AI59">
        <v>45919</v>
      </c>
      <c r="AJ59">
        <v>45919</v>
      </c>
      <c r="AK59" t="s">
        <v>137</v>
      </c>
      <c r="AL59" t="s">
        <v>105</v>
      </c>
      <c r="AM59" t="s">
        <v>398</v>
      </c>
      <c r="AN59" t="s">
        <v>107</v>
      </c>
      <c r="AO59" t="s">
        <v>107</v>
      </c>
      <c r="AP59">
        <v>10000</v>
      </c>
      <c r="AQ59">
        <v>10000</v>
      </c>
      <c r="AR59">
        <v>0</v>
      </c>
      <c r="AS59" t="s">
        <v>107</v>
      </c>
      <c r="AT59" t="s">
        <v>243</v>
      </c>
      <c r="AU59" t="s">
        <v>109</v>
      </c>
      <c r="AV59" t="s">
        <v>110</v>
      </c>
      <c r="AW59" t="s">
        <v>111</v>
      </c>
      <c r="AY59" t="s">
        <v>428</v>
      </c>
      <c r="AZ59" t="s">
        <v>113</v>
      </c>
      <c r="BB59" t="s">
        <v>114</v>
      </c>
      <c r="BC59" t="s">
        <v>115</v>
      </c>
      <c r="BN59" t="s">
        <v>116</v>
      </c>
      <c r="BO59" t="s">
        <v>425</v>
      </c>
      <c r="BP59" t="s">
        <v>118</v>
      </c>
      <c r="BR59" t="s">
        <v>426</v>
      </c>
      <c r="BS59" t="s">
        <v>429</v>
      </c>
      <c r="BW59" t="s">
        <v>382</v>
      </c>
      <c r="BX59" t="s">
        <v>383</v>
      </c>
      <c r="BY59" t="s">
        <v>123</v>
      </c>
      <c r="BZ59" t="s">
        <v>124</v>
      </c>
    </row>
    <row r="60" spans="1:78" x14ac:dyDescent="0.3">
      <c r="A60" t="s">
        <v>2</v>
      </c>
      <c r="B60" t="s">
        <v>92</v>
      </c>
      <c r="C60" t="s">
        <v>93</v>
      </c>
      <c r="D60" t="s">
        <v>94</v>
      </c>
      <c r="E60" t="s">
        <v>95</v>
      </c>
      <c r="F60" t="s">
        <v>430</v>
      </c>
      <c r="G60">
        <v>397000</v>
      </c>
      <c r="H60">
        <v>397000</v>
      </c>
      <c r="AA60" t="s">
        <v>431</v>
      </c>
      <c r="AB60" t="s">
        <v>432</v>
      </c>
      <c r="AC60" t="s">
        <v>433</v>
      </c>
      <c r="AD60" t="s">
        <v>434</v>
      </c>
      <c r="AE60" t="s">
        <v>435</v>
      </c>
      <c r="AF60" t="s">
        <v>436</v>
      </c>
      <c r="AG60" t="s">
        <v>102</v>
      </c>
      <c r="AH60" t="s">
        <v>299</v>
      </c>
      <c r="AI60">
        <v>45703</v>
      </c>
      <c r="AJ60">
        <v>45703</v>
      </c>
      <c r="AK60" t="s">
        <v>104</v>
      </c>
      <c r="AL60" t="s">
        <v>105</v>
      </c>
      <c r="AM60" t="s">
        <v>106</v>
      </c>
      <c r="AN60" t="s">
        <v>107</v>
      </c>
      <c r="AO60" t="s">
        <v>107</v>
      </c>
      <c r="AP60">
        <v>3000</v>
      </c>
      <c r="AQ60">
        <v>3000</v>
      </c>
      <c r="AR60">
        <v>0</v>
      </c>
      <c r="AS60" t="s">
        <v>107</v>
      </c>
      <c r="AT60" t="s">
        <v>108</v>
      </c>
      <c r="AU60" t="s">
        <v>109</v>
      </c>
      <c r="AV60" t="s">
        <v>110</v>
      </c>
      <c r="AW60" t="s">
        <v>209</v>
      </c>
      <c r="AX60" t="s">
        <v>432</v>
      </c>
      <c r="AY60" t="s">
        <v>437</v>
      </c>
      <c r="AZ60" t="s">
        <v>113</v>
      </c>
      <c r="BA60" t="s">
        <v>133</v>
      </c>
      <c r="BB60" t="s">
        <v>211</v>
      </c>
      <c r="BC60" t="s">
        <v>115</v>
      </c>
      <c r="BN60" t="s">
        <v>116</v>
      </c>
      <c r="BO60" t="s">
        <v>438</v>
      </c>
      <c r="BP60" t="s">
        <v>166</v>
      </c>
      <c r="BR60" t="s">
        <v>439</v>
      </c>
      <c r="BS60" t="s">
        <v>214</v>
      </c>
      <c r="BW60" t="s">
        <v>382</v>
      </c>
      <c r="BX60" t="s">
        <v>383</v>
      </c>
      <c r="BY60" t="s">
        <v>123</v>
      </c>
      <c r="BZ60" t="s">
        <v>124</v>
      </c>
    </row>
    <row r="61" spans="1:78" x14ac:dyDescent="0.3">
      <c r="A61" t="s">
        <v>2</v>
      </c>
      <c r="B61" t="s">
        <v>92</v>
      </c>
      <c r="C61" t="s">
        <v>93</v>
      </c>
      <c r="D61" t="s">
        <v>94</v>
      </c>
      <c r="E61" t="s">
        <v>95</v>
      </c>
      <c r="F61" t="s">
        <v>430</v>
      </c>
      <c r="G61">
        <v>397000</v>
      </c>
      <c r="H61">
        <v>397000</v>
      </c>
      <c r="AA61" t="s">
        <v>431</v>
      </c>
      <c r="AB61" t="s">
        <v>432</v>
      </c>
      <c r="AC61" t="s">
        <v>433</v>
      </c>
      <c r="AD61" t="s">
        <v>434</v>
      </c>
      <c r="AE61" t="s">
        <v>435</v>
      </c>
      <c r="AF61" t="s">
        <v>436</v>
      </c>
      <c r="AG61" t="s">
        <v>102</v>
      </c>
      <c r="AH61" t="s">
        <v>299</v>
      </c>
      <c r="AI61">
        <v>45730</v>
      </c>
      <c r="AJ61">
        <v>45730</v>
      </c>
      <c r="AK61" t="s">
        <v>137</v>
      </c>
      <c r="AL61" t="s">
        <v>142</v>
      </c>
      <c r="AM61" t="s">
        <v>440</v>
      </c>
      <c r="AN61" t="s">
        <v>107</v>
      </c>
      <c r="AO61" t="s">
        <v>107</v>
      </c>
      <c r="AP61">
        <v>23450</v>
      </c>
      <c r="AQ61">
        <v>23450</v>
      </c>
      <c r="AR61">
        <v>0</v>
      </c>
      <c r="AS61" t="s">
        <v>107</v>
      </c>
      <c r="AT61" t="s">
        <v>108</v>
      </c>
      <c r="AU61" t="s">
        <v>109</v>
      </c>
      <c r="AV61" t="s">
        <v>110</v>
      </c>
      <c r="AW61" t="s">
        <v>111</v>
      </c>
      <c r="AX61" t="s">
        <v>432</v>
      </c>
      <c r="AY61" t="s">
        <v>441</v>
      </c>
      <c r="AZ61" t="s">
        <v>113</v>
      </c>
      <c r="BA61" t="s">
        <v>133</v>
      </c>
      <c r="BB61" t="s">
        <v>211</v>
      </c>
      <c r="BC61" t="s">
        <v>115</v>
      </c>
      <c r="BN61" t="s">
        <v>116</v>
      </c>
      <c r="BO61" t="s">
        <v>438</v>
      </c>
      <c r="BP61" t="s">
        <v>166</v>
      </c>
      <c r="BR61" t="s">
        <v>439</v>
      </c>
      <c r="BS61" t="s">
        <v>214</v>
      </c>
      <c r="BW61" t="s">
        <v>382</v>
      </c>
      <c r="BX61" t="s">
        <v>383</v>
      </c>
      <c r="BY61" t="s">
        <v>123</v>
      </c>
      <c r="BZ61" t="s">
        <v>124</v>
      </c>
    </row>
    <row r="62" spans="1:78" x14ac:dyDescent="0.3">
      <c r="A62" t="s">
        <v>2</v>
      </c>
      <c r="B62" t="s">
        <v>92</v>
      </c>
      <c r="C62" t="s">
        <v>93</v>
      </c>
      <c r="D62" t="s">
        <v>94</v>
      </c>
      <c r="E62" t="s">
        <v>95</v>
      </c>
      <c r="F62" t="s">
        <v>430</v>
      </c>
      <c r="G62">
        <v>397000</v>
      </c>
      <c r="H62">
        <v>397000</v>
      </c>
      <c r="AA62" t="s">
        <v>431</v>
      </c>
      <c r="AB62" t="s">
        <v>432</v>
      </c>
      <c r="AC62" t="s">
        <v>433</v>
      </c>
      <c r="AD62" t="s">
        <v>434</v>
      </c>
      <c r="AE62" t="s">
        <v>435</v>
      </c>
      <c r="AF62" t="s">
        <v>436</v>
      </c>
      <c r="AG62" t="s">
        <v>102</v>
      </c>
      <c r="AH62" t="s">
        <v>299</v>
      </c>
      <c r="AI62">
        <v>45730</v>
      </c>
      <c r="AJ62">
        <v>45730</v>
      </c>
      <c r="AK62" t="s">
        <v>137</v>
      </c>
      <c r="AL62" t="s">
        <v>146</v>
      </c>
      <c r="AM62" t="s">
        <v>442</v>
      </c>
      <c r="AN62" t="s">
        <v>107</v>
      </c>
      <c r="AO62" t="s">
        <v>107</v>
      </c>
      <c r="AP62">
        <v>78000</v>
      </c>
      <c r="AQ62">
        <v>78000</v>
      </c>
      <c r="AR62">
        <v>0</v>
      </c>
      <c r="AS62" t="s">
        <v>107</v>
      </c>
      <c r="AT62" t="s">
        <v>108</v>
      </c>
      <c r="AU62" t="s">
        <v>109</v>
      </c>
      <c r="AV62" t="s">
        <v>110</v>
      </c>
      <c r="AW62" t="s">
        <v>111</v>
      </c>
      <c r="AX62" t="s">
        <v>432</v>
      </c>
      <c r="AY62" t="s">
        <v>443</v>
      </c>
      <c r="AZ62" t="s">
        <v>113</v>
      </c>
      <c r="BA62" t="s">
        <v>133</v>
      </c>
      <c r="BB62" t="s">
        <v>211</v>
      </c>
      <c r="BC62" t="s">
        <v>115</v>
      </c>
      <c r="BN62" t="s">
        <v>116</v>
      </c>
      <c r="BO62" t="s">
        <v>438</v>
      </c>
      <c r="BP62" t="s">
        <v>166</v>
      </c>
      <c r="BR62" t="s">
        <v>439</v>
      </c>
      <c r="BS62" t="s">
        <v>214</v>
      </c>
      <c r="BW62" t="s">
        <v>382</v>
      </c>
      <c r="BX62" t="s">
        <v>383</v>
      </c>
      <c r="BY62" t="s">
        <v>123</v>
      </c>
      <c r="BZ62" t="s">
        <v>124</v>
      </c>
    </row>
    <row r="63" spans="1:78" x14ac:dyDescent="0.3">
      <c r="A63" t="s">
        <v>12</v>
      </c>
      <c r="B63" t="s">
        <v>92</v>
      </c>
      <c r="C63" t="s">
        <v>93</v>
      </c>
      <c r="D63" t="s">
        <v>94</v>
      </c>
      <c r="E63" t="s">
        <v>95</v>
      </c>
      <c r="F63" t="s">
        <v>444</v>
      </c>
      <c r="G63">
        <v>438000</v>
      </c>
      <c r="H63">
        <v>438000</v>
      </c>
      <c r="AA63" t="s">
        <v>445</v>
      </c>
      <c r="AB63" t="s">
        <v>446</v>
      </c>
      <c r="AC63" t="s">
        <v>447</v>
      </c>
      <c r="AD63" t="s">
        <v>365</v>
      </c>
      <c r="AE63" t="s">
        <v>448</v>
      </c>
      <c r="AF63" t="s">
        <v>449</v>
      </c>
      <c r="AG63" t="s">
        <v>450</v>
      </c>
      <c r="AH63" t="s">
        <v>450</v>
      </c>
      <c r="AI63">
        <v>45972</v>
      </c>
      <c r="AJ63">
        <v>45972</v>
      </c>
      <c r="AK63" t="s">
        <v>104</v>
      </c>
      <c r="AL63" t="s">
        <v>105</v>
      </c>
      <c r="AM63" t="s">
        <v>106</v>
      </c>
      <c r="AN63" t="s">
        <v>107</v>
      </c>
      <c r="AO63" t="s">
        <v>107</v>
      </c>
      <c r="AP63">
        <v>3000</v>
      </c>
      <c r="AQ63">
        <v>3000</v>
      </c>
      <c r="AR63">
        <v>0</v>
      </c>
      <c r="AS63" t="s">
        <v>107</v>
      </c>
      <c r="AT63" t="s">
        <v>108</v>
      </c>
      <c r="AU63" t="s">
        <v>109</v>
      </c>
      <c r="AV63" t="s">
        <v>451</v>
      </c>
      <c r="AW63" t="s">
        <v>111</v>
      </c>
      <c r="AY63" t="s">
        <v>452</v>
      </c>
      <c r="AZ63" t="s">
        <v>113</v>
      </c>
      <c r="BB63" t="s">
        <v>114</v>
      </c>
      <c r="BC63" t="s">
        <v>115</v>
      </c>
      <c r="BN63" t="s">
        <v>113</v>
      </c>
      <c r="BO63" t="s">
        <v>453</v>
      </c>
      <c r="BP63" t="s">
        <v>370</v>
      </c>
      <c r="BR63" t="s">
        <v>454</v>
      </c>
      <c r="BS63" t="s">
        <v>455</v>
      </c>
      <c r="BW63" t="s">
        <v>382</v>
      </c>
      <c r="BX63" t="s">
        <v>383</v>
      </c>
      <c r="BY63" t="s">
        <v>123</v>
      </c>
      <c r="BZ63" t="s">
        <v>124</v>
      </c>
    </row>
    <row r="64" spans="1:78" x14ac:dyDescent="0.3">
      <c r="A64" t="s">
        <v>12</v>
      </c>
      <c r="B64" t="s">
        <v>92</v>
      </c>
      <c r="C64" t="s">
        <v>93</v>
      </c>
      <c r="D64" t="s">
        <v>94</v>
      </c>
      <c r="E64" t="s">
        <v>95</v>
      </c>
      <c r="F64" t="s">
        <v>444</v>
      </c>
      <c r="G64">
        <v>438000</v>
      </c>
      <c r="H64">
        <v>438000</v>
      </c>
      <c r="AA64" t="s">
        <v>445</v>
      </c>
      <c r="AB64" t="s">
        <v>446</v>
      </c>
      <c r="AC64" t="s">
        <v>447</v>
      </c>
      <c r="AD64" t="s">
        <v>365</v>
      </c>
      <c r="AE64" t="s">
        <v>448</v>
      </c>
      <c r="AF64" t="s">
        <v>449</v>
      </c>
      <c r="AG64" t="s">
        <v>450</v>
      </c>
      <c r="AH64" t="s">
        <v>450</v>
      </c>
      <c r="AI64">
        <v>46004</v>
      </c>
      <c r="AJ64">
        <v>46004</v>
      </c>
      <c r="AK64" t="s">
        <v>137</v>
      </c>
      <c r="AL64" t="s">
        <v>105</v>
      </c>
      <c r="AM64" t="s">
        <v>138</v>
      </c>
      <c r="AN64" t="s">
        <v>107</v>
      </c>
      <c r="AO64" t="s">
        <v>107</v>
      </c>
      <c r="AP64">
        <v>20000</v>
      </c>
      <c r="AQ64">
        <v>20000</v>
      </c>
      <c r="AR64">
        <v>0</v>
      </c>
      <c r="AS64" t="s">
        <v>107</v>
      </c>
      <c r="AT64" t="s">
        <v>108</v>
      </c>
      <c r="AU64" t="s">
        <v>109</v>
      </c>
      <c r="AV64" t="s">
        <v>451</v>
      </c>
      <c r="AW64" t="s">
        <v>111</v>
      </c>
      <c r="AY64" t="s">
        <v>456</v>
      </c>
      <c r="AZ64" t="s">
        <v>113</v>
      </c>
      <c r="BB64" t="s">
        <v>114</v>
      </c>
      <c r="BC64" t="s">
        <v>115</v>
      </c>
      <c r="BN64" t="s">
        <v>113</v>
      </c>
      <c r="BO64" t="s">
        <v>453</v>
      </c>
      <c r="BP64" t="s">
        <v>370</v>
      </c>
      <c r="BR64" t="s">
        <v>454</v>
      </c>
      <c r="BS64" t="s">
        <v>457</v>
      </c>
      <c r="BW64" t="s">
        <v>382</v>
      </c>
      <c r="BX64" t="s">
        <v>383</v>
      </c>
      <c r="BY64" t="s">
        <v>123</v>
      </c>
      <c r="BZ64" t="s">
        <v>124</v>
      </c>
    </row>
    <row r="65" spans="1:78" x14ac:dyDescent="0.3">
      <c r="A65" t="s">
        <v>2</v>
      </c>
      <c r="B65" t="s">
        <v>92</v>
      </c>
      <c r="C65" t="s">
        <v>93</v>
      </c>
      <c r="D65" t="s">
        <v>94</v>
      </c>
      <c r="E65" t="s">
        <v>95</v>
      </c>
      <c r="F65" t="s">
        <v>458</v>
      </c>
      <c r="G65">
        <v>675000</v>
      </c>
      <c r="H65">
        <v>675000</v>
      </c>
      <c r="I65" t="s">
        <v>93</v>
      </c>
      <c r="J65" t="s">
        <v>94</v>
      </c>
      <c r="K65" t="s">
        <v>202</v>
      </c>
      <c r="L65" t="s">
        <v>459</v>
      </c>
      <c r="M65">
        <v>60400</v>
      </c>
      <c r="N65">
        <v>60400</v>
      </c>
      <c r="AA65" t="s">
        <v>460</v>
      </c>
      <c r="AB65" t="s">
        <v>461</v>
      </c>
      <c r="AC65" t="s">
        <v>462</v>
      </c>
      <c r="AD65" t="s">
        <v>365</v>
      </c>
      <c r="AE65" t="s">
        <v>463</v>
      </c>
      <c r="AF65" t="s">
        <v>464</v>
      </c>
      <c r="AG65" t="s">
        <v>450</v>
      </c>
      <c r="AH65" t="s">
        <v>450</v>
      </c>
      <c r="AI65">
        <v>45835</v>
      </c>
      <c r="AJ65">
        <v>45835</v>
      </c>
      <c r="AK65" t="s">
        <v>104</v>
      </c>
      <c r="AL65" t="s">
        <v>105</v>
      </c>
      <c r="AM65" t="s">
        <v>106</v>
      </c>
      <c r="AN65" t="s">
        <v>107</v>
      </c>
      <c r="AO65" t="s">
        <v>107</v>
      </c>
      <c r="AP65">
        <v>3000</v>
      </c>
      <c r="AQ65">
        <v>3000</v>
      </c>
      <c r="AR65">
        <v>0</v>
      </c>
      <c r="AS65" t="s">
        <v>107</v>
      </c>
      <c r="AT65" t="s">
        <v>161</v>
      </c>
      <c r="AU65" t="s">
        <v>109</v>
      </c>
      <c r="AV65" t="s">
        <v>110</v>
      </c>
      <c r="AW65" t="s">
        <v>111</v>
      </c>
      <c r="AY65" t="s">
        <v>465</v>
      </c>
      <c r="AZ65" t="s">
        <v>116</v>
      </c>
      <c r="BB65" t="s">
        <v>114</v>
      </c>
      <c r="BC65" t="s">
        <v>115</v>
      </c>
      <c r="BN65" t="s">
        <v>113</v>
      </c>
      <c r="BO65" t="s">
        <v>466</v>
      </c>
      <c r="BP65" t="s">
        <v>370</v>
      </c>
      <c r="BR65" t="s">
        <v>467</v>
      </c>
      <c r="BS65" t="s">
        <v>468</v>
      </c>
      <c r="BW65" t="s">
        <v>382</v>
      </c>
      <c r="BX65" t="s">
        <v>383</v>
      </c>
      <c r="BY65" t="s">
        <v>123</v>
      </c>
      <c r="BZ65" t="s">
        <v>124</v>
      </c>
    </row>
    <row r="66" spans="1:78" x14ac:dyDescent="0.3">
      <c r="A66" t="s">
        <v>2</v>
      </c>
      <c r="B66" t="s">
        <v>92</v>
      </c>
      <c r="C66" t="s">
        <v>93</v>
      </c>
      <c r="D66" t="s">
        <v>94</v>
      </c>
      <c r="E66" t="s">
        <v>95</v>
      </c>
      <c r="F66" t="s">
        <v>458</v>
      </c>
      <c r="G66">
        <v>675000</v>
      </c>
      <c r="H66">
        <v>675000</v>
      </c>
      <c r="I66" t="s">
        <v>93</v>
      </c>
      <c r="J66" t="s">
        <v>94</v>
      </c>
      <c r="K66" t="s">
        <v>202</v>
      </c>
      <c r="L66" t="s">
        <v>459</v>
      </c>
      <c r="M66">
        <v>60400</v>
      </c>
      <c r="N66">
        <v>60400</v>
      </c>
      <c r="AA66" t="s">
        <v>460</v>
      </c>
      <c r="AB66" t="s">
        <v>461</v>
      </c>
      <c r="AC66" t="s">
        <v>462</v>
      </c>
      <c r="AD66" t="s">
        <v>365</v>
      </c>
      <c r="AE66" t="s">
        <v>463</v>
      </c>
      <c r="AF66" t="s">
        <v>464</v>
      </c>
      <c r="AG66" t="s">
        <v>450</v>
      </c>
      <c r="AH66" t="s">
        <v>450</v>
      </c>
      <c r="AI66">
        <v>45985</v>
      </c>
      <c r="AJ66">
        <v>45985</v>
      </c>
      <c r="AK66" t="s">
        <v>137</v>
      </c>
      <c r="AL66" t="s">
        <v>105</v>
      </c>
      <c r="AM66" t="s">
        <v>469</v>
      </c>
      <c r="AN66" t="s">
        <v>107</v>
      </c>
      <c r="AO66" t="s">
        <v>107</v>
      </c>
      <c r="AP66">
        <v>270000</v>
      </c>
      <c r="AQ66">
        <v>270000</v>
      </c>
      <c r="AR66">
        <v>0</v>
      </c>
      <c r="AS66" t="s">
        <v>107</v>
      </c>
      <c r="AT66" t="s">
        <v>161</v>
      </c>
      <c r="AU66" t="s">
        <v>109</v>
      </c>
      <c r="AV66" t="s">
        <v>110</v>
      </c>
      <c r="AW66" t="s">
        <v>111</v>
      </c>
      <c r="AY66" t="s">
        <v>470</v>
      </c>
      <c r="AZ66" t="s">
        <v>116</v>
      </c>
      <c r="BB66" t="s">
        <v>471</v>
      </c>
      <c r="BC66" t="s">
        <v>115</v>
      </c>
      <c r="BN66" t="s">
        <v>113</v>
      </c>
      <c r="BO66" t="s">
        <v>466</v>
      </c>
      <c r="BP66" t="s">
        <v>370</v>
      </c>
      <c r="BR66" t="s">
        <v>467</v>
      </c>
      <c r="BS66" t="s">
        <v>472</v>
      </c>
      <c r="BW66" t="s">
        <v>382</v>
      </c>
      <c r="BX66" t="s">
        <v>383</v>
      </c>
      <c r="BY66" t="s">
        <v>123</v>
      </c>
      <c r="BZ66" t="s">
        <v>124</v>
      </c>
    </row>
    <row r="67" spans="1:78" x14ac:dyDescent="0.3">
      <c r="A67" t="s">
        <v>2</v>
      </c>
      <c r="B67" t="s">
        <v>92</v>
      </c>
      <c r="C67" t="s">
        <v>93</v>
      </c>
      <c r="D67" t="s">
        <v>94</v>
      </c>
      <c r="E67" t="s">
        <v>95</v>
      </c>
      <c r="F67" t="s">
        <v>458</v>
      </c>
      <c r="G67">
        <v>675000</v>
      </c>
      <c r="H67">
        <v>675000</v>
      </c>
      <c r="I67" t="s">
        <v>93</v>
      </c>
      <c r="J67" t="s">
        <v>94</v>
      </c>
      <c r="K67" t="s">
        <v>202</v>
      </c>
      <c r="L67" t="s">
        <v>459</v>
      </c>
      <c r="M67">
        <v>60400</v>
      </c>
      <c r="N67">
        <v>60400</v>
      </c>
      <c r="AA67" t="s">
        <v>460</v>
      </c>
      <c r="AB67" t="s">
        <v>461</v>
      </c>
      <c r="AC67" t="s">
        <v>462</v>
      </c>
      <c r="AD67" t="s">
        <v>365</v>
      </c>
      <c r="AE67" t="s">
        <v>463</v>
      </c>
      <c r="AF67" t="s">
        <v>464</v>
      </c>
      <c r="AG67" t="s">
        <v>450</v>
      </c>
      <c r="AH67" t="s">
        <v>450</v>
      </c>
      <c r="AI67">
        <v>46008</v>
      </c>
      <c r="AJ67">
        <v>46010</v>
      </c>
      <c r="AK67" t="s">
        <v>218</v>
      </c>
      <c r="AL67" t="s">
        <v>105</v>
      </c>
      <c r="AM67" t="s">
        <v>473</v>
      </c>
      <c r="AN67" t="s">
        <v>107</v>
      </c>
      <c r="AO67" t="s">
        <v>107</v>
      </c>
      <c r="AP67">
        <v>66057.14</v>
      </c>
      <c r="AQ67">
        <v>66057.14</v>
      </c>
      <c r="AR67">
        <v>0</v>
      </c>
      <c r="AS67" t="s">
        <v>107</v>
      </c>
      <c r="AT67" t="s">
        <v>161</v>
      </c>
      <c r="AU67" t="s">
        <v>109</v>
      </c>
      <c r="AV67" t="s">
        <v>110</v>
      </c>
      <c r="AW67" t="s">
        <v>111</v>
      </c>
      <c r="AY67" t="s">
        <v>474</v>
      </c>
      <c r="AZ67" t="s">
        <v>116</v>
      </c>
      <c r="BB67" t="s">
        <v>471</v>
      </c>
      <c r="BC67" t="s">
        <v>115</v>
      </c>
      <c r="BN67" t="s">
        <v>113</v>
      </c>
      <c r="BO67" t="s">
        <v>466</v>
      </c>
      <c r="BP67" t="s">
        <v>370</v>
      </c>
      <c r="BR67" t="s">
        <v>467</v>
      </c>
      <c r="BS67" t="s">
        <v>475</v>
      </c>
      <c r="BW67" t="s">
        <v>382</v>
      </c>
      <c r="BX67" t="s">
        <v>383</v>
      </c>
      <c r="BY67" t="s">
        <v>123</v>
      </c>
      <c r="BZ67" t="s">
        <v>124</v>
      </c>
    </row>
    <row r="68" spans="1:78" x14ac:dyDescent="0.3">
      <c r="A68" t="s">
        <v>2</v>
      </c>
      <c r="B68" t="s">
        <v>92</v>
      </c>
      <c r="C68" t="s">
        <v>93</v>
      </c>
      <c r="D68" t="s">
        <v>94</v>
      </c>
      <c r="E68" t="s">
        <v>95</v>
      </c>
      <c r="F68" t="s">
        <v>96</v>
      </c>
      <c r="G68">
        <v>520400</v>
      </c>
      <c r="H68">
        <v>520400</v>
      </c>
      <c r="AA68" t="s">
        <v>97</v>
      </c>
      <c r="AB68" t="s">
        <v>98</v>
      </c>
      <c r="AC68" t="s">
        <v>99</v>
      </c>
      <c r="AD68" t="s">
        <v>100</v>
      </c>
      <c r="AE68" t="s">
        <v>100</v>
      </c>
      <c r="AF68" t="s">
        <v>101</v>
      </c>
      <c r="AG68" t="s">
        <v>102</v>
      </c>
      <c r="AH68" t="s">
        <v>103</v>
      </c>
      <c r="AI68">
        <v>45663</v>
      </c>
      <c r="AJ68">
        <v>45663</v>
      </c>
      <c r="AK68" t="s">
        <v>137</v>
      </c>
      <c r="AL68" t="s">
        <v>105</v>
      </c>
      <c r="AM68" t="s">
        <v>476</v>
      </c>
      <c r="AN68" t="s">
        <v>107</v>
      </c>
      <c r="AO68" t="s">
        <v>107</v>
      </c>
      <c r="AP68">
        <v>117000</v>
      </c>
      <c r="AQ68">
        <v>117000</v>
      </c>
      <c r="AR68">
        <v>0</v>
      </c>
      <c r="AS68" t="s">
        <v>107</v>
      </c>
      <c r="AT68" t="s">
        <v>108</v>
      </c>
      <c r="AU68" t="s">
        <v>109</v>
      </c>
      <c r="AV68" t="s">
        <v>110</v>
      </c>
      <c r="AW68" t="s">
        <v>111</v>
      </c>
      <c r="AY68" t="s">
        <v>477</v>
      </c>
      <c r="AZ68" t="s">
        <v>113</v>
      </c>
      <c r="BB68" t="s">
        <v>114</v>
      </c>
      <c r="BC68" t="s">
        <v>115</v>
      </c>
      <c r="BN68" t="s">
        <v>116</v>
      </c>
      <c r="BO68" t="s">
        <v>117</v>
      </c>
      <c r="BP68" t="s">
        <v>118</v>
      </c>
      <c r="BR68" t="s">
        <v>119</v>
      </c>
      <c r="BS68" t="s">
        <v>478</v>
      </c>
      <c r="BW68" t="s">
        <v>382</v>
      </c>
      <c r="BX68" t="s">
        <v>383</v>
      </c>
      <c r="BY68" t="s">
        <v>123</v>
      </c>
      <c r="BZ68" t="s">
        <v>124</v>
      </c>
    </row>
    <row r="69" spans="1:78" x14ac:dyDescent="0.3">
      <c r="A69" t="s">
        <v>2</v>
      </c>
      <c r="B69" t="s">
        <v>92</v>
      </c>
      <c r="C69" t="s">
        <v>93</v>
      </c>
      <c r="D69" t="s">
        <v>94</v>
      </c>
      <c r="E69" t="s">
        <v>95</v>
      </c>
      <c r="F69" t="s">
        <v>96</v>
      </c>
      <c r="G69">
        <v>520400</v>
      </c>
      <c r="H69">
        <v>520400</v>
      </c>
      <c r="AA69" t="s">
        <v>97</v>
      </c>
      <c r="AB69" t="s">
        <v>98</v>
      </c>
      <c r="AC69" t="s">
        <v>99</v>
      </c>
      <c r="AD69" t="s">
        <v>100</v>
      </c>
      <c r="AE69" t="s">
        <v>100</v>
      </c>
      <c r="AF69" t="s">
        <v>101</v>
      </c>
      <c r="AG69" t="s">
        <v>102</v>
      </c>
      <c r="AH69" t="s">
        <v>103</v>
      </c>
      <c r="AI69">
        <v>45688</v>
      </c>
      <c r="AJ69">
        <v>45716</v>
      </c>
      <c r="AK69" t="s">
        <v>218</v>
      </c>
      <c r="AL69" t="s">
        <v>105</v>
      </c>
      <c r="AM69" t="s">
        <v>479</v>
      </c>
      <c r="AN69" t="s">
        <v>107</v>
      </c>
      <c r="AO69" t="s">
        <v>107</v>
      </c>
      <c r="AP69">
        <v>400400</v>
      </c>
      <c r="AQ69">
        <v>400400</v>
      </c>
      <c r="AR69">
        <v>0</v>
      </c>
      <c r="AS69" t="s">
        <v>107</v>
      </c>
      <c r="AT69" t="s">
        <v>108</v>
      </c>
      <c r="AU69" t="s">
        <v>109</v>
      </c>
      <c r="AV69" t="s">
        <v>110</v>
      </c>
      <c r="AW69" t="s">
        <v>111</v>
      </c>
      <c r="AY69" t="s">
        <v>480</v>
      </c>
      <c r="AZ69" t="s">
        <v>113</v>
      </c>
      <c r="BB69" t="s">
        <v>114</v>
      </c>
      <c r="BC69" t="s">
        <v>115</v>
      </c>
      <c r="BN69" t="s">
        <v>116</v>
      </c>
      <c r="BO69" t="s">
        <v>117</v>
      </c>
      <c r="BP69" t="s">
        <v>118</v>
      </c>
      <c r="BR69" t="s">
        <v>119</v>
      </c>
      <c r="BS69" t="s">
        <v>481</v>
      </c>
      <c r="BW69" t="s">
        <v>382</v>
      </c>
      <c r="BX69" t="s">
        <v>383</v>
      </c>
      <c r="BY69" t="s">
        <v>123</v>
      </c>
      <c r="BZ69" t="s">
        <v>124</v>
      </c>
    </row>
    <row r="70" spans="1:78" x14ac:dyDescent="0.3">
      <c r="A70" t="s">
        <v>12</v>
      </c>
      <c r="B70" t="s">
        <v>92</v>
      </c>
      <c r="C70" t="s">
        <v>93</v>
      </c>
      <c r="D70" t="s">
        <v>94</v>
      </c>
      <c r="E70" t="s">
        <v>95</v>
      </c>
      <c r="F70" t="s">
        <v>482</v>
      </c>
      <c r="G70">
        <v>483000</v>
      </c>
      <c r="H70">
        <v>443000</v>
      </c>
      <c r="I70" t="s">
        <v>93</v>
      </c>
      <c r="J70" t="s">
        <v>94</v>
      </c>
      <c r="K70" t="s">
        <v>202</v>
      </c>
      <c r="L70" t="s">
        <v>483</v>
      </c>
      <c r="M70">
        <v>42800</v>
      </c>
      <c r="N70">
        <v>42800</v>
      </c>
      <c r="AA70" t="s">
        <v>484</v>
      </c>
      <c r="AB70" t="s">
        <v>485</v>
      </c>
      <c r="AC70" t="s">
        <v>486</v>
      </c>
      <c r="AD70" t="s">
        <v>365</v>
      </c>
      <c r="AE70" t="s">
        <v>487</v>
      </c>
      <c r="AF70" t="s">
        <v>488</v>
      </c>
      <c r="AG70" t="s">
        <v>102</v>
      </c>
      <c r="AH70" t="s">
        <v>489</v>
      </c>
      <c r="AI70">
        <v>45795</v>
      </c>
      <c r="AJ70">
        <v>45795</v>
      </c>
      <c r="AK70" t="s">
        <v>104</v>
      </c>
      <c r="AL70" t="s">
        <v>105</v>
      </c>
      <c r="AM70" t="s">
        <v>106</v>
      </c>
      <c r="AN70" t="s">
        <v>107</v>
      </c>
      <c r="AO70" t="s">
        <v>107</v>
      </c>
      <c r="AP70">
        <v>3000</v>
      </c>
      <c r="AQ70">
        <v>3000</v>
      </c>
      <c r="AR70">
        <v>0</v>
      </c>
      <c r="AS70" t="s">
        <v>107</v>
      </c>
      <c r="AT70" t="s">
        <v>161</v>
      </c>
      <c r="AU70" t="s">
        <v>109</v>
      </c>
      <c r="AV70" t="s">
        <v>451</v>
      </c>
      <c r="AW70" t="s">
        <v>111</v>
      </c>
      <c r="AY70" t="s">
        <v>490</v>
      </c>
      <c r="AZ70" t="s">
        <v>113</v>
      </c>
      <c r="BB70" t="s">
        <v>114</v>
      </c>
      <c r="BC70" t="s">
        <v>115</v>
      </c>
      <c r="BN70" t="s">
        <v>116</v>
      </c>
      <c r="BO70" t="s">
        <v>491</v>
      </c>
      <c r="BP70" t="s">
        <v>370</v>
      </c>
      <c r="BR70" t="s">
        <v>359</v>
      </c>
      <c r="BS70" t="s">
        <v>492</v>
      </c>
      <c r="BW70" t="s">
        <v>382</v>
      </c>
      <c r="BX70" t="s">
        <v>383</v>
      </c>
      <c r="BY70" t="s">
        <v>123</v>
      </c>
      <c r="BZ70" t="s">
        <v>124</v>
      </c>
    </row>
    <row r="71" spans="1:78" x14ac:dyDescent="0.3">
      <c r="A71" t="s">
        <v>12</v>
      </c>
      <c r="B71" t="s">
        <v>92</v>
      </c>
      <c r="C71" t="s">
        <v>93</v>
      </c>
      <c r="D71" t="s">
        <v>94</v>
      </c>
      <c r="E71" t="s">
        <v>95</v>
      </c>
      <c r="F71" t="s">
        <v>482</v>
      </c>
      <c r="G71">
        <v>483000</v>
      </c>
      <c r="H71">
        <v>443000</v>
      </c>
      <c r="I71" t="s">
        <v>93</v>
      </c>
      <c r="J71" t="s">
        <v>94</v>
      </c>
      <c r="K71" t="s">
        <v>202</v>
      </c>
      <c r="L71" t="s">
        <v>483</v>
      </c>
      <c r="M71">
        <v>42800</v>
      </c>
      <c r="N71">
        <v>42800</v>
      </c>
      <c r="AA71" t="s">
        <v>484</v>
      </c>
      <c r="AB71" t="s">
        <v>485</v>
      </c>
      <c r="AC71" t="s">
        <v>486</v>
      </c>
      <c r="AD71" t="s">
        <v>365</v>
      </c>
      <c r="AE71" t="s">
        <v>487</v>
      </c>
      <c r="AF71" t="s">
        <v>488</v>
      </c>
      <c r="AG71" t="s">
        <v>102</v>
      </c>
      <c r="AH71" t="s">
        <v>489</v>
      </c>
      <c r="AI71">
        <v>45839</v>
      </c>
      <c r="AJ71">
        <v>45839</v>
      </c>
      <c r="AK71" t="s">
        <v>137</v>
      </c>
      <c r="AL71" t="s">
        <v>105</v>
      </c>
      <c r="AM71" t="s">
        <v>107</v>
      </c>
      <c r="AN71" t="s">
        <v>107</v>
      </c>
      <c r="AO71" t="s">
        <v>107</v>
      </c>
      <c r="AP71">
        <v>45580</v>
      </c>
      <c r="AQ71">
        <v>30000</v>
      </c>
      <c r="AR71">
        <v>0</v>
      </c>
      <c r="AS71" t="s">
        <v>107</v>
      </c>
      <c r="AT71" t="s">
        <v>161</v>
      </c>
      <c r="AU71" t="s">
        <v>109</v>
      </c>
      <c r="AV71" t="s">
        <v>451</v>
      </c>
      <c r="AW71" t="s">
        <v>111</v>
      </c>
      <c r="AY71" t="s">
        <v>493</v>
      </c>
      <c r="AZ71" t="s">
        <v>113</v>
      </c>
      <c r="BB71" t="s">
        <v>114</v>
      </c>
      <c r="BC71" t="s">
        <v>115</v>
      </c>
      <c r="BN71" t="s">
        <v>113</v>
      </c>
      <c r="BO71" t="s">
        <v>491</v>
      </c>
      <c r="BP71" t="s">
        <v>370</v>
      </c>
      <c r="BR71" t="s">
        <v>359</v>
      </c>
      <c r="BS71" t="s">
        <v>494</v>
      </c>
      <c r="BW71" t="s">
        <v>382</v>
      </c>
      <c r="BX71" t="s">
        <v>383</v>
      </c>
      <c r="BY71" t="s">
        <v>123</v>
      </c>
      <c r="BZ71" t="s">
        <v>124</v>
      </c>
    </row>
    <row r="72" spans="1:78" x14ac:dyDescent="0.3">
      <c r="A72" t="s">
        <v>12</v>
      </c>
      <c r="B72" t="s">
        <v>92</v>
      </c>
      <c r="C72" t="s">
        <v>93</v>
      </c>
      <c r="D72" t="s">
        <v>94</v>
      </c>
      <c r="E72" t="s">
        <v>95</v>
      </c>
      <c r="F72" t="s">
        <v>482</v>
      </c>
      <c r="G72">
        <v>483000</v>
      </c>
      <c r="H72">
        <v>443000</v>
      </c>
      <c r="I72" t="s">
        <v>93</v>
      </c>
      <c r="J72" t="s">
        <v>94</v>
      </c>
      <c r="K72" t="s">
        <v>202</v>
      </c>
      <c r="L72" t="s">
        <v>483</v>
      </c>
      <c r="M72">
        <v>42800</v>
      </c>
      <c r="N72">
        <v>42800</v>
      </c>
      <c r="AA72" t="s">
        <v>484</v>
      </c>
      <c r="AB72" t="s">
        <v>485</v>
      </c>
      <c r="AC72" t="s">
        <v>486</v>
      </c>
      <c r="AD72" t="s">
        <v>365</v>
      </c>
      <c r="AE72" t="s">
        <v>487</v>
      </c>
      <c r="AF72" t="s">
        <v>488</v>
      </c>
      <c r="AG72" t="s">
        <v>102</v>
      </c>
      <c r="AH72" t="s">
        <v>489</v>
      </c>
      <c r="AI72">
        <v>45839</v>
      </c>
      <c r="AJ72">
        <v>45841</v>
      </c>
      <c r="AK72" t="s">
        <v>137</v>
      </c>
      <c r="AL72" t="s">
        <v>105</v>
      </c>
      <c r="AM72" t="s">
        <v>495</v>
      </c>
      <c r="AN72" t="s">
        <v>107</v>
      </c>
      <c r="AO72" t="s">
        <v>107</v>
      </c>
      <c r="AP72">
        <v>0</v>
      </c>
      <c r="AQ72">
        <v>15580</v>
      </c>
      <c r="AR72">
        <v>0</v>
      </c>
      <c r="AS72" t="s">
        <v>107</v>
      </c>
      <c r="AT72" t="s">
        <v>161</v>
      </c>
      <c r="AU72" t="s">
        <v>109</v>
      </c>
      <c r="AV72" t="s">
        <v>451</v>
      </c>
      <c r="AW72" t="s">
        <v>111</v>
      </c>
      <c r="AY72" t="s">
        <v>496</v>
      </c>
      <c r="AZ72" t="s">
        <v>113</v>
      </c>
      <c r="BB72" t="s">
        <v>114</v>
      </c>
      <c r="BC72" t="s">
        <v>115</v>
      </c>
      <c r="BN72" t="s">
        <v>113</v>
      </c>
      <c r="BO72" t="s">
        <v>491</v>
      </c>
      <c r="BP72" t="s">
        <v>370</v>
      </c>
      <c r="BR72" t="s">
        <v>359</v>
      </c>
      <c r="BS72" t="s">
        <v>497</v>
      </c>
      <c r="BW72" t="s">
        <v>382</v>
      </c>
      <c r="BX72" t="s">
        <v>383</v>
      </c>
      <c r="BY72" t="s">
        <v>123</v>
      </c>
      <c r="BZ72" t="s">
        <v>124</v>
      </c>
    </row>
    <row r="73" spans="1:78" x14ac:dyDescent="0.3">
      <c r="A73" t="s">
        <v>12</v>
      </c>
      <c r="B73" t="s">
        <v>92</v>
      </c>
      <c r="C73" t="s">
        <v>93</v>
      </c>
      <c r="D73" t="s">
        <v>94</v>
      </c>
      <c r="E73" t="s">
        <v>95</v>
      </c>
      <c r="F73" t="s">
        <v>482</v>
      </c>
      <c r="G73">
        <v>483000</v>
      </c>
      <c r="H73">
        <v>443000</v>
      </c>
      <c r="I73" t="s">
        <v>93</v>
      </c>
      <c r="J73" t="s">
        <v>94</v>
      </c>
      <c r="K73" t="s">
        <v>202</v>
      </c>
      <c r="L73" t="s">
        <v>483</v>
      </c>
      <c r="M73">
        <v>42800</v>
      </c>
      <c r="N73">
        <v>42800</v>
      </c>
      <c r="AA73" t="s">
        <v>484</v>
      </c>
      <c r="AB73" t="s">
        <v>485</v>
      </c>
      <c r="AC73" t="s">
        <v>486</v>
      </c>
      <c r="AD73" t="s">
        <v>365</v>
      </c>
      <c r="AE73" t="s">
        <v>487</v>
      </c>
      <c r="AF73" t="s">
        <v>488</v>
      </c>
      <c r="AG73" t="s">
        <v>102</v>
      </c>
      <c r="AH73" t="s">
        <v>489</v>
      </c>
      <c r="AI73">
        <v>45841</v>
      </c>
      <c r="AJ73">
        <v>45841</v>
      </c>
      <c r="AK73" t="s">
        <v>137</v>
      </c>
      <c r="AL73" t="s">
        <v>142</v>
      </c>
      <c r="AM73" t="s">
        <v>107</v>
      </c>
      <c r="AN73" t="s">
        <v>107</v>
      </c>
      <c r="AO73" t="s">
        <v>107</v>
      </c>
      <c r="AP73">
        <v>145740</v>
      </c>
      <c r="AQ73">
        <v>145700</v>
      </c>
      <c r="AR73">
        <v>0</v>
      </c>
      <c r="AS73" t="s">
        <v>107</v>
      </c>
      <c r="AT73" t="s">
        <v>161</v>
      </c>
      <c r="AU73" t="s">
        <v>109</v>
      </c>
      <c r="AV73" t="s">
        <v>451</v>
      </c>
      <c r="AW73" t="s">
        <v>139</v>
      </c>
      <c r="AY73" t="s">
        <v>498</v>
      </c>
      <c r="AZ73" t="s">
        <v>113</v>
      </c>
      <c r="BB73" t="s">
        <v>114</v>
      </c>
      <c r="BC73" t="s">
        <v>115</v>
      </c>
      <c r="BN73" t="s">
        <v>113</v>
      </c>
      <c r="BO73" t="s">
        <v>491</v>
      </c>
      <c r="BP73" t="s">
        <v>370</v>
      </c>
      <c r="BR73" t="s">
        <v>359</v>
      </c>
      <c r="BS73" t="s">
        <v>499</v>
      </c>
      <c r="BW73" t="s">
        <v>382</v>
      </c>
      <c r="BX73" t="s">
        <v>383</v>
      </c>
      <c r="BY73" t="s">
        <v>123</v>
      </c>
      <c r="BZ73" t="s">
        <v>124</v>
      </c>
    </row>
    <row r="74" spans="1:78" x14ac:dyDescent="0.3">
      <c r="A74" t="s">
        <v>12</v>
      </c>
      <c r="B74" t="s">
        <v>92</v>
      </c>
      <c r="C74" t="s">
        <v>93</v>
      </c>
      <c r="D74" t="s">
        <v>94</v>
      </c>
      <c r="E74" t="s">
        <v>95</v>
      </c>
      <c r="F74" t="s">
        <v>482</v>
      </c>
      <c r="G74">
        <v>483000</v>
      </c>
      <c r="H74">
        <v>443000</v>
      </c>
      <c r="I74" t="s">
        <v>93</v>
      </c>
      <c r="J74" t="s">
        <v>94</v>
      </c>
      <c r="K74" t="s">
        <v>202</v>
      </c>
      <c r="L74" t="s">
        <v>483</v>
      </c>
      <c r="M74">
        <v>42800</v>
      </c>
      <c r="N74">
        <v>42800</v>
      </c>
      <c r="AA74" t="s">
        <v>484</v>
      </c>
      <c r="AB74" t="s">
        <v>485</v>
      </c>
      <c r="AC74" t="s">
        <v>486</v>
      </c>
      <c r="AD74" t="s">
        <v>365</v>
      </c>
      <c r="AE74" t="s">
        <v>487</v>
      </c>
      <c r="AF74" t="s">
        <v>488</v>
      </c>
      <c r="AG74" t="s">
        <v>102</v>
      </c>
      <c r="AH74" t="s">
        <v>489</v>
      </c>
      <c r="AI74">
        <v>45841</v>
      </c>
      <c r="AJ74">
        <v>46027</v>
      </c>
      <c r="AK74" t="s">
        <v>137</v>
      </c>
      <c r="AL74" t="s">
        <v>142</v>
      </c>
      <c r="AM74" t="s">
        <v>500</v>
      </c>
      <c r="AN74" t="s">
        <v>107</v>
      </c>
      <c r="AO74" t="s">
        <v>107</v>
      </c>
      <c r="AP74">
        <v>0</v>
      </c>
      <c r="AQ74">
        <v>40</v>
      </c>
      <c r="AR74">
        <v>0</v>
      </c>
      <c r="AS74" t="s">
        <v>107</v>
      </c>
      <c r="AT74" t="s">
        <v>161</v>
      </c>
      <c r="AU74" t="s">
        <v>109</v>
      </c>
      <c r="AV74" t="s">
        <v>451</v>
      </c>
      <c r="AW74" t="s">
        <v>111</v>
      </c>
      <c r="AY74" t="s">
        <v>501</v>
      </c>
      <c r="AZ74" t="s">
        <v>113</v>
      </c>
      <c r="BB74" t="s">
        <v>114</v>
      </c>
      <c r="BC74" t="s">
        <v>115</v>
      </c>
      <c r="BN74" t="s">
        <v>116</v>
      </c>
      <c r="BO74" t="s">
        <v>491</v>
      </c>
      <c r="BP74" t="s">
        <v>370</v>
      </c>
      <c r="BR74" t="s">
        <v>359</v>
      </c>
      <c r="BS74" t="s">
        <v>502</v>
      </c>
      <c r="BW74" t="s">
        <v>382</v>
      </c>
      <c r="BX74" t="s">
        <v>383</v>
      </c>
      <c r="BY74" t="s">
        <v>123</v>
      </c>
      <c r="BZ74" t="s">
        <v>124</v>
      </c>
    </row>
    <row r="75" spans="1:78" x14ac:dyDescent="0.3">
      <c r="A75" t="s">
        <v>2</v>
      </c>
      <c r="B75" t="s">
        <v>92</v>
      </c>
      <c r="C75" t="s">
        <v>93</v>
      </c>
      <c r="D75" t="s">
        <v>94</v>
      </c>
      <c r="E75" t="s">
        <v>95</v>
      </c>
      <c r="F75" t="s">
        <v>503</v>
      </c>
      <c r="G75">
        <v>630000</v>
      </c>
      <c r="H75">
        <v>630000</v>
      </c>
      <c r="I75" t="s">
        <v>93</v>
      </c>
      <c r="J75" t="s">
        <v>94</v>
      </c>
      <c r="K75" t="s">
        <v>202</v>
      </c>
      <c r="L75" t="s">
        <v>504</v>
      </c>
      <c r="M75">
        <v>60000</v>
      </c>
      <c r="N75">
        <v>60000</v>
      </c>
      <c r="AA75" t="s">
        <v>505</v>
      </c>
      <c r="AB75" t="s">
        <v>506</v>
      </c>
      <c r="AC75" t="s">
        <v>507</v>
      </c>
      <c r="AE75" t="s">
        <v>508</v>
      </c>
      <c r="AF75" t="s">
        <v>509</v>
      </c>
      <c r="AG75" t="s">
        <v>102</v>
      </c>
      <c r="AH75" t="s">
        <v>131</v>
      </c>
      <c r="AI75">
        <v>45804</v>
      </c>
      <c r="AJ75">
        <v>45804</v>
      </c>
      <c r="AK75" t="s">
        <v>104</v>
      </c>
      <c r="AL75" t="s">
        <v>105</v>
      </c>
      <c r="AM75" t="s">
        <v>106</v>
      </c>
      <c r="AN75" t="s">
        <v>107</v>
      </c>
      <c r="AO75" t="s">
        <v>107</v>
      </c>
      <c r="AP75">
        <v>3000</v>
      </c>
      <c r="AQ75">
        <v>3000</v>
      </c>
      <c r="AR75">
        <v>0</v>
      </c>
      <c r="AS75" t="s">
        <v>107</v>
      </c>
      <c r="AT75" t="s">
        <v>108</v>
      </c>
      <c r="AU75" t="s">
        <v>109</v>
      </c>
      <c r="AV75" t="s">
        <v>110</v>
      </c>
      <c r="AW75" t="s">
        <v>111</v>
      </c>
      <c r="AY75" t="s">
        <v>510</v>
      </c>
      <c r="AZ75" t="s">
        <v>113</v>
      </c>
      <c r="BB75" t="s">
        <v>114</v>
      </c>
      <c r="BC75" t="s">
        <v>115</v>
      </c>
      <c r="BN75" t="s">
        <v>116</v>
      </c>
      <c r="BO75" t="s">
        <v>511</v>
      </c>
      <c r="BP75" t="s">
        <v>166</v>
      </c>
      <c r="BR75" t="s">
        <v>512</v>
      </c>
      <c r="BS75" t="s">
        <v>513</v>
      </c>
      <c r="BW75" t="s">
        <v>382</v>
      </c>
      <c r="BX75" t="s">
        <v>383</v>
      </c>
      <c r="BY75" t="s">
        <v>123</v>
      </c>
      <c r="BZ75" t="s">
        <v>124</v>
      </c>
    </row>
    <row r="76" spans="1:78" x14ac:dyDescent="0.3">
      <c r="A76" t="s">
        <v>2</v>
      </c>
      <c r="B76" t="s">
        <v>92</v>
      </c>
      <c r="C76" t="s">
        <v>93</v>
      </c>
      <c r="D76" t="s">
        <v>94</v>
      </c>
      <c r="E76" t="s">
        <v>95</v>
      </c>
      <c r="F76" t="s">
        <v>503</v>
      </c>
      <c r="G76">
        <v>630000</v>
      </c>
      <c r="H76">
        <v>630000</v>
      </c>
      <c r="I76" t="s">
        <v>93</v>
      </c>
      <c r="J76" t="s">
        <v>94</v>
      </c>
      <c r="K76" t="s">
        <v>202</v>
      </c>
      <c r="L76" t="s">
        <v>504</v>
      </c>
      <c r="M76">
        <v>60000</v>
      </c>
      <c r="N76">
        <v>60000</v>
      </c>
      <c r="AA76" t="s">
        <v>505</v>
      </c>
      <c r="AB76" t="s">
        <v>506</v>
      </c>
      <c r="AC76" t="s">
        <v>507</v>
      </c>
      <c r="AE76" t="s">
        <v>508</v>
      </c>
      <c r="AF76" t="s">
        <v>509</v>
      </c>
      <c r="AG76" t="s">
        <v>102</v>
      </c>
      <c r="AH76" t="s">
        <v>131</v>
      </c>
      <c r="AI76">
        <v>45831</v>
      </c>
      <c r="AJ76">
        <v>45831</v>
      </c>
      <c r="AK76" t="s">
        <v>137</v>
      </c>
      <c r="AL76" t="s">
        <v>142</v>
      </c>
      <c r="AM76" t="s">
        <v>514</v>
      </c>
      <c r="AN76" t="s">
        <v>107</v>
      </c>
      <c r="AO76" t="s">
        <v>107</v>
      </c>
      <c r="AP76">
        <v>107000</v>
      </c>
      <c r="AQ76">
        <v>107000</v>
      </c>
      <c r="AR76">
        <v>0</v>
      </c>
      <c r="AS76" t="s">
        <v>107</v>
      </c>
      <c r="AT76" t="s">
        <v>108</v>
      </c>
      <c r="AU76" t="s">
        <v>109</v>
      </c>
      <c r="AV76" t="s">
        <v>110</v>
      </c>
      <c r="AW76" t="s">
        <v>111</v>
      </c>
      <c r="AX76" t="s">
        <v>506</v>
      </c>
      <c r="AY76" t="s">
        <v>515</v>
      </c>
      <c r="AZ76" t="s">
        <v>113</v>
      </c>
      <c r="BA76" t="s">
        <v>133</v>
      </c>
      <c r="BB76" t="s">
        <v>211</v>
      </c>
      <c r="BC76" t="s">
        <v>115</v>
      </c>
      <c r="BN76" t="s">
        <v>116</v>
      </c>
      <c r="BO76" t="s">
        <v>511</v>
      </c>
      <c r="BP76" t="s">
        <v>166</v>
      </c>
      <c r="BR76" t="s">
        <v>512</v>
      </c>
      <c r="BS76" t="s">
        <v>214</v>
      </c>
      <c r="BW76" t="s">
        <v>382</v>
      </c>
      <c r="BX76" t="s">
        <v>383</v>
      </c>
      <c r="BY76" t="s">
        <v>123</v>
      </c>
      <c r="BZ76" t="s">
        <v>124</v>
      </c>
    </row>
    <row r="77" spans="1:78" x14ac:dyDescent="0.3">
      <c r="A77" t="s">
        <v>2</v>
      </c>
      <c r="B77" t="s">
        <v>92</v>
      </c>
      <c r="C77" t="s">
        <v>93</v>
      </c>
      <c r="D77" t="s">
        <v>94</v>
      </c>
      <c r="E77" t="s">
        <v>95</v>
      </c>
      <c r="F77" t="s">
        <v>125</v>
      </c>
      <c r="G77">
        <v>435500</v>
      </c>
      <c r="H77">
        <v>435500</v>
      </c>
      <c r="AA77" t="s">
        <v>126</v>
      </c>
      <c r="AB77" t="s">
        <v>127</v>
      </c>
      <c r="AC77" t="s">
        <v>128</v>
      </c>
      <c r="AD77" t="s">
        <v>129</v>
      </c>
      <c r="AE77" t="s">
        <v>129</v>
      </c>
      <c r="AF77" t="s">
        <v>130</v>
      </c>
      <c r="AG77" t="s">
        <v>102</v>
      </c>
      <c r="AH77" t="s">
        <v>131</v>
      </c>
      <c r="AI77">
        <v>45688</v>
      </c>
      <c r="AJ77">
        <v>45838</v>
      </c>
      <c r="AK77" t="s">
        <v>218</v>
      </c>
      <c r="AL77" t="s">
        <v>105</v>
      </c>
      <c r="AM77" t="s">
        <v>516</v>
      </c>
      <c r="AN77" t="s">
        <v>107</v>
      </c>
      <c r="AO77" t="s">
        <v>107</v>
      </c>
      <c r="AP77">
        <v>370950</v>
      </c>
      <c r="AQ77">
        <v>370950</v>
      </c>
      <c r="AR77">
        <v>0</v>
      </c>
      <c r="AS77" t="s">
        <v>107</v>
      </c>
      <c r="AT77" t="s">
        <v>108</v>
      </c>
      <c r="AU77" t="s">
        <v>109</v>
      </c>
      <c r="AV77" t="s">
        <v>110</v>
      </c>
      <c r="AW77" t="s">
        <v>111</v>
      </c>
      <c r="AY77" t="s">
        <v>517</v>
      </c>
      <c r="AZ77" t="s">
        <v>113</v>
      </c>
      <c r="BB77" t="s">
        <v>114</v>
      </c>
      <c r="BC77" t="s">
        <v>115</v>
      </c>
      <c r="BN77" t="s">
        <v>116</v>
      </c>
      <c r="BO77" t="s">
        <v>134</v>
      </c>
      <c r="BP77" t="s">
        <v>118</v>
      </c>
      <c r="BR77" t="s">
        <v>135</v>
      </c>
      <c r="BS77" t="s">
        <v>518</v>
      </c>
      <c r="BW77" t="s">
        <v>382</v>
      </c>
      <c r="BX77" t="s">
        <v>383</v>
      </c>
      <c r="BY77" t="s">
        <v>123</v>
      </c>
      <c r="BZ77" t="s">
        <v>124</v>
      </c>
    </row>
    <row r="78" spans="1:78" x14ac:dyDescent="0.3">
      <c r="A78" t="s">
        <v>2</v>
      </c>
      <c r="B78" t="s">
        <v>92</v>
      </c>
      <c r="C78" t="s">
        <v>93</v>
      </c>
      <c r="D78" t="s">
        <v>94</v>
      </c>
      <c r="E78" t="s">
        <v>95</v>
      </c>
      <c r="F78" t="s">
        <v>519</v>
      </c>
      <c r="G78">
        <v>433500</v>
      </c>
      <c r="H78">
        <v>433500</v>
      </c>
      <c r="I78" t="s">
        <v>93</v>
      </c>
      <c r="J78" t="s">
        <v>94</v>
      </c>
      <c r="K78" t="s">
        <v>202</v>
      </c>
      <c r="L78" t="s">
        <v>520</v>
      </c>
      <c r="M78">
        <v>50500</v>
      </c>
      <c r="N78">
        <v>50500</v>
      </c>
      <c r="AA78" t="s">
        <v>521</v>
      </c>
      <c r="AB78" t="s">
        <v>522</v>
      </c>
      <c r="AC78" t="s">
        <v>523</v>
      </c>
      <c r="AD78" t="s">
        <v>524</v>
      </c>
      <c r="AE78" t="s">
        <v>525</v>
      </c>
      <c r="AF78" t="s">
        <v>526</v>
      </c>
      <c r="AG78" t="s">
        <v>102</v>
      </c>
      <c r="AH78" t="s">
        <v>527</v>
      </c>
      <c r="AI78">
        <v>46008</v>
      </c>
      <c r="AJ78">
        <v>46008</v>
      </c>
      <c r="AK78" t="s">
        <v>137</v>
      </c>
      <c r="AL78" t="s">
        <v>105</v>
      </c>
      <c r="AM78" t="s">
        <v>528</v>
      </c>
      <c r="AN78" t="s">
        <v>107</v>
      </c>
      <c r="AO78" t="s">
        <v>107</v>
      </c>
      <c r="AP78">
        <v>45400</v>
      </c>
      <c r="AQ78">
        <v>45400</v>
      </c>
      <c r="AR78">
        <v>0</v>
      </c>
      <c r="AS78" t="s">
        <v>107</v>
      </c>
      <c r="AT78" t="s">
        <v>108</v>
      </c>
      <c r="AU78" t="s">
        <v>109</v>
      </c>
      <c r="AV78" t="s">
        <v>529</v>
      </c>
      <c r="AW78" t="s">
        <v>111</v>
      </c>
      <c r="AX78" t="s">
        <v>522</v>
      </c>
      <c r="AY78" t="s">
        <v>530</v>
      </c>
      <c r="AZ78" t="s">
        <v>113</v>
      </c>
      <c r="BB78" t="s">
        <v>114</v>
      </c>
      <c r="BC78" t="s">
        <v>115</v>
      </c>
      <c r="BN78" t="s">
        <v>116</v>
      </c>
      <c r="BO78" t="s">
        <v>531</v>
      </c>
      <c r="BP78" t="s">
        <v>118</v>
      </c>
      <c r="BR78" t="s">
        <v>532</v>
      </c>
      <c r="BS78" t="s">
        <v>533</v>
      </c>
      <c r="BW78" t="s">
        <v>382</v>
      </c>
      <c r="BX78" t="s">
        <v>383</v>
      </c>
      <c r="BY78" t="s">
        <v>123</v>
      </c>
      <c r="BZ78" t="s">
        <v>124</v>
      </c>
    </row>
    <row r="79" spans="1:78" x14ac:dyDescent="0.3">
      <c r="A79" t="s">
        <v>11</v>
      </c>
      <c r="B79" t="s">
        <v>92</v>
      </c>
      <c r="C79" t="s">
        <v>93</v>
      </c>
      <c r="D79" t="s">
        <v>94</v>
      </c>
      <c r="E79" t="s">
        <v>95</v>
      </c>
      <c r="F79" t="s">
        <v>125</v>
      </c>
      <c r="G79">
        <v>430000</v>
      </c>
      <c r="H79">
        <v>381000</v>
      </c>
      <c r="AA79" t="s">
        <v>534</v>
      </c>
      <c r="AB79" t="s">
        <v>535</v>
      </c>
      <c r="AC79" t="s">
        <v>536</v>
      </c>
      <c r="AD79" t="s">
        <v>365</v>
      </c>
      <c r="AE79" t="s">
        <v>537</v>
      </c>
      <c r="AF79" t="s">
        <v>538</v>
      </c>
      <c r="AG79" t="s">
        <v>102</v>
      </c>
      <c r="AH79" t="s">
        <v>131</v>
      </c>
      <c r="AI79">
        <v>45932</v>
      </c>
      <c r="AJ79">
        <v>45932</v>
      </c>
      <c r="AK79" t="s">
        <v>104</v>
      </c>
      <c r="AL79" t="s">
        <v>105</v>
      </c>
      <c r="AM79" t="s">
        <v>106</v>
      </c>
      <c r="AN79" t="s">
        <v>107</v>
      </c>
      <c r="AO79" t="s">
        <v>107</v>
      </c>
      <c r="AP79">
        <v>3000</v>
      </c>
      <c r="AQ79">
        <v>3000</v>
      </c>
      <c r="AR79">
        <v>0</v>
      </c>
      <c r="AS79" t="s">
        <v>107</v>
      </c>
      <c r="AT79" t="s">
        <v>243</v>
      </c>
      <c r="AU79" t="s">
        <v>162</v>
      </c>
      <c r="AV79" t="s">
        <v>163</v>
      </c>
      <c r="AW79" t="s">
        <v>111</v>
      </c>
      <c r="AY79" t="s">
        <v>539</v>
      </c>
      <c r="AZ79" t="s">
        <v>113</v>
      </c>
      <c r="BB79" t="s">
        <v>114</v>
      </c>
      <c r="BC79" t="s">
        <v>115</v>
      </c>
      <c r="BN79" t="s">
        <v>113</v>
      </c>
      <c r="BO79" t="s">
        <v>540</v>
      </c>
      <c r="BP79" t="s">
        <v>370</v>
      </c>
      <c r="BR79" t="s">
        <v>246</v>
      </c>
      <c r="BS79" t="s">
        <v>541</v>
      </c>
      <c r="BW79" t="s">
        <v>382</v>
      </c>
      <c r="BX79" t="s">
        <v>383</v>
      </c>
      <c r="BY79" t="s">
        <v>123</v>
      </c>
      <c r="BZ79" t="s">
        <v>124</v>
      </c>
    </row>
    <row r="80" spans="1:78" x14ac:dyDescent="0.3">
      <c r="A80" t="s">
        <v>11</v>
      </c>
      <c r="B80" t="s">
        <v>92</v>
      </c>
      <c r="C80" t="s">
        <v>93</v>
      </c>
      <c r="D80" t="s">
        <v>94</v>
      </c>
      <c r="E80" t="s">
        <v>95</v>
      </c>
      <c r="F80" t="s">
        <v>125</v>
      </c>
      <c r="G80">
        <v>430000</v>
      </c>
      <c r="H80">
        <v>381000</v>
      </c>
      <c r="AA80" t="s">
        <v>534</v>
      </c>
      <c r="AB80" t="s">
        <v>535</v>
      </c>
      <c r="AC80" t="s">
        <v>536</v>
      </c>
      <c r="AD80" t="s">
        <v>365</v>
      </c>
      <c r="AE80" t="s">
        <v>537</v>
      </c>
      <c r="AF80" t="s">
        <v>538</v>
      </c>
      <c r="AG80" t="s">
        <v>102</v>
      </c>
      <c r="AH80" t="s">
        <v>131</v>
      </c>
      <c r="AI80">
        <v>45940</v>
      </c>
      <c r="AK80" t="s">
        <v>137</v>
      </c>
      <c r="AL80" t="s">
        <v>105</v>
      </c>
      <c r="AM80" t="s">
        <v>542</v>
      </c>
      <c r="AN80" t="s">
        <v>107</v>
      </c>
      <c r="AO80" t="s">
        <v>107</v>
      </c>
      <c r="AP80">
        <v>17000</v>
      </c>
      <c r="AQ80">
        <v>0</v>
      </c>
      <c r="AR80">
        <v>17000</v>
      </c>
      <c r="AT80" t="s">
        <v>243</v>
      </c>
      <c r="AZ80" t="s">
        <v>113</v>
      </c>
      <c r="BC80" t="s">
        <v>543</v>
      </c>
      <c r="BN80" t="s">
        <v>113</v>
      </c>
      <c r="BO80" t="s">
        <v>540</v>
      </c>
      <c r="BP80" t="s">
        <v>370</v>
      </c>
      <c r="BR80" t="s">
        <v>246</v>
      </c>
      <c r="BW80" t="s">
        <v>382</v>
      </c>
      <c r="BX80" t="s">
        <v>383</v>
      </c>
      <c r="BY80" t="s">
        <v>123</v>
      </c>
      <c r="BZ80" t="s">
        <v>124</v>
      </c>
    </row>
    <row r="81" spans="1:78" x14ac:dyDescent="0.3">
      <c r="A81" t="s">
        <v>11</v>
      </c>
      <c r="B81" t="s">
        <v>92</v>
      </c>
      <c r="C81" t="s">
        <v>93</v>
      </c>
      <c r="D81" t="s">
        <v>94</v>
      </c>
      <c r="E81" t="s">
        <v>95</v>
      </c>
      <c r="F81" t="s">
        <v>125</v>
      </c>
      <c r="G81">
        <v>430000</v>
      </c>
      <c r="H81">
        <v>381000</v>
      </c>
      <c r="AA81" t="s">
        <v>534</v>
      </c>
      <c r="AB81" t="s">
        <v>535</v>
      </c>
      <c r="AC81" t="s">
        <v>536</v>
      </c>
      <c r="AD81" t="s">
        <v>365</v>
      </c>
      <c r="AE81" t="s">
        <v>537</v>
      </c>
      <c r="AF81" t="s">
        <v>538</v>
      </c>
      <c r="AG81" t="s">
        <v>102</v>
      </c>
      <c r="AH81" t="s">
        <v>131</v>
      </c>
      <c r="AI81">
        <v>45965</v>
      </c>
      <c r="AK81" t="s">
        <v>137</v>
      </c>
      <c r="AL81" t="s">
        <v>142</v>
      </c>
      <c r="AM81" t="s">
        <v>402</v>
      </c>
      <c r="AN81" t="s">
        <v>107</v>
      </c>
      <c r="AO81" t="s">
        <v>107</v>
      </c>
      <c r="AP81">
        <v>44000</v>
      </c>
      <c r="AQ81">
        <v>0</v>
      </c>
      <c r="AR81">
        <v>44000</v>
      </c>
      <c r="AT81" t="s">
        <v>243</v>
      </c>
      <c r="AZ81" t="s">
        <v>113</v>
      </c>
      <c r="BC81" t="s">
        <v>543</v>
      </c>
      <c r="BN81" t="s">
        <v>113</v>
      </c>
      <c r="BO81" t="s">
        <v>540</v>
      </c>
      <c r="BP81" t="s">
        <v>370</v>
      </c>
      <c r="BR81" t="s">
        <v>246</v>
      </c>
      <c r="BW81" t="s">
        <v>382</v>
      </c>
      <c r="BX81" t="s">
        <v>383</v>
      </c>
      <c r="BY81" t="s">
        <v>123</v>
      </c>
      <c r="BZ81" t="s">
        <v>124</v>
      </c>
    </row>
    <row r="82" spans="1:78" x14ac:dyDescent="0.3">
      <c r="A82" t="s">
        <v>2</v>
      </c>
      <c r="B82" t="s">
        <v>92</v>
      </c>
      <c r="C82" t="s">
        <v>93</v>
      </c>
      <c r="D82" t="s">
        <v>94</v>
      </c>
      <c r="E82" t="s">
        <v>95</v>
      </c>
      <c r="F82" t="s">
        <v>544</v>
      </c>
      <c r="G82">
        <v>615000</v>
      </c>
      <c r="H82">
        <v>615000</v>
      </c>
      <c r="AA82" t="s">
        <v>545</v>
      </c>
      <c r="AB82" t="s">
        <v>546</v>
      </c>
      <c r="AC82" t="s">
        <v>547</v>
      </c>
      <c r="AD82" t="s">
        <v>548</v>
      </c>
      <c r="AE82" t="s">
        <v>548</v>
      </c>
      <c r="AF82" t="s">
        <v>549</v>
      </c>
      <c r="AG82" t="s">
        <v>550</v>
      </c>
      <c r="AH82" t="s">
        <v>551</v>
      </c>
      <c r="AI82">
        <v>45867</v>
      </c>
      <c r="AJ82">
        <v>45867</v>
      </c>
      <c r="AK82" t="s">
        <v>104</v>
      </c>
      <c r="AL82" t="s">
        <v>105</v>
      </c>
      <c r="AM82" t="s">
        <v>106</v>
      </c>
      <c r="AN82" t="s">
        <v>107</v>
      </c>
      <c r="AO82" t="s">
        <v>107</v>
      </c>
      <c r="AP82">
        <v>3000</v>
      </c>
      <c r="AQ82">
        <v>3000</v>
      </c>
      <c r="AR82">
        <v>0</v>
      </c>
      <c r="AS82" t="s">
        <v>107</v>
      </c>
      <c r="AT82" t="s">
        <v>108</v>
      </c>
      <c r="AU82" t="s">
        <v>109</v>
      </c>
      <c r="AV82" t="s">
        <v>110</v>
      </c>
      <c r="AW82" t="s">
        <v>111</v>
      </c>
      <c r="AX82" t="s">
        <v>546</v>
      </c>
      <c r="AY82" t="s">
        <v>552</v>
      </c>
      <c r="AZ82" t="s">
        <v>113</v>
      </c>
      <c r="BA82" t="s">
        <v>133</v>
      </c>
      <c r="BB82" t="s">
        <v>114</v>
      </c>
      <c r="BC82" t="s">
        <v>115</v>
      </c>
      <c r="BN82" t="s">
        <v>116</v>
      </c>
      <c r="BO82" t="s">
        <v>553</v>
      </c>
      <c r="BP82" t="s">
        <v>118</v>
      </c>
      <c r="BR82" t="s">
        <v>554</v>
      </c>
      <c r="BS82" t="s">
        <v>555</v>
      </c>
      <c r="BW82" t="s">
        <v>382</v>
      </c>
      <c r="BX82" t="s">
        <v>383</v>
      </c>
      <c r="BY82" t="s">
        <v>123</v>
      </c>
      <c r="BZ82" t="s">
        <v>124</v>
      </c>
    </row>
    <row r="83" spans="1:78" x14ac:dyDescent="0.3">
      <c r="A83" t="s">
        <v>2</v>
      </c>
      <c r="B83" t="s">
        <v>92</v>
      </c>
      <c r="C83" t="s">
        <v>93</v>
      </c>
      <c r="D83" t="s">
        <v>94</v>
      </c>
      <c r="E83" t="s">
        <v>95</v>
      </c>
      <c r="F83" t="s">
        <v>544</v>
      </c>
      <c r="G83">
        <v>615000</v>
      </c>
      <c r="H83">
        <v>615000</v>
      </c>
      <c r="AA83" t="s">
        <v>545</v>
      </c>
      <c r="AB83" t="s">
        <v>546</v>
      </c>
      <c r="AC83" t="s">
        <v>547</v>
      </c>
      <c r="AD83" t="s">
        <v>548</v>
      </c>
      <c r="AE83" t="s">
        <v>548</v>
      </c>
      <c r="AF83" t="s">
        <v>549</v>
      </c>
      <c r="AG83" t="s">
        <v>550</v>
      </c>
      <c r="AH83" t="s">
        <v>551</v>
      </c>
      <c r="AI83">
        <v>45885</v>
      </c>
      <c r="AJ83">
        <v>45885</v>
      </c>
      <c r="AK83" t="s">
        <v>137</v>
      </c>
      <c r="AL83" t="s">
        <v>105</v>
      </c>
      <c r="AM83" t="s">
        <v>398</v>
      </c>
      <c r="AN83" t="s">
        <v>107</v>
      </c>
      <c r="AO83" t="s">
        <v>107</v>
      </c>
      <c r="AP83">
        <v>10000</v>
      </c>
      <c r="AQ83">
        <v>10000</v>
      </c>
      <c r="AR83">
        <v>0</v>
      </c>
      <c r="AS83" t="s">
        <v>107</v>
      </c>
      <c r="AT83" t="s">
        <v>108</v>
      </c>
      <c r="AU83" t="s">
        <v>109</v>
      </c>
      <c r="AV83" t="s">
        <v>110</v>
      </c>
      <c r="AW83" t="s">
        <v>111</v>
      </c>
      <c r="AX83" t="s">
        <v>546</v>
      </c>
      <c r="AY83" t="s">
        <v>556</v>
      </c>
      <c r="AZ83" t="s">
        <v>113</v>
      </c>
      <c r="BA83" t="s">
        <v>133</v>
      </c>
      <c r="BB83" t="s">
        <v>114</v>
      </c>
      <c r="BC83" t="s">
        <v>115</v>
      </c>
      <c r="BN83" t="s">
        <v>116</v>
      </c>
      <c r="BO83" t="s">
        <v>553</v>
      </c>
      <c r="BP83" t="s">
        <v>118</v>
      </c>
      <c r="BR83" t="s">
        <v>554</v>
      </c>
      <c r="BS83" t="s">
        <v>557</v>
      </c>
      <c r="BW83" t="s">
        <v>382</v>
      </c>
      <c r="BX83" t="s">
        <v>383</v>
      </c>
      <c r="BY83" t="s">
        <v>123</v>
      </c>
      <c r="BZ83" t="s">
        <v>124</v>
      </c>
    </row>
    <row r="84" spans="1:78" x14ac:dyDescent="0.3">
      <c r="A84" t="s">
        <v>2</v>
      </c>
      <c r="B84" t="s">
        <v>92</v>
      </c>
      <c r="C84" t="s">
        <v>93</v>
      </c>
      <c r="D84" t="s">
        <v>94</v>
      </c>
      <c r="E84" t="s">
        <v>95</v>
      </c>
      <c r="F84" t="s">
        <v>544</v>
      </c>
      <c r="G84">
        <v>615000</v>
      </c>
      <c r="H84">
        <v>615000</v>
      </c>
      <c r="AA84" t="s">
        <v>545</v>
      </c>
      <c r="AB84" t="s">
        <v>546</v>
      </c>
      <c r="AC84" t="s">
        <v>547</v>
      </c>
      <c r="AD84" t="s">
        <v>548</v>
      </c>
      <c r="AE84" t="s">
        <v>548</v>
      </c>
      <c r="AF84" t="s">
        <v>549</v>
      </c>
      <c r="AG84" t="s">
        <v>550</v>
      </c>
      <c r="AH84" t="s">
        <v>551</v>
      </c>
      <c r="AI84">
        <v>46021</v>
      </c>
      <c r="AJ84">
        <v>46056</v>
      </c>
      <c r="AK84" t="s">
        <v>137</v>
      </c>
      <c r="AL84" t="s">
        <v>142</v>
      </c>
      <c r="AM84" t="s">
        <v>558</v>
      </c>
      <c r="AN84" t="s">
        <v>107</v>
      </c>
      <c r="AO84" t="s">
        <v>107</v>
      </c>
      <c r="AP84">
        <v>50000</v>
      </c>
      <c r="AQ84">
        <v>50000</v>
      </c>
      <c r="AR84">
        <v>0</v>
      </c>
      <c r="AS84" t="s">
        <v>107</v>
      </c>
      <c r="AT84" t="s">
        <v>108</v>
      </c>
      <c r="AU84" t="s">
        <v>109</v>
      </c>
      <c r="AV84" t="s">
        <v>110</v>
      </c>
      <c r="AW84" t="s">
        <v>111</v>
      </c>
      <c r="AX84" t="s">
        <v>546</v>
      </c>
      <c r="AY84" t="s">
        <v>559</v>
      </c>
      <c r="AZ84" t="s">
        <v>113</v>
      </c>
      <c r="BA84" t="s">
        <v>133</v>
      </c>
      <c r="BB84" t="s">
        <v>114</v>
      </c>
      <c r="BC84" t="s">
        <v>115</v>
      </c>
      <c r="BN84" t="s">
        <v>116</v>
      </c>
      <c r="BO84" t="s">
        <v>553</v>
      </c>
      <c r="BP84" t="s">
        <v>118</v>
      </c>
      <c r="BR84" t="s">
        <v>554</v>
      </c>
      <c r="BS84" t="s">
        <v>560</v>
      </c>
      <c r="BW84" t="s">
        <v>382</v>
      </c>
      <c r="BX84" t="s">
        <v>383</v>
      </c>
      <c r="BY84" t="s">
        <v>123</v>
      </c>
      <c r="BZ84" t="s">
        <v>124</v>
      </c>
    </row>
    <row r="85" spans="1:78" x14ac:dyDescent="0.3">
      <c r="A85" t="s">
        <v>2</v>
      </c>
      <c r="B85" t="s">
        <v>92</v>
      </c>
      <c r="C85" t="s">
        <v>93</v>
      </c>
      <c r="D85" t="s">
        <v>94</v>
      </c>
      <c r="E85" t="s">
        <v>95</v>
      </c>
      <c r="F85" t="s">
        <v>544</v>
      </c>
      <c r="G85">
        <v>615000</v>
      </c>
      <c r="H85">
        <v>615000</v>
      </c>
      <c r="AA85" t="s">
        <v>545</v>
      </c>
      <c r="AB85" t="s">
        <v>546</v>
      </c>
      <c r="AC85" t="s">
        <v>547</v>
      </c>
      <c r="AD85" t="s">
        <v>548</v>
      </c>
      <c r="AE85" t="s">
        <v>548</v>
      </c>
      <c r="AF85" t="s">
        <v>549</v>
      </c>
      <c r="AG85" t="s">
        <v>550</v>
      </c>
      <c r="AH85" t="s">
        <v>551</v>
      </c>
      <c r="AI85">
        <v>46021</v>
      </c>
      <c r="AJ85">
        <v>46056</v>
      </c>
      <c r="AK85" t="s">
        <v>137</v>
      </c>
      <c r="AL85" t="s">
        <v>146</v>
      </c>
      <c r="AM85" t="s">
        <v>561</v>
      </c>
      <c r="AN85" t="s">
        <v>107</v>
      </c>
      <c r="AO85" t="s">
        <v>107</v>
      </c>
      <c r="AP85">
        <v>34000</v>
      </c>
      <c r="AQ85">
        <v>34000</v>
      </c>
      <c r="AR85">
        <v>0</v>
      </c>
      <c r="AS85" t="s">
        <v>107</v>
      </c>
      <c r="AT85" t="s">
        <v>108</v>
      </c>
      <c r="AU85" t="s">
        <v>109</v>
      </c>
      <c r="AV85" t="s">
        <v>529</v>
      </c>
      <c r="AW85" t="s">
        <v>111</v>
      </c>
      <c r="AX85" t="s">
        <v>546</v>
      </c>
      <c r="AY85" t="s">
        <v>562</v>
      </c>
      <c r="AZ85" t="s">
        <v>113</v>
      </c>
      <c r="BA85" t="s">
        <v>133</v>
      </c>
      <c r="BB85" t="s">
        <v>114</v>
      </c>
      <c r="BC85" t="s">
        <v>115</v>
      </c>
      <c r="BN85" t="s">
        <v>116</v>
      </c>
      <c r="BO85" t="s">
        <v>553</v>
      </c>
      <c r="BP85" t="s">
        <v>118</v>
      </c>
      <c r="BR85" t="s">
        <v>554</v>
      </c>
      <c r="BS85" t="s">
        <v>563</v>
      </c>
      <c r="BW85" t="s">
        <v>382</v>
      </c>
      <c r="BX85" t="s">
        <v>383</v>
      </c>
      <c r="BY85" t="s">
        <v>123</v>
      </c>
      <c r="BZ85" t="s">
        <v>124</v>
      </c>
    </row>
    <row r="86" spans="1:78" x14ac:dyDescent="0.3">
      <c r="A86" t="s">
        <v>2</v>
      </c>
      <c r="B86" t="s">
        <v>92</v>
      </c>
      <c r="C86" t="s">
        <v>93</v>
      </c>
      <c r="D86" t="s">
        <v>94</v>
      </c>
      <c r="E86" t="s">
        <v>95</v>
      </c>
      <c r="F86" t="s">
        <v>564</v>
      </c>
      <c r="G86">
        <v>654000</v>
      </c>
      <c r="H86">
        <v>654000</v>
      </c>
      <c r="I86" t="s">
        <v>93</v>
      </c>
      <c r="J86" t="s">
        <v>94</v>
      </c>
      <c r="K86" t="s">
        <v>202</v>
      </c>
      <c r="L86" t="s">
        <v>565</v>
      </c>
      <c r="M86">
        <v>57500</v>
      </c>
      <c r="N86">
        <v>57500</v>
      </c>
      <c r="AA86" t="s">
        <v>566</v>
      </c>
      <c r="AB86" t="s">
        <v>567</v>
      </c>
      <c r="AC86" t="s">
        <v>568</v>
      </c>
      <c r="AD86" t="s">
        <v>569</v>
      </c>
      <c r="AE86" t="s">
        <v>569</v>
      </c>
      <c r="AF86" t="s">
        <v>570</v>
      </c>
      <c r="AG86" t="s">
        <v>102</v>
      </c>
      <c r="AH86" t="s">
        <v>489</v>
      </c>
      <c r="AI86">
        <v>45687</v>
      </c>
      <c r="AJ86">
        <v>45707</v>
      </c>
      <c r="AK86" t="s">
        <v>137</v>
      </c>
      <c r="AL86" t="s">
        <v>105</v>
      </c>
      <c r="AM86" t="s">
        <v>571</v>
      </c>
      <c r="AN86" t="s">
        <v>107</v>
      </c>
      <c r="AO86" t="s">
        <v>107</v>
      </c>
      <c r="AP86">
        <v>291500</v>
      </c>
      <c r="AQ86">
        <v>291500</v>
      </c>
      <c r="AR86">
        <v>0</v>
      </c>
      <c r="AS86" t="s">
        <v>107</v>
      </c>
      <c r="AT86" t="s">
        <v>108</v>
      </c>
      <c r="AU86" t="s">
        <v>109</v>
      </c>
      <c r="AV86" t="s">
        <v>110</v>
      </c>
      <c r="AW86" t="s">
        <v>111</v>
      </c>
      <c r="AX86" t="s">
        <v>567</v>
      </c>
      <c r="AY86" t="s">
        <v>572</v>
      </c>
      <c r="AZ86" t="s">
        <v>113</v>
      </c>
      <c r="BA86" t="s">
        <v>133</v>
      </c>
      <c r="BB86" t="s">
        <v>114</v>
      </c>
      <c r="BC86" t="s">
        <v>115</v>
      </c>
      <c r="BN86" t="s">
        <v>116</v>
      </c>
      <c r="BO86" t="s">
        <v>573</v>
      </c>
      <c r="BP86" t="s">
        <v>118</v>
      </c>
      <c r="BR86" t="s">
        <v>574</v>
      </c>
      <c r="BS86" t="s">
        <v>575</v>
      </c>
      <c r="BW86" t="s">
        <v>382</v>
      </c>
      <c r="BX86" t="s">
        <v>383</v>
      </c>
      <c r="BY86" t="s">
        <v>123</v>
      </c>
      <c r="BZ86" t="s">
        <v>124</v>
      </c>
    </row>
    <row r="87" spans="1:78" x14ac:dyDescent="0.3">
      <c r="A87" t="s">
        <v>2</v>
      </c>
      <c r="B87" t="s">
        <v>92</v>
      </c>
      <c r="C87" t="s">
        <v>93</v>
      </c>
      <c r="D87" t="s">
        <v>94</v>
      </c>
      <c r="E87" t="s">
        <v>95</v>
      </c>
      <c r="F87" t="s">
        <v>564</v>
      </c>
      <c r="G87">
        <v>654000</v>
      </c>
      <c r="H87">
        <v>654000</v>
      </c>
      <c r="I87" t="s">
        <v>93</v>
      </c>
      <c r="J87" t="s">
        <v>94</v>
      </c>
      <c r="K87" t="s">
        <v>202</v>
      </c>
      <c r="L87" t="s">
        <v>565</v>
      </c>
      <c r="M87">
        <v>57500</v>
      </c>
      <c r="N87">
        <v>57500</v>
      </c>
      <c r="AA87" t="s">
        <v>566</v>
      </c>
      <c r="AB87" t="s">
        <v>567</v>
      </c>
      <c r="AC87" t="s">
        <v>568</v>
      </c>
      <c r="AD87" t="s">
        <v>569</v>
      </c>
      <c r="AE87" t="s">
        <v>569</v>
      </c>
      <c r="AF87" t="s">
        <v>570</v>
      </c>
      <c r="AG87" t="s">
        <v>102</v>
      </c>
      <c r="AH87" t="s">
        <v>489</v>
      </c>
      <c r="AI87">
        <v>45716</v>
      </c>
      <c r="AJ87">
        <v>45712</v>
      </c>
      <c r="AK87" t="s">
        <v>218</v>
      </c>
      <c r="AL87" t="s">
        <v>105</v>
      </c>
      <c r="AM87" t="s">
        <v>576</v>
      </c>
      <c r="AN87" t="s">
        <v>107</v>
      </c>
      <c r="AO87" t="s">
        <v>107</v>
      </c>
      <c r="AP87">
        <v>34750</v>
      </c>
      <c r="AQ87">
        <v>34750</v>
      </c>
      <c r="AR87">
        <v>0</v>
      </c>
      <c r="AS87" t="s">
        <v>107</v>
      </c>
      <c r="AT87" t="s">
        <v>108</v>
      </c>
      <c r="AU87" t="s">
        <v>109</v>
      </c>
      <c r="AV87" t="s">
        <v>110</v>
      </c>
      <c r="AW87" t="s">
        <v>111</v>
      </c>
      <c r="AX87" t="s">
        <v>567</v>
      </c>
      <c r="AY87" t="s">
        <v>577</v>
      </c>
      <c r="AZ87" t="s">
        <v>113</v>
      </c>
      <c r="BA87" t="s">
        <v>133</v>
      </c>
      <c r="BB87" t="s">
        <v>114</v>
      </c>
      <c r="BC87" t="s">
        <v>115</v>
      </c>
      <c r="BN87" t="s">
        <v>116</v>
      </c>
      <c r="BO87" t="s">
        <v>573</v>
      </c>
      <c r="BP87" t="s">
        <v>118</v>
      </c>
      <c r="BR87" t="s">
        <v>574</v>
      </c>
      <c r="BS87" t="s">
        <v>578</v>
      </c>
      <c r="BW87" t="s">
        <v>382</v>
      </c>
      <c r="BX87" t="s">
        <v>383</v>
      </c>
      <c r="BY87" t="s">
        <v>123</v>
      </c>
      <c r="BZ87" t="s">
        <v>124</v>
      </c>
    </row>
    <row r="88" spans="1:78" x14ac:dyDescent="0.3">
      <c r="A88" t="s">
        <v>2</v>
      </c>
      <c r="B88" t="s">
        <v>92</v>
      </c>
      <c r="C88" t="s">
        <v>93</v>
      </c>
      <c r="D88" t="s">
        <v>94</v>
      </c>
      <c r="E88" t="s">
        <v>95</v>
      </c>
      <c r="F88" t="s">
        <v>564</v>
      </c>
      <c r="G88">
        <v>654000</v>
      </c>
      <c r="H88">
        <v>654000</v>
      </c>
      <c r="I88" t="s">
        <v>93</v>
      </c>
      <c r="J88" t="s">
        <v>94</v>
      </c>
      <c r="K88" t="s">
        <v>202</v>
      </c>
      <c r="L88" t="s">
        <v>565</v>
      </c>
      <c r="M88">
        <v>57500</v>
      </c>
      <c r="N88">
        <v>57500</v>
      </c>
      <c r="AA88" t="s">
        <v>566</v>
      </c>
      <c r="AB88" t="s">
        <v>567</v>
      </c>
      <c r="AC88" t="s">
        <v>568</v>
      </c>
      <c r="AD88" t="s">
        <v>569</v>
      </c>
      <c r="AE88" t="s">
        <v>569</v>
      </c>
      <c r="AF88" t="s">
        <v>570</v>
      </c>
      <c r="AG88" t="s">
        <v>102</v>
      </c>
      <c r="AH88" t="s">
        <v>489</v>
      </c>
      <c r="AI88">
        <v>45746</v>
      </c>
      <c r="AJ88">
        <v>45743</v>
      </c>
      <c r="AK88" t="s">
        <v>218</v>
      </c>
      <c r="AL88" t="s">
        <v>142</v>
      </c>
      <c r="AM88" t="s">
        <v>576</v>
      </c>
      <c r="AN88" t="s">
        <v>107</v>
      </c>
      <c r="AO88" t="s">
        <v>107</v>
      </c>
      <c r="AP88">
        <v>34750</v>
      </c>
      <c r="AQ88">
        <v>34750</v>
      </c>
      <c r="AR88">
        <v>0</v>
      </c>
      <c r="AS88" t="s">
        <v>107</v>
      </c>
      <c r="AT88" t="s">
        <v>108</v>
      </c>
      <c r="AU88" t="s">
        <v>109</v>
      </c>
      <c r="AV88" t="s">
        <v>110</v>
      </c>
      <c r="AW88" t="s">
        <v>111</v>
      </c>
      <c r="AX88" t="s">
        <v>567</v>
      </c>
      <c r="AY88" t="s">
        <v>579</v>
      </c>
      <c r="AZ88" t="s">
        <v>113</v>
      </c>
      <c r="BA88" t="s">
        <v>133</v>
      </c>
      <c r="BB88" t="s">
        <v>114</v>
      </c>
      <c r="BC88" t="s">
        <v>115</v>
      </c>
      <c r="BN88" t="s">
        <v>116</v>
      </c>
      <c r="BO88" t="s">
        <v>573</v>
      </c>
      <c r="BP88" t="s">
        <v>118</v>
      </c>
      <c r="BR88" t="s">
        <v>574</v>
      </c>
      <c r="BS88" t="s">
        <v>580</v>
      </c>
      <c r="BW88" t="s">
        <v>382</v>
      </c>
      <c r="BX88" t="s">
        <v>383</v>
      </c>
      <c r="BY88" t="s">
        <v>123</v>
      </c>
      <c r="BZ88" t="s">
        <v>124</v>
      </c>
    </row>
    <row r="89" spans="1:78" x14ac:dyDescent="0.3">
      <c r="A89" t="s">
        <v>2</v>
      </c>
      <c r="B89" t="s">
        <v>92</v>
      </c>
      <c r="C89" t="s">
        <v>93</v>
      </c>
      <c r="D89" t="s">
        <v>94</v>
      </c>
      <c r="E89" t="s">
        <v>95</v>
      </c>
      <c r="F89" t="s">
        <v>564</v>
      </c>
      <c r="G89">
        <v>654000</v>
      </c>
      <c r="H89">
        <v>654000</v>
      </c>
      <c r="I89" t="s">
        <v>93</v>
      </c>
      <c r="J89" t="s">
        <v>94</v>
      </c>
      <c r="K89" t="s">
        <v>202</v>
      </c>
      <c r="L89" t="s">
        <v>565</v>
      </c>
      <c r="M89">
        <v>57500</v>
      </c>
      <c r="N89">
        <v>57500</v>
      </c>
      <c r="AA89" t="s">
        <v>566</v>
      </c>
      <c r="AB89" t="s">
        <v>567</v>
      </c>
      <c r="AC89" t="s">
        <v>568</v>
      </c>
      <c r="AD89" t="s">
        <v>569</v>
      </c>
      <c r="AE89" t="s">
        <v>569</v>
      </c>
      <c r="AF89" t="s">
        <v>570</v>
      </c>
      <c r="AG89" t="s">
        <v>102</v>
      </c>
      <c r="AH89" t="s">
        <v>489</v>
      </c>
      <c r="AI89">
        <v>45777</v>
      </c>
      <c r="AJ89">
        <v>45771</v>
      </c>
      <c r="AK89" t="s">
        <v>218</v>
      </c>
      <c r="AL89" t="s">
        <v>146</v>
      </c>
      <c r="AM89" t="s">
        <v>576</v>
      </c>
      <c r="AN89" t="s">
        <v>107</v>
      </c>
      <c r="AO89" t="s">
        <v>107</v>
      </c>
      <c r="AP89">
        <v>34750</v>
      </c>
      <c r="AQ89">
        <v>34750</v>
      </c>
      <c r="AR89">
        <v>0</v>
      </c>
      <c r="AS89" t="s">
        <v>107</v>
      </c>
      <c r="AT89" t="s">
        <v>108</v>
      </c>
      <c r="AU89" t="s">
        <v>109</v>
      </c>
      <c r="AV89" t="s">
        <v>110</v>
      </c>
      <c r="AW89" t="s">
        <v>111</v>
      </c>
      <c r="AX89" t="s">
        <v>567</v>
      </c>
      <c r="AY89" t="s">
        <v>581</v>
      </c>
      <c r="AZ89" t="s">
        <v>113</v>
      </c>
      <c r="BA89" t="s">
        <v>133</v>
      </c>
      <c r="BB89" t="s">
        <v>114</v>
      </c>
      <c r="BC89" t="s">
        <v>115</v>
      </c>
      <c r="BN89" t="s">
        <v>116</v>
      </c>
      <c r="BO89" t="s">
        <v>573</v>
      </c>
      <c r="BP89" t="s">
        <v>118</v>
      </c>
      <c r="BR89" t="s">
        <v>574</v>
      </c>
      <c r="BS89" t="s">
        <v>582</v>
      </c>
      <c r="BW89" t="s">
        <v>382</v>
      </c>
      <c r="BX89" t="s">
        <v>383</v>
      </c>
      <c r="BY89" t="s">
        <v>123</v>
      </c>
      <c r="BZ89" t="s">
        <v>124</v>
      </c>
    </row>
    <row r="90" spans="1:78" x14ac:dyDescent="0.3">
      <c r="A90" t="s">
        <v>2</v>
      </c>
      <c r="B90" t="s">
        <v>92</v>
      </c>
      <c r="C90" t="s">
        <v>93</v>
      </c>
      <c r="D90" t="s">
        <v>94</v>
      </c>
      <c r="E90" t="s">
        <v>95</v>
      </c>
      <c r="F90" t="s">
        <v>564</v>
      </c>
      <c r="G90">
        <v>654000</v>
      </c>
      <c r="H90">
        <v>654000</v>
      </c>
      <c r="I90" t="s">
        <v>93</v>
      </c>
      <c r="J90" t="s">
        <v>94</v>
      </c>
      <c r="K90" t="s">
        <v>202</v>
      </c>
      <c r="L90" t="s">
        <v>565</v>
      </c>
      <c r="M90">
        <v>57500</v>
      </c>
      <c r="N90">
        <v>57500</v>
      </c>
      <c r="AA90" t="s">
        <v>566</v>
      </c>
      <c r="AB90" t="s">
        <v>567</v>
      </c>
      <c r="AC90" t="s">
        <v>568</v>
      </c>
      <c r="AD90" t="s">
        <v>569</v>
      </c>
      <c r="AE90" t="s">
        <v>569</v>
      </c>
      <c r="AF90" t="s">
        <v>570</v>
      </c>
      <c r="AG90" t="s">
        <v>102</v>
      </c>
      <c r="AH90" t="s">
        <v>489</v>
      </c>
      <c r="AI90">
        <v>45807</v>
      </c>
      <c r="AJ90">
        <v>45799</v>
      </c>
      <c r="AK90" t="s">
        <v>218</v>
      </c>
      <c r="AL90" t="s">
        <v>152</v>
      </c>
      <c r="AM90" t="s">
        <v>576</v>
      </c>
      <c r="AN90" t="s">
        <v>107</v>
      </c>
      <c r="AO90" t="s">
        <v>107</v>
      </c>
      <c r="AP90">
        <v>34750</v>
      </c>
      <c r="AQ90">
        <v>34750</v>
      </c>
      <c r="AR90">
        <v>0</v>
      </c>
      <c r="AS90" t="s">
        <v>107</v>
      </c>
      <c r="AT90" t="s">
        <v>108</v>
      </c>
      <c r="AU90" t="s">
        <v>109</v>
      </c>
      <c r="AV90" t="s">
        <v>110</v>
      </c>
      <c r="AW90" t="s">
        <v>111</v>
      </c>
      <c r="AX90" t="s">
        <v>567</v>
      </c>
      <c r="AY90" t="s">
        <v>581</v>
      </c>
      <c r="AZ90" t="s">
        <v>113</v>
      </c>
      <c r="BA90" t="s">
        <v>133</v>
      </c>
      <c r="BB90" t="s">
        <v>114</v>
      </c>
      <c r="BC90" t="s">
        <v>115</v>
      </c>
      <c r="BN90" t="s">
        <v>116</v>
      </c>
      <c r="BO90" t="s">
        <v>573</v>
      </c>
      <c r="BP90" t="s">
        <v>118</v>
      </c>
      <c r="BR90" t="s">
        <v>574</v>
      </c>
      <c r="BS90" t="s">
        <v>583</v>
      </c>
      <c r="BW90" t="s">
        <v>382</v>
      </c>
      <c r="BX90" t="s">
        <v>383</v>
      </c>
      <c r="BY90" t="s">
        <v>123</v>
      </c>
      <c r="BZ90" t="s">
        <v>124</v>
      </c>
    </row>
    <row r="91" spans="1:78" x14ac:dyDescent="0.3">
      <c r="A91" t="s">
        <v>2</v>
      </c>
      <c r="B91" t="s">
        <v>92</v>
      </c>
      <c r="C91" t="s">
        <v>93</v>
      </c>
      <c r="D91" t="s">
        <v>94</v>
      </c>
      <c r="E91" t="s">
        <v>95</v>
      </c>
      <c r="F91" t="s">
        <v>564</v>
      </c>
      <c r="G91">
        <v>654000</v>
      </c>
      <c r="H91">
        <v>654000</v>
      </c>
      <c r="I91" t="s">
        <v>93</v>
      </c>
      <c r="J91" t="s">
        <v>94</v>
      </c>
      <c r="K91" t="s">
        <v>202</v>
      </c>
      <c r="L91" t="s">
        <v>565</v>
      </c>
      <c r="M91">
        <v>57500</v>
      </c>
      <c r="N91">
        <v>57500</v>
      </c>
      <c r="AA91" t="s">
        <v>566</v>
      </c>
      <c r="AB91" t="s">
        <v>567</v>
      </c>
      <c r="AC91" t="s">
        <v>568</v>
      </c>
      <c r="AD91" t="s">
        <v>569</v>
      </c>
      <c r="AE91" t="s">
        <v>569</v>
      </c>
      <c r="AF91" t="s">
        <v>570</v>
      </c>
      <c r="AG91" t="s">
        <v>102</v>
      </c>
      <c r="AH91" t="s">
        <v>489</v>
      </c>
      <c r="AI91">
        <v>45838</v>
      </c>
      <c r="AJ91">
        <v>45835</v>
      </c>
      <c r="AK91" t="s">
        <v>218</v>
      </c>
      <c r="AL91" t="s">
        <v>584</v>
      </c>
      <c r="AM91" t="s">
        <v>576</v>
      </c>
      <c r="AN91" t="s">
        <v>107</v>
      </c>
      <c r="AO91" t="s">
        <v>107</v>
      </c>
      <c r="AP91">
        <v>34750</v>
      </c>
      <c r="AQ91">
        <v>34750</v>
      </c>
      <c r="AR91">
        <v>0</v>
      </c>
      <c r="AS91" t="s">
        <v>107</v>
      </c>
      <c r="AT91" t="s">
        <v>108</v>
      </c>
      <c r="AU91" t="s">
        <v>109</v>
      </c>
      <c r="AV91" t="s">
        <v>110</v>
      </c>
      <c r="AW91" t="s">
        <v>111</v>
      </c>
      <c r="AX91" t="s">
        <v>567</v>
      </c>
      <c r="AZ91" t="s">
        <v>113</v>
      </c>
      <c r="BA91" t="s">
        <v>133</v>
      </c>
      <c r="BB91" t="s">
        <v>114</v>
      </c>
      <c r="BC91" t="s">
        <v>115</v>
      </c>
      <c r="BN91" t="s">
        <v>116</v>
      </c>
      <c r="BO91" t="s">
        <v>573</v>
      </c>
      <c r="BP91" t="s">
        <v>118</v>
      </c>
      <c r="BR91" t="s">
        <v>574</v>
      </c>
      <c r="BS91" t="s">
        <v>585</v>
      </c>
      <c r="BW91" t="s">
        <v>382</v>
      </c>
      <c r="BX91" t="s">
        <v>383</v>
      </c>
      <c r="BY91" t="s">
        <v>123</v>
      </c>
      <c r="BZ91" t="s">
        <v>124</v>
      </c>
    </row>
    <row r="92" spans="1:78" x14ac:dyDescent="0.3">
      <c r="A92" t="s">
        <v>2</v>
      </c>
      <c r="B92" t="s">
        <v>92</v>
      </c>
      <c r="C92" t="s">
        <v>93</v>
      </c>
      <c r="D92" t="s">
        <v>94</v>
      </c>
      <c r="E92" t="s">
        <v>95</v>
      </c>
      <c r="F92" t="s">
        <v>564</v>
      </c>
      <c r="G92">
        <v>654000</v>
      </c>
      <c r="H92">
        <v>654000</v>
      </c>
      <c r="I92" t="s">
        <v>93</v>
      </c>
      <c r="J92" t="s">
        <v>94</v>
      </c>
      <c r="K92" t="s">
        <v>202</v>
      </c>
      <c r="L92" t="s">
        <v>565</v>
      </c>
      <c r="M92">
        <v>57500</v>
      </c>
      <c r="N92">
        <v>57500</v>
      </c>
      <c r="AA92" t="s">
        <v>566</v>
      </c>
      <c r="AB92" t="s">
        <v>567</v>
      </c>
      <c r="AC92" t="s">
        <v>568</v>
      </c>
      <c r="AD92" t="s">
        <v>569</v>
      </c>
      <c r="AE92" t="s">
        <v>569</v>
      </c>
      <c r="AF92" t="s">
        <v>570</v>
      </c>
      <c r="AG92" t="s">
        <v>102</v>
      </c>
      <c r="AH92" t="s">
        <v>489</v>
      </c>
      <c r="AI92">
        <v>45868</v>
      </c>
      <c r="AJ92">
        <v>45862</v>
      </c>
      <c r="AK92" t="s">
        <v>218</v>
      </c>
      <c r="AL92" t="s">
        <v>397</v>
      </c>
      <c r="AM92" t="s">
        <v>576</v>
      </c>
      <c r="AN92" t="s">
        <v>107</v>
      </c>
      <c r="AO92" t="s">
        <v>107</v>
      </c>
      <c r="AP92">
        <v>34750</v>
      </c>
      <c r="AQ92">
        <v>34750</v>
      </c>
      <c r="AR92">
        <v>0</v>
      </c>
      <c r="AS92" t="s">
        <v>107</v>
      </c>
      <c r="AT92" t="s">
        <v>108</v>
      </c>
      <c r="AU92" t="s">
        <v>109</v>
      </c>
      <c r="AV92" t="s">
        <v>110</v>
      </c>
      <c r="AW92" t="s">
        <v>111</v>
      </c>
      <c r="AY92" t="s">
        <v>586</v>
      </c>
      <c r="AZ92" t="s">
        <v>113</v>
      </c>
      <c r="BB92" t="s">
        <v>114</v>
      </c>
      <c r="BC92" t="s">
        <v>115</v>
      </c>
      <c r="BN92" t="s">
        <v>116</v>
      </c>
      <c r="BO92" t="s">
        <v>573</v>
      </c>
      <c r="BP92" t="s">
        <v>118</v>
      </c>
      <c r="BR92" t="s">
        <v>574</v>
      </c>
      <c r="BS92" t="s">
        <v>587</v>
      </c>
      <c r="BW92" t="s">
        <v>382</v>
      </c>
      <c r="BX92" t="s">
        <v>383</v>
      </c>
      <c r="BY92" t="s">
        <v>123</v>
      </c>
      <c r="BZ92" t="s">
        <v>124</v>
      </c>
    </row>
    <row r="93" spans="1:78" x14ac:dyDescent="0.3">
      <c r="A93" t="s">
        <v>2</v>
      </c>
      <c r="B93" t="s">
        <v>92</v>
      </c>
      <c r="C93" t="s">
        <v>93</v>
      </c>
      <c r="D93" t="s">
        <v>94</v>
      </c>
      <c r="E93" t="s">
        <v>95</v>
      </c>
      <c r="F93" t="s">
        <v>564</v>
      </c>
      <c r="G93">
        <v>654000</v>
      </c>
      <c r="H93">
        <v>654000</v>
      </c>
      <c r="I93" t="s">
        <v>93</v>
      </c>
      <c r="J93" t="s">
        <v>94</v>
      </c>
      <c r="K93" t="s">
        <v>202</v>
      </c>
      <c r="L93" t="s">
        <v>565</v>
      </c>
      <c r="M93">
        <v>57500</v>
      </c>
      <c r="N93">
        <v>57500</v>
      </c>
      <c r="AA93" t="s">
        <v>566</v>
      </c>
      <c r="AB93" t="s">
        <v>567</v>
      </c>
      <c r="AC93" t="s">
        <v>568</v>
      </c>
      <c r="AD93" t="s">
        <v>569</v>
      </c>
      <c r="AE93" t="s">
        <v>569</v>
      </c>
      <c r="AF93" t="s">
        <v>570</v>
      </c>
      <c r="AG93" t="s">
        <v>102</v>
      </c>
      <c r="AH93" t="s">
        <v>489</v>
      </c>
      <c r="AI93">
        <v>45899</v>
      </c>
      <c r="AJ93">
        <v>45895</v>
      </c>
      <c r="AK93" t="s">
        <v>218</v>
      </c>
      <c r="AL93" t="s">
        <v>588</v>
      </c>
      <c r="AM93" t="s">
        <v>576</v>
      </c>
      <c r="AN93" t="s">
        <v>107</v>
      </c>
      <c r="AO93" t="s">
        <v>107</v>
      </c>
      <c r="AP93">
        <v>34750</v>
      </c>
      <c r="AQ93">
        <v>34750</v>
      </c>
      <c r="AR93">
        <v>0</v>
      </c>
      <c r="AS93" t="s">
        <v>107</v>
      </c>
      <c r="AT93" t="s">
        <v>108</v>
      </c>
      <c r="AU93" t="s">
        <v>109</v>
      </c>
      <c r="AV93" t="s">
        <v>110</v>
      </c>
      <c r="AW93" t="s">
        <v>111</v>
      </c>
      <c r="AY93" t="s">
        <v>589</v>
      </c>
      <c r="AZ93" t="s">
        <v>113</v>
      </c>
      <c r="BB93" t="s">
        <v>114</v>
      </c>
      <c r="BC93" t="s">
        <v>115</v>
      </c>
      <c r="BN93" t="s">
        <v>116</v>
      </c>
      <c r="BO93" t="s">
        <v>573</v>
      </c>
      <c r="BP93" t="s">
        <v>118</v>
      </c>
      <c r="BR93" t="s">
        <v>574</v>
      </c>
      <c r="BS93" t="s">
        <v>590</v>
      </c>
      <c r="BW93" t="s">
        <v>382</v>
      </c>
      <c r="BX93" t="s">
        <v>383</v>
      </c>
      <c r="BY93" t="s">
        <v>123</v>
      </c>
      <c r="BZ93" t="s">
        <v>124</v>
      </c>
    </row>
    <row r="94" spans="1:78" x14ac:dyDescent="0.3">
      <c r="A94" t="s">
        <v>2</v>
      </c>
      <c r="B94" t="s">
        <v>92</v>
      </c>
      <c r="C94" t="s">
        <v>93</v>
      </c>
      <c r="D94" t="s">
        <v>94</v>
      </c>
      <c r="E94" t="s">
        <v>95</v>
      </c>
      <c r="F94" t="s">
        <v>564</v>
      </c>
      <c r="G94">
        <v>654000</v>
      </c>
      <c r="H94">
        <v>654000</v>
      </c>
      <c r="I94" t="s">
        <v>93</v>
      </c>
      <c r="J94" t="s">
        <v>94</v>
      </c>
      <c r="K94" t="s">
        <v>202</v>
      </c>
      <c r="L94" t="s">
        <v>565</v>
      </c>
      <c r="M94">
        <v>57500</v>
      </c>
      <c r="N94">
        <v>57500</v>
      </c>
      <c r="AA94" t="s">
        <v>566</v>
      </c>
      <c r="AB94" t="s">
        <v>567</v>
      </c>
      <c r="AC94" t="s">
        <v>568</v>
      </c>
      <c r="AD94" t="s">
        <v>569</v>
      </c>
      <c r="AE94" t="s">
        <v>569</v>
      </c>
      <c r="AF94" t="s">
        <v>570</v>
      </c>
      <c r="AG94" t="s">
        <v>102</v>
      </c>
      <c r="AH94" t="s">
        <v>489</v>
      </c>
      <c r="AI94">
        <v>45930</v>
      </c>
      <c r="AJ94">
        <v>45930</v>
      </c>
      <c r="AK94" t="s">
        <v>218</v>
      </c>
      <c r="AL94" t="s">
        <v>591</v>
      </c>
      <c r="AM94" t="s">
        <v>576</v>
      </c>
      <c r="AN94" t="s">
        <v>107</v>
      </c>
      <c r="AO94" t="s">
        <v>107</v>
      </c>
      <c r="AP94">
        <v>34750</v>
      </c>
      <c r="AQ94">
        <v>34750</v>
      </c>
      <c r="AR94">
        <v>0</v>
      </c>
      <c r="AS94" t="s">
        <v>107</v>
      </c>
      <c r="AT94" t="s">
        <v>108</v>
      </c>
      <c r="AU94" t="s">
        <v>109</v>
      </c>
      <c r="AV94" t="s">
        <v>110</v>
      </c>
      <c r="AW94" t="s">
        <v>111</v>
      </c>
      <c r="AX94" t="s">
        <v>567</v>
      </c>
      <c r="AY94" t="s">
        <v>592</v>
      </c>
      <c r="AZ94" t="s">
        <v>113</v>
      </c>
      <c r="BA94" t="s">
        <v>133</v>
      </c>
      <c r="BB94" t="s">
        <v>114</v>
      </c>
      <c r="BC94" t="s">
        <v>115</v>
      </c>
      <c r="BN94" t="s">
        <v>116</v>
      </c>
      <c r="BO94" t="s">
        <v>573</v>
      </c>
      <c r="BP94" t="s">
        <v>118</v>
      </c>
      <c r="BR94" t="s">
        <v>574</v>
      </c>
      <c r="BS94" t="s">
        <v>593</v>
      </c>
      <c r="BW94" t="s">
        <v>382</v>
      </c>
      <c r="BX94" t="s">
        <v>383</v>
      </c>
      <c r="BY94" t="s">
        <v>123</v>
      </c>
      <c r="BZ94" t="s">
        <v>124</v>
      </c>
    </row>
    <row r="95" spans="1:78" x14ac:dyDescent="0.3">
      <c r="A95" t="s">
        <v>2</v>
      </c>
      <c r="B95" t="s">
        <v>92</v>
      </c>
      <c r="C95" t="s">
        <v>93</v>
      </c>
      <c r="D95" t="s">
        <v>94</v>
      </c>
      <c r="E95" t="s">
        <v>95</v>
      </c>
      <c r="F95" t="s">
        <v>564</v>
      </c>
      <c r="G95">
        <v>654000</v>
      </c>
      <c r="H95">
        <v>654000</v>
      </c>
      <c r="I95" t="s">
        <v>93</v>
      </c>
      <c r="J95" t="s">
        <v>94</v>
      </c>
      <c r="K95" t="s">
        <v>202</v>
      </c>
      <c r="L95" t="s">
        <v>565</v>
      </c>
      <c r="M95">
        <v>57500</v>
      </c>
      <c r="N95">
        <v>57500</v>
      </c>
      <c r="AA95" t="s">
        <v>566</v>
      </c>
      <c r="AB95" t="s">
        <v>567</v>
      </c>
      <c r="AC95" t="s">
        <v>568</v>
      </c>
      <c r="AD95" t="s">
        <v>569</v>
      </c>
      <c r="AE95" t="s">
        <v>569</v>
      </c>
      <c r="AF95" t="s">
        <v>570</v>
      </c>
      <c r="AG95" t="s">
        <v>102</v>
      </c>
      <c r="AH95" t="s">
        <v>489</v>
      </c>
      <c r="AI95">
        <v>45960</v>
      </c>
      <c r="AJ95">
        <v>45959</v>
      </c>
      <c r="AK95" t="s">
        <v>218</v>
      </c>
      <c r="AL95" t="s">
        <v>594</v>
      </c>
      <c r="AM95" t="s">
        <v>576</v>
      </c>
      <c r="AN95" t="s">
        <v>107</v>
      </c>
      <c r="AO95" t="s">
        <v>107</v>
      </c>
      <c r="AP95">
        <v>34750</v>
      </c>
      <c r="AQ95">
        <v>34750</v>
      </c>
      <c r="AR95">
        <v>0</v>
      </c>
      <c r="AS95" t="s">
        <v>107</v>
      </c>
      <c r="AT95" t="s">
        <v>108</v>
      </c>
      <c r="AU95" t="s">
        <v>109</v>
      </c>
      <c r="AV95" t="s">
        <v>110</v>
      </c>
      <c r="AW95" t="s">
        <v>111</v>
      </c>
      <c r="AX95" t="s">
        <v>567</v>
      </c>
      <c r="AY95" t="s">
        <v>595</v>
      </c>
      <c r="AZ95" t="s">
        <v>113</v>
      </c>
      <c r="BA95" t="s">
        <v>133</v>
      </c>
      <c r="BB95" t="s">
        <v>114</v>
      </c>
      <c r="BC95" t="s">
        <v>115</v>
      </c>
      <c r="BN95" t="s">
        <v>116</v>
      </c>
      <c r="BO95" t="s">
        <v>573</v>
      </c>
      <c r="BP95" t="s">
        <v>118</v>
      </c>
      <c r="BR95" t="s">
        <v>574</v>
      </c>
      <c r="BS95" t="s">
        <v>596</v>
      </c>
      <c r="BW95" t="s">
        <v>382</v>
      </c>
      <c r="BX95" t="s">
        <v>383</v>
      </c>
      <c r="BY95" t="s">
        <v>123</v>
      </c>
      <c r="BZ95" t="s">
        <v>124</v>
      </c>
    </row>
    <row r="96" spans="1:78" x14ac:dyDescent="0.3">
      <c r="A96" t="s">
        <v>2</v>
      </c>
      <c r="B96" t="s">
        <v>92</v>
      </c>
      <c r="C96" t="s">
        <v>93</v>
      </c>
      <c r="D96" t="s">
        <v>94</v>
      </c>
      <c r="E96" t="s">
        <v>95</v>
      </c>
      <c r="F96" t="s">
        <v>564</v>
      </c>
      <c r="G96">
        <v>654000</v>
      </c>
      <c r="H96">
        <v>654000</v>
      </c>
      <c r="I96" t="s">
        <v>93</v>
      </c>
      <c r="J96" t="s">
        <v>94</v>
      </c>
      <c r="K96" t="s">
        <v>202</v>
      </c>
      <c r="L96" t="s">
        <v>565</v>
      </c>
      <c r="M96">
        <v>57500</v>
      </c>
      <c r="N96">
        <v>57500</v>
      </c>
      <c r="AA96" t="s">
        <v>566</v>
      </c>
      <c r="AB96" t="s">
        <v>567</v>
      </c>
      <c r="AC96" t="s">
        <v>568</v>
      </c>
      <c r="AD96" t="s">
        <v>569</v>
      </c>
      <c r="AE96" t="s">
        <v>569</v>
      </c>
      <c r="AF96" t="s">
        <v>570</v>
      </c>
      <c r="AG96" t="s">
        <v>102</v>
      </c>
      <c r="AH96" t="s">
        <v>489</v>
      </c>
      <c r="AI96">
        <v>45991</v>
      </c>
      <c r="AJ96">
        <v>45988</v>
      </c>
      <c r="AK96" t="s">
        <v>218</v>
      </c>
      <c r="AL96" t="s">
        <v>597</v>
      </c>
      <c r="AM96" t="s">
        <v>576</v>
      </c>
      <c r="AN96" t="s">
        <v>107</v>
      </c>
      <c r="AO96" t="s">
        <v>107</v>
      </c>
      <c r="AP96">
        <v>34750</v>
      </c>
      <c r="AQ96">
        <v>34750</v>
      </c>
      <c r="AR96">
        <v>0</v>
      </c>
      <c r="AS96" t="s">
        <v>107</v>
      </c>
      <c r="AT96" t="s">
        <v>108</v>
      </c>
      <c r="AU96" t="s">
        <v>109</v>
      </c>
      <c r="AV96" t="s">
        <v>110</v>
      </c>
      <c r="AW96" t="s">
        <v>111</v>
      </c>
      <c r="AX96" t="s">
        <v>567</v>
      </c>
      <c r="AY96" t="s">
        <v>579</v>
      </c>
      <c r="AZ96" t="s">
        <v>113</v>
      </c>
      <c r="BA96" t="s">
        <v>133</v>
      </c>
      <c r="BB96" t="s">
        <v>114</v>
      </c>
      <c r="BC96" t="s">
        <v>115</v>
      </c>
      <c r="BN96" t="s">
        <v>116</v>
      </c>
      <c r="BO96" t="s">
        <v>573</v>
      </c>
      <c r="BP96" t="s">
        <v>118</v>
      </c>
      <c r="BR96" t="s">
        <v>574</v>
      </c>
      <c r="BS96" t="s">
        <v>598</v>
      </c>
      <c r="BW96" t="s">
        <v>382</v>
      </c>
      <c r="BX96" t="s">
        <v>383</v>
      </c>
      <c r="BY96" t="s">
        <v>123</v>
      </c>
      <c r="BZ96" t="s">
        <v>124</v>
      </c>
    </row>
    <row r="97" spans="1:78" x14ac:dyDescent="0.3">
      <c r="A97" t="s">
        <v>2</v>
      </c>
      <c r="B97" t="s">
        <v>92</v>
      </c>
      <c r="C97" t="s">
        <v>93</v>
      </c>
      <c r="D97" t="s">
        <v>94</v>
      </c>
      <c r="E97" t="s">
        <v>95</v>
      </c>
      <c r="F97" t="s">
        <v>564</v>
      </c>
      <c r="G97">
        <v>654000</v>
      </c>
      <c r="H97">
        <v>654000</v>
      </c>
      <c r="I97" t="s">
        <v>93</v>
      </c>
      <c r="J97" t="s">
        <v>94</v>
      </c>
      <c r="K97" t="s">
        <v>202</v>
      </c>
      <c r="L97" t="s">
        <v>565</v>
      </c>
      <c r="M97">
        <v>57500</v>
      </c>
      <c r="N97">
        <v>57500</v>
      </c>
      <c r="AA97" t="s">
        <v>566</v>
      </c>
      <c r="AB97" t="s">
        <v>567</v>
      </c>
      <c r="AC97" t="s">
        <v>568</v>
      </c>
      <c r="AD97" t="s">
        <v>569</v>
      </c>
      <c r="AE97" t="s">
        <v>569</v>
      </c>
      <c r="AF97" t="s">
        <v>570</v>
      </c>
      <c r="AG97" t="s">
        <v>102</v>
      </c>
      <c r="AH97" t="s">
        <v>489</v>
      </c>
      <c r="AI97">
        <v>46021</v>
      </c>
      <c r="AJ97">
        <v>46017</v>
      </c>
      <c r="AK97" t="s">
        <v>218</v>
      </c>
      <c r="AL97" t="s">
        <v>599</v>
      </c>
      <c r="AM97" t="s">
        <v>576</v>
      </c>
      <c r="AN97" t="s">
        <v>107</v>
      </c>
      <c r="AO97" t="s">
        <v>107</v>
      </c>
      <c r="AP97">
        <v>34750</v>
      </c>
      <c r="AQ97">
        <v>34750</v>
      </c>
      <c r="AR97">
        <v>0</v>
      </c>
      <c r="AS97" t="s">
        <v>107</v>
      </c>
      <c r="AT97" t="s">
        <v>108</v>
      </c>
      <c r="AU97" t="s">
        <v>109</v>
      </c>
      <c r="AV97" t="s">
        <v>110</v>
      </c>
      <c r="AW97" t="s">
        <v>111</v>
      </c>
      <c r="AX97" t="s">
        <v>567</v>
      </c>
      <c r="AY97" t="s">
        <v>581</v>
      </c>
      <c r="AZ97" t="s">
        <v>113</v>
      </c>
      <c r="BA97" t="s">
        <v>133</v>
      </c>
      <c r="BB97" t="s">
        <v>114</v>
      </c>
      <c r="BC97" t="s">
        <v>115</v>
      </c>
      <c r="BN97" t="s">
        <v>116</v>
      </c>
      <c r="BO97" t="s">
        <v>573</v>
      </c>
      <c r="BP97" t="s">
        <v>118</v>
      </c>
      <c r="BR97" t="s">
        <v>574</v>
      </c>
      <c r="BS97" t="s">
        <v>600</v>
      </c>
      <c r="BW97" t="s">
        <v>382</v>
      </c>
      <c r="BX97" t="s">
        <v>383</v>
      </c>
      <c r="BY97" t="s">
        <v>123</v>
      </c>
      <c r="BZ97" t="s">
        <v>124</v>
      </c>
    </row>
    <row r="98" spans="1:78" x14ac:dyDescent="0.3">
      <c r="A98" t="s">
        <v>2</v>
      </c>
      <c r="B98" t="s">
        <v>92</v>
      </c>
      <c r="C98" t="s">
        <v>93</v>
      </c>
      <c r="D98" t="s">
        <v>94</v>
      </c>
      <c r="E98" t="s">
        <v>95</v>
      </c>
      <c r="F98" t="s">
        <v>601</v>
      </c>
      <c r="G98">
        <v>630000</v>
      </c>
      <c r="H98">
        <v>630000</v>
      </c>
      <c r="AA98" t="s">
        <v>602</v>
      </c>
      <c r="AB98" t="s">
        <v>603</v>
      </c>
      <c r="AC98" t="s">
        <v>604</v>
      </c>
      <c r="AD98" t="s">
        <v>605</v>
      </c>
      <c r="AE98" t="s">
        <v>605</v>
      </c>
      <c r="AF98" t="s">
        <v>606</v>
      </c>
      <c r="AG98" t="s">
        <v>102</v>
      </c>
      <c r="AH98" t="s">
        <v>160</v>
      </c>
      <c r="AI98">
        <v>45829</v>
      </c>
      <c r="AJ98">
        <v>45829</v>
      </c>
      <c r="AK98" t="s">
        <v>104</v>
      </c>
      <c r="AL98" t="s">
        <v>105</v>
      </c>
      <c r="AM98" t="s">
        <v>106</v>
      </c>
      <c r="AN98" t="s">
        <v>107</v>
      </c>
      <c r="AO98" t="s">
        <v>107</v>
      </c>
      <c r="AP98">
        <v>3000</v>
      </c>
      <c r="AQ98">
        <v>3000</v>
      </c>
      <c r="AR98">
        <v>0</v>
      </c>
      <c r="AS98" t="s">
        <v>107</v>
      </c>
      <c r="AT98" t="s">
        <v>243</v>
      </c>
      <c r="AU98" t="s">
        <v>109</v>
      </c>
      <c r="AV98" t="s">
        <v>110</v>
      </c>
      <c r="AW98" t="s">
        <v>111</v>
      </c>
      <c r="AY98" t="s">
        <v>607</v>
      </c>
      <c r="AZ98" t="s">
        <v>113</v>
      </c>
      <c r="BB98" t="s">
        <v>114</v>
      </c>
      <c r="BC98" t="s">
        <v>115</v>
      </c>
      <c r="BN98" t="s">
        <v>116</v>
      </c>
      <c r="BO98" t="s">
        <v>608</v>
      </c>
      <c r="BP98" t="s">
        <v>118</v>
      </c>
      <c r="BR98" t="s">
        <v>609</v>
      </c>
      <c r="BS98" t="s">
        <v>610</v>
      </c>
      <c r="BW98" t="s">
        <v>382</v>
      </c>
      <c r="BX98" t="s">
        <v>383</v>
      </c>
      <c r="BY98" t="s">
        <v>123</v>
      </c>
      <c r="BZ98" t="s">
        <v>124</v>
      </c>
    </row>
    <row r="99" spans="1:78" x14ac:dyDescent="0.3">
      <c r="A99" t="s">
        <v>2</v>
      </c>
      <c r="B99" t="s">
        <v>92</v>
      </c>
      <c r="C99" t="s">
        <v>93</v>
      </c>
      <c r="D99" t="s">
        <v>94</v>
      </c>
      <c r="E99" t="s">
        <v>95</v>
      </c>
      <c r="F99" t="s">
        <v>601</v>
      </c>
      <c r="G99">
        <v>630000</v>
      </c>
      <c r="H99">
        <v>630000</v>
      </c>
      <c r="AA99" t="s">
        <v>602</v>
      </c>
      <c r="AB99" t="s">
        <v>603</v>
      </c>
      <c r="AC99" t="s">
        <v>604</v>
      </c>
      <c r="AD99" t="s">
        <v>605</v>
      </c>
      <c r="AE99" t="s">
        <v>605</v>
      </c>
      <c r="AF99" t="s">
        <v>606</v>
      </c>
      <c r="AG99" t="s">
        <v>102</v>
      </c>
      <c r="AH99" t="s">
        <v>160</v>
      </c>
      <c r="AI99">
        <v>45880</v>
      </c>
      <c r="AJ99">
        <v>45880</v>
      </c>
      <c r="AK99" t="s">
        <v>137</v>
      </c>
      <c r="AL99" t="s">
        <v>105</v>
      </c>
      <c r="AM99" t="s">
        <v>558</v>
      </c>
      <c r="AN99" t="s">
        <v>107</v>
      </c>
      <c r="AO99" t="s">
        <v>107</v>
      </c>
      <c r="AP99">
        <v>50000</v>
      </c>
      <c r="AQ99">
        <v>50000</v>
      </c>
      <c r="AR99">
        <v>0</v>
      </c>
      <c r="AS99" t="s">
        <v>107</v>
      </c>
      <c r="AT99" t="s">
        <v>243</v>
      </c>
      <c r="AU99" t="s">
        <v>109</v>
      </c>
      <c r="AV99" t="s">
        <v>110</v>
      </c>
      <c r="AW99" t="s">
        <v>111</v>
      </c>
      <c r="AX99" t="s">
        <v>603</v>
      </c>
      <c r="AY99" t="s">
        <v>611</v>
      </c>
      <c r="AZ99" t="s">
        <v>113</v>
      </c>
      <c r="BA99" t="s">
        <v>133</v>
      </c>
      <c r="BB99" t="s">
        <v>114</v>
      </c>
      <c r="BC99" t="s">
        <v>115</v>
      </c>
      <c r="BN99" t="s">
        <v>116</v>
      </c>
      <c r="BO99" t="s">
        <v>608</v>
      </c>
      <c r="BP99" t="s">
        <v>118</v>
      </c>
      <c r="BR99" t="s">
        <v>609</v>
      </c>
      <c r="BS99" t="s">
        <v>612</v>
      </c>
      <c r="BW99" t="s">
        <v>382</v>
      </c>
      <c r="BX99" t="s">
        <v>383</v>
      </c>
      <c r="BY99" t="s">
        <v>123</v>
      </c>
      <c r="BZ99" t="s">
        <v>124</v>
      </c>
    </row>
    <row r="100" spans="1:78" x14ac:dyDescent="0.3">
      <c r="A100" t="s">
        <v>2</v>
      </c>
      <c r="B100" t="s">
        <v>92</v>
      </c>
      <c r="C100" t="s">
        <v>93</v>
      </c>
      <c r="D100" t="s">
        <v>94</v>
      </c>
      <c r="E100" t="s">
        <v>95</v>
      </c>
      <c r="F100" t="s">
        <v>601</v>
      </c>
      <c r="G100">
        <v>630000</v>
      </c>
      <c r="H100">
        <v>630000</v>
      </c>
      <c r="AA100" t="s">
        <v>602</v>
      </c>
      <c r="AB100" t="s">
        <v>603</v>
      </c>
      <c r="AC100" t="s">
        <v>604</v>
      </c>
      <c r="AD100" t="s">
        <v>605</v>
      </c>
      <c r="AE100" t="s">
        <v>605</v>
      </c>
      <c r="AF100" t="s">
        <v>606</v>
      </c>
      <c r="AG100" t="s">
        <v>102</v>
      </c>
      <c r="AH100" t="s">
        <v>160</v>
      </c>
      <c r="AI100">
        <v>45960</v>
      </c>
      <c r="AJ100">
        <v>46178</v>
      </c>
      <c r="AK100" t="s">
        <v>137</v>
      </c>
      <c r="AL100" t="s">
        <v>142</v>
      </c>
      <c r="AM100" t="s">
        <v>107</v>
      </c>
      <c r="AN100" t="s">
        <v>107</v>
      </c>
      <c r="AO100" t="s">
        <v>107</v>
      </c>
      <c r="AP100">
        <v>53000</v>
      </c>
      <c r="AQ100">
        <v>50000</v>
      </c>
      <c r="AR100">
        <v>0</v>
      </c>
      <c r="AS100" t="s">
        <v>107</v>
      </c>
      <c r="AT100" t="s">
        <v>243</v>
      </c>
      <c r="AU100" t="s">
        <v>109</v>
      </c>
      <c r="AV100" t="s">
        <v>110</v>
      </c>
      <c r="AW100" t="s">
        <v>111</v>
      </c>
      <c r="AX100" t="s">
        <v>603</v>
      </c>
      <c r="AY100" t="s">
        <v>611</v>
      </c>
      <c r="AZ100" t="s">
        <v>113</v>
      </c>
      <c r="BA100" t="s">
        <v>133</v>
      </c>
      <c r="BB100" t="s">
        <v>114</v>
      </c>
      <c r="BC100" t="s">
        <v>115</v>
      </c>
      <c r="BN100" t="s">
        <v>116</v>
      </c>
      <c r="BO100" t="s">
        <v>608</v>
      </c>
      <c r="BP100" t="s">
        <v>118</v>
      </c>
      <c r="BR100" t="s">
        <v>609</v>
      </c>
      <c r="BS100" t="s">
        <v>613</v>
      </c>
      <c r="BW100" t="s">
        <v>382</v>
      </c>
      <c r="BX100" t="s">
        <v>383</v>
      </c>
      <c r="BY100" t="s">
        <v>123</v>
      </c>
      <c r="BZ100" t="s">
        <v>124</v>
      </c>
    </row>
    <row r="101" spans="1:78" x14ac:dyDescent="0.3">
      <c r="A101" t="s">
        <v>2</v>
      </c>
      <c r="B101" t="s">
        <v>92</v>
      </c>
      <c r="C101" t="s">
        <v>93</v>
      </c>
      <c r="D101" t="s">
        <v>94</v>
      </c>
      <c r="E101" t="s">
        <v>95</v>
      </c>
      <c r="F101" t="s">
        <v>601</v>
      </c>
      <c r="G101">
        <v>630000</v>
      </c>
      <c r="H101">
        <v>630000</v>
      </c>
      <c r="AA101" t="s">
        <v>602</v>
      </c>
      <c r="AB101" t="s">
        <v>603</v>
      </c>
      <c r="AC101" t="s">
        <v>604</v>
      </c>
      <c r="AD101" t="s">
        <v>605</v>
      </c>
      <c r="AE101" t="s">
        <v>605</v>
      </c>
      <c r="AF101" t="s">
        <v>606</v>
      </c>
      <c r="AG101" t="s">
        <v>102</v>
      </c>
      <c r="AH101" t="s">
        <v>160</v>
      </c>
      <c r="AI101">
        <v>45960</v>
      </c>
      <c r="AJ101">
        <v>46022</v>
      </c>
      <c r="AK101" t="s">
        <v>137</v>
      </c>
      <c r="AL101" t="s">
        <v>142</v>
      </c>
      <c r="AM101" t="s">
        <v>614</v>
      </c>
      <c r="AN101" t="s">
        <v>107</v>
      </c>
      <c r="AO101" t="s">
        <v>107</v>
      </c>
      <c r="AP101">
        <v>0</v>
      </c>
      <c r="AQ101">
        <v>3000</v>
      </c>
      <c r="AR101">
        <v>0</v>
      </c>
      <c r="AS101" t="s">
        <v>107</v>
      </c>
      <c r="AT101" t="s">
        <v>243</v>
      </c>
      <c r="AU101" t="s">
        <v>109</v>
      </c>
      <c r="AV101" t="s">
        <v>110</v>
      </c>
      <c r="AW101" t="s">
        <v>111</v>
      </c>
      <c r="AY101" t="s">
        <v>615</v>
      </c>
      <c r="AZ101" t="s">
        <v>113</v>
      </c>
      <c r="BB101" t="s">
        <v>114</v>
      </c>
      <c r="BC101" t="s">
        <v>115</v>
      </c>
      <c r="BN101" t="s">
        <v>116</v>
      </c>
      <c r="BO101" t="s">
        <v>608</v>
      </c>
      <c r="BP101" t="s">
        <v>118</v>
      </c>
      <c r="BR101" t="s">
        <v>609</v>
      </c>
      <c r="BS101" t="s">
        <v>616</v>
      </c>
      <c r="BW101" t="s">
        <v>382</v>
      </c>
      <c r="BX101" t="s">
        <v>383</v>
      </c>
      <c r="BY101" t="s">
        <v>123</v>
      </c>
      <c r="BZ101" t="s">
        <v>124</v>
      </c>
    </row>
    <row r="102" spans="1:78" x14ac:dyDescent="0.3">
      <c r="A102" t="s">
        <v>2</v>
      </c>
      <c r="B102" t="s">
        <v>92</v>
      </c>
      <c r="C102" t="s">
        <v>93</v>
      </c>
      <c r="D102" t="s">
        <v>94</v>
      </c>
      <c r="E102" t="s">
        <v>95</v>
      </c>
      <c r="F102" t="s">
        <v>601</v>
      </c>
      <c r="G102">
        <v>630000</v>
      </c>
      <c r="H102">
        <v>630000</v>
      </c>
      <c r="AA102" t="s">
        <v>602</v>
      </c>
      <c r="AB102" t="s">
        <v>603</v>
      </c>
      <c r="AC102" t="s">
        <v>604</v>
      </c>
      <c r="AD102" t="s">
        <v>605</v>
      </c>
      <c r="AE102" t="s">
        <v>605</v>
      </c>
      <c r="AF102" t="s">
        <v>606</v>
      </c>
      <c r="AG102" t="s">
        <v>102</v>
      </c>
      <c r="AH102" t="s">
        <v>160</v>
      </c>
      <c r="AI102">
        <v>45960</v>
      </c>
      <c r="AJ102">
        <v>46022</v>
      </c>
      <c r="AK102" t="s">
        <v>137</v>
      </c>
      <c r="AL102" t="s">
        <v>146</v>
      </c>
      <c r="AM102" t="s">
        <v>138</v>
      </c>
      <c r="AN102" t="s">
        <v>107</v>
      </c>
      <c r="AO102" t="s">
        <v>107</v>
      </c>
      <c r="AP102">
        <v>20000</v>
      </c>
      <c r="AQ102">
        <v>20000</v>
      </c>
      <c r="AR102">
        <v>0</v>
      </c>
      <c r="AS102" t="s">
        <v>107</v>
      </c>
      <c r="AT102" t="s">
        <v>243</v>
      </c>
      <c r="AU102" t="s">
        <v>109</v>
      </c>
      <c r="AV102" t="s">
        <v>110</v>
      </c>
      <c r="AW102" t="s">
        <v>111</v>
      </c>
      <c r="AY102" t="s">
        <v>615</v>
      </c>
      <c r="AZ102" t="s">
        <v>113</v>
      </c>
      <c r="BB102" t="s">
        <v>114</v>
      </c>
      <c r="BC102" t="s">
        <v>115</v>
      </c>
      <c r="BN102" t="s">
        <v>116</v>
      </c>
      <c r="BO102" t="s">
        <v>608</v>
      </c>
      <c r="BP102" t="s">
        <v>118</v>
      </c>
      <c r="BR102" t="s">
        <v>609</v>
      </c>
      <c r="BS102" t="s">
        <v>616</v>
      </c>
      <c r="BW102" t="s">
        <v>382</v>
      </c>
      <c r="BX102" t="s">
        <v>383</v>
      </c>
      <c r="BY102" t="s">
        <v>123</v>
      </c>
      <c r="BZ102" t="s">
        <v>124</v>
      </c>
    </row>
    <row r="103" spans="1:78" x14ac:dyDescent="0.3">
      <c r="A103" t="s">
        <v>11</v>
      </c>
      <c r="B103" t="s">
        <v>92</v>
      </c>
      <c r="C103" t="s">
        <v>93</v>
      </c>
      <c r="D103" t="s">
        <v>94</v>
      </c>
      <c r="E103" t="s">
        <v>95</v>
      </c>
      <c r="F103" t="s">
        <v>333</v>
      </c>
      <c r="G103">
        <v>475000</v>
      </c>
      <c r="H103">
        <v>475000</v>
      </c>
      <c r="I103" t="s">
        <v>93</v>
      </c>
      <c r="J103" t="s">
        <v>94</v>
      </c>
      <c r="K103" t="s">
        <v>202</v>
      </c>
      <c r="L103" t="s">
        <v>617</v>
      </c>
      <c r="M103">
        <v>46800</v>
      </c>
      <c r="N103">
        <v>46800</v>
      </c>
      <c r="AA103" t="s">
        <v>618</v>
      </c>
      <c r="AB103" t="s">
        <v>619</v>
      </c>
      <c r="AC103" t="s">
        <v>620</v>
      </c>
      <c r="AD103" t="s">
        <v>365</v>
      </c>
      <c r="AE103" t="s">
        <v>621</v>
      </c>
      <c r="AF103" t="s">
        <v>622</v>
      </c>
      <c r="AG103" t="s">
        <v>623</v>
      </c>
      <c r="AH103" t="s">
        <v>624</v>
      </c>
      <c r="AI103">
        <v>45997</v>
      </c>
      <c r="AJ103">
        <v>45997</v>
      </c>
      <c r="AK103" t="s">
        <v>104</v>
      </c>
      <c r="AL103" t="s">
        <v>105</v>
      </c>
      <c r="AM103" t="s">
        <v>106</v>
      </c>
      <c r="AN103" t="s">
        <v>107</v>
      </c>
      <c r="AO103" t="s">
        <v>107</v>
      </c>
      <c r="AP103">
        <v>3000</v>
      </c>
      <c r="AQ103">
        <v>3000</v>
      </c>
      <c r="AR103">
        <v>0</v>
      </c>
      <c r="AS103" t="s">
        <v>107</v>
      </c>
      <c r="AT103" t="s">
        <v>243</v>
      </c>
      <c r="AU103" t="s">
        <v>162</v>
      </c>
      <c r="AV103" t="s">
        <v>163</v>
      </c>
      <c r="AW103" t="s">
        <v>111</v>
      </c>
      <c r="AY103" t="s">
        <v>625</v>
      </c>
      <c r="AZ103" t="s">
        <v>113</v>
      </c>
      <c r="BB103" t="s">
        <v>114</v>
      </c>
      <c r="BC103" t="s">
        <v>115</v>
      </c>
      <c r="BN103" t="s">
        <v>113</v>
      </c>
      <c r="BO103" t="s">
        <v>626</v>
      </c>
      <c r="BP103" t="s">
        <v>370</v>
      </c>
      <c r="BR103" t="s">
        <v>267</v>
      </c>
      <c r="BS103" t="s">
        <v>627</v>
      </c>
      <c r="BW103" t="s">
        <v>382</v>
      </c>
      <c r="BX103" t="s">
        <v>383</v>
      </c>
      <c r="BY103" t="s">
        <v>123</v>
      </c>
      <c r="BZ103" t="s">
        <v>124</v>
      </c>
    </row>
    <row r="104" spans="1:78" x14ac:dyDescent="0.3">
      <c r="A104" t="s">
        <v>2</v>
      </c>
      <c r="B104" t="s">
        <v>92</v>
      </c>
      <c r="C104" t="s">
        <v>93</v>
      </c>
      <c r="D104" t="s">
        <v>94</v>
      </c>
      <c r="E104" t="s">
        <v>95</v>
      </c>
      <c r="F104" t="s">
        <v>628</v>
      </c>
      <c r="G104">
        <v>679000</v>
      </c>
      <c r="H104">
        <v>679000</v>
      </c>
      <c r="AA104" t="s">
        <v>629</v>
      </c>
      <c r="AB104" t="s">
        <v>630</v>
      </c>
      <c r="AC104" t="s">
        <v>631</v>
      </c>
      <c r="AD104" t="s">
        <v>632</v>
      </c>
      <c r="AE104" t="s">
        <v>632</v>
      </c>
      <c r="AF104" t="s">
        <v>633</v>
      </c>
      <c r="AG104" t="s">
        <v>102</v>
      </c>
      <c r="AH104" t="s">
        <v>634</v>
      </c>
      <c r="AI104">
        <v>45794</v>
      </c>
      <c r="AJ104">
        <v>45794</v>
      </c>
      <c r="AK104" t="s">
        <v>104</v>
      </c>
      <c r="AL104" t="s">
        <v>105</v>
      </c>
      <c r="AM104" t="s">
        <v>106</v>
      </c>
      <c r="AN104" t="s">
        <v>107</v>
      </c>
      <c r="AO104" t="s">
        <v>107</v>
      </c>
      <c r="AP104">
        <v>3000</v>
      </c>
      <c r="AQ104">
        <v>3000</v>
      </c>
      <c r="AR104">
        <v>0</v>
      </c>
      <c r="AS104" t="s">
        <v>107</v>
      </c>
      <c r="AT104" t="s">
        <v>108</v>
      </c>
      <c r="AU104" t="s">
        <v>109</v>
      </c>
      <c r="AV104" t="s">
        <v>110</v>
      </c>
      <c r="AW104" t="s">
        <v>111</v>
      </c>
      <c r="AX104" t="s">
        <v>630</v>
      </c>
      <c r="AY104" t="s">
        <v>635</v>
      </c>
      <c r="AZ104" t="s">
        <v>113</v>
      </c>
      <c r="BA104" t="s">
        <v>133</v>
      </c>
      <c r="BB104" t="s">
        <v>114</v>
      </c>
      <c r="BC104" t="s">
        <v>115</v>
      </c>
      <c r="BN104" t="s">
        <v>116</v>
      </c>
      <c r="BO104" t="s">
        <v>636</v>
      </c>
      <c r="BP104" t="s">
        <v>118</v>
      </c>
      <c r="BR104" t="s">
        <v>637</v>
      </c>
      <c r="BS104" t="s">
        <v>638</v>
      </c>
      <c r="BW104" t="s">
        <v>382</v>
      </c>
      <c r="BX104" t="s">
        <v>383</v>
      </c>
      <c r="BY104" t="s">
        <v>123</v>
      </c>
      <c r="BZ104" t="s">
        <v>124</v>
      </c>
    </row>
    <row r="105" spans="1:78" x14ac:dyDescent="0.3">
      <c r="A105" t="s">
        <v>2</v>
      </c>
      <c r="B105" t="s">
        <v>92</v>
      </c>
      <c r="C105" t="s">
        <v>93</v>
      </c>
      <c r="D105" t="s">
        <v>94</v>
      </c>
      <c r="E105" t="s">
        <v>95</v>
      </c>
      <c r="F105" t="s">
        <v>628</v>
      </c>
      <c r="G105">
        <v>679000</v>
      </c>
      <c r="H105">
        <v>679000</v>
      </c>
      <c r="AA105" t="s">
        <v>629</v>
      </c>
      <c r="AB105" t="s">
        <v>630</v>
      </c>
      <c r="AC105" t="s">
        <v>631</v>
      </c>
      <c r="AD105" t="s">
        <v>632</v>
      </c>
      <c r="AE105" t="s">
        <v>632</v>
      </c>
      <c r="AF105" t="s">
        <v>633</v>
      </c>
      <c r="AG105" t="s">
        <v>102</v>
      </c>
      <c r="AH105" t="s">
        <v>634</v>
      </c>
      <c r="AI105">
        <v>45811</v>
      </c>
      <c r="AJ105">
        <v>45811</v>
      </c>
      <c r="AK105" t="s">
        <v>137</v>
      </c>
      <c r="AL105" t="s">
        <v>105</v>
      </c>
      <c r="AM105" t="s">
        <v>639</v>
      </c>
      <c r="AN105" t="s">
        <v>107</v>
      </c>
      <c r="AO105" t="s">
        <v>107</v>
      </c>
      <c r="AP105">
        <v>150000</v>
      </c>
      <c r="AQ105">
        <v>150000</v>
      </c>
      <c r="AR105">
        <v>0</v>
      </c>
      <c r="AS105" t="s">
        <v>107</v>
      </c>
      <c r="AT105" t="s">
        <v>108</v>
      </c>
      <c r="AU105" t="s">
        <v>109</v>
      </c>
      <c r="AV105" t="s">
        <v>110</v>
      </c>
      <c r="AW105" t="s">
        <v>111</v>
      </c>
      <c r="AX105" t="s">
        <v>630</v>
      </c>
      <c r="AY105" t="s">
        <v>640</v>
      </c>
      <c r="AZ105" t="s">
        <v>113</v>
      </c>
      <c r="BA105" t="s">
        <v>133</v>
      </c>
      <c r="BB105" t="s">
        <v>114</v>
      </c>
      <c r="BC105" t="s">
        <v>115</v>
      </c>
      <c r="BN105" t="s">
        <v>116</v>
      </c>
      <c r="BO105" t="s">
        <v>636</v>
      </c>
      <c r="BP105" t="s">
        <v>118</v>
      </c>
      <c r="BR105" t="s">
        <v>637</v>
      </c>
      <c r="BS105" t="s">
        <v>641</v>
      </c>
      <c r="BW105" t="s">
        <v>382</v>
      </c>
      <c r="BX105" t="s">
        <v>383</v>
      </c>
      <c r="BY105" t="s">
        <v>123</v>
      </c>
      <c r="BZ105" t="s">
        <v>124</v>
      </c>
    </row>
    <row r="106" spans="1:78" x14ac:dyDescent="0.3">
      <c r="A106" t="s">
        <v>2</v>
      </c>
      <c r="B106" t="s">
        <v>92</v>
      </c>
      <c r="C106" t="s">
        <v>93</v>
      </c>
      <c r="D106" t="s">
        <v>94</v>
      </c>
      <c r="E106" t="s">
        <v>95</v>
      </c>
      <c r="F106" t="s">
        <v>628</v>
      </c>
      <c r="G106">
        <v>679000</v>
      </c>
      <c r="H106">
        <v>679000</v>
      </c>
      <c r="AA106" t="s">
        <v>629</v>
      </c>
      <c r="AB106" t="s">
        <v>630</v>
      </c>
      <c r="AC106" t="s">
        <v>631</v>
      </c>
      <c r="AD106" t="s">
        <v>632</v>
      </c>
      <c r="AE106" t="s">
        <v>632</v>
      </c>
      <c r="AF106" t="s">
        <v>633</v>
      </c>
      <c r="AG106" t="s">
        <v>102</v>
      </c>
      <c r="AH106" t="s">
        <v>634</v>
      </c>
      <c r="AI106">
        <v>45811</v>
      </c>
      <c r="AJ106">
        <v>45811</v>
      </c>
      <c r="AK106" t="s">
        <v>137</v>
      </c>
      <c r="AL106" t="s">
        <v>142</v>
      </c>
      <c r="AM106" t="s">
        <v>642</v>
      </c>
      <c r="AN106" t="s">
        <v>107</v>
      </c>
      <c r="AO106" t="s">
        <v>107</v>
      </c>
      <c r="AP106">
        <v>115000</v>
      </c>
      <c r="AQ106">
        <v>115000</v>
      </c>
      <c r="AR106">
        <v>0</v>
      </c>
      <c r="AS106" t="s">
        <v>107</v>
      </c>
      <c r="AT106" t="s">
        <v>108</v>
      </c>
      <c r="AU106" t="s">
        <v>109</v>
      </c>
      <c r="AV106" t="s">
        <v>110</v>
      </c>
      <c r="AW106" t="s">
        <v>111</v>
      </c>
      <c r="AX106" t="s">
        <v>630</v>
      </c>
      <c r="AY106" t="s">
        <v>643</v>
      </c>
      <c r="AZ106" t="s">
        <v>113</v>
      </c>
      <c r="BA106" t="s">
        <v>133</v>
      </c>
      <c r="BB106" t="s">
        <v>114</v>
      </c>
      <c r="BC106" t="s">
        <v>115</v>
      </c>
      <c r="BN106" t="s">
        <v>116</v>
      </c>
      <c r="BO106" t="s">
        <v>636</v>
      </c>
      <c r="BP106" t="s">
        <v>118</v>
      </c>
      <c r="BR106" t="s">
        <v>637</v>
      </c>
      <c r="BS106" t="s">
        <v>644</v>
      </c>
      <c r="BW106" t="s">
        <v>382</v>
      </c>
      <c r="BX106" t="s">
        <v>383</v>
      </c>
      <c r="BY106" t="s">
        <v>123</v>
      </c>
      <c r="BZ106" t="s">
        <v>124</v>
      </c>
    </row>
    <row r="107" spans="1:78" x14ac:dyDescent="0.3">
      <c r="A107" t="s">
        <v>2</v>
      </c>
      <c r="B107" t="s">
        <v>92</v>
      </c>
      <c r="C107" t="s">
        <v>93</v>
      </c>
      <c r="D107" t="s">
        <v>94</v>
      </c>
      <c r="E107" t="s">
        <v>95</v>
      </c>
      <c r="F107" t="s">
        <v>628</v>
      </c>
      <c r="G107">
        <v>679000</v>
      </c>
      <c r="H107">
        <v>679000</v>
      </c>
      <c r="AA107" t="s">
        <v>629</v>
      </c>
      <c r="AB107" t="s">
        <v>630</v>
      </c>
      <c r="AC107" t="s">
        <v>631</v>
      </c>
      <c r="AD107" t="s">
        <v>632</v>
      </c>
      <c r="AE107" t="s">
        <v>632</v>
      </c>
      <c r="AF107" t="s">
        <v>633</v>
      </c>
      <c r="AG107" t="s">
        <v>102</v>
      </c>
      <c r="AH107" t="s">
        <v>634</v>
      </c>
      <c r="AI107">
        <v>45813</v>
      </c>
      <c r="AJ107">
        <v>45813</v>
      </c>
      <c r="AK107" t="s">
        <v>137</v>
      </c>
      <c r="AL107" t="s">
        <v>146</v>
      </c>
      <c r="AM107" t="s">
        <v>645</v>
      </c>
      <c r="AN107" t="s">
        <v>107</v>
      </c>
      <c r="AO107" t="s">
        <v>107</v>
      </c>
      <c r="AP107">
        <v>21400</v>
      </c>
      <c r="AQ107">
        <v>21400</v>
      </c>
      <c r="AR107">
        <v>0</v>
      </c>
      <c r="AS107" t="s">
        <v>107</v>
      </c>
      <c r="AT107" t="s">
        <v>108</v>
      </c>
      <c r="AU107" t="s">
        <v>109</v>
      </c>
      <c r="AV107" t="s">
        <v>110</v>
      </c>
      <c r="AW107" t="s">
        <v>111</v>
      </c>
      <c r="AX107" t="s">
        <v>630</v>
      </c>
      <c r="AY107" t="s">
        <v>646</v>
      </c>
      <c r="AZ107" t="s">
        <v>113</v>
      </c>
      <c r="BA107" t="s">
        <v>133</v>
      </c>
      <c r="BB107" t="s">
        <v>114</v>
      </c>
      <c r="BC107" t="s">
        <v>115</v>
      </c>
      <c r="BN107" t="s">
        <v>116</v>
      </c>
      <c r="BO107" t="s">
        <v>636</v>
      </c>
      <c r="BP107" t="s">
        <v>118</v>
      </c>
      <c r="BR107" t="s">
        <v>637</v>
      </c>
      <c r="BS107" t="s">
        <v>647</v>
      </c>
      <c r="BW107" t="s">
        <v>382</v>
      </c>
      <c r="BX107" t="s">
        <v>383</v>
      </c>
      <c r="BY107" t="s">
        <v>123</v>
      </c>
      <c r="BZ107" t="s">
        <v>124</v>
      </c>
    </row>
    <row r="108" spans="1:78" x14ac:dyDescent="0.3">
      <c r="A108" t="s">
        <v>2</v>
      </c>
      <c r="B108" t="s">
        <v>92</v>
      </c>
      <c r="C108" t="s">
        <v>93</v>
      </c>
      <c r="D108" t="s">
        <v>94</v>
      </c>
      <c r="E108" t="s">
        <v>95</v>
      </c>
      <c r="F108" t="s">
        <v>628</v>
      </c>
      <c r="G108">
        <v>679000</v>
      </c>
      <c r="H108">
        <v>679000</v>
      </c>
      <c r="AA108" t="s">
        <v>629</v>
      </c>
      <c r="AB108" t="s">
        <v>630</v>
      </c>
      <c r="AC108" t="s">
        <v>631</v>
      </c>
      <c r="AD108" t="s">
        <v>632</v>
      </c>
      <c r="AE108" t="s">
        <v>632</v>
      </c>
      <c r="AF108" t="s">
        <v>633</v>
      </c>
      <c r="AG108" t="s">
        <v>102</v>
      </c>
      <c r="AH108" t="s">
        <v>634</v>
      </c>
      <c r="AI108">
        <v>45813</v>
      </c>
      <c r="AJ108">
        <v>45813</v>
      </c>
      <c r="AK108" t="s">
        <v>137</v>
      </c>
      <c r="AL108" t="s">
        <v>152</v>
      </c>
      <c r="AM108" t="s">
        <v>648</v>
      </c>
      <c r="AN108" t="s">
        <v>107</v>
      </c>
      <c r="AO108" t="s">
        <v>107</v>
      </c>
      <c r="AP108">
        <v>10600</v>
      </c>
      <c r="AQ108">
        <v>10600</v>
      </c>
      <c r="AR108">
        <v>0</v>
      </c>
      <c r="AS108" t="s">
        <v>107</v>
      </c>
      <c r="AT108" t="s">
        <v>108</v>
      </c>
      <c r="AU108" t="s">
        <v>109</v>
      </c>
      <c r="AV108" t="s">
        <v>110</v>
      </c>
      <c r="AW108" t="s">
        <v>111</v>
      </c>
      <c r="AX108" t="s">
        <v>630</v>
      </c>
      <c r="AY108" t="s">
        <v>649</v>
      </c>
      <c r="AZ108" t="s">
        <v>113</v>
      </c>
      <c r="BA108" t="s">
        <v>133</v>
      </c>
      <c r="BB108" t="s">
        <v>114</v>
      </c>
      <c r="BC108" t="s">
        <v>115</v>
      </c>
      <c r="BN108" t="s">
        <v>116</v>
      </c>
      <c r="BO108" t="s">
        <v>636</v>
      </c>
      <c r="BP108" t="s">
        <v>118</v>
      </c>
      <c r="BR108" t="s">
        <v>637</v>
      </c>
      <c r="BS108" t="s">
        <v>650</v>
      </c>
      <c r="BW108" t="s">
        <v>382</v>
      </c>
      <c r="BX108" t="s">
        <v>383</v>
      </c>
      <c r="BY108" t="s">
        <v>123</v>
      </c>
      <c r="BZ108" t="s">
        <v>124</v>
      </c>
    </row>
    <row r="109" spans="1:78" x14ac:dyDescent="0.3">
      <c r="A109" t="s">
        <v>2</v>
      </c>
      <c r="B109" t="s">
        <v>92</v>
      </c>
      <c r="C109" t="s">
        <v>93</v>
      </c>
      <c r="D109" t="s">
        <v>94</v>
      </c>
      <c r="E109" t="s">
        <v>95</v>
      </c>
      <c r="F109" t="s">
        <v>169</v>
      </c>
      <c r="G109">
        <v>490000</v>
      </c>
      <c r="H109">
        <v>490000</v>
      </c>
      <c r="AA109" t="s">
        <v>170</v>
      </c>
      <c r="AB109" t="s">
        <v>171</v>
      </c>
      <c r="AC109" t="s">
        <v>172</v>
      </c>
      <c r="AE109" t="s">
        <v>173</v>
      </c>
      <c r="AF109" t="s">
        <v>174</v>
      </c>
      <c r="AG109" t="s">
        <v>102</v>
      </c>
      <c r="AH109" t="s">
        <v>175</v>
      </c>
      <c r="AI109">
        <v>45903</v>
      </c>
      <c r="AJ109">
        <v>45750</v>
      </c>
      <c r="AK109" t="s">
        <v>104</v>
      </c>
      <c r="AL109" t="s">
        <v>152</v>
      </c>
      <c r="AM109" t="s">
        <v>398</v>
      </c>
      <c r="AN109" t="s">
        <v>107</v>
      </c>
      <c r="AO109" t="s">
        <v>107</v>
      </c>
      <c r="AP109">
        <v>10000</v>
      </c>
      <c r="AQ109">
        <v>10000</v>
      </c>
      <c r="AR109">
        <v>0</v>
      </c>
      <c r="AS109" t="s">
        <v>107</v>
      </c>
      <c r="AT109" t="s">
        <v>108</v>
      </c>
      <c r="AU109" t="s">
        <v>109</v>
      </c>
      <c r="AV109" t="s">
        <v>110</v>
      </c>
      <c r="AW109" t="s">
        <v>111</v>
      </c>
      <c r="AY109" t="s">
        <v>651</v>
      </c>
      <c r="AZ109" t="s">
        <v>113</v>
      </c>
      <c r="BB109" t="s">
        <v>114</v>
      </c>
      <c r="BC109" t="s">
        <v>115</v>
      </c>
      <c r="BN109" t="s">
        <v>116</v>
      </c>
      <c r="BO109" t="s">
        <v>178</v>
      </c>
      <c r="BP109" t="s">
        <v>166</v>
      </c>
      <c r="BR109" t="s">
        <v>179</v>
      </c>
      <c r="BS109" t="s">
        <v>652</v>
      </c>
      <c r="BW109" t="s">
        <v>382</v>
      </c>
      <c r="BX109" t="s">
        <v>383</v>
      </c>
      <c r="BY109" t="s">
        <v>123</v>
      </c>
      <c r="BZ109" t="s">
        <v>124</v>
      </c>
    </row>
    <row r="110" spans="1:78" x14ac:dyDescent="0.3">
      <c r="A110" t="s">
        <v>2</v>
      </c>
      <c r="B110" t="s">
        <v>92</v>
      </c>
      <c r="C110" t="s">
        <v>93</v>
      </c>
      <c r="D110" t="s">
        <v>94</v>
      </c>
      <c r="E110" t="s">
        <v>95</v>
      </c>
      <c r="F110" t="s">
        <v>169</v>
      </c>
      <c r="G110">
        <v>490000</v>
      </c>
      <c r="H110">
        <v>490000</v>
      </c>
      <c r="AA110" t="s">
        <v>170</v>
      </c>
      <c r="AB110" t="s">
        <v>171</v>
      </c>
      <c r="AC110" t="s">
        <v>172</v>
      </c>
      <c r="AE110" t="s">
        <v>173</v>
      </c>
      <c r="AF110" t="s">
        <v>174</v>
      </c>
      <c r="AG110" t="s">
        <v>102</v>
      </c>
      <c r="AH110" t="s">
        <v>175</v>
      </c>
      <c r="AI110">
        <v>45750</v>
      </c>
      <c r="AJ110">
        <v>45750</v>
      </c>
      <c r="AK110" t="s">
        <v>137</v>
      </c>
      <c r="AL110" t="s">
        <v>105</v>
      </c>
      <c r="AM110" t="s">
        <v>653</v>
      </c>
      <c r="AN110" t="s">
        <v>107</v>
      </c>
      <c r="AO110" t="s">
        <v>107</v>
      </c>
      <c r="AP110">
        <v>86000</v>
      </c>
      <c r="AQ110">
        <v>86000</v>
      </c>
      <c r="AR110">
        <v>0</v>
      </c>
      <c r="AS110" t="s">
        <v>107</v>
      </c>
      <c r="AT110" t="s">
        <v>108</v>
      </c>
      <c r="AU110" t="s">
        <v>109</v>
      </c>
      <c r="AV110" t="s">
        <v>110</v>
      </c>
      <c r="AW110" t="s">
        <v>111</v>
      </c>
      <c r="AY110" t="s">
        <v>651</v>
      </c>
      <c r="AZ110" t="s">
        <v>113</v>
      </c>
      <c r="BB110" t="s">
        <v>114</v>
      </c>
      <c r="BC110" t="s">
        <v>115</v>
      </c>
      <c r="BN110" t="s">
        <v>116</v>
      </c>
      <c r="BO110" t="s">
        <v>178</v>
      </c>
      <c r="BP110" t="s">
        <v>166</v>
      </c>
      <c r="BR110" t="s">
        <v>179</v>
      </c>
      <c r="BS110" t="s">
        <v>652</v>
      </c>
      <c r="BW110" t="s">
        <v>382</v>
      </c>
      <c r="BX110" t="s">
        <v>383</v>
      </c>
      <c r="BY110" t="s">
        <v>123</v>
      </c>
      <c r="BZ110" t="s">
        <v>124</v>
      </c>
    </row>
    <row r="111" spans="1:78" x14ac:dyDescent="0.3">
      <c r="A111" t="s">
        <v>2</v>
      </c>
      <c r="B111" t="s">
        <v>92</v>
      </c>
      <c r="C111" t="s">
        <v>93</v>
      </c>
      <c r="D111" t="s">
        <v>94</v>
      </c>
      <c r="E111" t="s">
        <v>202</v>
      </c>
      <c r="F111" t="s">
        <v>654</v>
      </c>
      <c r="G111">
        <v>47500</v>
      </c>
      <c r="H111">
        <v>47500</v>
      </c>
      <c r="AA111" t="s">
        <v>170</v>
      </c>
      <c r="AB111" t="s">
        <v>171</v>
      </c>
      <c r="AC111" t="s">
        <v>172</v>
      </c>
      <c r="AD111" t="s">
        <v>365</v>
      </c>
      <c r="AE111" t="s">
        <v>173</v>
      </c>
      <c r="AF111" t="s">
        <v>174</v>
      </c>
      <c r="AG111" t="s">
        <v>102</v>
      </c>
      <c r="AH111" t="s">
        <v>175</v>
      </c>
      <c r="AI111">
        <v>45903</v>
      </c>
      <c r="AJ111">
        <v>45903</v>
      </c>
      <c r="AK111" t="s">
        <v>104</v>
      </c>
      <c r="AL111" t="s">
        <v>105</v>
      </c>
      <c r="AM111" t="s">
        <v>106</v>
      </c>
      <c r="AN111" t="s">
        <v>107</v>
      </c>
      <c r="AO111" t="s">
        <v>107</v>
      </c>
      <c r="AP111">
        <v>3000</v>
      </c>
      <c r="AQ111">
        <v>3000</v>
      </c>
      <c r="AR111">
        <v>0</v>
      </c>
      <c r="AS111" t="s">
        <v>107</v>
      </c>
      <c r="AT111" t="s">
        <v>161</v>
      </c>
      <c r="AU111" t="s">
        <v>109</v>
      </c>
      <c r="AV111" t="s">
        <v>110</v>
      </c>
      <c r="AW111" t="s">
        <v>111</v>
      </c>
      <c r="AY111" t="s">
        <v>655</v>
      </c>
      <c r="AZ111" t="s">
        <v>113</v>
      </c>
      <c r="BB111" t="s">
        <v>114</v>
      </c>
      <c r="BC111" t="s">
        <v>115</v>
      </c>
      <c r="BN111" t="s">
        <v>116</v>
      </c>
      <c r="BO111" t="s">
        <v>656</v>
      </c>
      <c r="BP111" t="s">
        <v>370</v>
      </c>
      <c r="BR111" t="s">
        <v>657</v>
      </c>
      <c r="BS111" t="s">
        <v>658</v>
      </c>
      <c r="BW111" t="s">
        <v>382</v>
      </c>
      <c r="BX111" t="s">
        <v>383</v>
      </c>
      <c r="BY111" t="s">
        <v>123</v>
      </c>
      <c r="BZ111" t="s">
        <v>124</v>
      </c>
    </row>
    <row r="112" spans="1:78" x14ac:dyDescent="0.3">
      <c r="A112" t="s">
        <v>2</v>
      </c>
      <c r="B112" t="s">
        <v>92</v>
      </c>
      <c r="C112" t="s">
        <v>93</v>
      </c>
      <c r="D112" t="s">
        <v>94</v>
      </c>
      <c r="E112" t="s">
        <v>202</v>
      </c>
      <c r="F112" t="s">
        <v>654</v>
      </c>
      <c r="G112">
        <v>47500</v>
      </c>
      <c r="H112">
        <v>47500</v>
      </c>
      <c r="AA112" t="s">
        <v>170</v>
      </c>
      <c r="AB112" t="s">
        <v>171</v>
      </c>
      <c r="AC112" t="s">
        <v>172</v>
      </c>
      <c r="AD112" t="s">
        <v>365</v>
      </c>
      <c r="AE112" t="s">
        <v>173</v>
      </c>
      <c r="AF112" t="s">
        <v>174</v>
      </c>
      <c r="AG112" t="s">
        <v>102</v>
      </c>
      <c r="AH112" t="s">
        <v>175</v>
      </c>
      <c r="AI112">
        <v>45903</v>
      </c>
      <c r="AJ112">
        <v>45903</v>
      </c>
      <c r="AK112" t="s">
        <v>137</v>
      </c>
      <c r="AL112" t="s">
        <v>105</v>
      </c>
      <c r="AM112" t="s">
        <v>410</v>
      </c>
      <c r="AN112" t="s">
        <v>107</v>
      </c>
      <c r="AO112" t="s">
        <v>107</v>
      </c>
      <c r="AP112">
        <v>7000</v>
      </c>
      <c r="AQ112">
        <v>7000</v>
      </c>
      <c r="AR112">
        <v>0</v>
      </c>
      <c r="AS112" t="s">
        <v>107</v>
      </c>
      <c r="AT112" t="s">
        <v>161</v>
      </c>
      <c r="AU112" t="s">
        <v>109</v>
      </c>
      <c r="AV112" t="s">
        <v>110</v>
      </c>
      <c r="AW112" t="s">
        <v>111</v>
      </c>
      <c r="AY112" t="s">
        <v>655</v>
      </c>
      <c r="AZ112" t="s">
        <v>113</v>
      </c>
      <c r="BB112" t="s">
        <v>114</v>
      </c>
      <c r="BC112" t="s">
        <v>115</v>
      </c>
      <c r="BN112" t="s">
        <v>116</v>
      </c>
      <c r="BO112" t="s">
        <v>656</v>
      </c>
      <c r="BP112" t="s">
        <v>370</v>
      </c>
      <c r="BR112" t="s">
        <v>657</v>
      </c>
      <c r="BS112" t="s">
        <v>658</v>
      </c>
      <c r="BW112" t="s">
        <v>382</v>
      </c>
      <c r="BX112" t="s">
        <v>383</v>
      </c>
      <c r="BY112" t="s">
        <v>123</v>
      </c>
      <c r="BZ112" t="s">
        <v>124</v>
      </c>
    </row>
    <row r="113" spans="1:78" x14ac:dyDescent="0.3">
      <c r="A113" t="s">
        <v>2</v>
      </c>
      <c r="B113" t="s">
        <v>92</v>
      </c>
      <c r="C113" t="s">
        <v>93</v>
      </c>
      <c r="D113" t="s">
        <v>94</v>
      </c>
      <c r="E113" t="s">
        <v>202</v>
      </c>
      <c r="F113" t="s">
        <v>654</v>
      </c>
      <c r="G113">
        <v>47500</v>
      </c>
      <c r="H113">
        <v>47500</v>
      </c>
      <c r="AA113" t="s">
        <v>170</v>
      </c>
      <c r="AB113" t="s">
        <v>171</v>
      </c>
      <c r="AC113" t="s">
        <v>172</v>
      </c>
      <c r="AD113" t="s">
        <v>365</v>
      </c>
      <c r="AE113" t="s">
        <v>173</v>
      </c>
      <c r="AF113" t="s">
        <v>174</v>
      </c>
      <c r="AG113" t="s">
        <v>102</v>
      </c>
      <c r="AH113" t="s">
        <v>175</v>
      </c>
      <c r="AI113">
        <v>45992</v>
      </c>
      <c r="AJ113">
        <v>45992</v>
      </c>
      <c r="AK113" t="s">
        <v>218</v>
      </c>
      <c r="AL113" t="s">
        <v>105</v>
      </c>
      <c r="AM113" t="s">
        <v>659</v>
      </c>
      <c r="AN113" t="s">
        <v>107</v>
      </c>
      <c r="AO113" t="s">
        <v>107</v>
      </c>
      <c r="AP113">
        <v>8000</v>
      </c>
      <c r="AQ113">
        <v>8000</v>
      </c>
      <c r="AR113">
        <v>0</v>
      </c>
      <c r="AS113" t="s">
        <v>107</v>
      </c>
      <c r="AT113" t="s">
        <v>161</v>
      </c>
      <c r="AU113" t="s">
        <v>109</v>
      </c>
      <c r="AV113" t="s">
        <v>110</v>
      </c>
      <c r="AW113" t="s">
        <v>111</v>
      </c>
      <c r="AY113" t="s">
        <v>660</v>
      </c>
      <c r="AZ113" t="s">
        <v>113</v>
      </c>
      <c r="BB113" t="s">
        <v>114</v>
      </c>
      <c r="BC113" t="s">
        <v>115</v>
      </c>
      <c r="BN113" t="s">
        <v>116</v>
      </c>
      <c r="BO113" t="s">
        <v>656</v>
      </c>
      <c r="BP113" t="s">
        <v>370</v>
      </c>
      <c r="BR113" t="s">
        <v>657</v>
      </c>
      <c r="BS113" t="s">
        <v>661</v>
      </c>
      <c r="BW113" t="s">
        <v>382</v>
      </c>
      <c r="BX113" t="s">
        <v>383</v>
      </c>
      <c r="BY113" t="s">
        <v>123</v>
      </c>
      <c r="BZ113" t="s">
        <v>124</v>
      </c>
    </row>
    <row r="114" spans="1:78" x14ac:dyDescent="0.3">
      <c r="A114" t="s">
        <v>2</v>
      </c>
      <c r="B114" t="s">
        <v>92</v>
      </c>
      <c r="C114" t="s">
        <v>93</v>
      </c>
      <c r="D114" t="s">
        <v>94</v>
      </c>
      <c r="E114" t="s">
        <v>95</v>
      </c>
      <c r="F114" t="s">
        <v>181</v>
      </c>
      <c r="G114">
        <v>637000</v>
      </c>
      <c r="H114">
        <v>637000</v>
      </c>
      <c r="AA114" t="s">
        <v>182</v>
      </c>
      <c r="AB114" t="s">
        <v>183</v>
      </c>
      <c r="AC114" t="s">
        <v>184</v>
      </c>
      <c r="AD114" t="s">
        <v>185</v>
      </c>
      <c r="AE114" t="s">
        <v>185</v>
      </c>
      <c r="AF114" t="s">
        <v>186</v>
      </c>
      <c r="AG114" t="s">
        <v>102</v>
      </c>
      <c r="AH114" t="s">
        <v>187</v>
      </c>
      <c r="AI114">
        <v>45723</v>
      </c>
      <c r="AJ114">
        <v>45723</v>
      </c>
      <c r="AK114" t="s">
        <v>218</v>
      </c>
      <c r="AL114" t="s">
        <v>105</v>
      </c>
      <c r="AM114" t="s">
        <v>662</v>
      </c>
      <c r="AN114" t="s">
        <v>107</v>
      </c>
      <c r="AO114" t="s">
        <v>107</v>
      </c>
      <c r="AP114">
        <v>573300</v>
      </c>
      <c r="AQ114">
        <v>573300</v>
      </c>
      <c r="AR114">
        <v>0</v>
      </c>
      <c r="AS114" t="s">
        <v>107</v>
      </c>
      <c r="AT114" t="s">
        <v>108</v>
      </c>
      <c r="AU114" t="s">
        <v>109</v>
      </c>
      <c r="AV114" t="s">
        <v>110</v>
      </c>
      <c r="AW114" t="s">
        <v>111</v>
      </c>
      <c r="AY114" t="s">
        <v>291</v>
      </c>
      <c r="AZ114" t="s">
        <v>113</v>
      </c>
      <c r="BB114" t="s">
        <v>114</v>
      </c>
      <c r="BC114" t="s">
        <v>115</v>
      </c>
      <c r="BN114" t="s">
        <v>116</v>
      </c>
      <c r="BO114" t="s">
        <v>189</v>
      </c>
      <c r="BP114" t="s">
        <v>118</v>
      </c>
      <c r="BR114" t="s">
        <v>190</v>
      </c>
      <c r="BS114" t="s">
        <v>663</v>
      </c>
      <c r="BW114" t="s">
        <v>382</v>
      </c>
      <c r="BX114" t="s">
        <v>383</v>
      </c>
      <c r="BY114" t="s">
        <v>123</v>
      </c>
      <c r="BZ114" t="s">
        <v>124</v>
      </c>
    </row>
    <row r="115" spans="1:78" x14ac:dyDescent="0.3">
      <c r="A115" t="s">
        <v>11</v>
      </c>
      <c r="B115" t="s">
        <v>92</v>
      </c>
      <c r="C115" t="s">
        <v>93</v>
      </c>
      <c r="D115" t="s">
        <v>94</v>
      </c>
      <c r="E115" t="s">
        <v>95</v>
      </c>
      <c r="F115" t="s">
        <v>271</v>
      </c>
      <c r="G115">
        <v>504700</v>
      </c>
      <c r="H115">
        <v>459100</v>
      </c>
      <c r="I115" t="s">
        <v>93</v>
      </c>
      <c r="J115" t="s">
        <v>94</v>
      </c>
      <c r="K115" t="s">
        <v>202</v>
      </c>
      <c r="L115" t="s">
        <v>664</v>
      </c>
      <c r="M115">
        <v>45600</v>
      </c>
      <c r="N115">
        <v>45600</v>
      </c>
      <c r="AA115" t="s">
        <v>665</v>
      </c>
      <c r="AB115" t="s">
        <v>666</v>
      </c>
      <c r="AC115" t="s">
        <v>667</v>
      </c>
      <c r="AD115" t="s">
        <v>365</v>
      </c>
      <c r="AE115" t="s">
        <v>668</v>
      </c>
      <c r="AF115" t="s">
        <v>669</v>
      </c>
      <c r="AG115" t="s">
        <v>102</v>
      </c>
      <c r="AH115" t="s">
        <v>299</v>
      </c>
      <c r="AI115">
        <v>46001</v>
      </c>
      <c r="AJ115">
        <v>46001</v>
      </c>
      <c r="AK115" t="s">
        <v>104</v>
      </c>
      <c r="AL115" t="s">
        <v>105</v>
      </c>
      <c r="AM115" t="s">
        <v>106</v>
      </c>
      <c r="AN115" t="s">
        <v>107</v>
      </c>
      <c r="AO115" t="s">
        <v>107</v>
      </c>
      <c r="AP115">
        <v>3000</v>
      </c>
      <c r="AQ115">
        <v>3000</v>
      </c>
      <c r="AR115">
        <v>0</v>
      </c>
      <c r="AS115" t="s">
        <v>107</v>
      </c>
      <c r="AT115" t="s">
        <v>243</v>
      </c>
      <c r="AU115" t="s">
        <v>162</v>
      </c>
      <c r="AV115" t="s">
        <v>163</v>
      </c>
      <c r="AW115" t="s">
        <v>111</v>
      </c>
      <c r="AY115" t="s">
        <v>670</v>
      </c>
      <c r="AZ115" t="s">
        <v>113</v>
      </c>
      <c r="BB115" t="s">
        <v>114</v>
      </c>
      <c r="BC115" t="s">
        <v>115</v>
      </c>
      <c r="BN115" t="s">
        <v>113</v>
      </c>
      <c r="BO115" t="s">
        <v>671</v>
      </c>
      <c r="BP115" t="s">
        <v>370</v>
      </c>
      <c r="BR115" t="s">
        <v>467</v>
      </c>
      <c r="BS115" t="s">
        <v>672</v>
      </c>
      <c r="BW115" t="s">
        <v>382</v>
      </c>
      <c r="BX115" t="s">
        <v>383</v>
      </c>
      <c r="BY115" t="s">
        <v>123</v>
      </c>
      <c r="BZ115" t="s">
        <v>124</v>
      </c>
    </row>
    <row r="116" spans="1:78" x14ac:dyDescent="0.3">
      <c r="A116" t="s">
        <v>11</v>
      </c>
      <c r="B116" t="s">
        <v>92</v>
      </c>
      <c r="C116" t="s">
        <v>93</v>
      </c>
      <c r="D116" t="s">
        <v>94</v>
      </c>
      <c r="E116" t="s">
        <v>95</v>
      </c>
      <c r="F116" t="s">
        <v>271</v>
      </c>
      <c r="G116">
        <v>504700</v>
      </c>
      <c r="H116">
        <v>459100</v>
      </c>
      <c r="I116" t="s">
        <v>93</v>
      </c>
      <c r="J116" t="s">
        <v>94</v>
      </c>
      <c r="K116" t="s">
        <v>202</v>
      </c>
      <c r="L116" t="s">
        <v>664</v>
      </c>
      <c r="M116">
        <v>45600</v>
      </c>
      <c r="N116">
        <v>45600</v>
      </c>
      <c r="AA116" t="s">
        <v>665</v>
      </c>
      <c r="AB116" t="s">
        <v>666</v>
      </c>
      <c r="AC116" t="s">
        <v>667</v>
      </c>
      <c r="AD116" t="s">
        <v>365</v>
      </c>
      <c r="AE116" t="s">
        <v>668</v>
      </c>
      <c r="AF116" t="s">
        <v>669</v>
      </c>
      <c r="AG116" t="s">
        <v>102</v>
      </c>
      <c r="AH116" t="s">
        <v>299</v>
      </c>
      <c r="AI116">
        <v>46017</v>
      </c>
      <c r="AK116" t="s">
        <v>137</v>
      </c>
      <c r="AL116" t="s">
        <v>105</v>
      </c>
      <c r="AM116" t="s">
        <v>398</v>
      </c>
      <c r="AN116" t="s">
        <v>107</v>
      </c>
      <c r="AO116" t="s">
        <v>107</v>
      </c>
      <c r="AP116">
        <v>10000</v>
      </c>
      <c r="AQ116">
        <v>0</v>
      </c>
      <c r="AR116">
        <v>10000</v>
      </c>
      <c r="AT116" t="s">
        <v>243</v>
      </c>
      <c r="AZ116" t="s">
        <v>113</v>
      </c>
      <c r="BC116" t="s">
        <v>543</v>
      </c>
      <c r="BN116" t="s">
        <v>113</v>
      </c>
      <c r="BO116" t="s">
        <v>671</v>
      </c>
      <c r="BP116" t="s">
        <v>370</v>
      </c>
      <c r="BR116" t="s">
        <v>467</v>
      </c>
      <c r="BW116" t="s">
        <v>382</v>
      </c>
      <c r="BX116" t="s">
        <v>383</v>
      </c>
      <c r="BY116" t="s">
        <v>123</v>
      </c>
      <c r="BZ116" t="s">
        <v>124</v>
      </c>
    </row>
    <row r="117" spans="1:78" x14ac:dyDescent="0.3">
      <c r="A117" t="s">
        <v>12</v>
      </c>
      <c r="B117" t="s">
        <v>92</v>
      </c>
      <c r="C117" t="s">
        <v>93</v>
      </c>
      <c r="D117" t="s">
        <v>94</v>
      </c>
      <c r="E117" t="s">
        <v>95</v>
      </c>
      <c r="F117" t="s">
        <v>673</v>
      </c>
      <c r="G117">
        <v>430000</v>
      </c>
      <c r="H117">
        <v>430000</v>
      </c>
      <c r="AA117" t="s">
        <v>674</v>
      </c>
      <c r="AB117" t="s">
        <v>675</v>
      </c>
      <c r="AC117" t="s">
        <v>676</v>
      </c>
      <c r="AD117" t="s">
        <v>365</v>
      </c>
      <c r="AE117" t="s">
        <v>677</v>
      </c>
      <c r="AF117" t="s">
        <v>678</v>
      </c>
      <c r="AG117" t="s">
        <v>102</v>
      </c>
      <c r="AH117" t="s">
        <v>242</v>
      </c>
      <c r="AI117">
        <v>45918</v>
      </c>
      <c r="AJ117">
        <v>45918</v>
      </c>
      <c r="AK117" t="s">
        <v>104</v>
      </c>
      <c r="AL117" t="s">
        <v>105</v>
      </c>
      <c r="AM117" t="s">
        <v>106</v>
      </c>
      <c r="AN117" t="s">
        <v>107</v>
      </c>
      <c r="AO117" t="s">
        <v>107</v>
      </c>
      <c r="AP117">
        <v>3000</v>
      </c>
      <c r="AQ117">
        <v>3000</v>
      </c>
      <c r="AR117">
        <v>0</v>
      </c>
      <c r="AS117" t="s">
        <v>107</v>
      </c>
      <c r="AT117" t="s">
        <v>108</v>
      </c>
      <c r="AU117" t="s">
        <v>109</v>
      </c>
      <c r="AV117" t="s">
        <v>451</v>
      </c>
      <c r="AW117" t="s">
        <v>111</v>
      </c>
      <c r="AY117" t="s">
        <v>679</v>
      </c>
      <c r="AZ117" t="s">
        <v>113</v>
      </c>
      <c r="BB117" t="s">
        <v>114</v>
      </c>
      <c r="BC117" t="s">
        <v>115</v>
      </c>
      <c r="BN117" t="s">
        <v>113</v>
      </c>
      <c r="BO117" t="s">
        <v>680</v>
      </c>
      <c r="BP117" t="s">
        <v>370</v>
      </c>
      <c r="BR117" t="s">
        <v>396</v>
      </c>
      <c r="BS117" t="s">
        <v>681</v>
      </c>
      <c r="BW117" t="s">
        <v>382</v>
      </c>
      <c r="BX117" t="s">
        <v>383</v>
      </c>
      <c r="BY117" t="s">
        <v>123</v>
      </c>
      <c r="BZ117" t="s">
        <v>124</v>
      </c>
    </row>
    <row r="118" spans="1:78" x14ac:dyDescent="0.3">
      <c r="A118" t="s">
        <v>12</v>
      </c>
      <c r="B118" t="s">
        <v>92</v>
      </c>
      <c r="C118" t="s">
        <v>93</v>
      </c>
      <c r="D118" t="s">
        <v>94</v>
      </c>
      <c r="E118" t="s">
        <v>95</v>
      </c>
      <c r="F118" t="s">
        <v>673</v>
      </c>
      <c r="G118">
        <v>430000</v>
      </c>
      <c r="H118">
        <v>430000</v>
      </c>
      <c r="AA118" t="s">
        <v>674</v>
      </c>
      <c r="AB118" t="s">
        <v>675</v>
      </c>
      <c r="AC118" t="s">
        <v>676</v>
      </c>
      <c r="AD118" t="s">
        <v>365</v>
      </c>
      <c r="AE118" t="s">
        <v>677</v>
      </c>
      <c r="AF118" t="s">
        <v>678</v>
      </c>
      <c r="AG118" t="s">
        <v>102</v>
      </c>
      <c r="AH118" t="s">
        <v>242</v>
      </c>
      <c r="AI118">
        <v>45932</v>
      </c>
      <c r="AJ118">
        <v>45932</v>
      </c>
      <c r="AK118" t="s">
        <v>137</v>
      </c>
      <c r="AL118" t="s">
        <v>105</v>
      </c>
      <c r="AM118" t="s">
        <v>682</v>
      </c>
      <c r="AN118" t="s">
        <v>107</v>
      </c>
      <c r="AO118" t="s">
        <v>107</v>
      </c>
      <c r="AP118">
        <v>40000</v>
      </c>
      <c r="AQ118">
        <v>40000</v>
      </c>
      <c r="AR118">
        <v>0</v>
      </c>
      <c r="AS118" t="s">
        <v>107</v>
      </c>
      <c r="AT118" t="s">
        <v>108</v>
      </c>
      <c r="AU118" t="s">
        <v>109</v>
      </c>
      <c r="AV118" t="s">
        <v>451</v>
      </c>
      <c r="AW118" t="s">
        <v>111</v>
      </c>
      <c r="AY118" t="s">
        <v>683</v>
      </c>
      <c r="AZ118" t="s">
        <v>113</v>
      </c>
      <c r="BB118" t="s">
        <v>114</v>
      </c>
      <c r="BC118" t="s">
        <v>115</v>
      </c>
      <c r="BN118" t="s">
        <v>113</v>
      </c>
      <c r="BO118" t="s">
        <v>680</v>
      </c>
      <c r="BP118" t="s">
        <v>370</v>
      </c>
      <c r="BR118" t="s">
        <v>396</v>
      </c>
      <c r="BS118" t="s">
        <v>684</v>
      </c>
      <c r="BW118" t="s">
        <v>382</v>
      </c>
      <c r="BX118" t="s">
        <v>383</v>
      </c>
      <c r="BY118" t="s">
        <v>123</v>
      </c>
      <c r="BZ118" t="s">
        <v>124</v>
      </c>
    </row>
    <row r="119" spans="1:78" x14ac:dyDescent="0.3">
      <c r="A119" t="s">
        <v>12</v>
      </c>
      <c r="B119" t="s">
        <v>92</v>
      </c>
      <c r="C119" t="s">
        <v>93</v>
      </c>
      <c r="D119" t="s">
        <v>94</v>
      </c>
      <c r="E119" t="s">
        <v>202</v>
      </c>
      <c r="F119" t="s">
        <v>685</v>
      </c>
      <c r="G119">
        <v>48500</v>
      </c>
      <c r="H119">
        <v>48500</v>
      </c>
      <c r="AA119" t="s">
        <v>674</v>
      </c>
      <c r="AB119" t="s">
        <v>675</v>
      </c>
      <c r="AC119" t="s">
        <v>676</v>
      </c>
      <c r="AD119" t="s">
        <v>365</v>
      </c>
      <c r="AE119" t="s">
        <v>677</v>
      </c>
      <c r="AF119" t="s">
        <v>678</v>
      </c>
      <c r="AG119" t="s">
        <v>102</v>
      </c>
      <c r="AH119" t="s">
        <v>242</v>
      </c>
      <c r="AI119">
        <v>45928</v>
      </c>
      <c r="AJ119">
        <v>45928</v>
      </c>
      <c r="AK119" t="s">
        <v>104</v>
      </c>
      <c r="AL119" t="s">
        <v>105</v>
      </c>
      <c r="AM119" t="s">
        <v>106</v>
      </c>
      <c r="AN119" t="s">
        <v>107</v>
      </c>
      <c r="AO119" t="s">
        <v>107</v>
      </c>
      <c r="AP119">
        <v>3000</v>
      </c>
      <c r="AQ119">
        <v>3000</v>
      </c>
      <c r="AR119">
        <v>0</v>
      </c>
      <c r="AS119" t="s">
        <v>107</v>
      </c>
      <c r="AT119" t="s">
        <v>161</v>
      </c>
      <c r="AU119" t="s">
        <v>109</v>
      </c>
      <c r="AV119" t="s">
        <v>451</v>
      </c>
      <c r="AW119" t="s">
        <v>111</v>
      </c>
      <c r="AY119" t="s">
        <v>686</v>
      </c>
      <c r="AZ119" t="s">
        <v>113</v>
      </c>
      <c r="BB119" t="s">
        <v>114</v>
      </c>
      <c r="BC119" t="s">
        <v>115</v>
      </c>
      <c r="BN119" t="s">
        <v>116</v>
      </c>
      <c r="BO119" t="s">
        <v>687</v>
      </c>
      <c r="BP119" t="s">
        <v>370</v>
      </c>
      <c r="BR119" t="s">
        <v>688</v>
      </c>
      <c r="BS119" t="s">
        <v>689</v>
      </c>
      <c r="BW119" t="s">
        <v>382</v>
      </c>
      <c r="BX119" t="s">
        <v>383</v>
      </c>
      <c r="BY119" t="s">
        <v>123</v>
      </c>
      <c r="BZ119" t="s">
        <v>124</v>
      </c>
    </row>
    <row r="120" spans="1:78" x14ac:dyDescent="0.3">
      <c r="A120" t="s">
        <v>12</v>
      </c>
      <c r="B120" t="s">
        <v>92</v>
      </c>
      <c r="C120" t="s">
        <v>93</v>
      </c>
      <c r="D120" t="s">
        <v>94</v>
      </c>
      <c r="E120" t="s">
        <v>202</v>
      </c>
      <c r="F120" t="s">
        <v>685</v>
      </c>
      <c r="G120">
        <v>48500</v>
      </c>
      <c r="H120">
        <v>48500</v>
      </c>
      <c r="AA120" t="s">
        <v>674</v>
      </c>
      <c r="AB120" t="s">
        <v>675</v>
      </c>
      <c r="AC120" t="s">
        <v>676</v>
      </c>
      <c r="AD120" t="s">
        <v>365</v>
      </c>
      <c r="AE120" t="s">
        <v>677</v>
      </c>
      <c r="AF120" t="s">
        <v>678</v>
      </c>
      <c r="AG120" t="s">
        <v>102</v>
      </c>
      <c r="AH120" t="s">
        <v>242</v>
      </c>
      <c r="AI120">
        <v>45932</v>
      </c>
      <c r="AJ120">
        <v>45932</v>
      </c>
      <c r="AK120" t="s">
        <v>137</v>
      </c>
      <c r="AL120" t="s">
        <v>105</v>
      </c>
      <c r="AM120" t="s">
        <v>690</v>
      </c>
      <c r="AN120" t="s">
        <v>107</v>
      </c>
      <c r="AO120" t="s">
        <v>107</v>
      </c>
      <c r="AP120">
        <v>16400</v>
      </c>
      <c r="AQ120">
        <v>16400</v>
      </c>
      <c r="AR120">
        <v>0</v>
      </c>
      <c r="AS120" t="s">
        <v>107</v>
      </c>
      <c r="AT120" t="s">
        <v>161</v>
      </c>
      <c r="AU120" t="s">
        <v>109</v>
      </c>
      <c r="AV120" t="s">
        <v>451</v>
      </c>
      <c r="AW120" t="s">
        <v>111</v>
      </c>
      <c r="AY120" t="s">
        <v>691</v>
      </c>
      <c r="AZ120" t="s">
        <v>113</v>
      </c>
      <c r="BB120" t="s">
        <v>114</v>
      </c>
      <c r="BC120" t="s">
        <v>115</v>
      </c>
      <c r="BN120" t="s">
        <v>116</v>
      </c>
      <c r="BO120" t="s">
        <v>687</v>
      </c>
      <c r="BP120" t="s">
        <v>370</v>
      </c>
      <c r="BR120" t="s">
        <v>688</v>
      </c>
      <c r="BS120" t="s">
        <v>692</v>
      </c>
      <c r="BW120" t="s">
        <v>382</v>
      </c>
      <c r="BX120" t="s">
        <v>383</v>
      </c>
      <c r="BY120" t="s">
        <v>123</v>
      </c>
      <c r="BZ120" t="s">
        <v>124</v>
      </c>
    </row>
    <row r="121" spans="1:78" x14ac:dyDescent="0.3">
      <c r="A121" t="s">
        <v>12</v>
      </c>
      <c r="B121" t="s">
        <v>92</v>
      </c>
      <c r="C121" t="s">
        <v>93</v>
      </c>
      <c r="D121" t="s">
        <v>94</v>
      </c>
      <c r="E121" t="s">
        <v>202</v>
      </c>
      <c r="F121" t="s">
        <v>685</v>
      </c>
      <c r="G121">
        <v>48500</v>
      </c>
      <c r="H121">
        <v>48500</v>
      </c>
      <c r="AA121" t="s">
        <v>674</v>
      </c>
      <c r="AB121" t="s">
        <v>675</v>
      </c>
      <c r="AC121" t="s">
        <v>676</v>
      </c>
      <c r="AD121" t="s">
        <v>365</v>
      </c>
      <c r="AE121" t="s">
        <v>677</v>
      </c>
      <c r="AF121" t="s">
        <v>678</v>
      </c>
      <c r="AG121" t="s">
        <v>102</v>
      </c>
      <c r="AH121" t="s">
        <v>242</v>
      </c>
      <c r="AI121">
        <v>45961</v>
      </c>
      <c r="AJ121">
        <v>45950</v>
      </c>
      <c r="AK121" t="s">
        <v>218</v>
      </c>
      <c r="AL121" t="s">
        <v>105</v>
      </c>
      <c r="AM121" t="s">
        <v>693</v>
      </c>
      <c r="AN121" t="s">
        <v>107</v>
      </c>
      <c r="AO121" t="s">
        <v>107</v>
      </c>
      <c r="AP121">
        <v>1940</v>
      </c>
      <c r="AQ121">
        <v>1940</v>
      </c>
      <c r="AR121">
        <v>0</v>
      </c>
      <c r="AS121" t="s">
        <v>107</v>
      </c>
      <c r="AT121" t="s">
        <v>161</v>
      </c>
      <c r="AU121" t="s">
        <v>109</v>
      </c>
      <c r="AV121" t="s">
        <v>451</v>
      </c>
      <c r="AW121" t="s">
        <v>111</v>
      </c>
      <c r="AY121" t="s">
        <v>694</v>
      </c>
      <c r="AZ121" t="s">
        <v>113</v>
      </c>
      <c r="BB121" t="s">
        <v>114</v>
      </c>
      <c r="BC121" t="s">
        <v>115</v>
      </c>
      <c r="BN121" t="s">
        <v>116</v>
      </c>
      <c r="BO121" t="s">
        <v>687</v>
      </c>
      <c r="BP121" t="s">
        <v>370</v>
      </c>
      <c r="BR121" t="s">
        <v>688</v>
      </c>
      <c r="BS121" t="s">
        <v>695</v>
      </c>
      <c r="BW121" t="s">
        <v>382</v>
      </c>
      <c r="BX121" t="s">
        <v>383</v>
      </c>
      <c r="BY121" t="s">
        <v>123</v>
      </c>
      <c r="BZ121" t="s">
        <v>124</v>
      </c>
    </row>
    <row r="122" spans="1:78" x14ac:dyDescent="0.3">
      <c r="A122" t="s">
        <v>12</v>
      </c>
      <c r="B122" t="s">
        <v>92</v>
      </c>
      <c r="C122" t="s">
        <v>93</v>
      </c>
      <c r="D122" t="s">
        <v>94</v>
      </c>
      <c r="E122" t="s">
        <v>202</v>
      </c>
      <c r="F122" t="s">
        <v>685</v>
      </c>
      <c r="G122">
        <v>48500</v>
      </c>
      <c r="H122">
        <v>48500</v>
      </c>
      <c r="AA122" t="s">
        <v>674</v>
      </c>
      <c r="AB122" t="s">
        <v>675</v>
      </c>
      <c r="AC122" t="s">
        <v>676</v>
      </c>
      <c r="AD122" t="s">
        <v>365</v>
      </c>
      <c r="AE122" t="s">
        <v>677</v>
      </c>
      <c r="AF122" t="s">
        <v>678</v>
      </c>
      <c r="AG122" t="s">
        <v>102</v>
      </c>
      <c r="AH122" t="s">
        <v>242</v>
      </c>
      <c r="AI122">
        <v>45991</v>
      </c>
      <c r="AJ122">
        <v>45985</v>
      </c>
      <c r="AK122" t="s">
        <v>218</v>
      </c>
      <c r="AL122" t="s">
        <v>142</v>
      </c>
      <c r="AM122" t="s">
        <v>693</v>
      </c>
      <c r="AN122" t="s">
        <v>107</v>
      </c>
      <c r="AO122" t="s">
        <v>107</v>
      </c>
      <c r="AP122">
        <v>1940</v>
      </c>
      <c r="AQ122">
        <v>1940</v>
      </c>
      <c r="AR122">
        <v>0</v>
      </c>
      <c r="AS122" t="s">
        <v>107</v>
      </c>
      <c r="AT122" t="s">
        <v>161</v>
      </c>
      <c r="AU122" t="s">
        <v>109</v>
      </c>
      <c r="AV122" t="s">
        <v>451</v>
      </c>
      <c r="AW122" t="s">
        <v>111</v>
      </c>
      <c r="AY122" t="s">
        <v>696</v>
      </c>
      <c r="AZ122" t="s">
        <v>113</v>
      </c>
      <c r="BB122" t="s">
        <v>114</v>
      </c>
      <c r="BC122" t="s">
        <v>115</v>
      </c>
      <c r="BN122" t="s">
        <v>116</v>
      </c>
      <c r="BO122" t="s">
        <v>687</v>
      </c>
      <c r="BP122" t="s">
        <v>370</v>
      </c>
      <c r="BR122" t="s">
        <v>688</v>
      </c>
      <c r="BS122" t="s">
        <v>697</v>
      </c>
      <c r="BW122" t="s">
        <v>382</v>
      </c>
      <c r="BX122" t="s">
        <v>383</v>
      </c>
      <c r="BY122" t="s">
        <v>123</v>
      </c>
      <c r="BZ122" t="s">
        <v>124</v>
      </c>
    </row>
    <row r="123" spans="1:78" x14ac:dyDescent="0.3">
      <c r="A123" t="s">
        <v>12</v>
      </c>
      <c r="B123" t="s">
        <v>92</v>
      </c>
      <c r="C123" t="s">
        <v>93</v>
      </c>
      <c r="D123" t="s">
        <v>94</v>
      </c>
      <c r="E123" t="s">
        <v>202</v>
      </c>
      <c r="F123" t="s">
        <v>685</v>
      </c>
      <c r="G123">
        <v>48500</v>
      </c>
      <c r="H123">
        <v>48500</v>
      </c>
      <c r="AA123" t="s">
        <v>674</v>
      </c>
      <c r="AB123" t="s">
        <v>675</v>
      </c>
      <c r="AC123" t="s">
        <v>676</v>
      </c>
      <c r="AD123" t="s">
        <v>365</v>
      </c>
      <c r="AE123" t="s">
        <v>677</v>
      </c>
      <c r="AF123" t="s">
        <v>678</v>
      </c>
      <c r="AG123" t="s">
        <v>102</v>
      </c>
      <c r="AH123" t="s">
        <v>242</v>
      </c>
      <c r="AI123">
        <v>46022</v>
      </c>
      <c r="AJ123">
        <v>46013</v>
      </c>
      <c r="AK123" t="s">
        <v>218</v>
      </c>
      <c r="AL123" t="s">
        <v>146</v>
      </c>
      <c r="AM123" t="s">
        <v>693</v>
      </c>
      <c r="AN123" t="s">
        <v>107</v>
      </c>
      <c r="AO123" t="s">
        <v>107</v>
      </c>
      <c r="AP123">
        <v>1940</v>
      </c>
      <c r="AQ123">
        <v>1940</v>
      </c>
      <c r="AR123">
        <v>0</v>
      </c>
      <c r="AS123" t="s">
        <v>107</v>
      </c>
      <c r="AT123" t="s">
        <v>161</v>
      </c>
      <c r="AU123" t="s">
        <v>109</v>
      </c>
      <c r="AV123" t="s">
        <v>451</v>
      </c>
      <c r="AW123" t="s">
        <v>111</v>
      </c>
      <c r="AY123" t="s">
        <v>698</v>
      </c>
      <c r="AZ123" t="s">
        <v>113</v>
      </c>
      <c r="BB123" t="s">
        <v>114</v>
      </c>
      <c r="BC123" t="s">
        <v>115</v>
      </c>
      <c r="BN123" t="s">
        <v>116</v>
      </c>
      <c r="BO123" t="s">
        <v>687</v>
      </c>
      <c r="BP123" t="s">
        <v>370</v>
      </c>
      <c r="BR123" t="s">
        <v>688</v>
      </c>
      <c r="BS123" t="s">
        <v>697</v>
      </c>
      <c r="BW123" t="s">
        <v>382</v>
      </c>
      <c r="BX123" t="s">
        <v>383</v>
      </c>
      <c r="BY123" t="s">
        <v>123</v>
      </c>
      <c r="BZ123" t="s">
        <v>124</v>
      </c>
    </row>
    <row r="124" spans="1:78" x14ac:dyDescent="0.3">
      <c r="A124" t="s">
        <v>11</v>
      </c>
      <c r="B124" t="s">
        <v>92</v>
      </c>
      <c r="C124" t="s">
        <v>93</v>
      </c>
      <c r="D124" t="s">
        <v>94</v>
      </c>
      <c r="E124" t="s">
        <v>95</v>
      </c>
      <c r="F124" t="s">
        <v>258</v>
      </c>
      <c r="G124">
        <v>518500</v>
      </c>
      <c r="H124">
        <v>469500</v>
      </c>
      <c r="I124" t="s">
        <v>93</v>
      </c>
      <c r="J124" t="s">
        <v>94</v>
      </c>
      <c r="K124" t="s">
        <v>202</v>
      </c>
      <c r="L124" t="s">
        <v>699</v>
      </c>
      <c r="M124">
        <v>55000</v>
      </c>
      <c r="N124">
        <v>55000</v>
      </c>
      <c r="AA124" t="s">
        <v>700</v>
      </c>
      <c r="AB124" t="s">
        <v>701</v>
      </c>
      <c r="AC124" t="s">
        <v>702</v>
      </c>
      <c r="AD124" t="s">
        <v>365</v>
      </c>
      <c r="AE124" t="s">
        <v>703</v>
      </c>
      <c r="AF124" t="s">
        <v>704</v>
      </c>
      <c r="AG124" t="s">
        <v>102</v>
      </c>
      <c r="AH124" t="s">
        <v>160</v>
      </c>
      <c r="AI124">
        <v>45899</v>
      </c>
      <c r="AJ124">
        <v>45899</v>
      </c>
      <c r="AK124" t="s">
        <v>104</v>
      </c>
      <c r="AL124" t="s">
        <v>105</v>
      </c>
      <c r="AM124" t="s">
        <v>106</v>
      </c>
      <c r="AN124" t="s">
        <v>107</v>
      </c>
      <c r="AO124" t="s">
        <v>107</v>
      </c>
      <c r="AP124">
        <v>3000</v>
      </c>
      <c r="AQ124">
        <v>3000</v>
      </c>
      <c r="AR124">
        <v>0</v>
      </c>
      <c r="AS124" t="s">
        <v>107</v>
      </c>
      <c r="AT124" t="s">
        <v>243</v>
      </c>
      <c r="AU124" t="s">
        <v>162</v>
      </c>
      <c r="AV124" t="s">
        <v>163</v>
      </c>
      <c r="AW124" t="s">
        <v>111</v>
      </c>
      <c r="AY124" t="s">
        <v>705</v>
      </c>
      <c r="AZ124" t="s">
        <v>113</v>
      </c>
      <c r="BB124" t="s">
        <v>114</v>
      </c>
      <c r="BC124" t="s">
        <v>115</v>
      </c>
      <c r="BN124" t="s">
        <v>113</v>
      </c>
      <c r="BO124" t="s">
        <v>706</v>
      </c>
      <c r="BP124" t="s">
        <v>370</v>
      </c>
      <c r="BR124" t="s">
        <v>707</v>
      </c>
      <c r="BS124" t="s">
        <v>708</v>
      </c>
      <c r="BW124" t="s">
        <v>382</v>
      </c>
      <c r="BX124" t="s">
        <v>383</v>
      </c>
      <c r="BY124" t="s">
        <v>123</v>
      </c>
      <c r="BZ124" t="s">
        <v>124</v>
      </c>
    </row>
    <row r="125" spans="1:78" x14ac:dyDescent="0.3">
      <c r="A125" t="s">
        <v>11</v>
      </c>
      <c r="B125" t="s">
        <v>92</v>
      </c>
      <c r="C125" t="s">
        <v>93</v>
      </c>
      <c r="D125" t="s">
        <v>94</v>
      </c>
      <c r="E125" t="s">
        <v>95</v>
      </c>
      <c r="F125" t="s">
        <v>258</v>
      </c>
      <c r="G125">
        <v>518500</v>
      </c>
      <c r="H125">
        <v>469500</v>
      </c>
      <c r="I125" t="s">
        <v>93</v>
      </c>
      <c r="J125" t="s">
        <v>94</v>
      </c>
      <c r="K125" t="s">
        <v>202</v>
      </c>
      <c r="L125" t="s">
        <v>699</v>
      </c>
      <c r="M125">
        <v>55000</v>
      </c>
      <c r="N125">
        <v>55000</v>
      </c>
      <c r="AA125" t="s">
        <v>700</v>
      </c>
      <c r="AB125" t="s">
        <v>701</v>
      </c>
      <c r="AC125" t="s">
        <v>702</v>
      </c>
      <c r="AD125" t="s">
        <v>365</v>
      </c>
      <c r="AE125" t="s">
        <v>703</v>
      </c>
      <c r="AF125" t="s">
        <v>704</v>
      </c>
      <c r="AG125" t="s">
        <v>102</v>
      </c>
      <c r="AH125" t="s">
        <v>160</v>
      </c>
      <c r="AI125">
        <v>45911</v>
      </c>
      <c r="AK125" t="s">
        <v>137</v>
      </c>
      <c r="AL125" t="s">
        <v>105</v>
      </c>
      <c r="AM125" t="s">
        <v>709</v>
      </c>
      <c r="AN125" t="s">
        <v>107</v>
      </c>
      <c r="AO125" t="s">
        <v>107</v>
      </c>
      <c r="AP125">
        <v>50950</v>
      </c>
      <c r="AQ125">
        <v>0</v>
      </c>
      <c r="AR125">
        <v>50950</v>
      </c>
      <c r="AT125" t="s">
        <v>243</v>
      </c>
      <c r="AZ125" t="s">
        <v>113</v>
      </c>
      <c r="BC125" t="s">
        <v>543</v>
      </c>
      <c r="BN125" t="s">
        <v>113</v>
      </c>
      <c r="BO125" t="s">
        <v>706</v>
      </c>
      <c r="BP125" t="s">
        <v>370</v>
      </c>
      <c r="BR125" t="s">
        <v>707</v>
      </c>
      <c r="BW125" t="s">
        <v>382</v>
      </c>
      <c r="BX125" t="s">
        <v>383</v>
      </c>
      <c r="BY125" t="s">
        <v>123</v>
      </c>
      <c r="BZ125" t="s">
        <v>124</v>
      </c>
    </row>
    <row r="126" spans="1:78" x14ac:dyDescent="0.3">
      <c r="A126" t="s">
        <v>2</v>
      </c>
      <c r="B126" t="s">
        <v>92</v>
      </c>
      <c r="C126" t="s">
        <v>93</v>
      </c>
      <c r="D126" t="s">
        <v>94</v>
      </c>
      <c r="E126" t="s">
        <v>95</v>
      </c>
      <c r="F126" t="s">
        <v>710</v>
      </c>
      <c r="G126">
        <v>420000</v>
      </c>
      <c r="H126">
        <v>420000</v>
      </c>
      <c r="AA126" t="s">
        <v>711</v>
      </c>
      <c r="AB126" t="s">
        <v>712</v>
      </c>
      <c r="AC126" t="s">
        <v>713</v>
      </c>
      <c r="AD126" t="s">
        <v>714</v>
      </c>
      <c r="AE126" t="s">
        <v>714</v>
      </c>
      <c r="AF126" t="s">
        <v>715</v>
      </c>
      <c r="AG126" t="s">
        <v>102</v>
      </c>
      <c r="AH126" t="s">
        <v>131</v>
      </c>
      <c r="AI126">
        <v>45815</v>
      </c>
      <c r="AJ126">
        <v>45815</v>
      </c>
      <c r="AK126" t="s">
        <v>104</v>
      </c>
      <c r="AL126" t="s">
        <v>105</v>
      </c>
      <c r="AM126" t="s">
        <v>106</v>
      </c>
      <c r="AN126" t="s">
        <v>107</v>
      </c>
      <c r="AO126" t="s">
        <v>107</v>
      </c>
      <c r="AP126">
        <v>3000</v>
      </c>
      <c r="AQ126">
        <v>3000</v>
      </c>
      <c r="AR126">
        <v>0</v>
      </c>
      <c r="AS126" t="s">
        <v>107</v>
      </c>
      <c r="AT126" t="s">
        <v>108</v>
      </c>
      <c r="AU126" t="s">
        <v>109</v>
      </c>
      <c r="AV126" t="s">
        <v>110</v>
      </c>
      <c r="AW126" t="s">
        <v>111</v>
      </c>
      <c r="AX126" t="s">
        <v>712</v>
      </c>
      <c r="AY126" t="s">
        <v>716</v>
      </c>
      <c r="AZ126" t="s">
        <v>113</v>
      </c>
      <c r="BA126" t="s">
        <v>133</v>
      </c>
      <c r="BB126" t="s">
        <v>114</v>
      </c>
      <c r="BC126" t="s">
        <v>115</v>
      </c>
      <c r="BN126" t="s">
        <v>116</v>
      </c>
      <c r="BO126" t="s">
        <v>717</v>
      </c>
      <c r="BP126" t="s">
        <v>118</v>
      </c>
      <c r="BR126" t="s">
        <v>718</v>
      </c>
      <c r="BS126" t="s">
        <v>719</v>
      </c>
      <c r="BW126" t="s">
        <v>382</v>
      </c>
      <c r="BX126" t="s">
        <v>383</v>
      </c>
      <c r="BY126" t="s">
        <v>123</v>
      </c>
      <c r="BZ126" t="s">
        <v>124</v>
      </c>
    </row>
    <row r="127" spans="1:78" x14ac:dyDescent="0.3">
      <c r="A127" t="s">
        <v>2</v>
      </c>
      <c r="B127" t="s">
        <v>92</v>
      </c>
      <c r="C127" t="s">
        <v>93</v>
      </c>
      <c r="D127" t="s">
        <v>94</v>
      </c>
      <c r="E127" t="s">
        <v>95</v>
      </c>
      <c r="F127" t="s">
        <v>710</v>
      </c>
      <c r="G127">
        <v>420000</v>
      </c>
      <c r="H127">
        <v>420000</v>
      </c>
      <c r="AA127" t="s">
        <v>711</v>
      </c>
      <c r="AB127" t="s">
        <v>712</v>
      </c>
      <c r="AC127" t="s">
        <v>713</v>
      </c>
      <c r="AD127" t="s">
        <v>714</v>
      </c>
      <c r="AE127" t="s">
        <v>714</v>
      </c>
      <c r="AF127" t="s">
        <v>715</v>
      </c>
      <c r="AG127" t="s">
        <v>102</v>
      </c>
      <c r="AH127" t="s">
        <v>131</v>
      </c>
      <c r="AI127">
        <v>45832</v>
      </c>
      <c r="AJ127">
        <v>45832</v>
      </c>
      <c r="AK127" t="s">
        <v>137</v>
      </c>
      <c r="AL127" t="s">
        <v>105</v>
      </c>
      <c r="AM127" t="s">
        <v>720</v>
      </c>
      <c r="AN127" t="s">
        <v>107</v>
      </c>
      <c r="AO127" t="s">
        <v>107</v>
      </c>
      <c r="AP127">
        <v>9400</v>
      </c>
      <c r="AQ127">
        <v>9400</v>
      </c>
      <c r="AR127">
        <v>0</v>
      </c>
      <c r="AS127" t="s">
        <v>107</v>
      </c>
      <c r="AT127" t="s">
        <v>108</v>
      </c>
      <c r="AU127" t="s">
        <v>109</v>
      </c>
      <c r="AV127" t="s">
        <v>110</v>
      </c>
      <c r="AW127" t="s">
        <v>111</v>
      </c>
      <c r="AX127" t="s">
        <v>712</v>
      </c>
      <c r="AY127" t="s">
        <v>721</v>
      </c>
      <c r="AZ127" t="s">
        <v>113</v>
      </c>
      <c r="BA127" t="s">
        <v>133</v>
      </c>
      <c r="BB127" t="s">
        <v>114</v>
      </c>
      <c r="BC127" t="s">
        <v>115</v>
      </c>
      <c r="BN127" t="s">
        <v>116</v>
      </c>
      <c r="BO127" t="s">
        <v>717</v>
      </c>
      <c r="BP127" t="s">
        <v>118</v>
      </c>
      <c r="BR127" t="s">
        <v>718</v>
      </c>
      <c r="BS127" t="s">
        <v>722</v>
      </c>
      <c r="BW127" t="s">
        <v>382</v>
      </c>
      <c r="BX127" t="s">
        <v>383</v>
      </c>
      <c r="BY127" t="s">
        <v>123</v>
      </c>
      <c r="BZ127" t="s">
        <v>124</v>
      </c>
    </row>
    <row r="128" spans="1:78" x14ac:dyDescent="0.3">
      <c r="A128" t="s">
        <v>2</v>
      </c>
      <c r="B128" t="s">
        <v>92</v>
      </c>
      <c r="C128" t="s">
        <v>93</v>
      </c>
      <c r="D128" t="s">
        <v>94</v>
      </c>
      <c r="E128" t="s">
        <v>95</v>
      </c>
      <c r="F128" t="s">
        <v>201</v>
      </c>
      <c r="G128">
        <v>654000</v>
      </c>
      <c r="H128">
        <v>654000</v>
      </c>
      <c r="I128" t="s">
        <v>93</v>
      </c>
      <c r="J128" t="s">
        <v>94</v>
      </c>
      <c r="K128" t="s">
        <v>202</v>
      </c>
      <c r="L128" t="s">
        <v>203</v>
      </c>
      <c r="M128">
        <v>56300</v>
      </c>
      <c r="N128">
        <v>56300</v>
      </c>
      <c r="AA128" t="s">
        <v>204</v>
      </c>
      <c r="AB128" t="s">
        <v>205</v>
      </c>
      <c r="AC128" t="s">
        <v>206</v>
      </c>
      <c r="AE128" t="s">
        <v>207</v>
      </c>
      <c r="AF128" t="s">
        <v>208</v>
      </c>
      <c r="AG128" t="s">
        <v>102</v>
      </c>
      <c r="AH128" t="s">
        <v>187</v>
      </c>
      <c r="AI128">
        <v>45750</v>
      </c>
      <c r="AJ128">
        <v>45750</v>
      </c>
      <c r="AK128" t="s">
        <v>218</v>
      </c>
      <c r="AL128" t="s">
        <v>152</v>
      </c>
      <c r="AM128" t="s">
        <v>138</v>
      </c>
      <c r="AN128" t="s">
        <v>107</v>
      </c>
      <c r="AO128" t="s">
        <v>107</v>
      </c>
      <c r="AP128">
        <v>20000</v>
      </c>
      <c r="AQ128">
        <v>20000</v>
      </c>
      <c r="AR128">
        <v>0</v>
      </c>
      <c r="AS128" t="s">
        <v>107</v>
      </c>
      <c r="AT128" t="s">
        <v>161</v>
      </c>
      <c r="AU128" t="s">
        <v>109</v>
      </c>
      <c r="AV128" t="s">
        <v>110</v>
      </c>
      <c r="AW128" t="s">
        <v>111</v>
      </c>
      <c r="AY128" t="s">
        <v>723</v>
      </c>
      <c r="AZ128" t="s">
        <v>113</v>
      </c>
      <c r="BB128" t="s">
        <v>114</v>
      </c>
      <c r="BC128" t="s">
        <v>115</v>
      </c>
      <c r="BN128" t="s">
        <v>116</v>
      </c>
      <c r="BO128" t="s">
        <v>212</v>
      </c>
      <c r="BP128" t="s">
        <v>166</v>
      </c>
      <c r="BR128" t="s">
        <v>213</v>
      </c>
      <c r="BS128" t="s">
        <v>724</v>
      </c>
      <c r="BW128" t="s">
        <v>382</v>
      </c>
      <c r="BX128" t="s">
        <v>383</v>
      </c>
      <c r="BY128" t="s">
        <v>123</v>
      </c>
      <c r="BZ128" t="s">
        <v>124</v>
      </c>
    </row>
    <row r="129" spans="1:78" x14ac:dyDescent="0.3">
      <c r="A129" t="s">
        <v>2</v>
      </c>
      <c r="B129" t="s">
        <v>92</v>
      </c>
      <c r="C129" t="s">
        <v>93</v>
      </c>
      <c r="D129" t="s">
        <v>94</v>
      </c>
      <c r="E129" t="s">
        <v>95</v>
      </c>
      <c r="F129" t="s">
        <v>201</v>
      </c>
      <c r="G129">
        <v>654000</v>
      </c>
      <c r="H129">
        <v>654000</v>
      </c>
      <c r="I129" t="s">
        <v>93</v>
      </c>
      <c r="J129" t="s">
        <v>94</v>
      </c>
      <c r="K129" t="s">
        <v>202</v>
      </c>
      <c r="L129" t="s">
        <v>203</v>
      </c>
      <c r="M129">
        <v>56300</v>
      </c>
      <c r="N129">
        <v>56300</v>
      </c>
      <c r="AA129" t="s">
        <v>204</v>
      </c>
      <c r="AB129" t="s">
        <v>205</v>
      </c>
      <c r="AC129" t="s">
        <v>206</v>
      </c>
      <c r="AE129" t="s">
        <v>207</v>
      </c>
      <c r="AF129" t="s">
        <v>208</v>
      </c>
      <c r="AG129" t="s">
        <v>102</v>
      </c>
      <c r="AH129" t="s">
        <v>187</v>
      </c>
      <c r="AI129">
        <v>45751</v>
      </c>
      <c r="AJ129">
        <v>45751</v>
      </c>
      <c r="AK129" t="s">
        <v>218</v>
      </c>
      <c r="AL129" t="s">
        <v>584</v>
      </c>
      <c r="AM129" t="s">
        <v>725</v>
      </c>
      <c r="AN129" t="s">
        <v>107</v>
      </c>
      <c r="AO129" t="s">
        <v>107</v>
      </c>
      <c r="AP129">
        <v>15515</v>
      </c>
      <c r="AQ129">
        <v>15515</v>
      </c>
      <c r="AR129">
        <v>0</v>
      </c>
      <c r="AS129" t="s">
        <v>107</v>
      </c>
      <c r="AT129" t="s">
        <v>161</v>
      </c>
      <c r="AU129" t="s">
        <v>109</v>
      </c>
      <c r="AV129" t="s">
        <v>110</v>
      </c>
      <c r="AW129" t="s">
        <v>111</v>
      </c>
      <c r="AY129" t="s">
        <v>726</v>
      </c>
      <c r="AZ129" t="s">
        <v>113</v>
      </c>
      <c r="BB129" t="s">
        <v>114</v>
      </c>
      <c r="BC129" t="s">
        <v>115</v>
      </c>
      <c r="BN129" t="s">
        <v>116</v>
      </c>
      <c r="BO129" t="s">
        <v>212</v>
      </c>
      <c r="BP129" t="s">
        <v>166</v>
      </c>
      <c r="BR129" t="s">
        <v>213</v>
      </c>
      <c r="BS129" t="s">
        <v>727</v>
      </c>
      <c r="BW129" t="s">
        <v>382</v>
      </c>
      <c r="BX129" t="s">
        <v>383</v>
      </c>
      <c r="BY129" t="s">
        <v>123</v>
      </c>
      <c r="BZ129" t="s">
        <v>124</v>
      </c>
    </row>
    <row r="130" spans="1:78" x14ac:dyDescent="0.3">
      <c r="A130" t="s">
        <v>2</v>
      </c>
      <c r="B130" t="s">
        <v>92</v>
      </c>
      <c r="C130" t="s">
        <v>93</v>
      </c>
      <c r="D130" t="s">
        <v>94</v>
      </c>
      <c r="E130" t="s">
        <v>95</v>
      </c>
      <c r="F130" t="s">
        <v>201</v>
      </c>
      <c r="G130">
        <v>654000</v>
      </c>
      <c r="H130">
        <v>654000</v>
      </c>
      <c r="I130" t="s">
        <v>93</v>
      </c>
      <c r="J130" t="s">
        <v>94</v>
      </c>
      <c r="K130" t="s">
        <v>202</v>
      </c>
      <c r="L130" t="s">
        <v>203</v>
      </c>
      <c r="M130">
        <v>56300</v>
      </c>
      <c r="N130">
        <v>56300</v>
      </c>
      <c r="AA130" t="s">
        <v>204</v>
      </c>
      <c r="AB130" t="s">
        <v>205</v>
      </c>
      <c r="AC130" t="s">
        <v>206</v>
      </c>
      <c r="AE130" t="s">
        <v>207</v>
      </c>
      <c r="AF130" t="s">
        <v>208</v>
      </c>
      <c r="AG130" t="s">
        <v>102</v>
      </c>
      <c r="AH130" t="s">
        <v>187</v>
      </c>
      <c r="AI130">
        <v>45793</v>
      </c>
      <c r="AJ130">
        <v>45793</v>
      </c>
      <c r="AK130" t="s">
        <v>218</v>
      </c>
      <c r="AL130" t="s">
        <v>397</v>
      </c>
      <c r="AM130" t="s">
        <v>728</v>
      </c>
      <c r="AN130" t="s">
        <v>107</v>
      </c>
      <c r="AO130" t="s">
        <v>107</v>
      </c>
      <c r="AP130">
        <v>35515</v>
      </c>
      <c r="AQ130">
        <v>35515</v>
      </c>
      <c r="AR130">
        <v>0</v>
      </c>
      <c r="AS130" t="s">
        <v>107</v>
      </c>
      <c r="AT130" t="s">
        <v>161</v>
      </c>
      <c r="AU130" t="s">
        <v>109</v>
      </c>
      <c r="AV130" t="s">
        <v>110</v>
      </c>
      <c r="AW130" t="s">
        <v>111</v>
      </c>
      <c r="AY130" t="s">
        <v>729</v>
      </c>
      <c r="AZ130" t="s">
        <v>113</v>
      </c>
      <c r="BB130" t="s">
        <v>114</v>
      </c>
      <c r="BC130" t="s">
        <v>115</v>
      </c>
      <c r="BN130" t="s">
        <v>116</v>
      </c>
      <c r="BO130" t="s">
        <v>212</v>
      </c>
      <c r="BP130" t="s">
        <v>166</v>
      </c>
      <c r="BR130" t="s">
        <v>213</v>
      </c>
      <c r="BS130" t="s">
        <v>730</v>
      </c>
      <c r="BW130" t="s">
        <v>382</v>
      </c>
      <c r="BX130" t="s">
        <v>383</v>
      </c>
      <c r="BY130" t="s">
        <v>123</v>
      </c>
      <c r="BZ130" t="s">
        <v>124</v>
      </c>
    </row>
    <row r="131" spans="1:78" x14ac:dyDescent="0.3">
      <c r="A131" t="s">
        <v>2</v>
      </c>
      <c r="B131" t="s">
        <v>92</v>
      </c>
      <c r="C131" t="s">
        <v>93</v>
      </c>
      <c r="D131" t="s">
        <v>94</v>
      </c>
      <c r="E131" t="s">
        <v>95</v>
      </c>
      <c r="F131" t="s">
        <v>222</v>
      </c>
      <c r="G131">
        <v>609100</v>
      </c>
      <c r="H131">
        <v>609100</v>
      </c>
      <c r="I131" t="s">
        <v>93</v>
      </c>
      <c r="J131" t="s">
        <v>94</v>
      </c>
      <c r="K131" t="s">
        <v>202</v>
      </c>
      <c r="L131" t="s">
        <v>223</v>
      </c>
      <c r="M131">
        <v>64600</v>
      </c>
      <c r="N131">
        <v>64600</v>
      </c>
      <c r="AA131" t="s">
        <v>224</v>
      </c>
      <c r="AB131" t="s">
        <v>225</v>
      </c>
      <c r="AC131" t="s">
        <v>226</v>
      </c>
      <c r="AD131" t="s">
        <v>227</v>
      </c>
      <c r="AE131" t="s">
        <v>227</v>
      </c>
      <c r="AF131" t="s">
        <v>228</v>
      </c>
      <c r="AG131" t="s">
        <v>102</v>
      </c>
      <c r="AH131" t="s">
        <v>131</v>
      </c>
      <c r="AI131">
        <v>45869</v>
      </c>
      <c r="AJ131">
        <v>45900</v>
      </c>
      <c r="AK131" t="s">
        <v>218</v>
      </c>
      <c r="AL131" t="s">
        <v>105</v>
      </c>
      <c r="AM131" t="s">
        <v>731</v>
      </c>
      <c r="AN131" t="s">
        <v>107</v>
      </c>
      <c r="AO131" t="s">
        <v>107</v>
      </c>
      <c r="AP131">
        <v>535960</v>
      </c>
      <c r="AQ131">
        <v>535960</v>
      </c>
      <c r="AR131">
        <v>0</v>
      </c>
      <c r="AS131" t="s">
        <v>107</v>
      </c>
      <c r="AT131" t="s">
        <v>108</v>
      </c>
      <c r="AU131" t="s">
        <v>109</v>
      </c>
      <c r="AV131" t="s">
        <v>110</v>
      </c>
      <c r="AW131" t="s">
        <v>111</v>
      </c>
      <c r="AZ131" t="s">
        <v>116</v>
      </c>
      <c r="BB131" t="s">
        <v>114</v>
      </c>
      <c r="BC131" t="s">
        <v>115</v>
      </c>
      <c r="BN131" t="s">
        <v>116</v>
      </c>
      <c r="BO131" t="s">
        <v>230</v>
      </c>
      <c r="BP131" t="s">
        <v>118</v>
      </c>
      <c r="BR131" t="s">
        <v>231</v>
      </c>
      <c r="BS131" t="s">
        <v>732</v>
      </c>
      <c r="BW131" t="s">
        <v>382</v>
      </c>
      <c r="BX131" t="s">
        <v>383</v>
      </c>
      <c r="BY131" t="s">
        <v>123</v>
      </c>
      <c r="BZ131" t="s">
        <v>124</v>
      </c>
    </row>
    <row r="132" spans="1:78" x14ac:dyDescent="0.3">
      <c r="A132" t="s">
        <v>12</v>
      </c>
      <c r="B132" t="s">
        <v>92</v>
      </c>
      <c r="C132" t="s">
        <v>93</v>
      </c>
      <c r="D132" t="s">
        <v>94</v>
      </c>
      <c r="E132" t="s">
        <v>95</v>
      </c>
      <c r="F132" t="s">
        <v>733</v>
      </c>
      <c r="G132">
        <v>438000</v>
      </c>
      <c r="H132">
        <v>438000</v>
      </c>
      <c r="I132" t="s">
        <v>93</v>
      </c>
      <c r="J132" t="s">
        <v>94</v>
      </c>
      <c r="K132" t="s">
        <v>202</v>
      </c>
      <c r="L132" t="s">
        <v>734</v>
      </c>
      <c r="M132">
        <v>43000</v>
      </c>
      <c r="N132">
        <v>43000</v>
      </c>
      <c r="AA132" t="s">
        <v>735</v>
      </c>
      <c r="AB132" t="s">
        <v>736</v>
      </c>
      <c r="AC132" t="s">
        <v>737</v>
      </c>
      <c r="AD132" t="s">
        <v>365</v>
      </c>
      <c r="AE132" t="s">
        <v>738</v>
      </c>
      <c r="AF132" t="s">
        <v>739</v>
      </c>
      <c r="AG132" t="s">
        <v>102</v>
      </c>
      <c r="AH132" t="s">
        <v>160</v>
      </c>
      <c r="AI132">
        <v>45940</v>
      </c>
      <c r="AJ132">
        <v>45940</v>
      </c>
      <c r="AK132" t="s">
        <v>104</v>
      </c>
      <c r="AL132" t="s">
        <v>105</v>
      </c>
      <c r="AM132" t="s">
        <v>106</v>
      </c>
      <c r="AN132" t="s">
        <v>107</v>
      </c>
      <c r="AO132" t="s">
        <v>107</v>
      </c>
      <c r="AP132">
        <v>3000</v>
      </c>
      <c r="AQ132">
        <v>3000</v>
      </c>
      <c r="AR132">
        <v>0</v>
      </c>
      <c r="AS132" t="s">
        <v>107</v>
      </c>
      <c r="AT132" t="s">
        <v>108</v>
      </c>
      <c r="AU132" t="s">
        <v>109</v>
      </c>
      <c r="AV132" t="s">
        <v>451</v>
      </c>
      <c r="AW132" t="s">
        <v>209</v>
      </c>
      <c r="AY132" t="s">
        <v>740</v>
      </c>
      <c r="AZ132" t="s">
        <v>113</v>
      </c>
      <c r="BB132" t="s">
        <v>114</v>
      </c>
      <c r="BC132" t="s">
        <v>115</v>
      </c>
      <c r="BN132" t="s">
        <v>113</v>
      </c>
      <c r="BO132" t="s">
        <v>741</v>
      </c>
      <c r="BP132" t="s">
        <v>370</v>
      </c>
      <c r="BR132" t="s">
        <v>246</v>
      </c>
      <c r="BS132" t="s">
        <v>742</v>
      </c>
      <c r="BW132" t="s">
        <v>382</v>
      </c>
      <c r="BX132" t="s">
        <v>383</v>
      </c>
      <c r="BY132" t="s">
        <v>123</v>
      </c>
      <c r="BZ132" t="s">
        <v>124</v>
      </c>
    </row>
    <row r="133" spans="1:78" x14ac:dyDescent="0.3">
      <c r="A133" t="s">
        <v>12</v>
      </c>
      <c r="B133" t="s">
        <v>92</v>
      </c>
      <c r="C133" t="s">
        <v>93</v>
      </c>
      <c r="D133" t="s">
        <v>94</v>
      </c>
      <c r="E133" t="s">
        <v>95</v>
      </c>
      <c r="F133" t="s">
        <v>733</v>
      </c>
      <c r="G133">
        <v>438000</v>
      </c>
      <c r="H133">
        <v>438000</v>
      </c>
      <c r="I133" t="s">
        <v>93</v>
      </c>
      <c r="J133" t="s">
        <v>94</v>
      </c>
      <c r="K133" t="s">
        <v>202</v>
      </c>
      <c r="L133" t="s">
        <v>734</v>
      </c>
      <c r="M133">
        <v>43000</v>
      </c>
      <c r="N133">
        <v>43000</v>
      </c>
      <c r="AA133" t="s">
        <v>735</v>
      </c>
      <c r="AB133" t="s">
        <v>736</v>
      </c>
      <c r="AC133" t="s">
        <v>737</v>
      </c>
      <c r="AD133" t="s">
        <v>365</v>
      </c>
      <c r="AE133" t="s">
        <v>738</v>
      </c>
      <c r="AF133" t="s">
        <v>739</v>
      </c>
      <c r="AG133" t="s">
        <v>102</v>
      </c>
      <c r="AH133" t="s">
        <v>160</v>
      </c>
      <c r="AI133">
        <v>45951</v>
      </c>
      <c r="AJ133">
        <v>45951</v>
      </c>
      <c r="AK133" t="s">
        <v>137</v>
      </c>
      <c r="AL133" t="s">
        <v>105</v>
      </c>
      <c r="AM133" t="s">
        <v>743</v>
      </c>
      <c r="AN133" t="s">
        <v>107</v>
      </c>
      <c r="AO133" t="s">
        <v>107</v>
      </c>
      <c r="AP133">
        <v>126000</v>
      </c>
      <c r="AQ133">
        <v>126000</v>
      </c>
      <c r="AR133">
        <v>0</v>
      </c>
      <c r="AS133" t="s">
        <v>107</v>
      </c>
      <c r="AT133" t="s">
        <v>108</v>
      </c>
      <c r="AU133" t="s">
        <v>109</v>
      </c>
      <c r="AV133" t="s">
        <v>451</v>
      </c>
      <c r="AW133" t="s">
        <v>111</v>
      </c>
      <c r="AY133" t="s">
        <v>744</v>
      </c>
      <c r="AZ133" t="s">
        <v>113</v>
      </c>
      <c r="BB133" t="s">
        <v>114</v>
      </c>
      <c r="BC133" t="s">
        <v>115</v>
      </c>
      <c r="BN133" t="s">
        <v>113</v>
      </c>
      <c r="BO133" t="s">
        <v>741</v>
      </c>
      <c r="BP133" t="s">
        <v>370</v>
      </c>
      <c r="BR133" t="s">
        <v>246</v>
      </c>
      <c r="BS133" t="s">
        <v>745</v>
      </c>
      <c r="BW133" t="s">
        <v>382</v>
      </c>
      <c r="BX133" t="s">
        <v>383</v>
      </c>
      <c r="BY133" t="s">
        <v>123</v>
      </c>
      <c r="BZ133" t="s">
        <v>124</v>
      </c>
    </row>
    <row r="134" spans="1:78" x14ac:dyDescent="0.3">
      <c r="A134" t="s">
        <v>12</v>
      </c>
      <c r="B134" t="s">
        <v>92</v>
      </c>
      <c r="C134" t="s">
        <v>93</v>
      </c>
      <c r="D134" t="s">
        <v>94</v>
      </c>
      <c r="E134" t="s">
        <v>95</v>
      </c>
      <c r="F134" t="s">
        <v>733</v>
      </c>
      <c r="G134">
        <v>438000</v>
      </c>
      <c r="H134">
        <v>438000</v>
      </c>
      <c r="I134" t="s">
        <v>93</v>
      </c>
      <c r="J134" t="s">
        <v>94</v>
      </c>
      <c r="K134" t="s">
        <v>202</v>
      </c>
      <c r="L134" t="s">
        <v>734</v>
      </c>
      <c r="M134">
        <v>43000</v>
      </c>
      <c r="N134">
        <v>43000</v>
      </c>
      <c r="AA134" t="s">
        <v>735</v>
      </c>
      <c r="AB134" t="s">
        <v>736</v>
      </c>
      <c r="AC134" t="s">
        <v>737</v>
      </c>
      <c r="AD134" t="s">
        <v>365</v>
      </c>
      <c r="AE134" t="s">
        <v>738</v>
      </c>
      <c r="AF134" t="s">
        <v>739</v>
      </c>
      <c r="AG134" t="s">
        <v>102</v>
      </c>
      <c r="AH134" t="s">
        <v>160</v>
      </c>
      <c r="AI134">
        <v>46007</v>
      </c>
      <c r="AJ134">
        <v>46007</v>
      </c>
      <c r="AK134" t="s">
        <v>137</v>
      </c>
      <c r="AL134" t="s">
        <v>142</v>
      </c>
      <c r="AM134" t="s">
        <v>153</v>
      </c>
      <c r="AN134" t="s">
        <v>107</v>
      </c>
      <c r="AO134" t="s">
        <v>107</v>
      </c>
      <c r="AP134">
        <v>21000</v>
      </c>
      <c r="AQ134">
        <v>21000</v>
      </c>
      <c r="AR134">
        <v>0</v>
      </c>
      <c r="AS134" t="s">
        <v>107</v>
      </c>
      <c r="AT134" t="s">
        <v>108</v>
      </c>
      <c r="AU134" t="s">
        <v>109</v>
      </c>
      <c r="AV134" t="s">
        <v>451</v>
      </c>
      <c r="AW134" t="s">
        <v>111</v>
      </c>
      <c r="AY134" t="s">
        <v>746</v>
      </c>
      <c r="AZ134" t="s">
        <v>113</v>
      </c>
      <c r="BB134" t="s">
        <v>114</v>
      </c>
      <c r="BC134" t="s">
        <v>115</v>
      </c>
      <c r="BN134" t="s">
        <v>113</v>
      </c>
      <c r="BO134" t="s">
        <v>741</v>
      </c>
      <c r="BP134" t="s">
        <v>370</v>
      </c>
      <c r="BR134" t="s">
        <v>246</v>
      </c>
      <c r="BS134" t="s">
        <v>747</v>
      </c>
      <c r="BW134" t="s">
        <v>382</v>
      </c>
      <c r="BX134" t="s">
        <v>383</v>
      </c>
      <c r="BY134" t="s">
        <v>123</v>
      </c>
      <c r="BZ134" t="s">
        <v>124</v>
      </c>
    </row>
    <row r="135" spans="1:78" x14ac:dyDescent="0.3">
      <c r="A135" t="s">
        <v>2</v>
      </c>
      <c r="B135" t="s">
        <v>92</v>
      </c>
      <c r="C135" t="s">
        <v>93</v>
      </c>
      <c r="D135" t="s">
        <v>94</v>
      </c>
      <c r="E135" t="s">
        <v>95</v>
      </c>
      <c r="F135" t="s">
        <v>748</v>
      </c>
      <c r="G135">
        <v>630000</v>
      </c>
      <c r="H135">
        <v>630000</v>
      </c>
      <c r="AA135" t="s">
        <v>749</v>
      </c>
      <c r="AB135" t="s">
        <v>750</v>
      </c>
      <c r="AC135" t="s">
        <v>751</v>
      </c>
      <c r="AD135" t="s">
        <v>365</v>
      </c>
      <c r="AE135" t="s">
        <v>752</v>
      </c>
      <c r="AF135" t="s">
        <v>753</v>
      </c>
      <c r="AG135" t="s">
        <v>102</v>
      </c>
      <c r="AH135" t="s">
        <v>131</v>
      </c>
      <c r="AI135">
        <v>45751</v>
      </c>
      <c r="AJ135">
        <v>45751</v>
      </c>
      <c r="AK135" t="s">
        <v>104</v>
      </c>
      <c r="AL135" t="s">
        <v>105</v>
      </c>
      <c r="AM135" t="s">
        <v>106</v>
      </c>
      <c r="AN135" t="s">
        <v>107</v>
      </c>
      <c r="AO135" t="s">
        <v>107</v>
      </c>
      <c r="AP135">
        <v>3000</v>
      </c>
      <c r="AQ135">
        <v>3000</v>
      </c>
      <c r="AR135">
        <v>0</v>
      </c>
      <c r="AS135" t="s">
        <v>107</v>
      </c>
      <c r="AT135" t="s">
        <v>161</v>
      </c>
      <c r="AU135" t="s">
        <v>109</v>
      </c>
      <c r="AV135" t="s">
        <v>110</v>
      </c>
      <c r="AW135" t="s">
        <v>111</v>
      </c>
      <c r="AX135" t="s">
        <v>750</v>
      </c>
      <c r="AY135" t="s">
        <v>754</v>
      </c>
      <c r="AZ135" t="s">
        <v>113</v>
      </c>
      <c r="BA135" t="s">
        <v>133</v>
      </c>
      <c r="BB135" t="s">
        <v>114</v>
      </c>
      <c r="BC135" t="s">
        <v>115</v>
      </c>
      <c r="BN135" t="s">
        <v>116</v>
      </c>
      <c r="BO135" t="s">
        <v>755</v>
      </c>
      <c r="BP135" t="s">
        <v>118</v>
      </c>
      <c r="BR135" t="s">
        <v>167</v>
      </c>
      <c r="BS135" t="s">
        <v>756</v>
      </c>
      <c r="BW135" t="s">
        <v>382</v>
      </c>
      <c r="BX135" t="s">
        <v>383</v>
      </c>
      <c r="BY135" t="s">
        <v>123</v>
      </c>
      <c r="BZ135" t="s">
        <v>124</v>
      </c>
    </row>
    <row r="136" spans="1:78" x14ac:dyDescent="0.3">
      <c r="A136" t="s">
        <v>2</v>
      </c>
      <c r="B136" t="s">
        <v>92</v>
      </c>
      <c r="C136" t="s">
        <v>93</v>
      </c>
      <c r="D136" t="s">
        <v>94</v>
      </c>
      <c r="E136" t="s">
        <v>95</v>
      </c>
      <c r="F136" t="s">
        <v>748</v>
      </c>
      <c r="G136">
        <v>630000</v>
      </c>
      <c r="H136">
        <v>630000</v>
      </c>
      <c r="AA136" t="s">
        <v>749</v>
      </c>
      <c r="AB136" t="s">
        <v>750</v>
      </c>
      <c r="AC136" t="s">
        <v>751</v>
      </c>
      <c r="AD136" t="s">
        <v>365</v>
      </c>
      <c r="AE136" t="s">
        <v>752</v>
      </c>
      <c r="AF136" t="s">
        <v>753</v>
      </c>
      <c r="AG136" t="s">
        <v>102</v>
      </c>
      <c r="AH136" t="s">
        <v>131</v>
      </c>
      <c r="AI136">
        <v>45771</v>
      </c>
      <c r="AJ136">
        <v>45771</v>
      </c>
      <c r="AK136" t="s">
        <v>137</v>
      </c>
      <c r="AL136" t="s">
        <v>105</v>
      </c>
      <c r="AM136" t="s">
        <v>757</v>
      </c>
      <c r="AN136" t="s">
        <v>107</v>
      </c>
      <c r="AO136" t="s">
        <v>107</v>
      </c>
      <c r="AP136">
        <v>187000</v>
      </c>
      <c r="AQ136">
        <v>187000</v>
      </c>
      <c r="AR136">
        <v>0</v>
      </c>
      <c r="AS136" t="s">
        <v>107</v>
      </c>
      <c r="AT136" t="s">
        <v>161</v>
      </c>
      <c r="AU136" t="s">
        <v>109</v>
      </c>
      <c r="AV136" t="s">
        <v>110</v>
      </c>
      <c r="AW136" t="s">
        <v>111</v>
      </c>
      <c r="AY136" t="s">
        <v>758</v>
      </c>
      <c r="AZ136" t="s">
        <v>113</v>
      </c>
      <c r="BB136" t="s">
        <v>114</v>
      </c>
      <c r="BC136" t="s">
        <v>115</v>
      </c>
      <c r="BN136" t="s">
        <v>116</v>
      </c>
      <c r="BO136" t="s">
        <v>755</v>
      </c>
      <c r="BP136" t="s">
        <v>118</v>
      </c>
      <c r="BR136" t="s">
        <v>167</v>
      </c>
      <c r="BS136" t="s">
        <v>759</v>
      </c>
      <c r="BW136" t="s">
        <v>382</v>
      </c>
      <c r="BX136" t="s">
        <v>383</v>
      </c>
      <c r="BY136" t="s">
        <v>123</v>
      </c>
      <c r="BZ136" t="s">
        <v>124</v>
      </c>
    </row>
    <row r="137" spans="1:78" x14ac:dyDescent="0.3">
      <c r="A137" t="s">
        <v>2</v>
      </c>
      <c r="B137" t="s">
        <v>92</v>
      </c>
      <c r="C137" t="s">
        <v>93</v>
      </c>
      <c r="D137" t="s">
        <v>94</v>
      </c>
      <c r="E137" t="s">
        <v>95</v>
      </c>
      <c r="F137" t="s">
        <v>748</v>
      </c>
      <c r="G137">
        <v>630000</v>
      </c>
      <c r="H137">
        <v>630000</v>
      </c>
      <c r="AA137" t="s">
        <v>749</v>
      </c>
      <c r="AB137" t="s">
        <v>750</v>
      </c>
      <c r="AC137" t="s">
        <v>751</v>
      </c>
      <c r="AD137" t="s">
        <v>365</v>
      </c>
      <c r="AE137" t="s">
        <v>752</v>
      </c>
      <c r="AF137" t="s">
        <v>753</v>
      </c>
      <c r="AG137" t="s">
        <v>102</v>
      </c>
      <c r="AH137" t="s">
        <v>131</v>
      </c>
      <c r="AI137">
        <v>45869</v>
      </c>
      <c r="AJ137">
        <v>45864</v>
      </c>
      <c r="AK137" t="s">
        <v>218</v>
      </c>
      <c r="AL137" t="s">
        <v>105</v>
      </c>
      <c r="AM137" t="s">
        <v>760</v>
      </c>
      <c r="AN137" t="s">
        <v>107</v>
      </c>
      <c r="AO137" t="s">
        <v>107</v>
      </c>
      <c r="AP137">
        <v>73333.33</v>
      </c>
      <c r="AQ137">
        <v>73333.33</v>
      </c>
      <c r="AR137">
        <v>0</v>
      </c>
      <c r="AS137" t="s">
        <v>107</v>
      </c>
      <c r="AT137" t="s">
        <v>161</v>
      </c>
      <c r="AU137" t="s">
        <v>109</v>
      </c>
      <c r="AV137" t="s">
        <v>110</v>
      </c>
      <c r="AW137" t="s">
        <v>288</v>
      </c>
      <c r="AY137" t="s">
        <v>761</v>
      </c>
      <c r="AZ137" t="s">
        <v>113</v>
      </c>
      <c r="BB137" t="s">
        <v>114</v>
      </c>
      <c r="BC137" t="s">
        <v>115</v>
      </c>
      <c r="BN137" t="s">
        <v>116</v>
      </c>
      <c r="BO137" t="s">
        <v>755</v>
      </c>
      <c r="BP137" t="s">
        <v>118</v>
      </c>
      <c r="BR137" t="s">
        <v>167</v>
      </c>
      <c r="BS137" t="s">
        <v>762</v>
      </c>
      <c r="BW137" t="s">
        <v>382</v>
      </c>
      <c r="BX137" t="s">
        <v>383</v>
      </c>
      <c r="BY137" t="s">
        <v>123</v>
      </c>
      <c r="BZ137" t="s">
        <v>124</v>
      </c>
    </row>
    <row r="138" spans="1:78" x14ac:dyDescent="0.3">
      <c r="A138" t="s">
        <v>2</v>
      </c>
      <c r="B138" t="s">
        <v>92</v>
      </c>
      <c r="C138" t="s">
        <v>93</v>
      </c>
      <c r="D138" t="s">
        <v>94</v>
      </c>
      <c r="E138" t="s">
        <v>95</v>
      </c>
      <c r="F138" t="s">
        <v>748</v>
      </c>
      <c r="G138">
        <v>630000</v>
      </c>
      <c r="H138">
        <v>630000</v>
      </c>
      <c r="AA138" t="s">
        <v>749</v>
      </c>
      <c r="AB138" t="s">
        <v>750</v>
      </c>
      <c r="AC138" t="s">
        <v>751</v>
      </c>
      <c r="AD138" t="s">
        <v>365</v>
      </c>
      <c r="AE138" t="s">
        <v>752</v>
      </c>
      <c r="AF138" t="s">
        <v>753</v>
      </c>
      <c r="AG138" t="s">
        <v>102</v>
      </c>
      <c r="AH138" t="s">
        <v>131</v>
      </c>
      <c r="AI138">
        <v>45961</v>
      </c>
      <c r="AJ138">
        <v>45864</v>
      </c>
      <c r="AK138" t="s">
        <v>218</v>
      </c>
      <c r="AL138" t="s">
        <v>142</v>
      </c>
      <c r="AM138" t="s">
        <v>107</v>
      </c>
      <c r="AN138" t="s">
        <v>107</v>
      </c>
      <c r="AO138" t="s">
        <v>107</v>
      </c>
      <c r="AP138">
        <v>73333.33</v>
      </c>
      <c r="AQ138">
        <v>46666.67</v>
      </c>
      <c r="AR138">
        <v>0</v>
      </c>
      <c r="AS138" t="s">
        <v>107</v>
      </c>
      <c r="AT138" t="s">
        <v>161</v>
      </c>
      <c r="AU138" t="s">
        <v>109</v>
      </c>
      <c r="AV138" t="s">
        <v>110</v>
      </c>
      <c r="AW138" t="s">
        <v>288</v>
      </c>
      <c r="AY138" t="s">
        <v>761</v>
      </c>
      <c r="AZ138" t="s">
        <v>113</v>
      </c>
      <c r="BB138" t="s">
        <v>114</v>
      </c>
      <c r="BC138" t="s">
        <v>115</v>
      </c>
      <c r="BN138" t="s">
        <v>116</v>
      </c>
      <c r="BO138" t="s">
        <v>755</v>
      </c>
      <c r="BP138" t="s">
        <v>118</v>
      </c>
      <c r="BR138" t="s">
        <v>167</v>
      </c>
      <c r="BS138" t="s">
        <v>762</v>
      </c>
      <c r="BW138" t="s">
        <v>382</v>
      </c>
      <c r="BX138" t="s">
        <v>383</v>
      </c>
      <c r="BY138" t="s">
        <v>123</v>
      </c>
      <c r="BZ138" t="s">
        <v>124</v>
      </c>
    </row>
    <row r="139" spans="1:78" x14ac:dyDescent="0.3">
      <c r="A139" t="s">
        <v>2</v>
      </c>
      <c r="B139" t="s">
        <v>92</v>
      </c>
      <c r="C139" t="s">
        <v>93</v>
      </c>
      <c r="D139" t="s">
        <v>94</v>
      </c>
      <c r="E139" t="s">
        <v>95</v>
      </c>
      <c r="F139" t="s">
        <v>748</v>
      </c>
      <c r="G139">
        <v>630000</v>
      </c>
      <c r="H139">
        <v>630000</v>
      </c>
      <c r="AA139" t="s">
        <v>749</v>
      </c>
      <c r="AB139" t="s">
        <v>750</v>
      </c>
      <c r="AC139" t="s">
        <v>751</v>
      </c>
      <c r="AD139" t="s">
        <v>365</v>
      </c>
      <c r="AE139" t="s">
        <v>752</v>
      </c>
      <c r="AF139" t="s">
        <v>753</v>
      </c>
      <c r="AG139" t="s">
        <v>102</v>
      </c>
      <c r="AH139" t="s">
        <v>131</v>
      </c>
      <c r="AI139">
        <v>45961</v>
      </c>
      <c r="AJ139">
        <v>45955</v>
      </c>
      <c r="AK139" t="s">
        <v>218</v>
      </c>
      <c r="AL139" t="s">
        <v>142</v>
      </c>
      <c r="AM139" t="s">
        <v>760</v>
      </c>
      <c r="AN139" t="s">
        <v>107</v>
      </c>
      <c r="AO139" t="s">
        <v>107</v>
      </c>
      <c r="AP139">
        <v>0</v>
      </c>
      <c r="AQ139">
        <v>26666.66</v>
      </c>
      <c r="AR139">
        <v>0</v>
      </c>
      <c r="AS139" t="s">
        <v>107</v>
      </c>
      <c r="AT139" t="s">
        <v>161</v>
      </c>
      <c r="AU139" t="s">
        <v>109</v>
      </c>
      <c r="AV139" t="s">
        <v>110</v>
      </c>
      <c r="AW139" t="s">
        <v>111</v>
      </c>
      <c r="AY139" t="s">
        <v>763</v>
      </c>
      <c r="AZ139" t="s">
        <v>113</v>
      </c>
      <c r="BB139" t="s">
        <v>114</v>
      </c>
      <c r="BC139" t="s">
        <v>115</v>
      </c>
      <c r="BN139" t="s">
        <v>116</v>
      </c>
      <c r="BO139" t="s">
        <v>755</v>
      </c>
      <c r="BP139" t="s">
        <v>118</v>
      </c>
      <c r="BR139" t="s">
        <v>167</v>
      </c>
      <c r="BS139" t="s">
        <v>764</v>
      </c>
      <c r="BW139" t="s">
        <v>382</v>
      </c>
      <c r="BX139" t="s">
        <v>383</v>
      </c>
      <c r="BY139" t="s">
        <v>123</v>
      </c>
      <c r="BZ139" t="s">
        <v>124</v>
      </c>
    </row>
    <row r="140" spans="1:78" x14ac:dyDescent="0.3">
      <c r="A140" t="s">
        <v>2</v>
      </c>
      <c r="B140" t="s">
        <v>92</v>
      </c>
      <c r="C140" t="s">
        <v>93</v>
      </c>
      <c r="D140" t="s">
        <v>94</v>
      </c>
      <c r="E140" t="s">
        <v>95</v>
      </c>
      <c r="F140" t="s">
        <v>748</v>
      </c>
      <c r="G140">
        <v>630000</v>
      </c>
      <c r="H140">
        <v>630000</v>
      </c>
      <c r="AA140" t="s">
        <v>749</v>
      </c>
      <c r="AB140" t="s">
        <v>750</v>
      </c>
      <c r="AC140" t="s">
        <v>751</v>
      </c>
      <c r="AD140" t="s">
        <v>365</v>
      </c>
      <c r="AE140" t="s">
        <v>752</v>
      </c>
      <c r="AF140" t="s">
        <v>753</v>
      </c>
      <c r="AG140" t="s">
        <v>102</v>
      </c>
      <c r="AH140" t="s">
        <v>131</v>
      </c>
      <c r="AI140">
        <v>46022</v>
      </c>
      <c r="AJ140">
        <v>45955</v>
      </c>
      <c r="AK140" t="s">
        <v>218</v>
      </c>
      <c r="AL140" t="s">
        <v>146</v>
      </c>
      <c r="AM140" t="s">
        <v>760</v>
      </c>
      <c r="AN140" t="s">
        <v>107</v>
      </c>
      <c r="AO140" t="s">
        <v>107</v>
      </c>
      <c r="AP140">
        <v>73333.33</v>
      </c>
      <c r="AQ140">
        <v>73333.33</v>
      </c>
      <c r="AR140">
        <v>0</v>
      </c>
      <c r="AS140" t="s">
        <v>107</v>
      </c>
      <c r="AT140" t="s">
        <v>161</v>
      </c>
      <c r="AU140" t="s">
        <v>109</v>
      </c>
      <c r="AV140" t="s">
        <v>110</v>
      </c>
      <c r="AW140" t="s">
        <v>111</v>
      </c>
      <c r="AY140" t="s">
        <v>763</v>
      </c>
      <c r="AZ140" t="s">
        <v>113</v>
      </c>
      <c r="BB140" t="s">
        <v>114</v>
      </c>
      <c r="BC140" t="s">
        <v>115</v>
      </c>
      <c r="BN140" t="s">
        <v>116</v>
      </c>
      <c r="BO140" t="s">
        <v>755</v>
      </c>
      <c r="BP140" t="s">
        <v>118</v>
      </c>
      <c r="BR140" t="s">
        <v>167</v>
      </c>
      <c r="BS140" t="s">
        <v>764</v>
      </c>
      <c r="BW140" t="s">
        <v>382</v>
      </c>
      <c r="BX140" t="s">
        <v>383</v>
      </c>
      <c r="BY140" t="s">
        <v>123</v>
      </c>
      <c r="BZ140" t="s">
        <v>124</v>
      </c>
    </row>
    <row r="141" spans="1:78" x14ac:dyDescent="0.3">
      <c r="A141" t="s">
        <v>11</v>
      </c>
      <c r="B141" t="s">
        <v>92</v>
      </c>
      <c r="C141" t="s">
        <v>93</v>
      </c>
      <c r="D141" t="s">
        <v>94</v>
      </c>
      <c r="E141" t="s">
        <v>95</v>
      </c>
      <c r="F141" t="s">
        <v>765</v>
      </c>
      <c r="G141">
        <v>532100</v>
      </c>
      <c r="H141">
        <v>532100</v>
      </c>
      <c r="AA141" t="s">
        <v>766</v>
      </c>
      <c r="AB141" t="s">
        <v>767</v>
      </c>
      <c r="AC141" t="s">
        <v>768</v>
      </c>
      <c r="AD141" t="s">
        <v>365</v>
      </c>
      <c r="AE141" t="s">
        <v>769</v>
      </c>
      <c r="AF141" t="s">
        <v>770</v>
      </c>
      <c r="AG141" t="s">
        <v>102</v>
      </c>
      <c r="AH141" t="s">
        <v>771</v>
      </c>
      <c r="AI141">
        <v>46017</v>
      </c>
      <c r="AJ141">
        <v>46017</v>
      </c>
      <c r="AK141" t="s">
        <v>104</v>
      </c>
      <c r="AL141" t="s">
        <v>105</v>
      </c>
      <c r="AM141" t="s">
        <v>106</v>
      </c>
      <c r="AN141" t="s">
        <v>107</v>
      </c>
      <c r="AO141" t="s">
        <v>107</v>
      </c>
      <c r="AP141">
        <v>3000</v>
      </c>
      <c r="AQ141">
        <v>3000</v>
      </c>
      <c r="AR141">
        <v>0</v>
      </c>
      <c r="AS141" t="s">
        <v>107</v>
      </c>
      <c r="AT141" t="s">
        <v>108</v>
      </c>
      <c r="AU141" t="s">
        <v>162</v>
      </c>
      <c r="AV141" t="s">
        <v>163</v>
      </c>
      <c r="AW141" t="s">
        <v>111</v>
      </c>
      <c r="AY141" t="s">
        <v>772</v>
      </c>
      <c r="AZ141" t="s">
        <v>113</v>
      </c>
      <c r="BB141" t="s">
        <v>114</v>
      </c>
      <c r="BC141" t="s">
        <v>115</v>
      </c>
      <c r="BN141" t="s">
        <v>113</v>
      </c>
      <c r="BO141" t="s">
        <v>773</v>
      </c>
      <c r="BP141" t="s">
        <v>370</v>
      </c>
      <c r="BR141" t="s">
        <v>774</v>
      </c>
      <c r="BS141" t="s">
        <v>775</v>
      </c>
      <c r="BW141" t="s">
        <v>382</v>
      </c>
      <c r="BX141" t="s">
        <v>383</v>
      </c>
      <c r="BY141" t="s">
        <v>123</v>
      </c>
      <c r="BZ141" t="s">
        <v>124</v>
      </c>
    </row>
    <row r="142" spans="1:78" x14ac:dyDescent="0.3">
      <c r="A142" t="s">
        <v>11</v>
      </c>
      <c r="B142" t="s">
        <v>92</v>
      </c>
      <c r="C142" t="s">
        <v>93</v>
      </c>
      <c r="D142" t="s">
        <v>94</v>
      </c>
      <c r="E142" t="s">
        <v>95</v>
      </c>
      <c r="F142" t="s">
        <v>482</v>
      </c>
      <c r="G142">
        <v>498000</v>
      </c>
      <c r="H142">
        <v>450000</v>
      </c>
      <c r="AA142" t="s">
        <v>776</v>
      </c>
      <c r="AB142" t="s">
        <v>777</v>
      </c>
      <c r="AC142" t="s">
        <v>778</v>
      </c>
      <c r="AD142" t="s">
        <v>365</v>
      </c>
      <c r="AE142" t="s">
        <v>779</v>
      </c>
      <c r="AF142" t="s">
        <v>780</v>
      </c>
      <c r="AG142" t="s">
        <v>102</v>
      </c>
      <c r="AH142" t="s">
        <v>781</v>
      </c>
      <c r="AI142">
        <v>45953</v>
      </c>
      <c r="AJ142">
        <v>45953</v>
      </c>
      <c r="AK142" t="s">
        <v>104</v>
      </c>
      <c r="AL142" t="s">
        <v>105</v>
      </c>
      <c r="AM142" t="s">
        <v>106</v>
      </c>
      <c r="AN142" t="s">
        <v>107</v>
      </c>
      <c r="AO142" t="s">
        <v>107</v>
      </c>
      <c r="AP142">
        <v>3000</v>
      </c>
      <c r="AQ142">
        <v>3000</v>
      </c>
      <c r="AR142">
        <v>0</v>
      </c>
      <c r="AS142" t="s">
        <v>107</v>
      </c>
      <c r="AT142" t="s">
        <v>108</v>
      </c>
      <c r="AU142" t="s">
        <v>162</v>
      </c>
      <c r="AV142" t="s">
        <v>163</v>
      </c>
      <c r="AW142" t="s">
        <v>111</v>
      </c>
      <c r="AX142" t="s">
        <v>777</v>
      </c>
      <c r="AY142" t="s">
        <v>782</v>
      </c>
      <c r="AZ142" t="s">
        <v>113</v>
      </c>
      <c r="BA142" t="s">
        <v>133</v>
      </c>
      <c r="BB142" t="s">
        <v>114</v>
      </c>
      <c r="BC142" t="s">
        <v>115</v>
      </c>
      <c r="BN142" t="s">
        <v>116</v>
      </c>
      <c r="BO142" t="s">
        <v>783</v>
      </c>
      <c r="BP142" t="s">
        <v>166</v>
      </c>
      <c r="BR142" t="s">
        <v>342</v>
      </c>
      <c r="BS142" t="s">
        <v>784</v>
      </c>
      <c r="BW142" t="s">
        <v>382</v>
      </c>
      <c r="BX142" t="s">
        <v>383</v>
      </c>
      <c r="BY142" t="s">
        <v>123</v>
      </c>
      <c r="BZ142" t="s">
        <v>124</v>
      </c>
    </row>
    <row r="143" spans="1:78" x14ac:dyDescent="0.3">
      <c r="A143" t="s">
        <v>11</v>
      </c>
      <c r="B143" t="s">
        <v>92</v>
      </c>
      <c r="C143" t="s">
        <v>93</v>
      </c>
      <c r="D143" t="s">
        <v>94</v>
      </c>
      <c r="E143" t="s">
        <v>95</v>
      </c>
      <c r="F143" t="s">
        <v>482</v>
      </c>
      <c r="G143">
        <v>498000</v>
      </c>
      <c r="H143">
        <v>450000</v>
      </c>
      <c r="AA143" t="s">
        <v>776</v>
      </c>
      <c r="AB143" t="s">
        <v>777</v>
      </c>
      <c r="AC143" t="s">
        <v>778</v>
      </c>
      <c r="AD143" t="s">
        <v>365</v>
      </c>
      <c r="AE143" t="s">
        <v>779</v>
      </c>
      <c r="AF143" t="s">
        <v>780</v>
      </c>
      <c r="AG143" t="s">
        <v>102</v>
      </c>
      <c r="AH143" t="s">
        <v>781</v>
      </c>
      <c r="AI143">
        <v>45971</v>
      </c>
      <c r="AJ143">
        <v>45971</v>
      </c>
      <c r="AK143" t="s">
        <v>137</v>
      </c>
      <c r="AL143" t="s">
        <v>105</v>
      </c>
      <c r="AM143" t="s">
        <v>785</v>
      </c>
      <c r="AN143" t="s">
        <v>107</v>
      </c>
      <c r="AO143" t="s">
        <v>107</v>
      </c>
      <c r="AP143">
        <v>19500</v>
      </c>
      <c r="AQ143">
        <v>19500</v>
      </c>
      <c r="AR143">
        <v>0</v>
      </c>
      <c r="AS143" t="s">
        <v>107</v>
      </c>
      <c r="AT143" t="s">
        <v>108</v>
      </c>
      <c r="AU143" t="s">
        <v>162</v>
      </c>
      <c r="AV143" t="s">
        <v>163</v>
      </c>
      <c r="AW143" t="s">
        <v>111</v>
      </c>
      <c r="AX143" t="s">
        <v>777</v>
      </c>
      <c r="AY143" t="s">
        <v>786</v>
      </c>
      <c r="AZ143" t="s">
        <v>113</v>
      </c>
      <c r="BA143" t="s">
        <v>133</v>
      </c>
      <c r="BB143" t="s">
        <v>114</v>
      </c>
      <c r="BC143" t="s">
        <v>115</v>
      </c>
      <c r="BN143" t="s">
        <v>116</v>
      </c>
      <c r="BO143" t="s">
        <v>783</v>
      </c>
      <c r="BP143" t="s">
        <v>166</v>
      </c>
      <c r="BR143" t="s">
        <v>342</v>
      </c>
      <c r="BS143" t="s">
        <v>787</v>
      </c>
      <c r="BW143" t="s">
        <v>382</v>
      </c>
      <c r="BX143" t="s">
        <v>383</v>
      </c>
      <c r="BY143" t="s">
        <v>123</v>
      </c>
      <c r="BZ143" t="s">
        <v>124</v>
      </c>
    </row>
    <row r="144" spans="1:78" x14ac:dyDescent="0.3">
      <c r="A144" t="s">
        <v>11</v>
      </c>
      <c r="B144" t="s">
        <v>92</v>
      </c>
      <c r="C144" t="s">
        <v>93</v>
      </c>
      <c r="D144" t="s">
        <v>94</v>
      </c>
      <c r="E144" t="s">
        <v>95</v>
      </c>
      <c r="F144" t="s">
        <v>503</v>
      </c>
      <c r="G144">
        <v>518500</v>
      </c>
      <c r="H144">
        <v>470000</v>
      </c>
      <c r="I144" t="s">
        <v>93</v>
      </c>
      <c r="J144" t="s">
        <v>94</v>
      </c>
      <c r="K144" t="s">
        <v>202</v>
      </c>
      <c r="L144" t="s">
        <v>788</v>
      </c>
      <c r="M144">
        <v>54500</v>
      </c>
      <c r="N144">
        <v>54500</v>
      </c>
      <c r="AA144" t="s">
        <v>789</v>
      </c>
      <c r="AB144" t="s">
        <v>790</v>
      </c>
      <c r="AC144" t="s">
        <v>791</v>
      </c>
      <c r="AD144" t="s">
        <v>365</v>
      </c>
      <c r="AE144" t="s">
        <v>792</v>
      </c>
      <c r="AF144" t="s">
        <v>793</v>
      </c>
      <c r="AG144" t="s">
        <v>102</v>
      </c>
      <c r="AH144" t="s">
        <v>393</v>
      </c>
      <c r="AI144">
        <v>45958</v>
      </c>
      <c r="AJ144">
        <v>45958</v>
      </c>
      <c r="AK144" t="s">
        <v>104</v>
      </c>
      <c r="AL144" t="s">
        <v>105</v>
      </c>
      <c r="AM144" t="s">
        <v>106</v>
      </c>
      <c r="AN144" t="s">
        <v>107</v>
      </c>
      <c r="AO144" t="s">
        <v>107</v>
      </c>
      <c r="AP144">
        <v>3000</v>
      </c>
      <c r="AQ144">
        <v>3000</v>
      </c>
      <c r="AR144">
        <v>0</v>
      </c>
      <c r="AS144" t="s">
        <v>107</v>
      </c>
      <c r="AT144" t="s">
        <v>108</v>
      </c>
      <c r="AU144" t="s">
        <v>162</v>
      </c>
      <c r="AV144" t="s">
        <v>163</v>
      </c>
      <c r="AW144" t="s">
        <v>111</v>
      </c>
      <c r="AY144" t="s">
        <v>794</v>
      </c>
      <c r="AZ144" t="s">
        <v>113</v>
      </c>
      <c r="BB144" t="s">
        <v>114</v>
      </c>
      <c r="BC144" t="s">
        <v>115</v>
      </c>
      <c r="BN144" t="s">
        <v>113</v>
      </c>
      <c r="BO144" t="s">
        <v>795</v>
      </c>
      <c r="BP144" t="s">
        <v>370</v>
      </c>
      <c r="BR144" t="s">
        <v>319</v>
      </c>
      <c r="BS144" t="s">
        <v>796</v>
      </c>
      <c r="BW144" t="s">
        <v>382</v>
      </c>
      <c r="BX144" t="s">
        <v>383</v>
      </c>
      <c r="BY144" t="s">
        <v>123</v>
      </c>
      <c r="BZ144" t="s">
        <v>124</v>
      </c>
    </row>
    <row r="145" spans="1:78" x14ac:dyDescent="0.3">
      <c r="A145" t="s">
        <v>11</v>
      </c>
      <c r="B145" t="s">
        <v>92</v>
      </c>
      <c r="C145" t="s">
        <v>93</v>
      </c>
      <c r="D145" t="s">
        <v>94</v>
      </c>
      <c r="E145" t="s">
        <v>95</v>
      </c>
      <c r="F145" t="s">
        <v>503</v>
      </c>
      <c r="G145">
        <v>518500</v>
      </c>
      <c r="H145">
        <v>470000</v>
      </c>
      <c r="I145" t="s">
        <v>93</v>
      </c>
      <c r="J145" t="s">
        <v>94</v>
      </c>
      <c r="K145" t="s">
        <v>202</v>
      </c>
      <c r="L145" t="s">
        <v>788</v>
      </c>
      <c r="M145">
        <v>54500</v>
      </c>
      <c r="N145">
        <v>54500</v>
      </c>
      <c r="AA145" t="s">
        <v>789</v>
      </c>
      <c r="AB145" t="s">
        <v>790</v>
      </c>
      <c r="AC145" t="s">
        <v>791</v>
      </c>
      <c r="AD145" t="s">
        <v>365</v>
      </c>
      <c r="AE145" t="s">
        <v>792</v>
      </c>
      <c r="AF145" t="s">
        <v>793</v>
      </c>
      <c r="AG145" t="s">
        <v>102</v>
      </c>
      <c r="AH145" t="s">
        <v>393</v>
      </c>
      <c r="AI145">
        <v>45985</v>
      </c>
      <c r="AK145" t="s">
        <v>137</v>
      </c>
      <c r="AL145" t="s">
        <v>105</v>
      </c>
      <c r="AM145" t="s">
        <v>797</v>
      </c>
      <c r="AN145" t="s">
        <v>107</v>
      </c>
      <c r="AO145" t="s">
        <v>107</v>
      </c>
      <c r="AP145">
        <v>6000</v>
      </c>
      <c r="AQ145">
        <v>0</v>
      </c>
      <c r="AR145">
        <v>6000</v>
      </c>
      <c r="AT145" t="s">
        <v>108</v>
      </c>
      <c r="AZ145" t="s">
        <v>113</v>
      </c>
      <c r="BC145" t="s">
        <v>543</v>
      </c>
      <c r="BN145" t="s">
        <v>113</v>
      </c>
      <c r="BO145" t="s">
        <v>795</v>
      </c>
      <c r="BP145" t="s">
        <v>370</v>
      </c>
      <c r="BR145" t="s">
        <v>319</v>
      </c>
      <c r="BW145" t="s">
        <v>382</v>
      </c>
      <c r="BX145" t="s">
        <v>383</v>
      </c>
      <c r="BY145" t="s">
        <v>123</v>
      </c>
      <c r="BZ145" t="s">
        <v>124</v>
      </c>
    </row>
    <row r="146" spans="1:78" x14ac:dyDescent="0.3">
      <c r="A146" t="s">
        <v>12</v>
      </c>
      <c r="B146" t="s">
        <v>92</v>
      </c>
      <c r="C146" t="s">
        <v>93</v>
      </c>
      <c r="D146" t="s">
        <v>94</v>
      </c>
      <c r="E146" t="s">
        <v>95</v>
      </c>
      <c r="F146" t="s">
        <v>416</v>
      </c>
      <c r="G146">
        <v>428000</v>
      </c>
      <c r="H146">
        <v>428000</v>
      </c>
      <c r="AA146" t="s">
        <v>798</v>
      </c>
      <c r="AB146" t="s">
        <v>799</v>
      </c>
      <c r="AC146" t="s">
        <v>800</v>
      </c>
      <c r="AD146" t="s">
        <v>365</v>
      </c>
      <c r="AE146" t="s">
        <v>801</v>
      </c>
      <c r="AF146" t="s">
        <v>802</v>
      </c>
      <c r="AG146" t="s">
        <v>102</v>
      </c>
      <c r="AH146" t="s">
        <v>131</v>
      </c>
      <c r="AI146">
        <v>46009</v>
      </c>
      <c r="AJ146">
        <v>46009</v>
      </c>
      <c r="AK146" t="s">
        <v>104</v>
      </c>
      <c r="AL146" t="s">
        <v>105</v>
      </c>
      <c r="AM146" t="s">
        <v>106</v>
      </c>
      <c r="AN146" t="s">
        <v>107</v>
      </c>
      <c r="AO146" t="s">
        <v>107</v>
      </c>
      <c r="AP146">
        <v>3000</v>
      </c>
      <c r="AQ146">
        <v>3000</v>
      </c>
      <c r="AR146">
        <v>0</v>
      </c>
      <c r="AS146" t="s">
        <v>107</v>
      </c>
      <c r="AT146" t="s">
        <v>108</v>
      </c>
      <c r="AU146" t="s">
        <v>109</v>
      </c>
      <c r="AV146" t="s">
        <v>451</v>
      </c>
      <c r="AW146" t="s">
        <v>111</v>
      </c>
      <c r="AY146" t="s">
        <v>803</v>
      </c>
      <c r="AZ146" t="s">
        <v>113</v>
      </c>
      <c r="BB146" t="s">
        <v>114</v>
      </c>
      <c r="BC146" t="s">
        <v>115</v>
      </c>
      <c r="BN146" t="s">
        <v>113</v>
      </c>
      <c r="BO146" t="s">
        <v>804</v>
      </c>
      <c r="BP146" t="s">
        <v>370</v>
      </c>
      <c r="BR146" t="s">
        <v>805</v>
      </c>
      <c r="BS146" t="s">
        <v>806</v>
      </c>
      <c r="BW146" t="s">
        <v>382</v>
      </c>
      <c r="BX146" t="s">
        <v>383</v>
      </c>
      <c r="BY146" t="s">
        <v>123</v>
      </c>
      <c r="BZ146" t="s">
        <v>124</v>
      </c>
    </row>
    <row r="147" spans="1:78" x14ac:dyDescent="0.3">
      <c r="A147" t="s">
        <v>2</v>
      </c>
      <c r="B147" t="s">
        <v>92</v>
      </c>
      <c r="C147" t="s">
        <v>93</v>
      </c>
      <c r="D147" t="s">
        <v>94</v>
      </c>
      <c r="E147" t="s">
        <v>95</v>
      </c>
      <c r="F147" t="s">
        <v>807</v>
      </c>
      <c r="G147">
        <v>501000</v>
      </c>
      <c r="H147">
        <v>501000</v>
      </c>
      <c r="I147" t="s">
        <v>93</v>
      </c>
      <c r="J147" t="s">
        <v>94</v>
      </c>
      <c r="K147" t="s">
        <v>202</v>
      </c>
      <c r="L147" t="s">
        <v>808</v>
      </c>
      <c r="M147">
        <v>57300</v>
      </c>
      <c r="N147">
        <v>57300</v>
      </c>
      <c r="AA147" t="s">
        <v>809</v>
      </c>
      <c r="AB147" t="s">
        <v>810</v>
      </c>
      <c r="AC147" t="s">
        <v>353</v>
      </c>
      <c r="AE147" t="s">
        <v>811</v>
      </c>
      <c r="AF147" t="s">
        <v>812</v>
      </c>
      <c r="AG147" t="s">
        <v>102</v>
      </c>
      <c r="AH147" t="s">
        <v>813</v>
      </c>
      <c r="AI147">
        <v>45698</v>
      </c>
      <c r="AJ147">
        <v>45698</v>
      </c>
      <c r="AK147" t="s">
        <v>104</v>
      </c>
      <c r="AL147" t="s">
        <v>105</v>
      </c>
      <c r="AM147" t="s">
        <v>106</v>
      </c>
      <c r="AN147" t="s">
        <v>107</v>
      </c>
      <c r="AO147" t="s">
        <v>107</v>
      </c>
      <c r="AP147">
        <v>3000</v>
      </c>
      <c r="AQ147">
        <v>3000</v>
      </c>
      <c r="AR147">
        <v>0</v>
      </c>
      <c r="AS147" t="s">
        <v>107</v>
      </c>
      <c r="AT147" t="s">
        <v>108</v>
      </c>
      <c r="AU147" t="s">
        <v>109</v>
      </c>
      <c r="AV147" t="s">
        <v>110</v>
      </c>
      <c r="AW147" t="s">
        <v>111</v>
      </c>
      <c r="AX147" t="s">
        <v>810</v>
      </c>
      <c r="AY147" t="s">
        <v>814</v>
      </c>
      <c r="AZ147" t="s">
        <v>113</v>
      </c>
      <c r="BA147" t="s">
        <v>133</v>
      </c>
      <c r="BB147" t="s">
        <v>211</v>
      </c>
      <c r="BC147" t="s">
        <v>115</v>
      </c>
      <c r="BN147" t="s">
        <v>116</v>
      </c>
      <c r="BO147" t="s">
        <v>815</v>
      </c>
      <c r="BP147" t="s">
        <v>166</v>
      </c>
      <c r="BR147" t="s">
        <v>805</v>
      </c>
      <c r="BS147" t="s">
        <v>214</v>
      </c>
      <c r="BW147" t="s">
        <v>382</v>
      </c>
      <c r="BX147" t="s">
        <v>383</v>
      </c>
      <c r="BY147" t="s">
        <v>123</v>
      </c>
      <c r="BZ147" t="s">
        <v>124</v>
      </c>
    </row>
    <row r="148" spans="1:78" x14ac:dyDescent="0.3">
      <c r="A148" t="s">
        <v>2</v>
      </c>
      <c r="B148" t="s">
        <v>92</v>
      </c>
      <c r="C148" t="s">
        <v>93</v>
      </c>
      <c r="D148" t="s">
        <v>94</v>
      </c>
      <c r="E148" t="s">
        <v>95</v>
      </c>
      <c r="F148" t="s">
        <v>258</v>
      </c>
      <c r="G148">
        <v>612000</v>
      </c>
      <c r="H148">
        <v>612000</v>
      </c>
      <c r="AA148" t="s">
        <v>259</v>
      </c>
      <c r="AB148" t="s">
        <v>260</v>
      </c>
      <c r="AC148" t="s">
        <v>261</v>
      </c>
      <c r="AE148" t="s">
        <v>262</v>
      </c>
      <c r="AF148" t="s">
        <v>263</v>
      </c>
      <c r="AG148" t="s">
        <v>264</v>
      </c>
      <c r="AH148" t="s">
        <v>264</v>
      </c>
      <c r="AI148">
        <v>46021</v>
      </c>
      <c r="AJ148">
        <v>46002</v>
      </c>
      <c r="AK148" t="s">
        <v>218</v>
      </c>
      <c r="AL148" t="s">
        <v>152</v>
      </c>
      <c r="AM148" t="s">
        <v>816</v>
      </c>
      <c r="AN148" t="s">
        <v>107</v>
      </c>
      <c r="AO148" t="s">
        <v>107</v>
      </c>
      <c r="AP148">
        <v>550000</v>
      </c>
      <c r="AQ148">
        <v>550000</v>
      </c>
      <c r="AR148">
        <v>0</v>
      </c>
      <c r="AS148" t="s">
        <v>107</v>
      </c>
      <c r="AT148" t="s">
        <v>243</v>
      </c>
      <c r="AU148" t="s">
        <v>109</v>
      </c>
      <c r="AV148" t="s">
        <v>110</v>
      </c>
      <c r="AW148" t="s">
        <v>111</v>
      </c>
      <c r="AY148" t="s">
        <v>817</v>
      </c>
      <c r="AZ148" t="s">
        <v>113</v>
      </c>
      <c r="BB148" t="s">
        <v>114</v>
      </c>
      <c r="BC148" t="s">
        <v>115</v>
      </c>
      <c r="BN148" t="s">
        <v>116</v>
      </c>
      <c r="BO148" t="s">
        <v>266</v>
      </c>
      <c r="BP148" t="s">
        <v>166</v>
      </c>
      <c r="BR148" t="s">
        <v>267</v>
      </c>
      <c r="BS148" t="s">
        <v>818</v>
      </c>
      <c r="BW148" t="s">
        <v>382</v>
      </c>
      <c r="BX148" t="s">
        <v>383</v>
      </c>
      <c r="BY148" t="s">
        <v>123</v>
      </c>
      <c r="BZ148" t="s">
        <v>124</v>
      </c>
    </row>
    <row r="149" spans="1:78" x14ac:dyDescent="0.3">
      <c r="A149" t="s">
        <v>11</v>
      </c>
      <c r="B149" t="s">
        <v>92</v>
      </c>
      <c r="C149" t="s">
        <v>93</v>
      </c>
      <c r="D149" t="s">
        <v>94</v>
      </c>
      <c r="E149" t="s">
        <v>95</v>
      </c>
      <c r="F149" t="s">
        <v>673</v>
      </c>
      <c r="G149">
        <v>498000</v>
      </c>
      <c r="H149">
        <v>460000</v>
      </c>
      <c r="I149" t="s">
        <v>93</v>
      </c>
      <c r="J149" t="s">
        <v>94</v>
      </c>
      <c r="K149" t="s">
        <v>202</v>
      </c>
      <c r="L149" t="s">
        <v>819</v>
      </c>
      <c r="M149">
        <v>51300</v>
      </c>
      <c r="N149">
        <v>51300</v>
      </c>
      <c r="AA149" t="s">
        <v>820</v>
      </c>
      <c r="AB149" t="s">
        <v>821</v>
      </c>
      <c r="AC149" t="s">
        <v>822</v>
      </c>
      <c r="AD149" t="s">
        <v>365</v>
      </c>
      <c r="AE149" t="s">
        <v>823</v>
      </c>
      <c r="AF149" t="s">
        <v>824</v>
      </c>
      <c r="AG149" t="s">
        <v>102</v>
      </c>
      <c r="AH149" t="s">
        <v>160</v>
      </c>
      <c r="AI149">
        <v>45779</v>
      </c>
      <c r="AJ149">
        <v>45779</v>
      </c>
      <c r="AK149" t="s">
        <v>104</v>
      </c>
      <c r="AL149" t="s">
        <v>105</v>
      </c>
      <c r="AM149" t="s">
        <v>106</v>
      </c>
      <c r="AN149" t="s">
        <v>107</v>
      </c>
      <c r="AO149" t="s">
        <v>107</v>
      </c>
      <c r="AP149">
        <v>3000</v>
      </c>
      <c r="AQ149">
        <v>3000</v>
      </c>
      <c r="AR149">
        <v>0</v>
      </c>
      <c r="AS149" t="s">
        <v>107</v>
      </c>
      <c r="AT149" t="s">
        <v>243</v>
      </c>
      <c r="AU149" t="s">
        <v>162</v>
      </c>
      <c r="AV149" t="s">
        <v>163</v>
      </c>
      <c r="AW149" t="s">
        <v>111</v>
      </c>
      <c r="AY149" t="s">
        <v>825</v>
      </c>
      <c r="AZ149" t="s">
        <v>113</v>
      </c>
      <c r="BB149" t="s">
        <v>114</v>
      </c>
      <c r="BC149" t="s">
        <v>115</v>
      </c>
      <c r="BN149" t="s">
        <v>113</v>
      </c>
      <c r="BO149" t="s">
        <v>826</v>
      </c>
      <c r="BP149" t="s">
        <v>370</v>
      </c>
      <c r="BR149" t="s">
        <v>827</v>
      </c>
      <c r="BS149" t="s">
        <v>828</v>
      </c>
      <c r="BW149" t="s">
        <v>382</v>
      </c>
      <c r="BX149" t="s">
        <v>383</v>
      </c>
      <c r="BY149" t="s">
        <v>123</v>
      </c>
      <c r="BZ149" t="s">
        <v>124</v>
      </c>
    </row>
    <row r="150" spans="1:78" x14ac:dyDescent="0.3">
      <c r="A150" t="s">
        <v>11</v>
      </c>
      <c r="B150" t="s">
        <v>92</v>
      </c>
      <c r="C150" t="s">
        <v>93</v>
      </c>
      <c r="D150" t="s">
        <v>94</v>
      </c>
      <c r="E150" t="s">
        <v>95</v>
      </c>
      <c r="F150" t="s">
        <v>673</v>
      </c>
      <c r="G150">
        <v>498000</v>
      </c>
      <c r="H150">
        <v>460000</v>
      </c>
      <c r="I150" t="s">
        <v>93</v>
      </c>
      <c r="J150" t="s">
        <v>94</v>
      </c>
      <c r="K150" t="s">
        <v>202</v>
      </c>
      <c r="L150" t="s">
        <v>819</v>
      </c>
      <c r="M150">
        <v>51300</v>
      </c>
      <c r="N150">
        <v>51300</v>
      </c>
      <c r="AA150" t="s">
        <v>820</v>
      </c>
      <c r="AB150" t="s">
        <v>821</v>
      </c>
      <c r="AC150" t="s">
        <v>822</v>
      </c>
      <c r="AD150" t="s">
        <v>365</v>
      </c>
      <c r="AE150" t="s">
        <v>823</v>
      </c>
      <c r="AF150" t="s">
        <v>824</v>
      </c>
      <c r="AG150" t="s">
        <v>102</v>
      </c>
      <c r="AH150" t="s">
        <v>160</v>
      </c>
      <c r="AI150">
        <v>45818</v>
      </c>
      <c r="AK150" t="s">
        <v>137</v>
      </c>
      <c r="AL150" t="s">
        <v>105</v>
      </c>
      <c r="AM150" t="s">
        <v>398</v>
      </c>
      <c r="AN150" t="s">
        <v>107</v>
      </c>
      <c r="AO150" t="s">
        <v>107</v>
      </c>
      <c r="AP150">
        <v>10000</v>
      </c>
      <c r="AQ150">
        <v>0</v>
      </c>
      <c r="AR150">
        <v>10000</v>
      </c>
      <c r="AT150" t="s">
        <v>243</v>
      </c>
      <c r="AZ150" t="s">
        <v>113</v>
      </c>
      <c r="BC150" t="s">
        <v>543</v>
      </c>
      <c r="BN150" t="s">
        <v>113</v>
      </c>
      <c r="BO150" t="s">
        <v>826</v>
      </c>
      <c r="BP150" t="s">
        <v>370</v>
      </c>
      <c r="BR150" t="s">
        <v>827</v>
      </c>
      <c r="BW150" t="s">
        <v>382</v>
      </c>
      <c r="BX150" t="s">
        <v>383</v>
      </c>
      <c r="BY150" t="s">
        <v>123</v>
      </c>
      <c r="BZ150" t="s">
        <v>124</v>
      </c>
    </row>
    <row r="151" spans="1:78" x14ac:dyDescent="0.3">
      <c r="A151" t="s">
        <v>11</v>
      </c>
      <c r="B151" t="s">
        <v>92</v>
      </c>
      <c r="C151" t="s">
        <v>93</v>
      </c>
      <c r="D151" t="s">
        <v>94</v>
      </c>
      <c r="E151" t="s">
        <v>95</v>
      </c>
      <c r="F151" t="s">
        <v>673</v>
      </c>
      <c r="G151">
        <v>498000</v>
      </c>
      <c r="H151">
        <v>460000</v>
      </c>
      <c r="I151" t="s">
        <v>93</v>
      </c>
      <c r="J151" t="s">
        <v>94</v>
      </c>
      <c r="K151" t="s">
        <v>202</v>
      </c>
      <c r="L151" t="s">
        <v>819</v>
      </c>
      <c r="M151">
        <v>51300</v>
      </c>
      <c r="N151">
        <v>51300</v>
      </c>
      <c r="AA151" t="s">
        <v>820</v>
      </c>
      <c r="AB151" t="s">
        <v>821</v>
      </c>
      <c r="AC151" t="s">
        <v>822</v>
      </c>
      <c r="AD151" t="s">
        <v>365</v>
      </c>
      <c r="AE151" t="s">
        <v>823</v>
      </c>
      <c r="AF151" t="s">
        <v>824</v>
      </c>
      <c r="AG151" t="s">
        <v>102</v>
      </c>
      <c r="AH151" t="s">
        <v>160</v>
      </c>
      <c r="AI151">
        <v>45863</v>
      </c>
      <c r="AK151" t="s">
        <v>137</v>
      </c>
      <c r="AL151" t="s">
        <v>142</v>
      </c>
      <c r="AM151" t="s">
        <v>398</v>
      </c>
      <c r="AN151" t="s">
        <v>107</v>
      </c>
      <c r="AO151" t="s">
        <v>107</v>
      </c>
      <c r="AP151">
        <v>10000</v>
      </c>
      <c r="AQ151">
        <v>0</v>
      </c>
      <c r="AR151">
        <v>10000</v>
      </c>
      <c r="AT151" t="s">
        <v>243</v>
      </c>
      <c r="AZ151" t="s">
        <v>113</v>
      </c>
      <c r="BC151" t="s">
        <v>543</v>
      </c>
      <c r="BN151" t="s">
        <v>113</v>
      </c>
      <c r="BO151" t="s">
        <v>826</v>
      </c>
      <c r="BP151" t="s">
        <v>370</v>
      </c>
      <c r="BR151" t="s">
        <v>827</v>
      </c>
      <c r="BW151" t="s">
        <v>382</v>
      </c>
      <c r="BX151" t="s">
        <v>383</v>
      </c>
      <c r="BY151" t="s">
        <v>123</v>
      </c>
      <c r="BZ151" t="s">
        <v>124</v>
      </c>
    </row>
    <row r="152" spans="1:78" x14ac:dyDescent="0.3">
      <c r="A152" t="s">
        <v>2</v>
      </c>
      <c r="B152" t="s">
        <v>92</v>
      </c>
      <c r="C152" t="s">
        <v>93</v>
      </c>
      <c r="D152" t="s">
        <v>94</v>
      </c>
      <c r="E152" t="s">
        <v>95</v>
      </c>
      <c r="F152" t="s">
        <v>829</v>
      </c>
      <c r="G152">
        <v>692000</v>
      </c>
      <c r="H152">
        <v>692000</v>
      </c>
      <c r="AA152" t="s">
        <v>830</v>
      </c>
      <c r="AB152" t="s">
        <v>831</v>
      </c>
      <c r="AC152" t="s">
        <v>832</v>
      </c>
      <c r="AD152" t="s">
        <v>365</v>
      </c>
      <c r="AE152" t="s">
        <v>833</v>
      </c>
      <c r="AF152" t="s">
        <v>834</v>
      </c>
      <c r="AG152" t="s">
        <v>102</v>
      </c>
      <c r="AH152" t="s">
        <v>131</v>
      </c>
      <c r="AI152">
        <v>45680</v>
      </c>
      <c r="AJ152">
        <v>45680</v>
      </c>
      <c r="AK152" t="s">
        <v>104</v>
      </c>
      <c r="AL152" t="s">
        <v>105</v>
      </c>
      <c r="AM152" t="s">
        <v>106</v>
      </c>
      <c r="AN152" t="s">
        <v>107</v>
      </c>
      <c r="AO152" t="s">
        <v>107</v>
      </c>
      <c r="AP152">
        <v>3000</v>
      </c>
      <c r="AQ152">
        <v>3000</v>
      </c>
      <c r="AR152">
        <v>0</v>
      </c>
      <c r="AS152" t="s">
        <v>107</v>
      </c>
      <c r="AT152" t="s">
        <v>108</v>
      </c>
      <c r="AU152" t="s">
        <v>109</v>
      </c>
      <c r="AV152" t="s">
        <v>110</v>
      </c>
      <c r="AW152" t="s">
        <v>209</v>
      </c>
      <c r="AY152" t="s">
        <v>835</v>
      </c>
      <c r="AZ152" t="s">
        <v>113</v>
      </c>
      <c r="BB152" t="s">
        <v>114</v>
      </c>
      <c r="BC152" t="s">
        <v>115</v>
      </c>
      <c r="BN152" t="s">
        <v>116</v>
      </c>
      <c r="BO152" t="s">
        <v>836</v>
      </c>
      <c r="BP152" t="s">
        <v>370</v>
      </c>
      <c r="BR152" t="s">
        <v>837</v>
      </c>
      <c r="BS152" t="s">
        <v>838</v>
      </c>
      <c r="BW152" t="s">
        <v>382</v>
      </c>
      <c r="BX152" t="s">
        <v>383</v>
      </c>
      <c r="BY152" t="s">
        <v>123</v>
      </c>
      <c r="BZ152" t="s">
        <v>124</v>
      </c>
    </row>
    <row r="153" spans="1:78" x14ac:dyDescent="0.3">
      <c r="A153" t="s">
        <v>2</v>
      </c>
      <c r="B153" t="s">
        <v>92</v>
      </c>
      <c r="C153" t="s">
        <v>93</v>
      </c>
      <c r="D153" t="s">
        <v>94</v>
      </c>
      <c r="E153" t="s">
        <v>95</v>
      </c>
      <c r="F153" t="s">
        <v>829</v>
      </c>
      <c r="G153">
        <v>692000</v>
      </c>
      <c r="H153">
        <v>692000</v>
      </c>
      <c r="AA153" t="s">
        <v>830</v>
      </c>
      <c r="AB153" t="s">
        <v>831</v>
      </c>
      <c r="AC153" t="s">
        <v>832</v>
      </c>
      <c r="AD153" t="s">
        <v>365</v>
      </c>
      <c r="AE153" t="s">
        <v>833</v>
      </c>
      <c r="AF153" t="s">
        <v>834</v>
      </c>
      <c r="AG153" t="s">
        <v>102</v>
      </c>
      <c r="AH153" t="s">
        <v>131</v>
      </c>
      <c r="AI153">
        <v>45747</v>
      </c>
      <c r="AJ153">
        <v>45733</v>
      </c>
      <c r="AK153" t="s">
        <v>137</v>
      </c>
      <c r="AL153" t="s">
        <v>105</v>
      </c>
      <c r="AM153" t="s">
        <v>839</v>
      </c>
      <c r="AN153" t="s">
        <v>107</v>
      </c>
      <c r="AO153" t="s">
        <v>107</v>
      </c>
      <c r="AP153">
        <v>53300</v>
      </c>
      <c r="AQ153">
        <v>53300</v>
      </c>
      <c r="AR153">
        <v>0</v>
      </c>
      <c r="AS153" t="s">
        <v>107</v>
      </c>
      <c r="AT153" t="s">
        <v>108</v>
      </c>
      <c r="AU153" t="s">
        <v>109</v>
      </c>
      <c r="AV153" t="s">
        <v>110</v>
      </c>
      <c r="AW153" t="s">
        <v>288</v>
      </c>
      <c r="AY153" t="s">
        <v>840</v>
      </c>
      <c r="AZ153" t="s">
        <v>113</v>
      </c>
      <c r="BB153" t="s">
        <v>114</v>
      </c>
      <c r="BC153" t="s">
        <v>115</v>
      </c>
      <c r="BN153" t="s">
        <v>116</v>
      </c>
      <c r="BO153" t="s">
        <v>836</v>
      </c>
      <c r="BP153" t="s">
        <v>370</v>
      </c>
      <c r="BR153" t="s">
        <v>837</v>
      </c>
      <c r="BS153" t="s">
        <v>841</v>
      </c>
      <c r="BW153" t="s">
        <v>382</v>
      </c>
      <c r="BX153" t="s">
        <v>383</v>
      </c>
      <c r="BY153" t="s">
        <v>123</v>
      </c>
      <c r="BZ153" t="s">
        <v>124</v>
      </c>
    </row>
    <row r="154" spans="1:78" x14ac:dyDescent="0.3">
      <c r="A154" t="s">
        <v>2</v>
      </c>
      <c r="B154" t="s">
        <v>92</v>
      </c>
      <c r="C154" t="s">
        <v>93</v>
      </c>
      <c r="D154" t="s">
        <v>94</v>
      </c>
      <c r="E154" t="s">
        <v>95</v>
      </c>
      <c r="F154" t="s">
        <v>829</v>
      </c>
      <c r="G154">
        <v>692000</v>
      </c>
      <c r="H154">
        <v>692000</v>
      </c>
      <c r="AA154" t="s">
        <v>830</v>
      </c>
      <c r="AB154" t="s">
        <v>831</v>
      </c>
      <c r="AC154" t="s">
        <v>832</v>
      </c>
      <c r="AD154" t="s">
        <v>365</v>
      </c>
      <c r="AE154" t="s">
        <v>833</v>
      </c>
      <c r="AF154" t="s">
        <v>834</v>
      </c>
      <c r="AG154" t="s">
        <v>102</v>
      </c>
      <c r="AH154" t="s">
        <v>131</v>
      </c>
      <c r="AI154">
        <v>45777</v>
      </c>
      <c r="AJ154">
        <v>45734</v>
      </c>
      <c r="AK154" t="s">
        <v>137</v>
      </c>
      <c r="AL154" t="s">
        <v>142</v>
      </c>
      <c r="AM154" t="s">
        <v>842</v>
      </c>
      <c r="AN154" t="s">
        <v>107</v>
      </c>
      <c r="AO154" t="s">
        <v>107</v>
      </c>
      <c r="AP154">
        <v>82100</v>
      </c>
      <c r="AQ154">
        <v>82100</v>
      </c>
      <c r="AR154">
        <v>0</v>
      </c>
      <c r="AS154" t="s">
        <v>107</v>
      </c>
      <c r="AT154" t="s">
        <v>108</v>
      </c>
      <c r="AU154" t="s">
        <v>109</v>
      </c>
      <c r="AV154" t="s">
        <v>110</v>
      </c>
      <c r="AW154" t="s">
        <v>288</v>
      </c>
      <c r="AY154" t="s">
        <v>843</v>
      </c>
      <c r="AZ154" t="s">
        <v>113</v>
      </c>
      <c r="BB154" t="s">
        <v>114</v>
      </c>
      <c r="BC154" t="s">
        <v>115</v>
      </c>
      <c r="BN154" t="s">
        <v>116</v>
      </c>
      <c r="BO154" t="s">
        <v>836</v>
      </c>
      <c r="BP154" t="s">
        <v>370</v>
      </c>
      <c r="BR154" t="s">
        <v>837</v>
      </c>
      <c r="BS154" t="s">
        <v>844</v>
      </c>
      <c r="BW154" t="s">
        <v>382</v>
      </c>
      <c r="BX154" t="s">
        <v>383</v>
      </c>
      <c r="BY154" t="s">
        <v>123</v>
      </c>
      <c r="BZ154" t="s">
        <v>124</v>
      </c>
    </row>
    <row r="155" spans="1:78" x14ac:dyDescent="0.3">
      <c r="A155" t="s">
        <v>2</v>
      </c>
      <c r="B155" t="s">
        <v>92</v>
      </c>
      <c r="C155" t="s">
        <v>93</v>
      </c>
      <c r="D155" t="s">
        <v>94</v>
      </c>
      <c r="E155" t="s">
        <v>95</v>
      </c>
      <c r="F155" t="s">
        <v>829</v>
      </c>
      <c r="G155">
        <v>692000</v>
      </c>
      <c r="H155">
        <v>692000</v>
      </c>
      <c r="AA155" t="s">
        <v>830</v>
      </c>
      <c r="AB155" t="s">
        <v>831</v>
      </c>
      <c r="AC155" t="s">
        <v>832</v>
      </c>
      <c r="AD155" t="s">
        <v>365</v>
      </c>
      <c r="AE155" t="s">
        <v>833</v>
      </c>
      <c r="AF155" t="s">
        <v>834</v>
      </c>
      <c r="AG155" t="s">
        <v>102</v>
      </c>
      <c r="AH155" t="s">
        <v>131</v>
      </c>
      <c r="AI155">
        <v>45777</v>
      </c>
      <c r="AJ155">
        <v>45747</v>
      </c>
      <c r="AK155" t="s">
        <v>218</v>
      </c>
      <c r="AL155" t="s">
        <v>105</v>
      </c>
      <c r="AM155" t="s">
        <v>845</v>
      </c>
      <c r="AN155" t="s">
        <v>107</v>
      </c>
      <c r="AO155" t="s">
        <v>107</v>
      </c>
      <c r="AP155">
        <v>553600</v>
      </c>
      <c r="AQ155">
        <v>553600</v>
      </c>
      <c r="AR155">
        <v>0</v>
      </c>
      <c r="AS155" t="s">
        <v>107</v>
      </c>
      <c r="AT155" t="s">
        <v>108</v>
      </c>
      <c r="AU155" t="s">
        <v>109</v>
      </c>
      <c r="AV155" t="s">
        <v>110</v>
      </c>
      <c r="AW155" t="s">
        <v>111</v>
      </c>
      <c r="AY155" t="s">
        <v>846</v>
      </c>
      <c r="AZ155" t="s">
        <v>113</v>
      </c>
      <c r="BB155" t="s">
        <v>114</v>
      </c>
      <c r="BC155" t="s">
        <v>115</v>
      </c>
      <c r="BN155" t="s">
        <v>116</v>
      </c>
      <c r="BO155" t="s">
        <v>836</v>
      </c>
      <c r="BP155" t="s">
        <v>370</v>
      </c>
      <c r="BR155" t="s">
        <v>837</v>
      </c>
      <c r="BS155" t="s">
        <v>847</v>
      </c>
      <c r="BW155" t="s">
        <v>382</v>
      </c>
      <c r="BX155" t="s">
        <v>383</v>
      </c>
      <c r="BY155" t="s">
        <v>123</v>
      </c>
      <c r="BZ155" t="s">
        <v>124</v>
      </c>
    </row>
    <row r="156" spans="1:78" x14ac:dyDescent="0.3">
      <c r="A156" t="s">
        <v>11</v>
      </c>
      <c r="B156" t="s">
        <v>92</v>
      </c>
      <c r="C156" t="s">
        <v>93</v>
      </c>
      <c r="D156" t="s">
        <v>94</v>
      </c>
      <c r="E156" t="s">
        <v>95</v>
      </c>
      <c r="F156" t="s">
        <v>848</v>
      </c>
      <c r="G156">
        <v>504700</v>
      </c>
      <c r="H156">
        <v>458000</v>
      </c>
      <c r="AA156" t="s">
        <v>849</v>
      </c>
      <c r="AB156" t="s">
        <v>850</v>
      </c>
      <c r="AC156" t="s">
        <v>851</v>
      </c>
      <c r="AD156" t="s">
        <v>365</v>
      </c>
      <c r="AE156" t="s">
        <v>852</v>
      </c>
      <c r="AF156" t="s">
        <v>853</v>
      </c>
      <c r="AG156" t="s">
        <v>102</v>
      </c>
      <c r="AH156" t="s">
        <v>131</v>
      </c>
      <c r="AI156">
        <v>45925</v>
      </c>
      <c r="AJ156">
        <v>45925</v>
      </c>
      <c r="AK156" t="s">
        <v>104</v>
      </c>
      <c r="AL156" t="s">
        <v>105</v>
      </c>
      <c r="AM156" t="s">
        <v>106</v>
      </c>
      <c r="AN156" t="s">
        <v>107</v>
      </c>
      <c r="AO156" t="s">
        <v>107</v>
      </c>
      <c r="AP156">
        <v>3000</v>
      </c>
      <c r="AQ156">
        <v>3000</v>
      </c>
      <c r="AR156">
        <v>0</v>
      </c>
      <c r="AS156" t="s">
        <v>107</v>
      </c>
      <c r="AT156" t="s">
        <v>243</v>
      </c>
      <c r="AU156" t="s">
        <v>162</v>
      </c>
      <c r="AV156" t="s">
        <v>163</v>
      </c>
      <c r="AW156" t="s">
        <v>111</v>
      </c>
      <c r="AY156" t="s">
        <v>854</v>
      </c>
      <c r="AZ156" t="s">
        <v>113</v>
      </c>
      <c r="BB156" t="s">
        <v>114</v>
      </c>
      <c r="BC156" t="s">
        <v>115</v>
      </c>
      <c r="BN156" t="s">
        <v>113</v>
      </c>
      <c r="BO156" t="s">
        <v>855</v>
      </c>
      <c r="BP156" t="s">
        <v>370</v>
      </c>
      <c r="BR156" t="s">
        <v>190</v>
      </c>
      <c r="BS156" t="s">
        <v>856</v>
      </c>
      <c r="BW156" t="s">
        <v>382</v>
      </c>
      <c r="BX156" t="s">
        <v>383</v>
      </c>
      <c r="BY156" t="s">
        <v>123</v>
      </c>
      <c r="BZ156" t="s">
        <v>124</v>
      </c>
    </row>
    <row r="157" spans="1:78" x14ac:dyDescent="0.3">
      <c r="A157" t="s">
        <v>12</v>
      </c>
      <c r="B157" t="s">
        <v>92</v>
      </c>
      <c r="C157" t="s">
        <v>93</v>
      </c>
      <c r="D157" t="s">
        <v>94</v>
      </c>
      <c r="E157" t="s">
        <v>95</v>
      </c>
      <c r="F157" t="s">
        <v>387</v>
      </c>
      <c r="G157">
        <v>534000</v>
      </c>
      <c r="H157">
        <v>534000</v>
      </c>
      <c r="I157" t="s">
        <v>93</v>
      </c>
      <c r="J157" t="s">
        <v>94</v>
      </c>
      <c r="K157" t="s">
        <v>202</v>
      </c>
      <c r="L157" t="s">
        <v>617</v>
      </c>
      <c r="M157">
        <v>43000</v>
      </c>
      <c r="N157">
        <v>43000</v>
      </c>
      <c r="AA157" t="s">
        <v>857</v>
      </c>
      <c r="AB157" t="s">
        <v>858</v>
      </c>
      <c r="AC157" t="s">
        <v>859</v>
      </c>
      <c r="AD157" t="s">
        <v>365</v>
      </c>
      <c r="AE157" t="s">
        <v>860</v>
      </c>
      <c r="AF157" t="s">
        <v>861</v>
      </c>
      <c r="AG157" t="s">
        <v>862</v>
      </c>
      <c r="AH157" t="s">
        <v>862</v>
      </c>
      <c r="AI157">
        <v>45897</v>
      </c>
      <c r="AJ157">
        <v>45897</v>
      </c>
      <c r="AK157" t="s">
        <v>104</v>
      </c>
      <c r="AL157" t="s">
        <v>105</v>
      </c>
      <c r="AM157" t="s">
        <v>106</v>
      </c>
      <c r="AN157" t="s">
        <v>107</v>
      </c>
      <c r="AO157" t="s">
        <v>107</v>
      </c>
      <c r="AP157">
        <v>3000</v>
      </c>
      <c r="AQ157">
        <v>3000</v>
      </c>
      <c r="AR157">
        <v>0</v>
      </c>
      <c r="AS157" t="s">
        <v>107</v>
      </c>
      <c r="AT157" t="s">
        <v>108</v>
      </c>
      <c r="AU157" t="s">
        <v>109</v>
      </c>
      <c r="AV157" t="s">
        <v>451</v>
      </c>
      <c r="AW157" t="s">
        <v>111</v>
      </c>
      <c r="AY157" t="s">
        <v>863</v>
      </c>
      <c r="AZ157" t="s">
        <v>113</v>
      </c>
      <c r="BB157" t="s">
        <v>114</v>
      </c>
      <c r="BC157" t="s">
        <v>115</v>
      </c>
      <c r="BN157" t="s">
        <v>113</v>
      </c>
      <c r="BO157" t="s">
        <v>864</v>
      </c>
      <c r="BP157" t="s">
        <v>370</v>
      </c>
      <c r="BR157" t="s">
        <v>179</v>
      </c>
      <c r="BS157" t="s">
        <v>865</v>
      </c>
      <c r="BW157" t="s">
        <v>382</v>
      </c>
      <c r="BX157" t="s">
        <v>383</v>
      </c>
      <c r="BY157" t="s">
        <v>123</v>
      </c>
      <c r="BZ157" t="s">
        <v>124</v>
      </c>
    </row>
    <row r="158" spans="1:78" x14ac:dyDescent="0.3">
      <c r="A158" t="s">
        <v>12</v>
      </c>
      <c r="B158" t="s">
        <v>92</v>
      </c>
      <c r="C158" t="s">
        <v>93</v>
      </c>
      <c r="D158" t="s">
        <v>94</v>
      </c>
      <c r="E158" t="s">
        <v>95</v>
      </c>
      <c r="F158" t="s">
        <v>387</v>
      </c>
      <c r="G158">
        <v>534000</v>
      </c>
      <c r="H158">
        <v>534000</v>
      </c>
      <c r="I158" t="s">
        <v>93</v>
      </c>
      <c r="J158" t="s">
        <v>94</v>
      </c>
      <c r="K158" t="s">
        <v>202</v>
      </c>
      <c r="L158" t="s">
        <v>617</v>
      </c>
      <c r="M158">
        <v>43000</v>
      </c>
      <c r="N158">
        <v>43000</v>
      </c>
      <c r="AA158" t="s">
        <v>857</v>
      </c>
      <c r="AB158" t="s">
        <v>858</v>
      </c>
      <c r="AC158" t="s">
        <v>859</v>
      </c>
      <c r="AD158" t="s">
        <v>365</v>
      </c>
      <c r="AE158" t="s">
        <v>860</v>
      </c>
      <c r="AF158" t="s">
        <v>861</v>
      </c>
      <c r="AG158" t="s">
        <v>862</v>
      </c>
      <c r="AH158" t="s">
        <v>862</v>
      </c>
      <c r="AI158">
        <v>45922</v>
      </c>
      <c r="AJ158">
        <v>45922</v>
      </c>
      <c r="AK158" t="s">
        <v>137</v>
      </c>
      <c r="AL158" t="s">
        <v>105</v>
      </c>
      <c r="AM158" t="s">
        <v>866</v>
      </c>
      <c r="AN158" t="s">
        <v>107</v>
      </c>
      <c r="AO158" t="s">
        <v>107</v>
      </c>
      <c r="AP158">
        <v>25850</v>
      </c>
      <c r="AQ158">
        <v>25850</v>
      </c>
      <c r="AR158">
        <v>0</v>
      </c>
      <c r="AS158" t="s">
        <v>107</v>
      </c>
      <c r="AT158" t="s">
        <v>108</v>
      </c>
      <c r="AU158" t="s">
        <v>109</v>
      </c>
      <c r="AV158" t="s">
        <v>451</v>
      </c>
      <c r="AW158" t="s">
        <v>111</v>
      </c>
      <c r="AY158" t="s">
        <v>867</v>
      </c>
      <c r="AZ158" t="s">
        <v>113</v>
      </c>
      <c r="BB158" t="s">
        <v>114</v>
      </c>
      <c r="BC158" t="s">
        <v>115</v>
      </c>
      <c r="BN158" t="s">
        <v>113</v>
      </c>
      <c r="BO158" t="s">
        <v>864</v>
      </c>
      <c r="BP158" t="s">
        <v>370</v>
      </c>
      <c r="BR158" t="s">
        <v>179</v>
      </c>
      <c r="BS158" t="s">
        <v>868</v>
      </c>
      <c r="BW158" t="s">
        <v>382</v>
      </c>
      <c r="BX158" t="s">
        <v>383</v>
      </c>
      <c r="BY158" t="s">
        <v>123</v>
      </c>
      <c r="BZ158" t="s">
        <v>124</v>
      </c>
    </row>
    <row r="159" spans="1:78" x14ac:dyDescent="0.3">
      <c r="A159" t="s">
        <v>2</v>
      </c>
      <c r="B159" t="s">
        <v>92</v>
      </c>
      <c r="C159" t="s">
        <v>93</v>
      </c>
      <c r="D159" t="s">
        <v>94</v>
      </c>
      <c r="E159" t="s">
        <v>95</v>
      </c>
      <c r="F159" t="s">
        <v>293</v>
      </c>
      <c r="G159">
        <v>654000</v>
      </c>
      <c r="H159">
        <v>654000</v>
      </c>
      <c r="AA159" t="s">
        <v>294</v>
      </c>
      <c r="AB159" t="s">
        <v>295</v>
      </c>
      <c r="AC159" t="s">
        <v>296</v>
      </c>
      <c r="AE159" t="s">
        <v>297</v>
      </c>
      <c r="AF159" t="s">
        <v>298</v>
      </c>
      <c r="AG159" t="s">
        <v>102</v>
      </c>
      <c r="AH159" t="s">
        <v>299</v>
      </c>
      <c r="AI159">
        <v>45922</v>
      </c>
      <c r="AJ159">
        <v>45567</v>
      </c>
      <c r="AK159" t="s">
        <v>104</v>
      </c>
      <c r="AL159" t="s">
        <v>584</v>
      </c>
      <c r="AM159" t="s">
        <v>869</v>
      </c>
      <c r="AN159" t="s">
        <v>107</v>
      </c>
      <c r="AO159" t="s">
        <v>107</v>
      </c>
      <c r="AP159">
        <v>5000</v>
      </c>
      <c r="AQ159">
        <v>5000</v>
      </c>
      <c r="AR159">
        <v>0</v>
      </c>
      <c r="AS159" t="s">
        <v>107</v>
      </c>
      <c r="AT159" t="s">
        <v>243</v>
      </c>
      <c r="AU159" t="s">
        <v>109</v>
      </c>
      <c r="AV159" t="s">
        <v>110</v>
      </c>
      <c r="AW159" t="s">
        <v>111</v>
      </c>
      <c r="AY159" t="s">
        <v>305</v>
      </c>
      <c r="AZ159" t="s">
        <v>113</v>
      </c>
      <c r="BB159" t="s">
        <v>114</v>
      </c>
      <c r="BC159" t="s">
        <v>115</v>
      </c>
      <c r="BN159" t="s">
        <v>116</v>
      </c>
      <c r="BO159" t="s">
        <v>301</v>
      </c>
      <c r="BP159" t="s">
        <v>166</v>
      </c>
      <c r="BR159" t="s">
        <v>302</v>
      </c>
      <c r="BS159" t="s">
        <v>306</v>
      </c>
      <c r="BW159" t="s">
        <v>382</v>
      </c>
      <c r="BX159" t="s">
        <v>383</v>
      </c>
      <c r="BY159" t="s">
        <v>123</v>
      </c>
      <c r="BZ159" t="s">
        <v>124</v>
      </c>
    </row>
    <row r="160" spans="1:78" x14ac:dyDescent="0.3">
      <c r="A160" t="s">
        <v>2</v>
      </c>
      <c r="B160" t="s">
        <v>92</v>
      </c>
      <c r="C160" t="s">
        <v>93</v>
      </c>
      <c r="D160" t="s">
        <v>94</v>
      </c>
      <c r="E160" t="s">
        <v>95</v>
      </c>
      <c r="F160" t="s">
        <v>293</v>
      </c>
      <c r="G160">
        <v>654000</v>
      </c>
      <c r="H160">
        <v>654000</v>
      </c>
      <c r="AA160" t="s">
        <v>294</v>
      </c>
      <c r="AB160" t="s">
        <v>295</v>
      </c>
      <c r="AC160" t="s">
        <v>296</v>
      </c>
      <c r="AE160" t="s">
        <v>297</v>
      </c>
      <c r="AF160" t="s">
        <v>298</v>
      </c>
      <c r="AG160" t="s">
        <v>102</v>
      </c>
      <c r="AH160" t="s">
        <v>299</v>
      </c>
      <c r="AI160">
        <v>45747</v>
      </c>
      <c r="AJ160">
        <v>45747</v>
      </c>
      <c r="AK160" t="s">
        <v>218</v>
      </c>
      <c r="AL160" t="s">
        <v>105</v>
      </c>
      <c r="AM160" t="s">
        <v>870</v>
      </c>
      <c r="AN160" t="s">
        <v>107</v>
      </c>
      <c r="AO160" t="s">
        <v>107</v>
      </c>
      <c r="AP160">
        <v>588600</v>
      </c>
      <c r="AQ160">
        <v>588600</v>
      </c>
      <c r="AR160">
        <v>0</v>
      </c>
      <c r="AS160" t="s">
        <v>107</v>
      </c>
      <c r="AT160" t="s">
        <v>243</v>
      </c>
      <c r="AU160" t="s">
        <v>109</v>
      </c>
      <c r="AV160" t="s">
        <v>110</v>
      </c>
      <c r="AW160" t="s">
        <v>111</v>
      </c>
      <c r="AY160" t="s">
        <v>256</v>
      </c>
      <c r="AZ160" t="s">
        <v>113</v>
      </c>
      <c r="BB160" t="s">
        <v>114</v>
      </c>
      <c r="BC160" t="s">
        <v>115</v>
      </c>
      <c r="BN160" t="s">
        <v>116</v>
      </c>
      <c r="BO160" t="s">
        <v>301</v>
      </c>
      <c r="BP160" t="s">
        <v>166</v>
      </c>
      <c r="BR160" t="s">
        <v>302</v>
      </c>
      <c r="BS160" t="s">
        <v>871</v>
      </c>
      <c r="BW160" t="s">
        <v>382</v>
      </c>
      <c r="BX160" t="s">
        <v>383</v>
      </c>
      <c r="BY160" t="s">
        <v>123</v>
      </c>
      <c r="BZ160" t="s">
        <v>124</v>
      </c>
    </row>
    <row r="161" spans="1:78" x14ac:dyDescent="0.3">
      <c r="A161" t="s">
        <v>11</v>
      </c>
      <c r="B161" t="s">
        <v>92</v>
      </c>
      <c r="C161" t="s">
        <v>93</v>
      </c>
      <c r="D161" t="s">
        <v>94</v>
      </c>
      <c r="E161" t="s">
        <v>95</v>
      </c>
      <c r="F161" t="s">
        <v>748</v>
      </c>
      <c r="G161">
        <v>518500</v>
      </c>
      <c r="H161">
        <v>470000</v>
      </c>
      <c r="I161" t="s">
        <v>93</v>
      </c>
      <c r="J161" t="s">
        <v>94</v>
      </c>
      <c r="K161" t="s">
        <v>202</v>
      </c>
      <c r="L161" t="s">
        <v>872</v>
      </c>
      <c r="M161">
        <v>50000</v>
      </c>
      <c r="N161">
        <v>50000</v>
      </c>
      <c r="AA161" t="s">
        <v>873</v>
      </c>
      <c r="AB161" t="s">
        <v>874</v>
      </c>
      <c r="AC161" t="s">
        <v>875</v>
      </c>
      <c r="AD161" t="s">
        <v>365</v>
      </c>
      <c r="AE161" t="s">
        <v>876</v>
      </c>
      <c r="AF161" t="s">
        <v>877</v>
      </c>
      <c r="AG161" t="s">
        <v>102</v>
      </c>
      <c r="AH161" t="s">
        <v>103</v>
      </c>
      <c r="AI161">
        <v>45904</v>
      </c>
      <c r="AJ161">
        <v>45904</v>
      </c>
      <c r="AK161" t="s">
        <v>104</v>
      </c>
      <c r="AL161" t="s">
        <v>105</v>
      </c>
      <c r="AM161" t="s">
        <v>106</v>
      </c>
      <c r="AN161" t="s">
        <v>107</v>
      </c>
      <c r="AO161" t="s">
        <v>107</v>
      </c>
      <c r="AP161">
        <v>3000</v>
      </c>
      <c r="AQ161">
        <v>3000</v>
      </c>
      <c r="AR161">
        <v>0</v>
      </c>
      <c r="AS161" t="s">
        <v>107</v>
      </c>
      <c r="AT161" t="s">
        <v>161</v>
      </c>
      <c r="AU161" t="s">
        <v>162</v>
      </c>
      <c r="AV161" t="s">
        <v>163</v>
      </c>
      <c r="AW161" t="s">
        <v>111</v>
      </c>
      <c r="AY161" t="s">
        <v>878</v>
      </c>
      <c r="AZ161" t="s">
        <v>113</v>
      </c>
      <c r="BB161" t="s">
        <v>114</v>
      </c>
      <c r="BC161" t="s">
        <v>115</v>
      </c>
      <c r="BN161" t="s">
        <v>113</v>
      </c>
      <c r="BO161" t="s">
        <v>879</v>
      </c>
      <c r="BP161" t="s">
        <v>370</v>
      </c>
      <c r="BR161" t="s">
        <v>637</v>
      </c>
      <c r="BS161" t="s">
        <v>880</v>
      </c>
      <c r="BW161" t="s">
        <v>382</v>
      </c>
      <c r="BX161" t="s">
        <v>383</v>
      </c>
      <c r="BY161" t="s">
        <v>123</v>
      </c>
      <c r="BZ161" t="s">
        <v>124</v>
      </c>
    </row>
    <row r="162" spans="1:78" x14ac:dyDescent="0.3">
      <c r="A162" t="s">
        <v>11</v>
      </c>
      <c r="B162" t="s">
        <v>92</v>
      </c>
      <c r="C162" t="s">
        <v>93</v>
      </c>
      <c r="D162" t="s">
        <v>94</v>
      </c>
      <c r="E162" t="s">
        <v>95</v>
      </c>
      <c r="F162" t="s">
        <v>748</v>
      </c>
      <c r="G162">
        <v>518500</v>
      </c>
      <c r="H162">
        <v>470000</v>
      </c>
      <c r="I162" t="s">
        <v>93</v>
      </c>
      <c r="J162" t="s">
        <v>94</v>
      </c>
      <c r="K162" t="s">
        <v>202</v>
      </c>
      <c r="L162" t="s">
        <v>872</v>
      </c>
      <c r="M162">
        <v>50000</v>
      </c>
      <c r="N162">
        <v>50000</v>
      </c>
      <c r="AA162" t="s">
        <v>873</v>
      </c>
      <c r="AB162" t="s">
        <v>874</v>
      </c>
      <c r="AC162" t="s">
        <v>875</v>
      </c>
      <c r="AD162" t="s">
        <v>365</v>
      </c>
      <c r="AE162" t="s">
        <v>876</v>
      </c>
      <c r="AF162" t="s">
        <v>877</v>
      </c>
      <c r="AG162" t="s">
        <v>102</v>
      </c>
      <c r="AH162" t="s">
        <v>103</v>
      </c>
      <c r="AI162">
        <v>45930</v>
      </c>
      <c r="AK162" t="s">
        <v>137</v>
      </c>
      <c r="AL162" t="s">
        <v>105</v>
      </c>
      <c r="AM162" t="s">
        <v>881</v>
      </c>
      <c r="AN162" t="s">
        <v>107</v>
      </c>
      <c r="AO162" t="s">
        <v>107</v>
      </c>
      <c r="AP162">
        <v>138000</v>
      </c>
      <c r="AQ162">
        <v>0</v>
      </c>
      <c r="AR162">
        <v>138000</v>
      </c>
      <c r="AT162" t="s">
        <v>161</v>
      </c>
      <c r="AZ162" t="s">
        <v>113</v>
      </c>
      <c r="BC162" t="s">
        <v>543</v>
      </c>
      <c r="BN162" t="s">
        <v>113</v>
      </c>
      <c r="BO162" t="s">
        <v>879</v>
      </c>
      <c r="BP162" t="s">
        <v>370</v>
      </c>
      <c r="BR162" t="s">
        <v>637</v>
      </c>
      <c r="BW162" t="s">
        <v>382</v>
      </c>
      <c r="BX162" t="s">
        <v>383</v>
      </c>
      <c r="BY162" t="s">
        <v>123</v>
      </c>
      <c r="BZ162" t="s">
        <v>124</v>
      </c>
    </row>
    <row r="163" spans="1:78" x14ac:dyDescent="0.3">
      <c r="A163" t="s">
        <v>12</v>
      </c>
      <c r="B163" t="s">
        <v>92</v>
      </c>
      <c r="C163" t="s">
        <v>93</v>
      </c>
      <c r="D163" t="s">
        <v>94</v>
      </c>
      <c r="E163" t="s">
        <v>95</v>
      </c>
      <c r="F163" t="s">
        <v>222</v>
      </c>
      <c r="G163">
        <v>553000</v>
      </c>
      <c r="H163">
        <v>497000</v>
      </c>
      <c r="AA163" t="s">
        <v>882</v>
      </c>
      <c r="AB163" t="s">
        <v>883</v>
      </c>
      <c r="AC163" t="s">
        <v>884</v>
      </c>
      <c r="AD163" t="s">
        <v>365</v>
      </c>
      <c r="AE163" t="s">
        <v>885</v>
      </c>
      <c r="AF163" t="s">
        <v>886</v>
      </c>
      <c r="AG163" t="s">
        <v>887</v>
      </c>
      <c r="AH163" t="s">
        <v>887</v>
      </c>
      <c r="AI163">
        <v>45972</v>
      </c>
      <c r="AJ163">
        <v>45972</v>
      </c>
      <c r="AK163" t="s">
        <v>104</v>
      </c>
      <c r="AL163" t="s">
        <v>105</v>
      </c>
      <c r="AM163" t="s">
        <v>106</v>
      </c>
      <c r="AN163" t="s">
        <v>107</v>
      </c>
      <c r="AO163" t="s">
        <v>107</v>
      </c>
      <c r="AP163">
        <v>3000</v>
      </c>
      <c r="AQ163">
        <v>3000</v>
      </c>
      <c r="AR163">
        <v>0</v>
      </c>
      <c r="AS163" t="s">
        <v>107</v>
      </c>
      <c r="AT163" t="s">
        <v>243</v>
      </c>
      <c r="AU163" t="s">
        <v>109</v>
      </c>
      <c r="AV163" t="s">
        <v>451</v>
      </c>
      <c r="AW163" t="s">
        <v>111</v>
      </c>
      <c r="AY163" t="s">
        <v>888</v>
      </c>
      <c r="AZ163" t="s">
        <v>116</v>
      </c>
      <c r="BB163" t="s">
        <v>114</v>
      </c>
      <c r="BC163" t="s">
        <v>115</v>
      </c>
      <c r="BN163" t="s">
        <v>113</v>
      </c>
      <c r="BO163" t="s">
        <v>889</v>
      </c>
      <c r="BP163" t="s">
        <v>370</v>
      </c>
      <c r="BR163" t="s">
        <v>342</v>
      </c>
      <c r="BS163" t="s">
        <v>890</v>
      </c>
      <c r="BW163" t="s">
        <v>382</v>
      </c>
      <c r="BX163" t="s">
        <v>383</v>
      </c>
      <c r="BY163" t="s">
        <v>123</v>
      </c>
      <c r="BZ163" t="s">
        <v>124</v>
      </c>
    </row>
    <row r="164" spans="1:78" x14ac:dyDescent="0.3">
      <c r="A164" t="s">
        <v>12</v>
      </c>
      <c r="B164" t="s">
        <v>92</v>
      </c>
      <c r="C164" t="s">
        <v>93</v>
      </c>
      <c r="D164" t="s">
        <v>94</v>
      </c>
      <c r="E164" t="s">
        <v>95</v>
      </c>
      <c r="F164" t="s">
        <v>222</v>
      </c>
      <c r="G164">
        <v>553000</v>
      </c>
      <c r="H164">
        <v>497000</v>
      </c>
      <c r="AA164" t="s">
        <v>882</v>
      </c>
      <c r="AB164" t="s">
        <v>883</v>
      </c>
      <c r="AC164" t="s">
        <v>884</v>
      </c>
      <c r="AD164" t="s">
        <v>365</v>
      </c>
      <c r="AE164" t="s">
        <v>885</v>
      </c>
      <c r="AF164" t="s">
        <v>886</v>
      </c>
      <c r="AG164" t="s">
        <v>887</v>
      </c>
      <c r="AH164" t="s">
        <v>887</v>
      </c>
      <c r="AI164">
        <v>45983</v>
      </c>
      <c r="AJ164">
        <v>45983</v>
      </c>
      <c r="AK164" t="s">
        <v>137</v>
      </c>
      <c r="AL164" t="s">
        <v>105</v>
      </c>
      <c r="AM164" t="s">
        <v>542</v>
      </c>
      <c r="AN164" t="s">
        <v>107</v>
      </c>
      <c r="AO164" t="s">
        <v>107</v>
      </c>
      <c r="AP164">
        <v>17000</v>
      </c>
      <c r="AQ164">
        <v>17000</v>
      </c>
      <c r="AR164">
        <v>0</v>
      </c>
      <c r="AS164" t="s">
        <v>107</v>
      </c>
      <c r="AT164" t="s">
        <v>243</v>
      </c>
      <c r="AU164" t="s">
        <v>109</v>
      </c>
      <c r="AV164" t="s">
        <v>451</v>
      </c>
      <c r="AW164" t="s">
        <v>111</v>
      </c>
      <c r="AY164" t="s">
        <v>891</v>
      </c>
      <c r="AZ164" t="s">
        <v>113</v>
      </c>
      <c r="BB164" t="s">
        <v>114</v>
      </c>
      <c r="BC164" t="s">
        <v>115</v>
      </c>
      <c r="BN164" t="s">
        <v>113</v>
      </c>
      <c r="BO164" t="s">
        <v>889</v>
      </c>
      <c r="BP164" t="s">
        <v>370</v>
      </c>
      <c r="BR164" t="s">
        <v>342</v>
      </c>
      <c r="BS164" t="s">
        <v>892</v>
      </c>
      <c r="BW164" t="s">
        <v>382</v>
      </c>
      <c r="BX164" t="s">
        <v>383</v>
      </c>
      <c r="BY164" t="s">
        <v>123</v>
      </c>
      <c r="BZ164" t="s">
        <v>124</v>
      </c>
    </row>
    <row r="165" spans="1:78" x14ac:dyDescent="0.3">
      <c r="A165" t="s">
        <v>11</v>
      </c>
      <c r="B165" t="s">
        <v>92</v>
      </c>
      <c r="C165" t="s">
        <v>93</v>
      </c>
      <c r="D165" t="s">
        <v>94</v>
      </c>
      <c r="E165" t="s">
        <v>95</v>
      </c>
      <c r="F165" t="s">
        <v>236</v>
      </c>
      <c r="G165">
        <v>518500</v>
      </c>
      <c r="H165">
        <v>469500</v>
      </c>
      <c r="I165" t="s">
        <v>93</v>
      </c>
      <c r="J165" t="s">
        <v>94</v>
      </c>
      <c r="K165" t="s">
        <v>202</v>
      </c>
      <c r="L165" t="s">
        <v>893</v>
      </c>
      <c r="M165">
        <v>50400</v>
      </c>
      <c r="N165">
        <v>50400</v>
      </c>
      <c r="AA165" t="s">
        <v>894</v>
      </c>
      <c r="AB165" t="s">
        <v>895</v>
      </c>
      <c r="AC165" t="s">
        <v>896</v>
      </c>
      <c r="AD165" t="s">
        <v>365</v>
      </c>
      <c r="AE165" t="s">
        <v>897</v>
      </c>
      <c r="AF165" t="s">
        <v>898</v>
      </c>
      <c r="AG165" t="s">
        <v>102</v>
      </c>
      <c r="AH165" t="s">
        <v>131</v>
      </c>
      <c r="AI165">
        <v>45986</v>
      </c>
      <c r="AJ165">
        <v>45986</v>
      </c>
      <c r="AK165" t="s">
        <v>104</v>
      </c>
      <c r="AL165" t="s">
        <v>105</v>
      </c>
      <c r="AM165" t="s">
        <v>138</v>
      </c>
      <c r="AN165" t="s">
        <v>107</v>
      </c>
      <c r="AO165" t="s">
        <v>107</v>
      </c>
      <c r="AP165">
        <v>20000</v>
      </c>
      <c r="AQ165">
        <v>20000</v>
      </c>
      <c r="AR165">
        <v>0</v>
      </c>
      <c r="AS165" t="s">
        <v>107</v>
      </c>
      <c r="AT165" t="s">
        <v>161</v>
      </c>
      <c r="AU165" t="s">
        <v>162</v>
      </c>
      <c r="AV165" t="s">
        <v>163</v>
      </c>
      <c r="AW165" t="s">
        <v>111</v>
      </c>
      <c r="AX165" t="s">
        <v>895</v>
      </c>
      <c r="AY165" t="s">
        <v>899</v>
      </c>
      <c r="AZ165" t="s">
        <v>113</v>
      </c>
      <c r="BA165" t="s">
        <v>133</v>
      </c>
      <c r="BB165" t="s">
        <v>114</v>
      </c>
      <c r="BC165" t="s">
        <v>115</v>
      </c>
      <c r="BN165" t="s">
        <v>116</v>
      </c>
      <c r="BO165" t="s">
        <v>900</v>
      </c>
      <c r="BP165" t="s">
        <v>370</v>
      </c>
      <c r="BR165" t="s">
        <v>282</v>
      </c>
      <c r="BS165" t="s">
        <v>901</v>
      </c>
      <c r="BW165" t="s">
        <v>382</v>
      </c>
      <c r="BX165" t="s">
        <v>383</v>
      </c>
      <c r="BY165" t="s">
        <v>123</v>
      </c>
      <c r="BZ165" t="s">
        <v>124</v>
      </c>
    </row>
    <row r="166" spans="1:78" x14ac:dyDescent="0.3">
      <c r="A166" t="s">
        <v>2</v>
      </c>
      <c r="B166" t="s">
        <v>92</v>
      </c>
      <c r="C166" t="s">
        <v>93</v>
      </c>
      <c r="D166" t="s">
        <v>94</v>
      </c>
      <c r="E166" t="s">
        <v>95</v>
      </c>
      <c r="F166" t="s">
        <v>902</v>
      </c>
      <c r="G166">
        <v>654000</v>
      </c>
      <c r="H166">
        <v>654000</v>
      </c>
      <c r="I166" t="s">
        <v>93</v>
      </c>
      <c r="J166" t="s">
        <v>94</v>
      </c>
      <c r="K166" t="s">
        <v>202</v>
      </c>
      <c r="L166" t="s">
        <v>903</v>
      </c>
      <c r="M166">
        <v>55800</v>
      </c>
      <c r="N166">
        <v>55800</v>
      </c>
      <c r="O166" t="s">
        <v>93</v>
      </c>
      <c r="P166" t="s">
        <v>94</v>
      </c>
      <c r="Q166" t="s">
        <v>202</v>
      </c>
      <c r="R166" t="s">
        <v>904</v>
      </c>
      <c r="S166">
        <v>60000</v>
      </c>
      <c r="T166">
        <v>60000</v>
      </c>
      <c r="AA166" t="s">
        <v>894</v>
      </c>
      <c r="AB166" t="s">
        <v>895</v>
      </c>
      <c r="AC166" t="s">
        <v>896</v>
      </c>
      <c r="AD166" t="s">
        <v>365</v>
      </c>
      <c r="AE166" t="s">
        <v>897</v>
      </c>
      <c r="AF166" t="s">
        <v>898</v>
      </c>
      <c r="AG166" t="s">
        <v>102</v>
      </c>
      <c r="AH166" t="s">
        <v>131</v>
      </c>
      <c r="AI166">
        <v>45813</v>
      </c>
      <c r="AJ166">
        <v>45813</v>
      </c>
      <c r="AK166" t="s">
        <v>104</v>
      </c>
      <c r="AL166" t="s">
        <v>105</v>
      </c>
      <c r="AM166" t="s">
        <v>106</v>
      </c>
      <c r="AN166" t="s">
        <v>107</v>
      </c>
      <c r="AO166" t="s">
        <v>107</v>
      </c>
      <c r="AP166">
        <v>3000</v>
      </c>
      <c r="AQ166">
        <v>3000</v>
      </c>
      <c r="AR166">
        <v>0</v>
      </c>
      <c r="AS166" t="s">
        <v>107</v>
      </c>
      <c r="AT166" t="s">
        <v>161</v>
      </c>
      <c r="AU166" t="s">
        <v>109</v>
      </c>
      <c r="AV166" t="s">
        <v>110</v>
      </c>
      <c r="AW166" t="s">
        <v>111</v>
      </c>
      <c r="AY166" t="s">
        <v>905</v>
      </c>
      <c r="AZ166" t="s">
        <v>113</v>
      </c>
      <c r="BB166" t="s">
        <v>114</v>
      </c>
      <c r="BC166" t="s">
        <v>115</v>
      </c>
      <c r="BN166" t="s">
        <v>116</v>
      </c>
      <c r="BO166" t="s">
        <v>906</v>
      </c>
      <c r="BP166" t="s">
        <v>370</v>
      </c>
      <c r="BR166" t="s">
        <v>907</v>
      </c>
      <c r="BS166" t="s">
        <v>908</v>
      </c>
      <c r="BW166" t="s">
        <v>382</v>
      </c>
      <c r="BX166" t="s">
        <v>383</v>
      </c>
      <c r="BY166" t="s">
        <v>123</v>
      </c>
      <c r="BZ166" t="s">
        <v>124</v>
      </c>
    </row>
    <row r="167" spans="1:78" x14ac:dyDescent="0.3">
      <c r="A167" t="s">
        <v>2</v>
      </c>
      <c r="B167" t="s">
        <v>92</v>
      </c>
      <c r="C167" t="s">
        <v>93</v>
      </c>
      <c r="D167" t="s">
        <v>94</v>
      </c>
      <c r="E167" t="s">
        <v>95</v>
      </c>
      <c r="F167" t="s">
        <v>902</v>
      </c>
      <c r="G167">
        <v>654000</v>
      </c>
      <c r="H167">
        <v>654000</v>
      </c>
      <c r="I167" t="s">
        <v>93</v>
      </c>
      <c r="J167" t="s">
        <v>94</v>
      </c>
      <c r="K167" t="s">
        <v>202</v>
      </c>
      <c r="L167" t="s">
        <v>903</v>
      </c>
      <c r="M167">
        <v>55800</v>
      </c>
      <c r="N167">
        <v>55800</v>
      </c>
      <c r="O167" t="s">
        <v>93</v>
      </c>
      <c r="P167" t="s">
        <v>94</v>
      </c>
      <c r="Q167" t="s">
        <v>202</v>
      </c>
      <c r="R167" t="s">
        <v>904</v>
      </c>
      <c r="S167">
        <v>60000</v>
      </c>
      <c r="T167">
        <v>60000</v>
      </c>
      <c r="AA167" t="s">
        <v>894</v>
      </c>
      <c r="AB167" t="s">
        <v>895</v>
      </c>
      <c r="AC167" t="s">
        <v>896</v>
      </c>
      <c r="AD167" t="s">
        <v>365</v>
      </c>
      <c r="AE167" t="s">
        <v>897</v>
      </c>
      <c r="AF167" t="s">
        <v>898</v>
      </c>
      <c r="AG167" t="s">
        <v>102</v>
      </c>
      <c r="AH167" t="s">
        <v>131</v>
      </c>
      <c r="AI167">
        <v>45869</v>
      </c>
      <c r="AJ167">
        <v>45863</v>
      </c>
      <c r="AK167" t="s">
        <v>137</v>
      </c>
      <c r="AL167" t="s">
        <v>105</v>
      </c>
      <c r="AM167" t="s">
        <v>909</v>
      </c>
      <c r="AN167" t="s">
        <v>107</v>
      </c>
      <c r="AO167" t="s">
        <v>107</v>
      </c>
      <c r="AP167">
        <v>304920</v>
      </c>
      <c r="AQ167">
        <v>304920</v>
      </c>
      <c r="AR167">
        <v>0</v>
      </c>
      <c r="AS167" t="s">
        <v>107</v>
      </c>
      <c r="AT167" t="s">
        <v>161</v>
      </c>
      <c r="AU167" t="s">
        <v>109</v>
      </c>
      <c r="AV167" t="s">
        <v>110</v>
      </c>
      <c r="AW167" t="s">
        <v>111</v>
      </c>
      <c r="AY167" t="s">
        <v>910</v>
      </c>
      <c r="AZ167" t="s">
        <v>113</v>
      </c>
      <c r="BB167" t="s">
        <v>114</v>
      </c>
      <c r="BC167" t="s">
        <v>115</v>
      </c>
      <c r="BN167" t="s">
        <v>116</v>
      </c>
      <c r="BO167" t="s">
        <v>906</v>
      </c>
      <c r="BP167" t="s">
        <v>370</v>
      </c>
      <c r="BR167" t="s">
        <v>907</v>
      </c>
      <c r="BS167" t="s">
        <v>911</v>
      </c>
      <c r="BW167" t="s">
        <v>382</v>
      </c>
      <c r="BX167" t="s">
        <v>383</v>
      </c>
      <c r="BY167" t="s">
        <v>123</v>
      </c>
      <c r="BZ167" t="s">
        <v>124</v>
      </c>
    </row>
    <row r="168" spans="1:78" x14ac:dyDescent="0.3">
      <c r="A168" t="s">
        <v>2</v>
      </c>
      <c r="B168" t="s">
        <v>92</v>
      </c>
      <c r="C168" t="s">
        <v>93</v>
      </c>
      <c r="D168" t="s">
        <v>94</v>
      </c>
      <c r="E168" t="s">
        <v>95</v>
      </c>
      <c r="F168" t="s">
        <v>902</v>
      </c>
      <c r="G168">
        <v>654000</v>
      </c>
      <c r="H168">
        <v>654000</v>
      </c>
      <c r="I168" t="s">
        <v>93</v>
      </c>
      <c r="J168" t="s">
        <v>94</v>
      </c>
      <c r="K168" t="s">
        <v>202</v>
      </c>
      <c r="L168" t="s">
        <v>903</v>
      </c>
      <c r="M168">
        <v>55800</v>
      </c>
      <c r="N168">
        <v>55800</v>
      </c>
      <c r="O168" t="s">
        <v>93</v>
      </c>
      <c r="P168" t="s">
        <v>94</v>
      </c>
      <c r="Q168" t="s">
        <v>202</v>
      </c>
      <c r="R168" t="s">
        <v>904</v>
      </c>
      <c r="S168">
        <v>60000</v>
      </c>
      <c r="T168">
        <v>60000</v>
      </c>
      <c r="AA168" t="s">
        <v>894</v>
      </c>
      <c r="AB168" t="s">
        <v>895</v>
      </c>
      <c r="AC168" t="s">
        <v>896</v>
      </c>
      <c r="AD168" t="s">
        <v>365</v>
      </c>
      <c r="AE168" t="s">
        <v>897</v>
      </c>
      <c r="AF168" t="s">
        <v>898</v>
      </c>
      <c r="AG168" t="s">
        <v>102</v>
      </c>
      <c r="AH168" t="s">
        <v>131</v>
      </c>
      <c r="AI168">
        <v>45930</v>
      </c>
      <c r="AJ168">
        <v>45908</v>
      </c>
      <c r="AK168" t="s">
        <v>218</v>
      </c>
      <c r="AL168" t="s">
        <v>105</v>
      </c>
      <c r="AM168" t="s">
        <v>912</v>
      </c>
      <c r="AN168" t="s">
        <v>107</v>
      </c>
      <c r="AO168" t="s">
        <v>107</v>
      </c>
      <c r="AP168">
        <v>65982.86</v>
      </c>
      <c r="AQ168">
        <v>65982.86</v>
      </c>
      <c r="AR168">
        <v>0</v>
      </c>
      <c r="AS168" t="s">
        <v>107</v>
      </c>
      <c r="AT168" t="s">
        <v>161</v>
      </c>
      <c r="AU168" t="s">
        <v>109</v>
      </c>
      <c r="AV168" t="s">
        <v>110</v>
      </c>
      <c r="AW168" t="s">
        <v>111</v>
      </c>
      <c r="AY168" t="s">
        <v>913</v>
      </c>
      <c r="AZ168" t="s">
        <v>113</v>
      </c>
      <c r="BB168" t="s">
        <v>114</v>
      </c>
      <c r="BC168" t="s">
        <v>115</v>
      </c>
      <c r="BN168" t="s">
        <v>116</v>
      </c>
      <c r="BO168" t="s">
        <v>906</v>
      </c>
      <c r="BP168" t="s">
        <v>370</v>
      </c>
      <c r="BR168" t="s">
        <v>907</v>
      </c>
      <c r="BS168" t="s">
        <v>914</v>
      </c>
      <c r="BW168" t="s">
        <v>382</v>
      </c>
      <c r="BX168" t="s">
        <v>383</v>
      </c>
      <c r="BY168" t="s">
        <v>123</v>
      </c>
      <c r="BZ168" t="s">
        <v>124</v>
      </c>
    </row>
    <row r="169" spans="1:78" x14ac:dyDescent="0.3">
      <c r="A169" t="s">
        <v>2</v>
      </c>
      <c r="B169" t="s">
        <v>92</v>
      </c>
      <c r="C169" t="s">
        <v>93</v>
      </c>
      <c r="D169" t="s">
        <v>94</v>
      </c>
      <c r="E169" t="s">
        <v>95</v>
      </c>
      <c r="F169" t="s">
        <v>902</v>
      </c>
      <c r="G169">
        <v>654000</v>
      </c>
      <c r="H169">
        <v>654000</v>
      </c>
      <c r="I169" t="s">
        <v>93</v>
      </c>
      <c r="J169" t="s">
        <v>94</v>
      </c>
      <c r="K169" t="s">
        <v>202</v>
      </c>
      <c r="L169" t="s">
        <v>903</v>
      </c>
      <c r="M169">
        <v>55800</v>
      </c>
      <c r="N169">
        <v>55800</v>
      </c>
      <c r="O169" t="s">
        <v>93</v>
      </c>
      <c r="P169" t="s">
        <v>94</v>
      </c>
      <c r="Q169" t="s">
        <v>202</v>
      </c>
      <c r="R169" t="s">
        <v>904</v>
      </c>
      <c r="S169">
        <v>60000</v>
      </c>
      <c r="T169">
        <v>60000</v>
      </c>
      <c r="AA169" t="s">
        <v>894</v>
      </c>
      <c r="AB169" t="s">
        <v>895</v>
      </c>
      <c r="AC169" t="s">
        <v>896</v>
      </c>
      <c r="AD169" t="s">
        <v>365</v>
      </c>
      <c r="AE169" t="s">
        <v>897</v>
      </c>
      <c r="AF169" t="s">
        <v>898</v>
      </c>
      <c r="AG169" t="s">
        <v>102</v>
      </c>
      <c r="AH169" t="s">
        <v>131</v>
      </c>
      <c r="AI169">
        <v>45960</v>
      </c>
      <c r="AJ169">
        <v>45939</v>
      </c>
      <c r="AK169" t="s">
        <v>218</v>
      </c>
      <c r="AL169" t="s">
        <v>142</v>
      </c>
      <c r="AM169" t="s">
        <v>912</v>
      </c>
      <c r="AN169" t="s">
        <v>107</v>
      </c>
      <c r="AO169" t="s">
        <v>107</v>
      </c>
      <c r="AP169">
        <v>65982.86</v>
      </c>
      <c r="AQ169">
        <v>65982.86</v>
      </c>
      <c r="AR169">
        <v>0</v>
      </c>
      <c r="AS169" t="s">
        <v>107</v>
      </c>
      <c r="AT169" t="s">
        <v>161</v>
      </c>
      <c r="AU169" t="s">
        <v>109</v>
      </c>
      <c r="AV169" t="s">
        <v>110</v>
      </c>
      <c r="AW169" t="s">
        <v>111</v>
      </c>
      <c r="AY169" t="s">
        <v>915</v>
      </c>
      <c r="AZ169" t="s">
        <v>113</v>
      </c>
      <c r="BB169" t="s">
        <v>114</v>
      </c>
      <c r="BC169" t="s">
        <v>115</v>
      </c>
      <c r="BN169" t="s">
        <v>116</v>
      </c>
      <c r="BO169" t="s">
        <v>906</v>
      </c>
      <c r="BP169" t="s">
        <v>370</v>
      </c>
      <c r="BR169" t="s">
        <v>907</v>
      </c>
      <c r="BS169" t="s">
        <v>916</v>
      </c>
      <c r="BW169" t="s">
        <v>382</v>
      </c>
      <c r="BX169" t="s">
        <v>383</v>
      </c>
      <c r="BY169" t="s">
        <v>123</v>
      </c>
      <c r="BZ169" t="s">
        <v>124</v>
      </c>
    </row>
    <row r="170" spans="1:78" x14ac:dyDescent="0.3">
      <c r="A170" t="s">
        <v>2</v>
      </c>
      <c r="B170" t="s">
        <v>92</v>
      </c>
      <c r="C170" t="s">
        <v>93</v>
      </c>
      <c r="D170" t="s">
        <v>94</v>
      </c>
      <c r="E170" t="s">
        <v>95</v>
      </c>
      <c r="F170" t="s">
        <v>902</v>
      </c>
      <c r="G170">
        <v>654000</v>
      </c>
      <c r="H170">
        <v>654000</v>
      </c>
      <c r="I170" t="s">
        <v>93</v>
      </c>
      <c r="J170" t="s">
        <v>94</v>
      </c>
      <c r="K170" t="s">
        <v>202</v>
      </c>
      <c r="L170" t="s">
        <v>903</v>
      </c>
      <c r="M170">
        <v>55800</v>
      </c>
      <c r="N170">
        <v>55800</v>
      </c>
      <c r="O170" t="s">
        <v>93</v>
      </c>
      <c r="P170" t="s">
        <v>94</v>
      </c>
      <c r="Q170" t="s">
        <v>202</v>
      </c>
      <c r="R170" t="s">
        <v>904</v>
      </c>
      <c r="S170">
        <v>60000</v>
      </c>
      <c r="T170">
        <v>60000</v>
      </c>
      <c r="AA170" t="s">
        <v>894</v>
      </c>
      <c r="AB170" t="s">
        <v>895</v>
      </c>
      <c r="AC170" t="s">
        <v>896</v>
      </c>
      <c r="AD170" t="s">
        <v>365</v>
      </c>
      <c r="AE170" t="s">
        <v>897</v>
      </c>
      <c r="AF170" t="s">
        <v>898</v>
      </c>
      <c r="AG170" t="s">
        <v>102</v>
      </c>
      <c r="AH170" t="s">
        <v>131</v>
      </c>
      <c r="AI170">
        <v>45991</v>
      </c>
      <c r="AJ170">
        <v>45964</v>
      </c>
      <c r="AK170" t="s">
        <v>218</v>
      </c>
      <c r="AL170" t="s">
        <v>146</v>
      </c>
      <c r="AM170" t="s">
        <v>912</v>
      </c>
      <c r="AN170" t="s">
        <v>107</v>
      </c>
      <c r="AO170" t="s">
        <v>107</v>
      </c>
      <c r="AP170">
        <v>65982.86</v>
      </c>
      <c r="AQ170">
        <v>65982.86</v>
      </c>
      <c r="AR170">
        <v>0</v>
      </c>
      <c r="AS170" t="s">
        <v>107</v>
      </c>
      <c r="AT170" t="s">
        <v>161</v>
      </c>
      <c r="AU170" t="s">
        <v>109</v>
      </c>
      <c r="AV170" t="s">
        <v>110</v>
      </c>
      <c r="AW170" t="s">
        <v>111</v>
      </c>
      <c r="AY170" t="s">
        <v>917</v>
      </c>
      <c r="AZ170" t="s">
        <v>113</v>
      </c>
      <c r="BB170" t="s">
        <v>114</v>
      </c>
      <c r="BC170" t="s">
        <v>115</v>
      </c>
      <c r="BN170" t="s">
        <v>116</v>
      </c>
      <c r="BO170" t="s">
        <v>906</v>
      </c>
      <c r="BP170" t="s">
        <v>370</v>
      </c>
      <c r="BR170" t="s">
        <v>907</v>
      </c>
      <c r="BS170" t="s">
        <v>918</v>
      </c>
      <c r="BW170" t="s">
        <v>382</v>
      </c>
      <c r="BX170" t="s">
        <v>383</v>
      </c>
      <c r="BY170" t="s">
        <v>123</v>
      </c>
      <c r="BZ170" t="s">
        <v>124</v>
      </c>
    </row>
    <row r="171" spans="1:78" x14ac:dyDescent="0.3">
      <c r="A171" t="s">
        <v>2</v>
      </c>
      <c r="B171" t="s">
        <v>92</v>
      </c>
      <c r="C171" t="s">
        <v>93</v>
      </c>
      <c r="D171" t="s">
        <v>94</v>
      </c>
      <c r="E171" t="s">
        <v>95</v>
      </c>
      <c r="F171" t="s">
        <v>902</v>
      </c>
      <c r="G171">
        <v>654000</v>
      </c>
      <c r="H171">
        <v>654000</v>
      </c>
      <c r="I171" t="s">
        <v>93</v>
      </c>
      <c r="J171" t="s">
        <v>94</v>
      </c>
      <c r="K171" t="s">
        <v>202</v>
      </c>
      <c r="L171" t="s">
        <v>903</v>
      </c>
      <c r="M171">
        <v>55800</v>
      </c>
      <c r="N171">
        <v>55800</v>
      </c>
      <c r="O171" t="s">
        <v>93</v>
      </c>
      <c r="P171" t="s">
        <v>94</v>
      </c>
      <c r="Q171" t="s">
        <v>202</v>
      </c>
      <c r="R171" t="s">
        <v>904</v>
      </c>
      <c r="S171">
        <v>60000</v>
      </c>
      <c r="T171">
        <v>60000</v>
      </c>
      <c r="AA171" t="s">
        <v>894</v>
      </c>
      <c r="AB171" t="s">
        <v>895</v>
      </c>
      <c r="AC171" t="s">
        <v>896</v>
      </c>
      <c r="AD171" t="s">
        <v>365</v>
      </c>
      <c r="AE171" t="s">
        <v>897</v>
      </c>
      <c r="AF171" t="s">
        <v>898</v>
      </c>
      <c r="AG171" t="s">
        <v>102</v>
      </c>
      <c r="AH171" t="s">
        <v>131</v>
      </c>
      <c r="AI171">
        <v>46021</v>
      </c>
      <c r="AJ171">
        <v>45964</v>
      </c>
      <c r="AK171" t="s">
        <v>218</v>
      </c>
      <c r="AL171" t="s">
        <v>152</v>
      </c>
      <c r="AM171" t="s">
        <v>912</v>
      </c>
      <c r="AN171" t="s">
        <v>107</v>
      </c>
      <c r="AO171" t="s">
        <v>107</v>
      </c>
      <c r="AP171">
        <v>65982.86</v>
      </c>
      <c r="AQ171">
        <v>65982.86</v>
      </c>
      <c r="AR171">
        <v>0</v>
      </c>
      <c r="AS171" t="s">
        <v>107</v>
      </c>
      <c r="AT171" t="s">
        <v>161</v>
      </c>
      <c r="AU171" t="s">
        <v>109</v>
      </c>
      <c r="AV171" t="s">
        <v>110</v>
      </c>
      <c r="AW171" t="s">
        <v>111</v>
      </c>
      <c r="AY171" t="s">
        <v>917</v>
      </c>
      <c r="AZ171" t="s">
        <v>113</v>
      </c>
      <c r="BB171" t="s">
        <v>114</v>
      </c>
      <c r="BC171" t="s">
        <v>115</v>
      </c>
      <c r="BN171" t="s">
        <v>116</v>
      </c>
      <c r="BO171" t="s">
        <v>906</v>
      </c>
      <c r="BP171" t="s">
        <v>370</v>
      </c>
      <c r="BR171" t="s">
        <v>907</v>
      </c>
      <c r="BS171" t="s">
        <v>918</v>
      </c>
      <c r="BW171" t="s">
        <v>382</v>
      </c>
      <c r="BX171" t="s">
        <v>383</v>
      </c>
      <c r="BY171" t="s">
        <v>123</v>
      </c>
      <c r="BZ171" t="s">
        <v>124</v>
      </c>
    </row>
    <row r="172" spans="1:78" x14ac:dyDescent="0.3">
      <c r="A172" t="s">
        <v>11</v>
      </c>
      <c r="B172" t="s">
        <v>92</v>
      </c>
      <c r="C172" t="s">
        <v>93</v>
      </c>
      <c r="D172" t="s">
        <v>94</v>
      </c>
      <c r="E172" t="s">
        <v>95</v>
      </c>
      <c r="F172" t="s">
        <v>309</v>
      </c>
      <c r="G172">
        <v>430000</v>
      </c>
      <c r="H172">
        <v>430000</v>
      </c>
      <c r="AA172" t="s">
        <v>919</v>
      </c>
      <c r="AB172" t="s">
        <v>920</v>
      </c>
      <c r="AC172" t="s">
        <v>921</v>
      </c>
      <c r="AD172" t="s">
        <v>365</v>
      </c>
      <c r="AE172" t="s">
        <v>922</v>
      </c>
      <c r="AF172" t="s">
        <v>923</v>
      </c>
      <c r="AG172" t="s">
        <v>102</v>
      </c>
      <c r="AH172" t="s">
        <v>299</v>
      </c>
      <c r="AI172">
        <v>45837</v>
      </c>
      <c r="AJ172">
        <v>45837</v>
      </c>
      <c r="AK172" t="s">
        <v>104</v>
      </c>
      <c r="AL172" t="s">
        <v>105</v>
      </c>
      <c r="AM172" t="s">
        <v>106</v>
      </c>
      <c r="AN172" t="s">
        <v>107</v>
      </c>
      <c r="AO172" t="s">
        <v>107</v>
      </c>
      <c r="AP172">
        <v>3000</v>
      </c>
      <c r="AQ172">
        <v>3000</v>
      </c>
      <c r="AR172">
        <v>0</v>
      </c>
      <c r="AS172" t="s">
        <v>107</v>
      </c>
      <c r="AT172" t="s">
        <v>243</v>
      </c>
      <c r="AU172" t="s">
        <v>162</v>
      </c>
      <c r="AV172" t="s">
        <v>163</v>
      </c>
      <c r="AW172" t="s">
        <v>111</v>
      </c>
      <c r="AX172" t="s">
        <v>920</v>
      </c>
      <c r="AY172" t="s">
        <v>924</v>
      </c>
      <c r="AZ172" t="s">
        <v>113</v>
      </c>
      <c r="BA172" t="s">
        <v>133</v>
      </c>
      <c r="BB172" t="s">
        <v>114</v>
      </c>
      <c r="BC172" t="s">
        <v>115</v>
      </c>
      <c r="BN172" t="s">
        <v>116</v>
      </c>
      <c r="BO172" t="s">
        <v>925</v>
      </c>
      <c r="BP172" t="s">
        <v>166</v>
      </c>
      <c r="BR172" t="s">
        <v>359</v>
      </c>
      <c r="BS172" t="s">
        <v>926</v>
      </c>
      <c r="BW172" t="s">
        <v>382</v>
      </c>
      <c r="BX172" t="s">
        <v>383</v>
      </c>
      <c r="BY172" t="s">
        <v>123</v>
      </c>
      <c r="BZ172" t="s">
        <v>124</v>
      </c>
    </row>
    <row r="173" spans="1:78" x14ac:dyDescent="0.3">
      <c r="A173" t="s">
        <v>11</v>
      </c>
      <c r="B173" t="s">
        <v>92</v>
      </c>
      <c r="C173" t="s">
        <v>93</v>
      </c>
      <c r="D173" t="s">
        <v>94</v>
      </c>
      <c r="E173" t="s">
        <v>95</v>
      </c>
      <c r="F173" t="s">
        <v>309</v>
      </c>
      <c r="G173">
        <v>430000</v>
      </c>
      <c r="H173">
        <v>430000</v>
      </c>
      <c r="AA173" t="s">
        <v>919</v>
      </c>
      <c r="AB173" t="s">
        <v>920</v>
      </c>
      <c r="AC173" t="s">
        <v>921</v>
      </c>
      <c r="AD173" t="s">
        <v>365</v>
      </c>
      <c r="AE173" t="s">
        <v>922</v>
      </c>
      <c r="AF173" t="s">
        <v>923</v>
      </c>
      <c r="AG173" t="s">
        <v>102</v>
      </c>
      <c r="AH173" t="s">
        <v>299</v>
      </c>
      <c r="AI173">
        <v>45917</v>
      </c>
      <c r="AJ173">
        <v>45917</v>
      </c>
      <c r="AK173" t="s">
        <v>137</v>
      </c>
      <c r="AL173" t="s">
        <v>105</v>
      </c>
      <c r="AM173" t="s">
        <v>138</v>
      </c>
      <c r="AN173" t="s">
        <v>107</v>
      </c>
      <c r="AO173" t="s">
        <v>107</v>
      </c>
      <c r="AP173">
        <v>20000</v>
      </c>
      <c r="AQ173">
        <v>20000</v>
      </c>
      <c r="AR173">
        <v>0</v>
      </c>
      <c r="AS173" t="s">
        <v>107</v>
      </c>
      <c r="AT173" t="s">
        <v>243</v>
      </c>
      <c r="AU173" t="s">
        <v>162</v>
      </c>
      <c r="AV173" t="s">
        <v>163</v>
      </c>
      <c r="AW173" t="s">
        <v>111</v>
      </c>
      <c r="AX173" t="s">
        <v>920</v>
      </c>
      <c r="AY173" t="s">
        <v>927</v>
      </c>
      <c r="AZ173" t="s">
        <v>113</v>
      </c>
      <c r="BA173" t="s">
        <v>133</v>
      </c>
      <c r="BB173" t="s">
        <v>114</v>
      </c>
      <c r="BC173" t="s">
        <v>115</v>
      </c>
      <c r="BN173" t="s">
        <v>116</v>
      </c>
      <c r="BO173" t="s">
        <v>925</v>
      </c>
      <c r="BP173" t="s">
        <v>166</v>
      </c>
      <c r="BR173" t="s">
        <v>359</v>
      </c>
      <c r="BS173" t="s">
        <v>928</v>
      </c>
      <c r="BW173" t="s">
        <v>382</v>
      </c>
      <c r="BX173" t="s">
        <v>383</v>
      </c>
      <c r="BY173" t="s">
        <v>123</v>
      </c>
      <c r="BZ173" t="s">
        <v>124</v>
      </c>
    </row>
    <row r="174" spans="1:78" x14ac:dyDescent="0.3">
      <c r="A174" t="s">
        <v>2</v>
      </c>
      <c r="B174" t="s">
        <v>92</v>
      </c>
      <c r="C174" t="s">
        <v>93</v>
      </c>
      <c r="D174" t="s">
        <v>94</v>
      </c>
      <c r="E174" t="s">
        <v>95</v>
      </c>
      <c r="F174" t="s">
        <v>309</v>
      </c>
      <c r="G174">
        <v>446900</v>
      </c>
      <c r="H174">
        <v>446900</v>
      </c>
      <c r="AA174" t="s">
        <v>310</v>
      </c>
      <c r="AB174" t="s">
        <v>311</v>
      </c>
      <c r="AC174" t="s">
        <v>312</v>
      </c>
      <c r="AD174" t="s">
        <v>313</v>
      </c>
      <c r="AE174" t="s">
        <v>314</v>
      </c>
      <c r="AF174" t="s">
        <v>315</v>
      </c>
      <c r="AG174" t="s">
        <v>316</v>
      </c>
      <c r="AH174" t="s">
        <v>316</v>
      </c>
      <c r="AI174">
        <v>45911</v>
      </c>
      <c r="AJ174">
        <v>45911</v>
      </c>
      <c r="AK174" t="s">
        <v>137</v>
      </c>
      <c r="AL174" t="s">
        <v>105</v>
      </c>
      <c r="AM174" t="s">
        <v>929</v>
      </c>
      <c r="AN174" t="s">
        <v>107</v>
      </c>
      <c r="AO174" t="s">
        <v>107</v>
      </c>
      <c r="AP174">
        <v>86380</v>
      </c>
      <c r="AQ174">
        <v>86380</v>
      </c>
      <c r="AR174">
        <v>0</v>
      </c>
      <c r="AS174" t="s">
        <v>107</v>
      </c>
      <c r="AT174" t="s">
        <v>108</v>
      </c>
      <c r="AU174" t="s">
        <v>109</v>
      </c>
      <c r="AV174" t="s">
        <v>110</v>
      </c>
      <c r="AW174" t="s">
        <v>111</v>
      </c>
      <c r="AY174" t="s">
        <v>930</v>
      </c>
      <c r="AZ174" t="s">
        <v>113</v>
      </c>
      <c r="BB174" t="s">
        <v>114</v>
      </c>
      <c r="BC174" t="s">
        <v>115</v>
      </c>
      <c r="BN174" t="s">
        <v>116</v>
      </c>
      <c r="BO174" t="s">
        <v>318</v>
      </c>
      <c r="BP174" t="s">
        <v>118</v>
      </c>
      <c r="BR174" t="s">
        <v>319</v>
      </c>
      <c r="BS174" t="s">
        <v>931</v>
      </c>
      <c r="BW174" t="s">
        <v>382</v>
      </c>
      <c r="BX174" t="s">
        <v>383</v>
      </c>
      <c r="BY174" t="s">
        <v>123</v>
      </c>
      <c r="BZ174" t="s">
        <v>124</v>
      </c>
    </row>
    <row r="175" spans="1:78" x14ac:dyDescent="0.3">
      <c r="A175" t="s">
        <v>2</v>
      </c>
      <c r="B175" t="s">
        <v>92</v>
      </c>
      <c r="C175" t="s">
        <v>93</v>
      </c>
      <c r="D175" t="s">
        <v>94</v>
      </c>
      <c r="E175" t="s">
        <v>95</v>
      </c>
      <c r="F175" t="s">
        <v>309</v>
      </c>
      <c r="G175">
        <v>446900</v>
      </c>
      <c r="H175">
        <v>446900</v>
      </c>
      <c r="AA175" t="s">
        <v>310</v>
      </c>
      <c r="AB175" t="s">
        <v>311</v>
      </c>
      <c r="AC175" t="s">
        <v>312</v>
      </c>
      <c r="AD175" t="s">
        <v>313</v>
      </c>
      <c r="AE175" t="s">
        <v>314</v>
      </c>
      <c r="AF175" t="s">
        <v>315</v>
      </c>
      <c r="AG175" t="s">
        <v>316</v>
      </c>
      <c r="AH175" t="s">
        <v>316</v>
      </c>
      <c r="AI175">
        <v>46021</v>
      </c>
      <c r="AJ175">
        <v>46326</v>
      </c>
      <c r="AK175" t="s">
        <v>218</v>
      </c>
      <c r="AL175" t="s">
        <v>105</v>
      </c>
      <c r="AM175" t="s">
        <v>932</v>
      </c>
      <c r="AN175" t="s">
        <v>107</v>
      </c>
      <c r="AO175" t="s">
        <v>107</v>
      </c>
      <c r="AP175">
        <v>357520</v>
      </c>
      <c r="AQ175">
        <v>0</v>
      </c>
      <c r="AR175">
        <v>357520</v>
      </c>
      <c r="AS175" t="s">
        <v>107</v>
      </c>
      <c r="AT175" t="s">
        <v>108</v>
      </c>
      <c r="AU175" t="s">
        <v>109</v>
      </c>
      <c r="AV175" t="s">
        <v>110</v>
      </c>
      <c r="AW175" t="s">
        <v>111</v>
      </c>
      <c r="AY175" t="s">
        <v>933</v>
      </c>
      <c r="AZ175" t="s">
        <v>113</v>
      </c>
      <c r="BB175" t="s">
        <v>114</v>
      </c>
      <c r="BC175" t="s">
        <v>543</v>
      </c>
      <c r="BN175" t="s">
        <v>116</v>
      </c>
      <c r="BO175" t="s">
        <v>318</v>
      </c>
      <c r="BP175" t="s">
        <v>118</v>
      </c>
      <c r="BR175" t="s">
        <v>319</v>
      </c>
      <c r="BS175" t="s">
        <v>934</v>
      </c>
      <c r="BW175" t="s">
        <v>382</v>
      </c>
      <c r="BX175" t="s">
        <v>383</v>
      </c>
      <c r="BY175" t="s">
        <v>123</v>
      </c>
      <c r="BZ175" t="s">
        <v>124</v>
      </c>
    </row>
    <row r="176" spans="1:78" x14ac:dyDescent="0.3">
      <c r="A176" t="s">
        <v>2</v>
      </c>
      <c r="B176" t="s">
        <v>92</v>
      </c>
      <c r="C176" t="s">
        <v>93</v>
      </c>
      <c r="D176" t="s">
        <v>94</v>
      </c>
      <c r="E176" t="s">
        <v>95</v>
      </c>
      <c r="F176" t="s">
        <v>935</v>
      </c>
      <c r="G176">
        <v>415000</v>
      </c>
      <c r="H176">
        <v>415000</v>
      </c>
      <c r="AA176" t="s">
        <v>936</v>
      </c>
      <c r="AB176" t="s">
        <v>937</v>
      </c>
      <c r="AC176" t="s">
        <v>938</v>
      </c>
      <c r="AE176" t="s">
        <v>939</v>
      </c>
      <c r="AF176" t="s">
        <v>940</v>
      </c>
      <c r="AG176" t="s">
        <v>941</v>
      </c>
      <c r="AH176" t="s">
        <v>942</v>
      </c>
      <c r="AI176">
        <v>45921</v>
      </c>
      <c r="AJ176">
        <v>45921</v>
      </c>
      <c r="AK176" t="s">
        <v>104</v>
      </c>
      <c r="AL176" t="s">
        <v>105</v>
      </c>
      <c r="AM176" t="s">
        <v>106</v>
      </c>
      <c r="AN176" t="s">
        <v>107</v>
      </c>
      <c r="AO176" t="s">
        <v>107</v>
      </c>
      <c r="AP176">
        <v>3000</v>
      </c>
      <c r="AQ176">
        <v>3000</v>
      </c>
      <c r="AR176">
        <v>0</v>
      </c>
      <c r="AS176" t="s">
        <v>107</v>
      </c>
      <c r="AT176" t="s">
        <v>243</v>
      </c>
      <c r="AU176" t="s">
        <v>109</v>
      </c>
      <c r="AV176" t="s">
        <v>110</v>
      </c>
      <c r="AW176" t="s">
        <v>111</v>
      </c>
      <c r="AX176" t="s">
        <v>937</v>
      </c>
      <c r="AY176" t="s">
        <v>943</v>
      </c>
      <c r="AZ176" t="s">
        <v>113</v>
      </c>
      <c r="BA176" t="s">
        <v>133</v>
      </c>
      <c r="BB176" t="s">
        <v>211</v>
      </c>
      <c r="BC176" t="s">
        <v>115</v>
      </c>
      <c r="BN176" t="s">
        <v>116</v>
      </c>
      <c r="BO176" t="s">
        <v>944</v>
      </c>
      <c r="BP176" t="s">
        <v>166</v>
      </c>
      <c r="BR176" t="s">
        <v>945</v>
      </c>
      <c r="BS176" t="s">
        <v>214</v>
      </c>
      <c r="BW176" t="s">
        <v>382</v>
      </c>
      <c r="BX176" t="s">
        <v>383</v>
      </c>
      <c r="BY176" t="s">
        <v>123</v>
      </c>
      <c r="BZ176" t="s">
        <v>124</v>
      </c>
    </row>
    <row r="177" spans="1:78" x14ac:dyDescent="0.3">
      <c r="A177" t="s">
        <v>2</v>
      </c>
      <c r="B177" t="s">
        <v>92</v>
      </c>
      <c r="C177" t="s">
        <v>93</v>
      </c>
      <c r="D177" t="s">
        <v>94</v>
      </c>
      <c r="E177" t="s">
        <v>95</v>
      </c>
      <c r="F177" t="s">
        <v>935</v>
      </c>
      <c r="G177">
        <v>415000</v>
      </c>
      <c r="H177">
        <v>415000</v>
      </c>
      <c r="AA177" t="s">
        <v>936</v>
      </c>
      <c r="AB177" t="s">
        <v>937</v>
      </c>
      <c r="AC177" t="s">
        <v>938</v>
      </c>
      <c r="AE177" t="s">
        <v>939</v>
      </c>
      <c r="AF177" t="s">
        <v>940</v>
      </c>
      <c r="AG177" t="s">
        <v>941</v>
      </c>
      <c r="AH177" t="s">
        <v>942</v>
      </c>
      <c r="AI177">
        <v>45993</v>
      </c>
      <c r="AJ177">
        <v>45993</v>
      </c>
      <c r="AK177" t="s">
        <v>137</v>
      </c>
      <c r="AL177" t="s">
        <v>105</v>
      </c>
      <c r="AM177" t="s">
        <v>946</v>
      </c>
      <c r="AN177" t="s">
        <v>107</v>
      </c>
      <c r="AO177" t="s">
        <v>107</v>
      </c>
      <c r="AP177">
        <v>38500</v>
      </c>
      <c r="AQ177">
        <v>38500</v>
      </c>
      <c r="AR177">
        <v>0</v>
      </c>
      <c r="AS177" t="s">
        <v>107</v>
      </c>
      <c r="AT177" t="s">
        <v>243</v>
      </c>
      <c r="AU177" t="s">
        <v>109</v>
      </c>
      <c r="AV177" t="s">
        <v>110</v>
      </c>
      <c r="AW177" t="s">
        <v>111</v>
      </c>
      <c r="AY177" t="s">
        <v>947</v>
      </c>
      <c r="AZ177" t="s">
        <v>113</v>
      </c>
      <c r="BB177" t="s">
        <v>114</v>
      </c>
      <c r="BC177" t="s">
        <v>115</v>
      </c>
      <c r="BN177" t="s">
        <v>116</v>
      </c>
      <c r="BO177" t="s">
        <v>944</v>
      </c>
      <c r="BP177" t="s">
        <v>166</v>
      </c>
      <c r="BR177" t="s">
        <v>945</v>
      </c>
      <c r="BS177" t="s">
        <v>948</v>
      </c>
      <c r="BW177" t="s">
        <v>382</v>
      </c>
      <c r="BX177" t="s">
        <v>383</v>
      </c>
      <c r="BY177" t="s">
        <v>123</v>
      </c>
      <c r="BZ177" t="s">
        <v>124</v>
      </c>
    </row>
    <row r="178" spans="1:78" x14ac:dyDescent="0.3">
      <c r="A178" t="s">
        <v>12</v>
      </c>
      <c r="B178" t="s">
        <v>92</v>
      </c>
      <c r="C178" t="s">
        <v>93</v>
      </c>
      <c r="D178" t="s">
        <v>94</v>
      </c>
      <c r="E178" t="s">
        <v>95</v>
      </c>
      <c r="F178" t="s">
        <v>169</v>
      </c>
      <c r="G178">
        <v>386000</v>
      </c>
      <c r="H178">
        <v>386000</v>
      </c>
      <c r="I178" t="s">
        <v>93</v>
      </c>
      <c r="J178" t="s">
        <v>94</v>
      </c>
      <c r="K178" t="s">
        <v>202</v>
      </c>
      <c r="L178" t="s">
        <v>949</v>
      </c>
      <c r="M178">
        <v>46800</v>
      </c>
      <c r="N178">
        <v>46800</v>
      </c>
      <c r="AA178" t="s">
        <v>950</v>
      </c>
      <c r="AB178" t="s">
        <v>951</v>
      </c>
      <c r="AC178" t="s">
        <v>952</v>
      </c>
      <c r="AD178" t="s">
        <v>365</v>
      </c>
      <c r="AE178" t="s">
        <v>953</v>
      </c>
      <c r="AF178" t="s">
        <v>954</v>
      </c>
      <c r="AG178" t="s">
        <v>102</v>
      </c>
      <c r="AH178" t="s">
        <v>955</v>
      </c>
      <c r="AI178">
        <v>46009</v>
      </c>
      <c r="AJ178">
        <v>46009</v>
      </c>
      <c r="AK178" t="s">
        <v>104</v>
      </c>
      <c r="AL178" t="s">
        <v>105</v>
      </c>
      <c r="AM178" t="s">
        <v>106</v>
      </c>
      <c r="AN178" t="s">
        <v>107</v>
      </c>
      <c r="AO178" t="s">
        <v>107</v>
      </c>
      <c r="AP178">
        <v>3000</v>
      </c>
      <c r="AQ178">
        <v>3000</v>
      </c>
      <c r="AR178">
        <v>0</v>
      </c>
      <c r="AS178" t="s">
        <v>107</v>
      </c>
      <c r="AT178" t="s">
        <v>108</v>
      </c>
      <c r="AU178" t="s">
        <v>109</v>
      </c>
      <c r="AV178" t="s">
        <v>451</v>
      </c>
      <c r="AW178" t="s">
        <v>209</v>
      </c>
      <c r="AY178" t="s">
        <v>956</v>
      </c>
      <c r="AZ178" t="s">
        <v>113</v>
      </c>
      <c r="BB178" t="s">
        <v>114</v>
      </c>
      <c r="BC178" t="s">
        <v>115</v>
      </c>
      <c r="BN178" t="s">
        <v>113</v>
      </c>
      <c r="BO178" t="s">
        <v>957</v>
      </c>
      <c r="BP178" t="s">
        <v>370</v>
      </c>
      <c r="BR178" t="s">
        <v>371</v>
      </c>
      <c r="BS178" t="s">
        <v>958</v>
      </c>
      <c r="BW178" t="s">
        <v>382</v>
      </c>
      <c r="BX178" t="s">
        <v>383</v>
      </c>
      <c r="BY178" t="s">
        <v>123</v>
      </c>
      <c r="BZ178" t="s">
        <v>124</v>
      </c>
    </row>
    <row r="179" spans="1:78" x14ac:dyDescent="0.3">
      <c r="A179" t="s">
        <v>2</v>
      </c>
      <c r="B179" t="s">
        <v>92</v>
      </c>
      <c r="C179" t="s">
        <v>93</v>
      </c>
      <c r="D179" t="s">
        <v>94</v>
      </c>
      <c r="E179" t="s">
        <v>95</v>
      </c>
      <c r="F179" t="s">
        <v>154</v>
      </c>
      <c r="G179">
        <v>490000</v>
      </c>
      <c r="H179">
        <v>490000</v>
      </c>
      <c r="AA179" t="s">
        <v>321</v>
      </c>
      <c r="AB179" t="s">
        <v>322</v>
      </c>
      <c r="AC179" t="s">
        <v>323</v>
      </c>
      <c r="AD179" t="s">
        <v>324</v>
      </c>
      <c r="AE179" t="s">
        <v>324</v>
      </c>
      <c r="AF179" t="s">
        <v>325</v>
      </c>
      <c r="AG179" t="s">
        <v>102</v>
      </c>
      <c r="AH179" t="s">
        <v>326</v>
      </c>
      <c r="AI179">
        <v>45682</v>
      </c>
      <c r="AJ179">
        <v>45682</v>
      </c>
      <c r="AK179" t="s">
        <v>137</v>
      </c>
      <c r="AL179" t="s">
        <v>142</v>
      </c>
      <c r="AM179" t="s">
        <v>398</v>
      </c>
      <c r="AN179" t="s">
        <v>107</v>
      </c>
      <c r="AO179" t="s">
        <v>107</v>
      </c>
      <c r="AP179">
        <v>10000</v>
      </c>
      <c r="AQ179">
        <v>10000</v>
      </c>
      <c r="AR179">
        <v>0</v>
      </c>
      <c r="AS179" t="s">
        <v>107</v>
      </c>
      <c r="AT179" t="s">
        <v>108</v>
      </c>
      <c r="AU179" t="s">
        <v>109</v>
      </c>
      <c r="AV179" t="s">
        <v>110</v>
      </c>
      <c r="AW179" t="s">
        <v>111</v>
      </c>
      <c r="AX179" t="s">
        <v>322</v>
      </c>
      <c r="AY179" t="s">
        <v>959</v>
      </c>
      <c r="AZ179" t="s">
        <v>113</v>
      </c>
      <c r="BA179" t="s">
        <v>133</v>
      </c>
      <c r="BB179" t="s">
        <v>114</v>
      </c>
      <c r="BC179" t="s">
        <v>115</v>
      </c>
      <c r="BN179" t="s">
        <v>116</v>
      </c>
      <c r="BO179" t="s">
        <v>328</v>
      </c>
      <c r="BP179" t="s">
        <v>118</v>
      </c>
      <c r="BR179" t="s">
        <v>329</v>
      </c>
      <c r="BS179" t="s">
        <v>960</v>
      </c>
      <c r="BW179" t="s">
        <v>382</v>
      </c>
      <c r="BX179" t="s">
        <v>383</v>
      </c>
      <c r="BY179" t="s">
        <v>123</v>
      </c>
      <c r="BZ179" t="s">
        <v>124</v>
      </c>
    </row>
    <row r="180" spans="1:78" x14ac:dyDescent="0.3">
      <c r="A180" t="s">
        <v>2</v>
      </c>
      <c r="B180" t="s">
        <v>92</v>
      </c>
      <c r="C180" t="s">
        <v>93</v>
      </c>
      <c r="D180" t="s">
        <v>94</v>
      </c>
      <c r="E180" t="s">
        <v>95</v>
      </c>
      <c r="F180" t="s">
        <v>154</v>
      </c>
      <c r="G180">
        <v>490000</v>
      </c>
      <c r="H180">
        <v>490000</v>
      </c>
      <c r="AA180" t="s">
        <v>321</v>
      </c>
      <c r="AB180" t="s">
        <v>322</v>
      </c>
      <c r="AC180" t="s">
        <v>323</v>
      </c>
      <c r="AD180" t="s">
        <v>324</v>
      </c>
      <c r="AE180" t="s">
        <v>324</v>
      </c>
      <c r="AF180" t="s">
        <v>325</v>
      </c>
      <c r="AG180" t="s">
        <v>102</v>
      </c>
      <c r="AH180" t="s">
        <v>326</v>
      </c>
      <c r="AI180">
        <v>45706</v>
      </c>
      <c r="AJ180">
        <v>45709</v>
      </c>
      <c r="AK180" t="s">
        <v>137</v>
      </c>
      <c r="AL180" t="s">
        <v>146</v>
      </c>
      <c r="AM180" t="s">
        <v>287</v>
      </c>
      <c r="AN180" t="s">
        <v>107</v>
      </c>
      <c r="AO180" t="s">
        <v>107</v>
      </c>
      <c r="AP180">
        <v>30000</v>
      </c>
      <c r="AQ180">
        <v>30000</v>
      </c>
      <c r="AR180">
        <v>0</v>
      </c>
      <c r="AS180" t="s">
        <v>107</v>
      </c>
      <c r="AT180" t="s">
        <v>108</v>
      </c>
      <c r="AU180" t="s">
        <v>109</v>
      </c>
      <c r="AV180" t="s">
        <v>110</v>
      </c>
      <c r="AW180" t="s">
        <v>111</v>
      </c>
      <c r="AX180" t="s">
        <v>322</v>
      </c>
      <c r="AY180" t="s">
        <v>961</v>
      </c>
      <c r="AZ180" t="s">
        <v>113</v>
      </c>
      <c r="BA180" t="s">
        <v>133</v>
      </c>
      <c r="BB180" t="s">
        <v>114</v>
      </c>
      <c r="BC180" t="s">
        <v>115</v>
      </c>
      <c r="BN180" t="s">
        <v>116</v>
      </c>
      <c r="BO180" t="s">
        <v>328</v>
      </c>
      <c r="BP180" t="s">
        <v>118</v>
      </c>
      <c r="BR180" t="s">
        <v>329</v>
      </c>
      <c r="BS180" t="s">
        <v>962</v>
      </c>
      <c r="BW180" t="s">
        <v>382</v>
      </c>
      <c r="BX180" t="s">
        <v>383</v>
      </c>
      <c r="BY180" t="s">
        <v>123</v>
      </c>
      <c r="BZ180" t="s">
        <v>124</v>
      </c>
    </row>
    <row r="181" spans="1:78" x14ac:dyDescent="0.3">
      <c r="A181" t="s">
        <v>2</v>
      </c>
      <c r="B181" t="s">
        <v>92</v>
      </c>
      <c r="C181" t="s">
        <v>93</v>
      </c>
      <c r="D181" t="s">
        <v>94</v>
      </c>
      <c r="E181" t="s">
        <v>95</v>
      </c>
      <c r="F181" t="s">
        <v>154</v>
      </c>
      <c r="G181">
        <v>490000</v>
      </c>
      <c r="H181">
        <v>490000</v>
      </c>
      <c r="AA181" t="s">
        <v>321</v>
      </c>
      <c r="AB181" t="s">
        <v>322</v>
      </c>
      <c r="AC181" t="s">
        <v>323</v>
      </c>
      <c r="AD181" t="s">
        <v>324</v>
      </c>
      <c r="AE181" t="s">
        <v>324</v>
      </c>
      <c r="AF181" t="s">
        <v>325</v>
      </c>
      <c r="AG181" t="s">
        <v>102</v>
      </c>
      <c r="AH181" t="s">
        <v>326</v>
      </c>
      <c r="AI181">
        <v>45746</v>
      </c>
      <c r="AJ181">
        <v>45736</v>
      </c>
      <c r="AK181" t="s">
        <v>218</v>
      </c>
      <c r="AL181" t="s">
        <v>105</v>
      </c>
      <c r="AM181" t="s">
        <v>963</v>
      </c>
      <c r="AN181" t="s">
        <v>107</v>
      </c>
      <c r="AO181" t="s">
        <v>107</v>
      </c>
      <c r="AP181">
        <v>427000</v>
      </c>
      <c r="AQ181">
        <v>427000</v>
      </c>
      <c r="AR181">
        <v>0</v>
      </c>
      <c r="AS181" t="s">
        <v>107</v>
      </c>
      <c r="AT181" t="s">
        <v>108</v>
      </c>
      <c r="AU181" t="s">
        <v>109</v>
      </c>
      <c r="AV181" t="s">
        <v>110</v>
      </c>
      <c r="AW181" t="s">
        <v>111</v>
      </c>
      <c r="AY181" t="s">
        <v>964</v>
      </c>
      <c r="AZ181" t="s">
        <v>113</v>
      </c>
      <c r="BB181" t="s">
        <v>114</v>
      </c>
      <c r="BC181" t="s">
        <v>115</v>
      </c>
      <c r="BN181" t="s">
        <v>116</v>
      </c>
      <c r="BO181" t="s">
        <v>328</v>
      </c>
      <c r="BP181" t="s">
        <v>118</v>
      </c>
      <c r="BR181" t="s">
        <v>329</v>
      </c>
      <c r="BS181" t="s">
        <v>965</v>
      </c>
      <c r="BW181" t="s">
        <v>382</v>
      </c>
      <c r="BX181" t="s">
        <v>383</v>
      </c>
      <c r="BY181" t="s">
        <v>123</v>
      </c>
      <c r="BZ181" t="s">
        <v>124</v>
      </c>
    </row>
    <row r="182" spans="1:78" x14ac:dyDescent="0.3">
      <c r="A182" t="s">
        <v>11</v>
      </c>
      <c r="B182" t="s">
        <v>92</v>
      </c>
      <c r="C182" t="s">
        <v>93</v>
      </c>
      <c r="D182" t="s">
        <v>94</v>
      </c>
      <c r="E182" t="s">
        <v>95</v>
      </c>
      <c r="F182" t="s">
        <v>807</v>
      </c>
      <c r="G182">
        <v>532100</v>
      </c>
      <c r="H182">
        <v>495000</v>
      </c>
      <c r="AA182" t="s">
        <v>966</v>
      </c>
      <c r="AB182" t="s">
        <v>967</v>
      </c>
      <c r="AC182" t="s">
        <v>968</v>
      </c>
      <c r="AD182" t="s">
        <v>365</v>
      </c>
      <c r="AE182" t="s">
        <v>969</v>
      </c>
      <c r="AF182" t="s">
        <v>970</v>
      </c>
      <c r="AG182" t="s">
        <v>102</v>
      </c>
      <c r="AH182" t="s">
        <v>131</v>
      </c>
      <c r="AI182">
        <v>45844</v>
      </c>
      <c r="AJ182">
        <v>45844</v>
      </c>
      <c r="AK182" t="s">
        <v>104</v>
      </c>
      <c r="AL182" t="s">
        <v>105</v>
      </c>
      <c r="AM182" t="s">
        <v>106</v>
      </c>
      <c r="AN182" t="s">
        <v>107</v>
      </c>
      <c r="AO182" t="s">
        <v>107</v>
      </c>
      <c r="AP182">
        <v>3000</v>
      </c>
      <c r="AQ182">
        <v>3000</v>
      </c>
      <c r="AR182">
        <v>0</v>
      </c>
      <c r="AS182" t="s">
        <v>107</v>
      </c>
      <c r="AT182" t="s">
        <v>108</v>
      </c>
      <c r="AU182" t="s">
        <v>162</v>
      </c>
      <c r="AV182" t="s">
        <v>163</v>
      </c>
      <c r="AW182" t="s">
        <v>111</v>
      </c>
      <c r="AY182" t="s">
        <v>971</v>
      </c>
      <c r="AZ182" t="s">
        <v>113</v>
      </c>
      <c r="BB182" t="s">
        <v>114</v>
      </c>
      <c r="BC182" t="s">
        <v>115</v>
      </c>
      <c r="BN182" t="s">
        <v>113</v>
      </c>
      <c r="BO182" t="s">
        <v>972</v>
      </c>
      <c r="BP182" t="s">
        <v>370</v>
      </c>
      <c r="BR182" t="s">
        <v>973</v>
      </c>
      <c r="BS182" t="s">
        <v>974</v>
      </c>
      <c r="BW182" t="s">
        <v>382</v>
      </c>
      <c r="BX182" t="s">
        <v>383</v>
      </c>
      <c r="BY182" t="s">
        <v>123</v>
      </c>
      <c r="BZ182" t="s">
        <v>124</v>
      </c>
    </row>
    <row r="183" spans="1:78" x14ac:dyDescent="0.3">
      <c r="A183" t="s">
        <v>12</v>
      </c>
      <c r="B183" t="s">
        <v>92</v>
      </c>
      <c r="C183" t="s">
        <v>93</v>
      </c>
      <c r="D183" t="s">
        <v>94</v>
      </c>
      <c r="E183" t="s">
        <v>95</v>
      </c>
      <c r="F183" t="s">
        <v>975</v>
      </c>
      <c r="G183">
        <v>372000</v>
      </c>
      <c r="H183">
        <v>372000</v>
      </c>
      <c r="AA183" t="s">
        <v>976</v>
      </c>
      <c r="AB183" t="s">
        <v>977</v>
      </c>
      <c r="AC183" t="s">
        <v>978</v>
      </c>
      <c r="AD183" t="s">
        <v>365</v>
      </c>
      <c r="AE183" t="s">
        <v>979</v>
      </c>
      <c r="AF183" t="s">
        <v>980</v>
      </c>
      <c r="AG183" t="s">
        <v>102</v>
      </c>
      <c r="AH183" t="s">
        <v>981</v>
      </c>
      <c r="AI183">
        <v>45878</v>
      </c>
      <c r="AJ183">
        <v>45878</v>
      </c>
      <c r="AK183" t="s">
        <v>104</v>
      </c>
      <c r="AL183" t="s">
        <v>105</v>
      </c>
      <c r="AM183" t="s">
        <v>982</v>
      </c>
      <c r="AN183" t="s">
        <v>107</v>
      </c>
      <c r="AO183" t="s">
        <v>107</v>
      </c>
      <c r="AP183">
        <v>18600</v>
      </c>
      <c r="AQ183">
        <v>18600</v>
      </c>
      <c r="AR183">
        <v>0</v>
      </c>
      <c r="AS183" t="s">
        <v>107</v>
      </c>
      <c r="AT183" t="s">
        <v>108</v>
      </c>
      <c r="AU183" t="s">
        <v>109</v>
      </c>
      <c r="AV183" t="s">
        <v>451</v>
      </c>
      <c r="AW183" t="s">
        <v>111</v>
      </c>
      <c r="AY183" t="s">
        <v>983</v>
      </c>
      <c r="AZ183" t="s">
        <v>113</v>
      </c>
      <c r="BB183" t="s">
        <v>114</v>
      </c>
      <c r="BC183" t="s">
        <v>115</v>
      </c>
      <c r="BN183" t="s">
        <v>113</v>
      </c>
      <c r="BO183" t="s">
        <v>984</v>
      </c>
      <c r="BP183" t="s">
        <v>370</v>
      </c>
      <c r="BR183" t="s">
        <v>985</v>
      </c>
      <c r="BS183" t="s">
        <v>986</v>
      </c>
      <c r="BW183" t="s">
        <v>382</v>
      </c>
      <c r="BX183" t="s">
        <v>383</v>
      </c>
      <c r="BY183" t="s">
        <v>123</v>
      </c>
      <c r="BZ183" t="s">
        <v>124</v>
      </c>
    </row>
    <row r="184" spans="1:78" x14ac:dyDescent="0.3">
      <c r="A184" t="s">
        <v>12</v>
      </c>
      <c r="B184" t="s">
        <v>92</v>
      </c>
      <c r="C184" t="s">
        <v>93</v>
      </c>
      <c r="D184" t="s">
        <v>94</v>
      </c>
      <c r="E184" t="s">
        <v>95</v>
      </c>
      <c r="F184" t="s">
        <v>503</v>
      </c>
      <c r="G184">
        <v>545000</v>
      </c>
      <c r="H184">
        <v>545000</v>
      </c>
      <c r="I184" t="s">
        <v>93</v>
      </c>
      <c r="J184" t="s">
        <v>94</v>
      </c>
      <c r="K184" t="s">
        <v>202</v>
      </c>
      <c r="L184" t="s">
        <v>987</v>
      </c>
      <c r="M184">
        <v>50800</v>
      </c>
      <c r="N184">
        <v>50800</v>
      </c>
      <c r="AA184" t="s">
        <v>988</v>
      </c>
      <c r="AB184" t="s">
        <v>989</v>
      </c>
      <c r="AC184" t="s">
        <v>990</v>
      </c>
      <c r="AD184" t="s">
        <v>365</v>
      </c>
      <c r="AE184" t="s">
        <v>991</v>
      </c>
      <c r="AF184" t="s">
        <v>992</v>
      </c>
      <c r="AG184" t="s">
        <v>102</v>
      </c>
      <c r="AH184" t="s">
        <v>993</v>
      </c>
      <c r="AI184">
        <v>45831</v>
      </c>
      <c r="AJ184">
        <v>45831</v>
      </c>
      <c r="AK184" t="s">
        <v>104</v>
      </c>
      <c r="AL184" t="s">
        <v>105</v>
      </c>
      <c r="AM184" t="s">
        <v>106</v>
      </c>
      <c r="AN184" t="s">
        <v>107</v>
      </c>
      <c r="AO184" t="s">
        <v>107</v>
      </c>
      <c r="AP184">
        <v>3000</v>
      </c>
      <c r="AQ184">
        <v>3000</v>
      </c>
      <c r="AR184">
        <v>0</v>
      </c>
      <c r="AS184" t="s">
        <v>107</v>
      </c>
      <c r="AT184" t="s">
        <v>161</v>
      </c>
      <c r="AU184" t="s">
        <v>109</v>
      </c>
      <c r="AV184" t="s">
        <v>451</v>
      </c>
      <c r="AW184" t="s">
        <v>111</v>
      </c>
      <c r="AY184" t="s">
        <v>994</v>
      </c>
      <c r="AZ184" t="s">
        <v>113</v>
      </c>
      <c r="BB184" t="s">
        <v>114</v>
      </c>
      <c r="BC184" t="s">
        <v>115</v>
      </c>
      <c r="BN184" t="s">
        <v>113</v>
      </c>
      <c r="BO184" t="s">
        <v>995</v>
      </c>
      <c r="BP184" t="s">
        <v>370</v>
      </c>
      <c r="BR184" t="s">
        <v>302</v>
      </c>
      <c r="BS184" t="s">
        <v>996</v>
      </c>
      <c r="BW184" t="s">
        <v>382</v>
      </c>
      <c r="BX184" t="s">
        <v>383</v>
      </c>
      <c r="BY184" t="s">
        <v>123</v>
      </c>
      <c r="BZ184" t="s">
        <v>124</v>
      </c>
    </row>
    <row r="185" spans="1:78" x14ac:dyDescent="0.3">
      <c r="A185" t="s">
        <v>12</v>
      </c>
      <c r="B185" t="s">
        <v>92</v>
      </c>
      <c r="C185" t="s">
        <v>93</v>
      </c>
      <c r="D185" t="s">
        <v>94</v>
      </c>
      <c r="E185" t="s">
        <v>95</v>
      </c>
      <c r="F185" t="s">
        <v>503</v>
      </c>
      <c r="G185">
        <v>545000</v>
      </c>
      <c r="H185">
        <v>545000</v>
      </c>
      <c r="I185" t="s">
        <v>93</v>
      </c>
      <c r="J185" t="s">
        <v>94</v>
      </c>
      <c r="K185" t="s">
        <v>202</v>
      </c>
      <c r="L185" t="s">
        <v>987</v>
      </c>
      <c r="M185">
        <v>50800</v>
      </c>
      <c r="N185">
        <v>50800</v>
      </c>
      <c r="AA185" t="s">
        <v>988</v>
      </c>
      <c r="AB185" t="s">
        <v>989</v>
      </c>
      <c r="AC185" t="s">
        <v>990</v>
      </c>
      <c r="AD185" t="s">
        <v>365</v>
      </c>
      <c r="AE185" t="s">
        <v>991</v>
      </c>
      <c r="AF185" t="s">
        <v>992</v>
      </c>
      <c r="AG185" t="s">
        <v>102</v>
      </c>
      <c r="AH185" t="s">
        <v>993</v>
      </c>
      <c r="AI185">
        <v>45876</v>
      </c>
      <c r="AJ185">
        <v>45876</v>
      </c>
      <c r="AK185" t="s">
        <v>137</v>
      </c>
      <c r="AL185" t="s">
        <v>105</v>
      </c>
      <c r="AM185" t="s">
        <v>997</v>
      </c>
      <c r="AN185" t="s">
        <v>107</v>
      </c>
      <c r="AO185" t="s">
        <v>107</v>
      </c>
      <c r="AP185">
        <v>72000</v>
      </c>
      <c r="AQ185">
        <v>72000</v>
      </c>
      <c r="AR185">
        <v>0</v>
      </c>
      <c r="AS185" t="s">
        <v>107</v>
      </c>
      <c r="AT185" t="s">
        <v>161</v>
      </c>
      <c r="AU185" t="s">
        <v>109</v>
      </c>
      <c r="AV185" t="s">
        <v>451</v>
      </c>
      <c r="AW185" t="s">
        <v>111</v>
      </c>
      <c r="AY185" t="s">
        <v>998</v>
      </c>
      <c r="AZ185" t="s">
        <v>113</v>
      </c>
      <c r="BB185" t="s">
        <v>114</v>
      </c>
      <c r="BC185" t="s">
        <v>115</v>
      </c>
      <c r="BN185" t="s">
        <v>113</v>
      </c>
      <c r="BO185" t="s">
        <v>995</v>
      </c>
      <c r="BP185" t="s">
        <v>370</v>
      </c>
      <c r="BR185" t="s">
        <v>302</v>
      </c>
      <c r="BS185" t="s">
        <v>999</v>
      </c>
      <c r="BW185" t="s">
        <v>382</v>
      </c>
      <c r="BX185" t="s">
        <v>383</v>
      </c>
      <c r="BY185" t="s">
        <v>123</v>
      </c>
      <c r="BZ185" t="s">
        <v>124</v>
      </c>
    </row>
    <row r="186" spans="1:78" x14ac:dyDescent="0.3">
      <c r="A186" t="s">
        <v>12</v>
      </c>
      <c r="B186" t="s">
        <v>92</v>
      </c>
      <c r="C186" t="s">
        <v>93</v>
      </c>
      <c r="D186" t="s">
        <v>94</v>
      </c>
      <c r="E186" t="s">
        <v>95</v>
      </c>
      <c r="F186" t="s">
        <v>503</v>
      </c>
      <c r="G186">
        <v>545000</v>
      </c>
      <c r="H186">
        <v>545000</v>
      </c>
      <c r="I186" t="s">
        <v>93</v>
      </c>
      <c r="J186" t="s">
        <v>94</v>
      </c>
      <c r="K186" t="s">
        <v>202</v>
      </c>
      <c r="L186" t="s">
        <v>987</v>
      </c>
      <c r="M186">
        <v>50800</v>
      </c>
      <c r="N186">
        <v>50800</v>
      </c>
      <c r="AA186" t="s">
        <v>988</v>
      </c>
      <c r="AB186" t="s">
        <v>989</v>
      </c>
      <c r="AC186" t="s">
        <v>990</v>
      </c>
      <c r="AD186" t="s">
        <v>365</v>
      </c>
      <c r="AE186" t="s">
        <v>991</v>
      </c>
      <c r="AF186" t="s">
        <v>992</v>
      </c>
      <c r="AG186" t="s">
        <v>102</v>
      </c>
      <c r="AH186" t="s">
        <v>993</v>
      </c>
      <c r="AI186">
        <v>45883</v>
      </c>
      <c r="AJ186">
        <v>45883</v>
      </c>
      <c r="AK186" t="s">
        <v>137</v>
      </c>
      <c r="AL186" t="s">
        <v>142</v>
      </c>
      <c r="AM186" t="s">
        <v>1000</v>
      </c>
      <c r="AN186" t="s">
        <v>107</v>
      </c>
      <c r="AO186" t="s">
        <v>107</v>
      </c>
      <c r="AP186">
        <v>70000</v>
      </c>
      <c r="AQ186">
        <v>70000</v>
      </c>
      <c r="AR186">
        <v>0</v>
      </c>
      <c r="AS186" t="s">
        <v>107</v>
      </c>
      <c r="AT186" t="s">
        <v>161</v>
      </c>
      <c r="AU186" t="s">
        <v>109</v>
      </c>
      <c r="AV186" t="s">
        <v>451</v>
      </c>
      <c r="AW186" t="s">
        <v>111</v>
      </c>
      <c r="AY186" t="s">
        <v>1001</v>
      </c>
      <c r="AZ186" t="s">
        <v>113</v>
      </c>
      <c r="BB186" t="s">
        <v>114</v>
      </c>
      <c r="BC186" t="s">
        <v>115</v>
      </c>
      <c r="BN186" t="s">
        <v>113</v>
      </c>
      <c r="BO186" t="s">
        <v>995</v>
      </c>
      <c r="BP186" t="s">
        <v>370</v>
      </c>
      <c r="BR186" t="s">
        <v>302</v>
      </c>
      <c r="BS186" t="s">
        <v>1002</v>
      </c>
      <c r="BW186" t="s">
        <v>382</v>
      </c>
      <c r="BX186" t="s">
        <v>383</v>
      </c>
      <c r="BY186" t="s">
        <v>123</v>
      </c>
      <c r="BZ186" t="s">
        <v>124</v>
      </c>
    </row>
    <row r="187" spans="1:78" x14ac:dyDescent="0.3">
      <c r="A187" t="s">
        <v>12</v>
      </c>
      <c r="B187" t="s">
        <v>92</v>
      </c>
      <c r="C187" t="s">
        <v>93</v>
      </c>
      <c r="D187" t="s">
        <v>94</v>
      </c>
      <c r="E187" t="s">
        <v>95</v>
      </c>
      <c r="F187" t="s">
        <v>503</v>
      </c>
      <c r="G187">
        <v>545000</v>
      </c>
      <c r="H187">
        <v>545000</v>
      </c>
      <c r="I187" t="s">
        <v>93</v>
      </c>
      <c r="J187" t="s">
        <v>94</v>
      </c>
      <c r="K187" t="s">
        <v>202</v>
      </c>
      <c r="L187" t="s">
        <v>987</v>
      </c>
      <c r="M187">
        <v>50800</v>
      </c>
      <c r="N187">
        <v>50800</v>
      </c>
      <c r="AA187" t="s">
        <v>988</v>
      </c>
      <c r="AB187" t="s">
        <v>989</v>
      </c>
      <c r="AC187" t="s">
        <v>990</v>
      </c>
      <c r="AD187" t="s">
        <v>365</v>
      </c>
      <c r="AE187" t="s">
        <v>991</v>
      </c>
      <c r="AF187" t="s">
        <v>992</v>
      </c>
      <c r="AG187" t="s">
        <v>102</v>
      </c>
      <c r="AH187" t="s">
        <v>993</v>
      </c>
      <c r="AI187">
        <v>45944</v>
      </c>
      <c r="AJ187">
        <v>45883</v>
      </c>
      <c r="AK187" t="s">
        <v>137</v>
      </c>
      <c r="AL187" t="s">
        <v>146</v>
      </c>
      <c r="AM187" t="s">
        <v>1003</v>
      </c>
      <c r="AN187" t="s">
        <v>107</v>
      </c>
      <c r="AO187" t="s">
        <v>107</v>
      </c>
      <c r="AP187">
        <v>95000</v>
      </c>
      <c r="AQ187">
        <v>95000</v>
      </c>
      <c r="AR187">
        <v>0</v>
      </c>
      <c r="AS187" t="s">
        <v>107</v>
      </c>
      <c r="AT187" t="s">
        <v>161</v>
      </c>
      <c r="AU187" t="s">
        <v>109</v>
      </c>
      <c r="AV187" t="s">
        <v>451</v>
      </c>
      <c r="AW187" t="s">
        <v>111</v>
      </c>
      <c r="AY187" t="s">
        <v>1001</v>
      </c>
      <c r="AZ187" t="s">
        <v>113</v>
      </c>
      <c r="BB187" t="s">
        <v>114</v>
      </c>
      <c r="BC187" t="s">
        <v>115</v>
      </c>
      <c r="BN187" t="s">
        <v>113</v>
      </c>
      <c r="BO187" t="s">
        <v>995</v>
      </c>
      <c r="BP187" t="s">
        <v>370</v>
      </c>
      <c r="BR187" t="s">
        <v>302</v>
      </c>
      <c r="BS187" t="s">
        <v>1004</v>
      </c>
      <c r="BW187" t="s">
        <v>382</v>
      </c>
      <c r="BX187" t="s">
        <v>383</v>
      </c>
      <c r="BY187" t="s">
        <v>123</v>
      </c>
      <c r="BZ187" t="s">
        <v>124</v>
      </c>
    </row>
    <row r="188" spans="1:78" x14ac:dyDescent="0.3">
      <c r="A188" t="s">
        <v>12</v>
      </c>
      <c r="B188" t="s">
        <v>92</v>
      </c>
      <c r="C188" t="s">
        <v>93</v>
      </c>
      <c r="D188" t="s">
        <v>94</v>
      </c>
      <c r="E188" t="s">
        <v>95</v>
      </c>
      <c r="F188" t="s">
        <v>503</v>
      </c>
      <c r="G188">
        <v>545000</v>
      </c>
      <c r="H188">
        <v>545000</v>
      </c>
      <c r="I188" t="s">
        <v>93</v>
      </c>
      <c r="J188" t="s">
        <v>94</v>
      </c>
      <c r="K188" t="s">
        <v>202</v>
      </c>
      <c r="L188" t="s">
        <v>987</v>
      </c>
      <c r="M188">
        <v>50800</v>
      </c>
      <c r="N188">
        <v>50800</v>
      </c>
      <c r="AA188" t="s">
        <v>988</v>
      </c>
      <c r="AB188" t="s">
        <v>989</v>
      </c>
      <c r="AC188" t="s">
        <v>990</v>
      </c>
      <c r="AD188" t="s">
        <v>365</v>
      </c>
      <c r="AE188" t="s">
        <v>991</v>
      </c>
      <c r="AF188" t="s">
        <v>992</v>
      </c>
      <c r="AG188" t="s">
        <v>102</v>
      </c>
      <c r="AH188" t="s">
        <v>993</v>
      </c>
      <c r="AI188">
        <v>45930</v>
      </c>
      <c r="AJ188">
        <v>45896</v>
      </c>
      <c r="AK188" t="s">
        <v>218</v>
      </c>
      <c r="AL188" t="s">
        <v>105</v>
      </c>
      <c r="AM188" t="s">
        <v>1005</v>
      </c>
      <c r="AN188" t="s">
        <v>107</v>
      </c>
      <c r="AO188" t="s">
        <v>107</v>
      </c>
      <c r="AP188">
        <v>6800</v>
      </c>
      <c r="AQ188">
        <v>6800</v>
      </c>
      <c r="AR188">
        <v>0</v>
      </c>
      <c r="AS188" t="s">
        <v>107</v>
      </c>
      <c r="AT188" t="s">
        <v>161</v>
      </c>
      <c r="AU188" t="s">
        <v>109</v>
      </c>
      <c r="AV188" t="s">
        <v>451</v>
      </c>
      <c r="AW188" t="s">
        <v>111</v>
      </c>
      <c r="AX188" t="s">
        <v>895</v>
      </c>
      <c r="AY188" t="s">
        <v>1006</v>
      </c>
      <c r="AZ188" t="s">
        <v>113</v>
      </c>
      <c r="BA188" t="s">
        <v>133</v>
      </c>
      <c r="BB188" t="s">
        <v>114</v>
      </c>
      <c r="BC188" t="s">
        <v>115</v>
      </c>
      <c r="BN188" t="s">
        <v>116</v>
      </c>
      <c r="BO188" t="s">
        <v>995</v>
      </c>
      <c r="BP188" t="s">
        <v>370</v>
      </c>
      <c r="BR188" t="s">
        <v>302</v>
      </c>
      <c r="BS188" t="s">
        <v>1007</v>
      </c>
      <c r="BW188" t="s">
        <v>382</v>
      </c>
      <c r="BX188" t="s">
        <v>383</v>
      </c>
      <c r="BY188" t="s">
        <v>123</v>
      </c>
      <c r="BZ188" t="s">
        <v>124</v>
      </c>
    </row>
    <row r="189" spans="1:78" x14ac:dyDescent="0.3">
      <c r="A189" t="s">
        <v>12</v>
      </c>
      <c r="B189" t="s">
        <v>92</v>
      </c>
      <c r="C189" t="s">
        <v>93</v>
      </c>
      <c r="D189" t="s">
        <v>94</v>
      </c>
      <c r="E189" t="s">
        <v>95</v>
      </c>
      <c r="F189" t="s">
        <v>503</v>
      </c>
      <c r="G189">
        <v>545000</v>
      </c>
      <c r="H189">
        <v>545000</v>
      </c>
      <c r="I189" t="s">
        <v>93</v>
      </c>
      <c r="J189" t="s">
        <v>94</v>
      </c>
      <c r="K189" t="s">
        <v>202</v>
      </c>
      <c r="L189" t="s">
        <v>987</v>
      </c>
      <c r="M189">
        <v>50800</v>
      </c>
      <c r="N189">
        <v>50800</v>
      </c>
      <c r="AA189" t="s">
        <v>988</v>
      </c>
      <c r="AB189" t="s">
        <v>989</v>
      </c>
      <c r="AC189" t="s">
        <v>990</v>
      </c>
      <c r="AD189" t="s">
        <v>365</v>
      </c>
      <c r="AE189" t="s">
        <v>991</v>
      </c>
      <c r="AF189" t="s">
        <v>992</v>
      </c>
      <c r="AG189" t="s">
        <v>102</v>
      </c>
      <c r="AH189" t="s">
        <v>993</v>
      </c>
      <c r="AI189">
        <v>45960</v>
      </c>
      <c r="AJ189">
        <v>45932</v>
      </c>
      <c r="AK189" t="s">
        <v>218</v>
      </c>
      <c r="AL189" t="s">
        <v>142</v>
      </c>
      <c r="AM189" t="s">
        <v>1008</v>
      </c>
      <c r="AN189" t="s">
        <v>107</v>
      </c>
      <c r="AO189" t="s">
        <v>107</v>
      </c>
      <c r="AP189">
        <v>7500</v>
      </c>
      <c r="AQ189">
        <v>7500</v>
      </c>
      <c r="AR189">
        <v>0</v>
      </c>
      <c r="AS189" t="s">
        <v>107</v>
      </c>
      <c r="AT189" t="s">
        <v>161</v>
      </c>
      <c r="AU189" t="s">
        <v>109</v>
      </c>
      <c r="AV189" t="s">
        <v>451</v>
      </c>
      <c r="AW189" t="s">
        <v>111</v>
      </c>
      <c r="AX189" t="s">
        <v>895</v>
      </c>
      <c r="AY189" t="s">
        <v>1009</v>
      </c>
      <c r="AZ189" t="s">
        <v>113</v>
      </c>
      <c r="BA189" t="s">
        <v>133</v>
      </c>
      <c r="BB189" t="s">
        <v>114</v>
      </c>
      <c r="BC189" t="s">
        <v>115</v>
      </c>
      <c r="BN189" t="s">
        <v>116</v>
      </c>
      <c r="BO189" t="s">
        <v>995</v>
      </c>
      <c r="BP189" t="s">
        <v>370</v>
      </c>
      <c r="BR189" t="s">
        <v>302</v>
      </c>
      <c r="BS189" t="s">
        <v>1010</v>
      </c>
      <c r="BW189" t="s">
        <v>382</v>
      </c>
      <c r="BX189" t="s">
        <v>383</v>
      </c>
      <c r="BY189" t="s">
        <v>123</v>
      </c>
      <c r="BZ189" t="s">
        <v>124</v>
      </c>
    </row>
    <row r="190" spans="1:78" x14ac:dyDescent="0.3">
      <c r="A190" t="s">
        <v>12</v>
      </c>
      <c r="B190" t="s">
        <v>92</v>
      </c>
      <c r="C190" t="s">
        <v>93</v>
      </c>
      <c r="D190" t="s">
        <v>94</v>
      </c>
      <c r="E190" t="s">
        <v>95</v>
      </c>
      <c r="F190" t="s">
        <v>503</v>
      </c>
      <c r="G190">
        <v>545000</v>
      </c>
      <c r="H190">
        <v>545000</v>
      </c>
      <c r="I190" t="s">
        <v>93</v>
      </c>
      <c r="J190" t="s">
        <v>94</v>
      </c>
      <c r="K190" t="s">
        <v>202</v>
      </c>
      <c r="L190" t="s">
        <v>987</v>
      </c>
      <c r="M190">
        <v>50800</v>
      </c>
      <c r="N190">
        <v>50800</v>
      </c>
      <c r="AA190" t="s">
        <v>988</v>
      </c>
      <c r="AB190" t="s">
        <v>989</v>
      </c>
      <c r="AC190" t="s">
        <v>990</v>
      </c>
      <c r="AD190" t="s">
        <v>365</v>
      </c>
      <c r="AE190" t="s">
        <v>991</v>
      </c>
      <c r="AF190" t="s">
        <v>992</v>
      </c>
      <c r="AG190" t="s">
        <v>102</v>
      </c>
      <c r="AH190" t="s">
        <v>993</v>
      </c>
      <c r="AI190">
        <v>45991</v>
      </c>
      <c r="AJ190">
        <v>45964</v>
      </c>
      <c r="AK190" t="s">
        <v>218</v>
      </c>
      <c r="AL190" t="s">
        <v>146</v>
      </c>
      <c r="AM190" t="s">
        <v>1008</v>
      </c>
      <c r="AN190" t="s">
        <v>107</v>
      </c>
      <c r="AO190" t="s">
        <v>107</v>
      </c>
      <c r="AP190">
        <v>7500</v>
      </c>
      <c r="AQ190">
        <v>7500</v>
      </c>
      <c r="AR190">
        <v>0</v>
      </c>
      <c r="AS190" t="s">
        <v>107</v>
      </c>
      <c r="AT190" t="s">
        <v>161</v>
      </c>
      <c r="AU190" t="s">
        <v>109</v>
      </c>
      <c r="AV190" t="s">
        <v>451</v>
      </c>
      <c r="AW190" t="s">
        <v>111</v>
      </c>
      <c r="AY190" t="s">
        <v>1011</v>
      </c>
      <c r="AZ190" t="s">
        <v>113</v>
      </c>
      <c r="BB190" t="s">
        <v>114</v>
      </c>
      <c r="BC190" t="s">
        <v>115</v>
      </c>
      <c r="BN190" t="s">
        <v>113</v>
      </c>
      <c r="BO190" t="s">
        <v>995</v>
      </c>
      <c r="BP190" t="s">
        <v>370</v>
      </c>
      <c r="BR190" t="s">
        <v>302</v>
      </c>
      <c r="BS190" t="s">
        <v>1012</v>
      </c>
      <c r="BW190" t="s">
        <v>382</v>
      </c>
      <c r="BX190" t="s">
        <v>383</v>
      </c>
      <c r="BY190" t="s">
        <v>123</v>
      </c>
      <c r="BZ190" t="s">
        <v>124</v>
      </c>
    </row>
    <row r="191" spans="1:78" x14ac:dyDescent="0.3">
      <c r="A191" t="s">
        <v>12</v>
      </c>
      <c r="B191" t="s">
        <v>92</v>
      </c>
      <c r="C191" t="s">
        <v>93</v>
      </c>
      <c r="D191" t="s">
        <v>94</v>
      </c>
      <c r="E191" t="s">
        <v>95</v>
      </c>
      <c r="F191" t="s">
        <v>503</v>
      </c>
      <c r="G191">
        <v>545000</v>
      </c>
      <c r="H191">
        <v>545000</v>
      </c>
      <c r="I191" t="s">
        <v>93</v>
      </c>
      <c r="J191" t="s">
        <v>94</v>
      </c>
      <c r="K191" t="s">
        <v>202</v>
      </c>
      <c r="L191" t="s">
        <v>987</v>
      </c>
      <c r="M191">
        <v>50800</v>
      </c>
      <c r="N191">
        <v>50800</v>
      </c>
      <c r="AA191" t="s">
        <v>988</v>
      </c>
      <c r="AB191" t="s">
        <v>989</v>
      </c>
      <c r="AC191" t="s">
        <v>990</v>
      </c>
      <c r="AD191" t="s">
        <v>365</v>
      </c>
      <c r="AE191" t="s">
        <v>991</v>
      </c>
      <c r="AF191" t="s">
        <v>992</v>
      </c>
      <c r="AG191" t="s">
        <v>102</v>
      </c>
      <c r="AH191" t="s">
        <v>993</v>
      </c>
      <c r="AI191">
        <v>46021</v>
      </c>
      <c r="AJ191">
        <v>46021</v>
      </c>
      <c r="AK191" t="s">
        <v>218</v>
      </c>
      <c r="AL191" t="s">
        <v>152</v>
      </c>
      <c r="AM191" t="s">
        <v>797</v>
      </c>
      <c r="AN191" t="s">
        <v>107</v>
      </c>
      <c r="AO191" t="s">
        <v>107</v>
      </c>
      <c r="AP191">
        <v>6000</v>
      </c>
      <c r="AQ191">
        <v>6000</v>
      </c>
      <c r="AR191">
        <v>0</v>
      </c>
      <c r="AS191" t="s">
        <v>107</v>
      </c>
      <c r="AT191" t="s">
        <v>161</v>
      </c>
      <c r="AU191" t="s">
        <v>109</v>
      </c>
      <c r="AV191" t="s">
        <v>451</v>
      </c>
      <c r="AW191" t="s">
        <v>288</v>
      </c>
      <c r="AX191" t="s">
        <v>895</v>
      </c>
      <c r="AY191" t="s">
        <v>1013</v>
      </c>
      <c r="AZ191" t="s">
        <v>113</v>
      </c>
      <c r="BA191" t="s">
        <v>133</v>
      </c>
      <c r="BB191" t="s">
        <v>114</v>
      </c>
      <c r="BC191" t="s">
        <v>115</v>
      </c>
      <c r="BN191" t="s">
        <v>116</v>
      </c>
      <c r="BO191" t="s">
        <v>995</v>
      </c>
      <c r="BP191" t="s">
        <v>370</v>
      </c>
      <c r="BR191" t="s">
        <v>302</v>
      </c>
      <c r="BS191" t="s">
        <v>1014</v>
      </c>
      <c r="BW191" t="s">
        <v>382</v>
      </c>
      <c r="BX191" t="s">
        <v>383</v>
      </c>
      <c r="BY191" t="s">
        <v>123</v>
      </c>
      <c r="BZ191" t="s">
        <v>124</v>
      </c>
    </row>
    <row r="192" spans="1:78" x14ac:dyDescent="0.3">
      <c r="A192" t="s">
        <v>11</v>
      </c>
      <c r="B192" t="s">
        <v>92</v>
      </c>
      <c r="C192" t="s">
        <v>93</v>
      </c>
      <c r="D192" t="s">
        <v>94</v>
      </c>
      <c r="E192" t="s">
        <v>95</v>
      </c>
      <c r="F192" t="s">
        <v>1015</v>
      </c>
      <c r="G192">
        <v>460000</v>
      </c>
      <c r="H192">
        <v>460000</v>
      </c>
      <c r="I192" t="s">
        <v>93</v>
      </c>
      <c r="J192" t="s">
        <v>94</v>
      </c>
      <c r="K192" t="s">
        <v>202</v>
      </c>
      <c r="L192" t="s">
        <v>987</v>
      </c>
      <c r="M192">
        <v>47500</v>
      </c>
      <c r="N192">
        <v>47500</v>
      </c>
      <c r="O192" t="s">
        <v>93</v>
      </c>
      <c r="P192" t="s">
        <v>94</v>
      </c>
      <c r="Q192" t="s">
        <v>1016</v>
      </c>
      <c r="R192" t="s">
        <v>1017</v>
      </c>
      <c r="S192">
        <v>21700</v>
      </c>
      <c r="T192">
        <v>21700</v>
      </c>
      <c r="U192" t="s">
        <v>93</v>
      </c>
      <c r="V192" t="s">
        <v>94</v>
      </c>
      <c r="W192" t="s">
        <v>1016</v>
      </c>
      <c r="X192" t="s">
        <v>1018</v>
      </c>
      <c r="Y192">
        <v>9500</v>
      </c>
      <c r="Z192">
        <v>9500</v>
      </c>
      <c r="AA192" t="s">
        <v>1019</v>
      </c>
      <c r="AB192" t="s">
        <v>1020</v>
      </c>
      <c r="AC192" t="s">
        <v>1021</v>
      </c>
      <c r="AE192" t="s">
        <v>1022</v>
      </c>
      <c r="AF192" t="s">
        <v>1023</v>
      </c>
      <c r="AG192" t="s">
        <v>102</v>
      </c>
      <c r="AH192" t="s">
        <v>326</v>
      </c>
      <c r="AI192">
        <v>45756</v>
      </c>
      <c r="AJ192">
        <v>45756</v>
      </c>
      <c r="AK192" t="s">
        <v>104</v>
      </c>
      <c r="AL192" t="s">
        <v>105</v>
      </c>
      <c r="AM192" t="s">
        <v>106</v>
      </c>
      <c r="AN192" t="s">
        <v>107</v>
      </c>
      <c r="AO192" t="s">
        <v>107</v>
      </c>
      <c r="AP192">
        <v>3000</v>
      </c>
      <c r="AQ192">
        <v>3000</v>
      </c>
      <c r="AR192">
        <v>0</v>
      </c>
      <c r="AS192" t="s">
        <v>107</v>
      </c>
      <c r="AT192" t="s">
        <v>161</v>
      </c>
      <c r="AU192" t="s">
        <v>162</v>
      </c>
      <c r="AV192" t="s">
        <v>163</v>
      </c>
      <c r="AW192" t="s">
        <v>209</v>
      </c>
      <c r="AY192" t="s">
        <v>1024</v>
      </c>
      <c r="AZ192" t="s">
        <v>113</v>
      </c>
      <c r="BB192" t="s">
        <v>211</v>
      </c>
      <c r="BC192" t="s">
        <v>115</v>
      </c>
      <c r="BN192" t="s">
        <v>113</v>
      </c>
      <c r="BO192" t="s">
        <v>1025</v>
      </c>
      <c r="BP192" t="s">
        <v>166</v>
      </c>
      <c r="BR192" t="s">
        <v>574</v>
      </c>
      <c r="BS192" t="s">
        <v>1026</v>
      </c>
      <c r="BW192" t="s">
        <v>382</v>
      </c>
      <c r="BX192" t="s">
        <v>383</v>
      </c>
      <c r="BY192" t="s">
        <v>123</v>
      </c>
      <c r="BZ192" t="s">
        <v>124</v>
      </c>
    </row>
    <row r="193" spans="1:78" x14ac:dyDescent="0.3">
      <c r="A193" t="s">
        <v>11</v>
      </c>
      <c r="B193" t="s">
        <v>92</v>
      </c>
      <c r="C193" t="s">
        <v>93</v>
      </c>
      <c r="D193" t="s">
        <v>94</v>
      </c>
      <c r="E193" t="s">
        <v>95</v>
      </c>
      <c r="F193" t="s">
        <v>1015</v>
      </c>
      <c r="G193">
        <v>460000</v>
      </c>
      <c r="H193">
        <v>460000</v>
      </c>
      <c r="I193" t="s">
        <v>93</v>
      </c>
      <c r="J193" t="s">
        <v>94</v>
      </c>
      <c r="K193" t="s">
        <v>202</v>
      </c>
      <c r="L193" t="s">
        <v>987</v>
      </c>
      <c r="M193">
        <v>47500</v>
      </c>
      <c r="N193">
        <v>47500</v>
      </c>
      <c r="O193" t="s">
        <v>93</v>
      </c>
      <c r="P193" t="s">
        <v>94</v>
      </c>
      <c r="Q193" t="s">
        <v>1016</v>
      </c>
      <c r="R193" t="s">
        <v>1017</v>
      </c>
      <c r="S193">
        <v>21700</v>
      </c>
      <c r="T193">
        <v>21700</v>
      </c>
      <c r="U193" t="s">
        <v>93</v>
      </c>
      <c r="V193" t="s">
        <v>94</v>
      </c>
      <c r="W193" t="s">
        <v>1016</v>
      </c>
      <c r="X193" t="s">
        <v>1018</v>
      </c>
      <c r="Y193">
        <v>9500</v>
      </c>
      <c r="Z193">
        <v>9500</v>
      </c>
      <c r="AA193" t="s">
        <v>1019</v>
      </c>
      <c r="AB193" t="s">
        <v>1020</v>
      </c>
      <c r="AC193" t="s">
        <v>1021</v>
      </c>
      <c r="AE193" t="s">
        <v>1022</v>
      </c>
      <c r="AF193" t="s">
        <v>1023</v>
      </c>
      <c r="AG193" t="s">
        <v>102</v>
      </c>
      <c r="AH193" t="s">
        <v>326</v>
      </c>
      <c r="AI193">
        <v>45761</v>
      </c>
      <c r="AJ193">
        <v>45761</v>
      </c>
      <c r="AK193" t="s">
        <v>137</v>
      </c>
      <c r="AL193" t="s">
        <v>142</v>
      </c>
      <c r="AM193" t="s">
        <v>1027</v>
      </c>
      <c r="AN193" t="s">
        <v>107</v>
      </c>
      <c r="AO193" t="s">
        <v>107</v>
      </c>
      <c r="AP193">
        <v>104340</v>
      </c>
      <c r="AQ193">
        <v>104340</v>
      </c>
      <c r="AR193">
        <v>0</v>
      </c>
      <c r="AS193" t="s">
        <v>107</v>
      </c>
      <c r="AT193" t="s">
        <v>161</v>
      </c>
      <c r="AU193" t="s">
        <v>162</v>
      </c>
      <c r="AV193" t="s">
        <v>163</v>
      </c>
      <c r="AW193" t="s">
        <v>288</v>
      </c>
      <c r="AY193" t="s">
        <v>1028</v>
      </c>
      <c r="AZ193" t="s">
        <v>113</v>
      </c>
      <c r="BB193" t="s">
        <v>211</v>
      </c>
      <c r="BC193" t="s">
        <v>115</v>
      </c>
      <c r="BN193" t="s">
        <v>113</v>
      </c>
      <c r="BO193" t="s">
        <v>1025</v>
      </c>
      <c r="BP193" t="s">
        <v>166</v>
      </c>
      <c r="BR193" t="s">
        <v>574</v>
      </c>
      <c r="BS193" t="s">
        <v>1026</v>
      </c>
      <c r="BW193" t="s">
        <v>382</v>
      </c>
      <c r="BX193" t="s">
        <v>383</v>
      </c>
      <c r="BY193" t="s">
        <v>123</v>
      </c>
      <c r="BZ193" t="s">
        <v>124</v>
      </c>
    </row>
    <row r="194" spans="1:78" x14ac:dyDescent="0.3">
      <c r="A194" t="s">
        <v>11</v>
      </c>
      <c r="B194" t="s">
        <v>92</v>
      </c>
      <c r="C194" t="s">
        <v>93</v>
      </c>
      <c r="D194" t="s">
        <v>94</v>
      </c>
      <c r="E194" t="s">
        <v>95</v>
      </c>
      <c r="F194" t="s">
        <v>1015</v>
      </c>
      <c r="G194">
        <v>460000</v>
      </c>
      <c r="H194">
        <v>460000</v>
      </c>
      <c r="I194" t="s">
        <v>93</v>
      </c>
      <c r="J194" t="s">
        <v>94</v>
      </c>
      <c r="K194" t="s">
        <v>202</v>
      </c>
      <c r="L194" t="s">
        <v>987</v>
      </c>
      <c r="M194">
        <v>47500</v>
      </c>
      <c r="N194">
        <v>47500</v>
      </c>
      <c r="O194" t="s">
        <v>93</v>
      </c>
      <c r="P194" t="s">
        <v>94</v>
      </c>
      <c r="Q194" t="s">
        <v>1016</v>
      </c>
      <c r="R194" t="s">
        <v>1017</v>
      </c>
      <c r="S194">
        <v>21700</v>
      </c>
      <c r="T194">
        <v>21700</v>
      </c>
      <c r="U194" t="s">
        <v>93</v>
      </c>
      <c r="V194" t="s">
        <v>94</v>
      </c>
      <c r="W194" t="s">
        <v>1016</v>
      </c>
      <c r="X194" t="s">
        <v>1018</v>
      </c>
      <c r="Y194">
        <v>9500</v>
      </c>
      <c r="Z194">
        <v>9500</v>
      </c>
      <c r="AA194" t="s">
        <v>1019</v>
      </c>
      <c r="AB194" t="s">
        <v>1020</v>
      </c>
      <c r="AC194" t="s">
        <v>1021</v>
      </c>
      <c r="AE194" t="s">
        <v>1022</v>
      </c>
      <c r="AF194" t="s">
        <v>1023</v>
      </c>
      <c r="AG194" t="s">
        <v>102</v>
      </c>
      <c r="AH194" t="s">
        <v>326</v>
      </c>
      <c r="AI194">
        <v>45800</v>
      </c>
      <c r="AJ194">
        <v>45800</v>
      </c>
      <c r="AK194" t="s">
        <v>137</v>
      </c>
      <c r="AL194" t="s">
        <v>146</v>
      </c>
      <c r="AM194" t="s">
        <v>1027</v>
      </c>
      <c r="AN194" t="s">
        <v>107</v>
      </c>
      <c r="AO194" t="s">
        <v>107</v>
      </c>
      <c r="AP194">
        <v>104340</v>
      </c>
      <c r="AQ194">
        <v>104340</v>
      </c>
      <c r="AR194">
        <v>0</v>
      </c>
      <c r="AS194" t="s">
        <v>107</v>
      </c>
      <c r="AT194" t="s">
        <v>161</v>
      </c>
      <c r="AU194" t="s">
        <v>162</v>
      </c>
      <c r="AV194" t="s">
        <v>163</v>
      </c>
      <c r="AW194" t="s">
        <v>288</v>
      </c>
      <c r="AY194" t="s">
        <v>1029</v>
      </c>
      <c r="AZ194" t="s">
        <v>113</v>
      </c>
      <c r="BB194" t="s">
        <v>211</v>
      </c>
      <c r="BC194" t="s">
        <v>115</v>
      </c>
      <c r="BN194" t="s">
        <v>113</v>
      </c>
      <c r="BO194" t="s">
        <v>1025</v>
      </c>
      <c r="BP194" t="s">
        <v>166</v>
      </c>
      <c r="BR194" t="s">
        <v>574</v>
      </c>
      <c r="BS194" t="s">
        <v>1026</v>
      </c>
      <c r="BW194" t="s">
        <v>382</v>
      </c>
      <c r="BX194" t="s">
        <v>383</v>
      </c>
      <c r="BY194" t="s">
        <v>123</v>
      </c>
      <c r="BZ194" t="s">
        <v>124</v>
      </c>
    </row>
    <row r="195" spans="1:78" x14ac:dyDescent="0.3">
      <c r="A195" t="s">
        <v>11</v>
      </c>
      <c r="B195" t="s">
        <v>92</v>
      </c>
      <c r="C195" t="s">
        <v>93</v>
      </c>
      <c r="D195" t="s">
        <v>94</v>
      </c>
      <c r="E195" t="s">
        <v>95</v>
      </c>
      <c r="F195" t="s">
        <v>1015</v>
      </c>
      <c r="G195">
        <v>460000</v>
      </c>
      <c r="H195">
        <v>460000</v>
      </c>
      <c r="I195" t="s">
        <v>93</v>
      </c>
      <c r="J195" t="s">
        <v>94</v>
      </c>
      <c r="K195" t="s">
        <v>202</v>
      </c>
      <c r="L195" t="s">
        <v>987</v>
      </c>
      <c r="M195">
        <v>47500</v>
      </c>
      <c r="N195">
        <v>47500</v>
      </c>
      <c r="O195" t="s">
        <v>93</v>
      </c>
      <c r="P195" t="s">
        <v>94</v>
      </c>
      <c r="Q195" t="s">
        <v>1016</v>
      </c>
      <c r="R195" t="s">
        <v>1017</v>
      </c>
      <c r="S195">
        <v>21700</v>
      </c>
      <c r="T195">
        <v>21700</v>
      </c>
      <c r="U195" t="s">
        <v>93</v>
      </c>
      <c r="V195" t="s">
        <v>94</v>
      </c>
      <c r="W195" t="s">
        <v>1016</v>
      </c>
      <c r="X195" t="s">
        <v>1018</v>
      </c>
      <c r="Y195">
        <v>9500</v>
      </c>
      <c r="Z195">
        <v>9500</v>
      </c>
      <c r="AA195" t="s">
        <v>1019</v>
      </c>
      <c r="AB195" t="s">
        <v>1020</v>
      </c>
      <c r="AC195" t="s">
        <v>1021</v>
      </c>
      <c r="AE195" t="s">
        <v>1022</v>
      </c>
      <c r="AF195" t="s">
        <v>1023</v>
      </c>
      <c r="AG195" t="s">
        <v>102</v>
      </c>
      <c r="AH195" t="s">
        <v>326</v>
      </c>
      <c r="AI195">
        <v>45800</v>
      </c>
      <c r="AJ195">
        <v>45800</v>
      </c>
      <c r="AK195" t="s">
        <v>218</v>
      </c>
      <c r="AL195" t="s">
        <v>152</v>
      </c>
      <c r="AM195" t="s">
        <v>1030</v>
      </c>
      <c r="AN195" t="s">
        <v>107</v>
      </c>
      <c r="AO195" t="s">
        <v>107</v>
      </c>
      <c r="AP195">
        <v>9500</v>
      </c>
      <c r="AQ195">
        <v>9500</v>
      </c>
      <c r="AR195">
        <v>0</v>
      </c>
      <c r="AS195" t="s">
        <v>107</v>
      </c>
      <c r="AT195" t="s">
        <v>161</v>
      </c>
      <c r="AU195" t="s">
        <v>162</v>
      </c>
      <c r="AV195" t="s">
        <v>163</v>
      </c>
      <c r="AW195" t="s">
        <v>288</v>
      </c>
      <c r="AY195" t="s">
        <v>1031</v>
      </c>
      <c r="AZ195" t="s">
        <v>113</v>
      </c>
      <c r="BB195" t="s">
        <v>211</v>
      </c>
      <c r="BC195" t="s">
        <v>115</v>
      </c>
      <c r="BN195" t="s">
        <v>113</v>
      </c>
      <c r="BO195" t="s">
        <v>1025</v>
      </c>
      <c r="BP195" t="s">
        <v>166</v>
      </c>
      <c r="BR195" t="s">
        <v>574</v>
      </c>
      <c r="BS195" t="s">
        <v>1026</v>
      </c>
      <c r="BW195" t="s">
        <v>382</v>
      </c>
      <c r="BX195" t="s">
        <v>383</v>
      </c>
      <c r="BY195" t="s">
        <v>123</v>
      </c>
      <c r="BZ195" t="s">
        <v>124</v>
      </c>
    </row>
    <row r="196" spans="1:78" x14ac:dyDescent="0.3">
      <c r="A196" t="s">
        <v>11</v>
      </c>
      <c r="B196" t="s">
        <v>92</v>
      </c>
      <c r="C196" t="s">
        <v>93</v>
      </c>
      <c r="D196" t="s">
        <v>94</v>
      </c>
      <c r="E196" t="s">
        <v>95</v>
      </c>
      <c r="F196" t="s">
        <v>1015</v>
      </c>
      <c r="G196">
        <v>460000</v>
      </c>
      <c r="H196">
        <v>460000</v>
      </c>
      <c r="I196" t="s">
        <v>93</v>
      </c>
      <c r="J196" t="s">
        <v>94</v>
      </c>
      <c r="K196" t="s">
        <v>202</v>
      </c>
      <c r="L196" t="s">
        <v>987</v>
      </c>
      <c r="M196">
        <v>47500</v>
      </c>
      <c r="N196">
        <v>47500</v>
      </c>
      <c r="O196" t="s">
        <v>93</v>
      </c>
      <c r="P196" t="s">
        <v>94</v>
      </c>
      <c r="Q196" t="s">
        <v>1016</v>
      </c>
      <c r="R196" t="s">
        <v>1017</v>
      </c>
      <c r="S196">
        <v>21700</v>
      </c>
      <c r="T196">
        <v>21700</v>
      </c>
      <c r="U196" t="s">
        <v>93</v>
      </c>
      <c r="V196" t="s">
        <v>94</v>
      </c>
      <c r="W196" t="s">
        <v>1016</v>
      </c>
      <c r="X196" t="s">
        <v>1018</v>
      </c>
      <c r="Y196">
        <v>9500</v>
      </c>
      <c r="Z196">
        <v>9500</v>
      </c>
      <c r="AA196" t="s">
        <v>1019</v>
      </c>
      <c r="AB196" t="s">
        <v>1020</v>
      </c>
      <c r="AC196" t="s">
        <v>1021</v>
      </c>
      <c r="AE196" t="s">
        <v>1022</v>
      </c>
      <c r="AF196" t="s">
        <v>1023</v>
      </c>
      <c r="AG196" t="s">
        <v>102</v>
      </c>
      <c r="AH196" t="s">
        <v>326</v>
      </c>
      <c r="AI196">
        <v>45819</v>
      </c>
      <c r="AJ196">
        <v>45819</v>
      </c>
      <c r="AK196" t="s">
        <v>218</v>
      </c>
      <c r="AL196" t="s">
        <v>584</v>
      </c>
      <c r="AM196" t="s">
        <v>1032</v>
      </c>
      <c r="AN196" t="s">
        <v>107</v>
      </c>
      <c r="AO196" t="s">
        <v>107</v>
      </c>
      <c r="AP196">
        <v>21168</v>
      </c>
      <c r="AQ196">
        <v>21168</v>
      </c>
      <c r="AR196">
        <v>0</v>
      </c>
      <c r="AS196" t="s">
        <v>107</v>
      </c>
      <c r="AT196" t="s">
        <v>161</v>
      </c>
      <c r="AU196" t="s">
        <v>162</v>
      </c>
      <c r="AV196" t="s">
        <v>163</v>
      </c>
      <c r="AW196" t="s">
        <v>288</v>
      </c>
      <c r="AY196" t="s">
        <v>1033</v>
      </c>
      <c r="AZ196" t="s">
        <v>113</v>
      </c>
      <c r="BB196" t="s">
        <v>211</v>
      </c>
      <c r="BC196" t="s">
        <v>115</v>
      </c>
      <c r="BN196" t="s">
        <v>113</v>
      </c>
      <c r="BO196" t="s">
        <v>1025</v>
      </c>
      <c r="BP196" t="s">
        <v>166</v>
      </c>
      <c r="BR196" t="s">
        <v>574</v>
      </c>
      <c r="BS196" t="s">
        <v>1026</v>
      </c>
      <c r="BW196" t="s">
        <v>382</v>
      </c>
      <c r="BX196" t="s">
        <v>383</v>
      </c>
      <c r="BY196" t="s">
        <v>123</v>
      </c>
      <c r="BZ196" t="s">
        <v>124</v>
      </c>
    </row>
    <row r="197" spans="1:78" x14ac:dyDescent="0.3">
      <c r="A197" t="s">
        <v>11</v>
      </c>
      <c r="B197" t="s">
        <v>92</v>
      </c>
      <c r="C197" t="s">
        <v>93</v>
      </c>
      <c r="D197" t="s">
        <v>94</v>
      </c>
      <c r="E197" t="s">
        <v>95</v>
      </c>
      <c r="F197" t="s">
        <v>1015</v>
      </c>
      <c r="G197">
        <v>460000</v>
      </c>
      <c r="H197">
        <v>460000</v>
      </c>
      <c r="I197" t="s">
        <v>93</v>
      </c>
      <c r="J197" t="s">
        <v>94</v>
      </c>
      <c r="K197" t="s">
        <v>202</v>
      </c>
      <c r="L197" t="s">
        <v>987</v>
      </c>
      <c r="M197">
        <v>47500</v>
      </c>
      <c r="N197">
        <v>47500</v>
      </c>
      <c r="O197" t="s">
        <v>93</v>
      </c>
      <c r="P197" t="s">
        <v>94</v>
      </c>
      <c r="Q197" t="s">
        <v>1016</v>
      </c>
      <c r="R197" t="s">
        <v>1017</v>
      </c>
      <c r="S197">
        <v>21700</v>
      </c>
      <c r="T197">
        <v>21700</v>
      </c>
      <c r="U197" t="s">
        <v>93</v>
      </c>
      <c r="V197" t="s">
        <v>94</v>
      </c>
      <c r="W197" t="s">
        <v>1016</v>
      </c>
      <c r="X197" t="s">
        <v>1018</v>
      </c>
      <c r="Y197">
        <v>9500</v>
      </c>
      <c r="Z197">
        <v>9500</v>
      </c>
      <c r="AA197" t="s">
        <v>1019</v>
      </c>
      <c r="AB197" t="s">
        <v>1020</v>
      </c>
      <c r="AC197" t="s">
        <v>1021</v>
      </c>
      <c r="AE197" t="s">
        <v>1022</v>
      </c>
      <c r="AF197" t="s">
        <v>1023</v>
      </c>
      <c r="AG197" t="s">
        <v>102</v>
      </c>
      <c r="AH197" t="s">
        <v>326</v>
      </c>
      <c r="AI197">
        <v>45819</v>
      </c>
      <c r="AJ197">
        <v>45819</v>
      </c>
      <c r="AK197" t="s">
        <v>218</v>
      </c>
      <c r="AL197" t="s">
        <v>397</v>
      </c>
      <c r="AM197" t="s">
        <v>1032</v>
      </c>
      <c r="AN197" t="s">
        <v>107</v>
      </c>
      <c r="AO197" t="s">
        <v>107</v>
      </c>
      <c r="AP197">
        <v>21168</v>
      </c>
      <c r="AQ197">
        <v>21168</v>
      </c>
      <c r="AR197">
        <v>0</v>
      </c>
      <c r="AS197" t="s">
        <v>107</v>
      </c>
      <c r="AT197" t="s">
        <v>161</v>
      </c>
      <c r="AU197" t="s">
        <v>162</v>
      </c>
      <c r="AV197" t="s">
        <v>163</v>
      </c>
      <c r="AW197" t="s">
        <v>288</v>
      </c>
      <c r="AY197" t="s">
        <v>1034</v>
      </c>
      <c r="AZ197" t="s">
        <v>113</v>
      </c>
      <c r="BB197" t="s">
        <v>211</v>
      </c>
      <c r="BC197" t="s">
        <v>115</v>
      </c>
      <c r="BN197" t="s">
        <v>113</v>
      </c>
      <c r="BO197" t="s">
        <v>1025</v>
      </c>
      <c r="BP197" t="s">
        <v>166</v>
      </c>
      <c r="BR197" t="s">
        <v>574</v>
      </c>
      <c r="BS197" t="s">
        <v>1026</v>
      </c>
      <c r="BW197" t="s">
        <v>382</v>
      </c>
      <c r="BX197" t="s">
        <v>383</v>
      </c>
      <c r="BY197" t="s">
        <v>123</v>
      </c>
      <c r="BZ197" t="s">
        <v>124</v>
      </c>
    </row>
    <row r="198" spans="1:78" x14ac:dyDescent="0.3">
      <c r="A198" t="s">
        <v>11</v>
      </c>
      <c r="B198" t="s">
        <v>92</v>
      </c>
      <c r="C198" t="s">
        <v>93</v>
      </c>
      <c r="D198" t="s">
        <v>94</v>
      </c>
      <c r="E198" t="s">
        <v>95</v>
      </c>
      <c r="F198" t="s">
        <v>1015</v>
      </c>
      <c r="G198">
        <v>460000</v>
      </c>
      <c r="H198">
        <v>460000</v>
      </c>
      <c r="I198" t="s">
        <v>93</v>
      </c>
      <c r="J198" t="s">
        <v>94</v>
      </c>
      <c r="K198" t="s">
        <v>202</v>
      </c>
      <c r="L198" t="s">
        <v>987</v>
      </c>
      <c r="M198">
        <v>47500</v>
      </c>
      <c r="N198">
        <v>47500</v>
      </c>
      <c r="O198" t="s">
        <v>93</v>
      </c>
      <c r="P198" t="s">
        <v>94</v>
      </c>
      <c r="Q198" t="s">
        <v>1016</v>
      </c>
      <c r="R198" t="s">
        <v>1017</v>
      </c>
      <c r="S198">
        <v>21700</v>
      </c>
      <c r="T198">
        <v>21700</v>
      </c>
      <c r="U198" t="s">
        <v>93</v>
      </c>
      <c r="V198" t="s">
        <v>94</v>
      </c>
      <c r="W198" t="s">
        <v>1016</v>
      </c>
      <c r="X198" t="s">
        <v>1018</v>
      </c>
      <c r="Y198">
        <v>9500</v>
      </c>
      <c r="Z198">
        <v>9500</v>
      </c>
      <c r="AA198" t="s">
        <v>1019</v>
      </c>
      <c r="AB198" t="s">
        <v>1020</v>
      </c>
      <c r="AC198" t="s">
        <v>1021</v>
      </c>
      <c r="AE198" t="s">
        <v>1022</v>
      </c>
      <c r="AF198" t="s">
        <v>1023</v>
      </c>
      <c r="AG198" t="s">
        <v>102</v>
      </c>
      <c r="AH198" t="s">
        <v>326</v>
      </c>
      <c r="AI198">
        <v>45819</v>
      </c>
      <c r="AJ198">
        <v>45819</v>
      </c>
      <c r="AK198" t="s">
        <v>218</v>
      </c>
      <c r="AL198" t="s">
        <v>588</v>
      </c>
      <c r="AM198" t="s">
        <v>1032</v>
      </c>
      <c r="AN198" t="s">
        <v>107</v>
      </c>
      <c r="AO198" t="s">
        <v>107</v>
      </c>
      <c r="AP198">
        <v>21168</v>
      </c>
      <c r="AQ198">
        <v>21168</v>
      </c>
      <c r="AR198">
        <v>0</v>
      </c>
      <c r="AS198" t="s">
        <v>107</v>
      </c>
      <c r="AT198" t="s">
        <v>161</v>
      </c>
      <c r="AU198" t="s">
        <v>162</v>
      </c>
      <c r="AV198" t="s">
        <v>163</v>
      </c>
      <c r="AW198" t="s">
        <v>288</v>
      </c>
      <c r="AY198" t="s">
        <v>1035</v>
      </c>
      <c r="AZ198" t="s">
        <v>113</v>
      </c>
      <c r="BB198" t="s">
        <v>211</v>
      </c>
      <c r="BC198" t="s">
        <v>115</v>
      </c>
      <c r="BN198" t="s">
        <v>113</v>
      </c>
      <c r="BO198" t="s">
        <v>1025</v>
      </c>
      <c r="BP198" t="s">
        <v>166</v>
      </c>
      <c r="BR198" t="s">
        <v>574</v>
      </c>
      <c r="BS198" t="s">
        <v>1026</v>
      </c>
      <c r="BW198" t="s">
        <v>382</v>
      </c>
      <c r="BX198" t="s">
        <v>383</v>
      </c>
      <c r="BY198" t="s">
        <v>123</v>
      </c>
      <c r="BZ198" t="s">
        <v>124</v>
      </c>
    </row>
    <row r="199" spans="1:78" x14ac:dyDescent="0.3">
      <c r="A199" t="s">
        <v>11</v>
      </c>
      <c r="B199" t="s">
        <v>92</v>
      </c>
      <c r="C199" t="s">
        <v>93</v>
      </c>
      <c r="D199" t="s">
        <v>94</v>
      </c>
      <c r="E199" t="s">
        <v>95</v>
      </c>
      <c r="F199" t="s">
        <v>1015</v>
      </c>
      <c r="G199">
        <v>460000</v>
      </c>
      <c r="H199">
        <v>460000</v>
      </c>
      <c r="I199" t="s">
        <v>93</v>
      </c>
      <c r="J199" t="s">
        <v>94</v>
      </c>
      <c r="K199" t="s">
        <v>202</v>
      </c>
      <c r="L199" t="s">
        <v>987</v>
      </c>
      <c r="M199">
        <v>47500</v>
      </c>
      <c r="N199">
        <v>47500</v>
      </c>
      <c r="O199" t="s">
        <v>93</v>
      </c>
      <c r="P199" t="s">
        <v>94</v>
      </c>
      <c r="Q199" t="s">
        <v>1016</v>
      </c>
      <c r="R199" t="s">
        <v>1017</v>
      </c>
      <c r="S199">
        <v>21700</v>
      </c>
      <c r="T199">
        <v>21700</v>
      </c>
      <c r="U199" t="s">
        <v>93</v>
      </c>
      <c r="V199" t="s">
        <v>94</v>
      </c>
      <c r="W199" t="s">
        <v>1016</v>
      </c>
      <c r="X199" t="s">
        <v>1018</v>
      </c>
      <c r="Y199">
        <v>9500</v>
      </c>
      <c r="Z199">
        <v>9500</v>
      </c>
      <c r="AA199" t="s">
        <v>1019</v>
      </c>
      <c r="AB199" t="s">
        <v>1020</v>
      </c>
      <c r="AC199" t="s">
        <v>1021</v>
      </c>
      <c r="AE199" t="s">
        <v>1022</v>
      </c>
      <c r="AF199" t="s">
        <v>1023</v>
      </c>
      <c r="AG199" t="s">
        <v>102</v>
      </c>
      <c r="AH199" t="s">
        <v>326</v>
      </c>
      <c r="AI199">
        <v>45819</v>
      </c>
      <c r="AJ199">
        <v>45819</v>
      </c>
      <c r="AK199" t="s">
        <v>218</v>
      </c>
      <c r="AL199" t="s">
        <v>591</v>
      </c>
      <c r="AM199" t="s">
        <v>1032</v>
      </c>
      <c r="AN199" t="s">
        <v>107</v>
      </c>
      <c r="AO199" t="s">
        <v>107</v>
      </c>
      <c r="AP199">
        <v>21168</v>
      </c>
      <c r="AQ199">
        <v>21168</v>
      </c>
      <c r="AR199">
        <v>0</v>
      </c>
      <c r="AS199" t="s">
        <v>107</v>
      </c>
      <c r="AT199" t="s">
        <v>161</v>
      </c>
      <c r="AU199" t="s">
        <v>162</v>
      </c>
      <c r="AV199" t="s">
        <v>163</v>
      </c>
      <c r="AW199" t="s">
        <v>288</v>
      </c>
      <c r="AY199" t="s">
        <v>1036</v>
      </c>
      <c r="AZ199" t="s">
        <v>113</v>
      </c>
      <c r="BB199" t="s">
        <v>211</v>
      </c>
      <c r="BC199" t="s">
        <v>115</v>
      </c>
      <c r="BN199" t="s">
        <v>113</v>
      </c>
      <c r="BO199" t="s">
        <v>1025</v>
      </c>
      <c r="BP199" t="s">
        <v>166</v>
      </c>
      <c r="BR199" t="s">
        <v>574</v>
      </c>
      <c r="BS199" t="s">
        <v>1026</v>
      </c>
      <c r="BW199" t="s">
        <v>382</v>
      </c>
      <c r="BX199" t="s">
        <v>383</v>
      </c>
      <c r="BY199" t="s">
        <v>123</v>
      </c>
      <c r="BZ199" t="s">
        <v>124</v>
      </c>
    </row>
    <row r="200" spans="1:78" x14ac:dyDescent="0.3">
      <c r="A200" t="s">
        <v>11</v>
      </c>
      <c r="B200" t="s">
        <v>92</v>
      </c>
      <c r="C200" t="s">
        <v>93</v>
      </c>
      <c r="D200" t="s">
        <v>94</v>
      </c>
      <c r="E200" t="s">
        <v>95</v>
      </c>
      <c r="F200" t="s">
        <v>1015</v>
      </c>
      <c r="G200">
        <v>460000</v>
      </c>
      <c r="H200">
        <v>460000</v>
      </c>
      <c r="I200" t="s">
        <v>93</v>
      </c>
      <c r="J200" t="s">
        <v>94</v>
      </c>
      <c r="K200" t="s">
        <v>202</v>
      </c>
      <c r="L200" t="s">
        <v>987</v>
      </c>
      <c r="M200">
        <v>47500</v>
      </c>
      <c r="N200">
        <v>47500</v>
      </c>
      <c r="O200" t="s">
        <v>93</v>
      </c>
      <c r="P200" t="s">
        <v>94</v>
      </c>
      <c r="Q200" t="s">
        <v>1016</v>
      </c>
      <c r="R200" t="s">
        <v>1017</v>
      </c>
      <c r="S200">
        <v>21700</v>
      </c>
      <c r="T200">
        <v>21700</v>
      </c>
      <c r="U200" t="s">
        <v>93</v>
      </c>
      <c r="V200" t="s">
        <v>94</v>
      </c>
      <c r="W200" t="s">
        <v>1016</v>
      </c>
      <c r="X200" t="s">
        <v>1018</v>
      </c>
      <c r="Y200">
        <v>9500</v>
      </c>
      <c r="Z200">
        <v>9500</v>
      </c>
      <c r="AA200" t="s">
        <v>1019</v>
      </c>
      <c r="AB200" t="s">
        <v>1020</v>
      </c>
      <c r="AC200" t="s">
        <v>1021</v>
      </c>
      <c r="AE200" t="s">
        <v>1022</v>
      </c>
      <c r="AF200" t="s">
        <v>1023</v>
      </c>
      <c r="AG200" t="s">
        <v>102</v>
      </c>
      <c r="AH200" t="s">
        <v>326</v>
      </c>
      <c r="AI200">
        <v>45819</v>
      </c>
      <c r="AJ200">
        <v>45819</v>
      </c>
      <c r="AK200" t="s">
        <v>218</v>
      </c>
      <c r="AL200" t="s">
        <v>594</v>
      </c>
      <c r="AM200" t="s">
        <v>1032</v>
      </c>
      <c r="AN200" t="s">
        <v>107</v>
      </c>
      <c r="AO200" t="s">
        <v>107</v>
      </c>
      <c r="AP200">
        <v>21168</v>
      </c>
      <c r="AQ200">
        <v>21168</v>
      </c>
      <c r="AR200">
        <v>0</v>
      </c>
      <c r="AS200" t="s">
        <v>107</v>
      </c>
      <c r="AT200" t="s">
        <v>161</v>
      </c>
      <c r="AU200" t="s">
        <v>162</v>
      </c>
      <c r="AV200" t="s">
        <v>163</v>
      </c>
      <c r="AW200" t="s">
        <v>288</v>
      </c>
      <c r="AY200" t="s">
        <v>1037</v>
      </c>
      <c r="AZ200" t="s">
        <v>113</v>
      </c>
      <c r="BB200" t="s">
        <v>211</v>
      </c>
      <c r="BC200" t="s">
        <v>115</v>
      </c>
      <c r="BN200" t="s">
        <v>113</v>
      </c>
      <c r="BO200" t="s">
        <v>1025</v>
      </c>
      <c r="BP200" t="s">
        <v>166</v>
      </c>
      <c r="BR200" t="s">
        <v>574</v>
      </c>
      <c r="BS200" t="s">
        <v>1026</v>
      </c>
      <c r="BW200" t="s">
        <v>382</v>
      </c>
      <c r="BX200" t="s">
        <v>383</v>
      </c>
      <c r="BY200" t="s">
        <v>123</v>
      </c>
      <c r="BZ200" t="s">
        <v>124</v>
      </c>
    </row>
    <row r="201" spans="1:78" x14ac:dyDescent="0.3">
      <c r="A201" t="s">
        <v>11</v>
      </c>
      <c r="B201" t="s">
        <v>92</v>
      </c>
      <c r="C201" t="s">
        <v>93</v>
      </c>
      <c r="D201" t="s">
        <v>94</v>
      </c>
      <c r="E201" t="s">
        <v>95</v>
      </c>
      <c r="F201" t="s">
        <v>1015</v>
      </c>
      <c r="G201">
        <v>460000</v>
      </c>
      <c r="H201">
        <v>460000</v>
      </c>
      <c r="I201" t="s">
        <v>93</v>
      </c>
      <c r="J201" t="s">
        <v>94</v>
      </c>
      <c r="K201" t="s">
        <v>202</v>
      </c>
      <c r="L201" t="s">
        <v>987</v>
      </c>
      <c r="M201">
        <v>47500</v>
      </c>
      <c r="N201">
        <v>47500</v>
      </c>
      <c r="O201" t="s">
        <v>93</v>
      </c>
      <c r="P201" t="s">
        <v>94</v>
      </c>
      <c r="Q201" t="s">
        <v>1016</v>
      </c>
      <c r="R201" t="s">
        <v>1017</v>
      </c>
      <c r="S201">
        <v>21700</v>
      </c>
      <c r="T201">
        <v>21700</v>
      </c>
      <c r="U201" t="s">
        <v>93</v>
      </c>
      <c r="V201" t="s">
        <v>94</v>
      </c>
      <c r="W201" t="s">
        <v>1016</v>
      </c>
      <c r="X201" t="s">
        <v>1018</v>
      </c>
      <c r="Y201">
        <v>9500</v>
      </c>
      <c r="Z201">
        <v>9500</v>
      </c>
      <c r="AA201" t="s">
        <v>1019</v>
      </c>
      <c r="AB201" t="s">
        <v>1020</v>
      </c>
      <c r="AC201" t="s">
        <v>1021</v>
      </c>
      <c r="AE201" t="s">
        <v>1022</v>
      </c>
      <c r="AF201" t="s">
        <v>1023</v>
      </c>
      <c r="AG201" t="s">
        <v>102</v>
      </c>
      <c r="AH201" t="s">
        <v>326</v>
      </c>
      <c r="AI201">
        <v>45819</v>
      </c>
      <c r="AJ201">
        <v>45819</v>
      </c>
      <c r="AK201" t="s">
        <v>218</v>
      </c>
      <c r="AL201" t="s">
        <v>597</v>
      </c>
      <c r="AM201" t="s">
        <v>1032</v>
      </c>
      <c r="AN201" t="s">
        <v>107</v>
      </c>
      <c r="AO201" t="s">
        <v>107</v>
      </c>
      <c r="AP201">
        <v>21168</v>
      </c>
      <c r="AQ201">
        <v>21168</v>
      </c>
      <c r="AR201">
        <v>0</v>
      </c>
      <c r="AS201" t="s">
        <v>107</v>
      </c>
      <c r="AT201" t="s">
        <v>161</v>
      </c>
      <c r="AU201" t="s">
        <v>162</v>
      </c>
      <c r="AV201" t="s">
        <v>163</v>
      </c>
      <c r="AW201" t="s">
        <v>288</v>
      </c>
      <c r="AY201" t="s">
        <v>1038</v>
      </c>
      <c r="AZ201" t="s">
        <v>113</v>
      </c>
      <c r="BB201" t="s">
        <v>211</v>
      </c>
      <c r="BC201" t="s">
        <v>115</v>
      </c>
      <c r="BN201" t="s">
        <v>113</v>
      </c>
      <c r="BO201" t="s">
        <v>1025</v>
      </c>
      <c r="BP201" t="s">
        <v>166</v>
      </c>
      <c r="BR201" t="s">
        <v>574</v>
      </c>
      <c r="BS201" t="s">
        <v>1026</v>
      </c>
      <c r="BW201" t="s">
        <v>382</v>
      </c>
      <c r="BX201" t="s">
        <v>383</v>
      </c>
      <c r="BY201" t="s">
        <v>123</v>
      </c>
      <c r="BZ201" t="s">
        <v>124</v>
      </c>
    </row>
    <row r="202" spans="1:78" x14ac:dyDescent="0.3">
      <c r="A202" t="s">
        <v>2</v>
      </c>
      <c r="B202" t="s">
        <v>92</v>
      </c>
      <c r="C202" t="s">
        <v>93</v>
      </c>
      <c r="D202" t="s">
        <v>94</v>
      </c>
      <c r="E202" t="s">
        <v>95</v>
      </c>
      <c r="F202" t="s">
        <v>1039</v>
      </c>
      <c r="G202">
        <v>660000</v>
      </c>
      <c r="H202">
        <v>660000</v>
      </c>
      <c r="AA202" t="s">
        <v>1040</v>
      </c>
      <c r="AB202" t="s">
        <v>1041</v>
      </c>
      <c r="AC202" t="s">
        <v>1042</v>
      </c>
      <c r="AE202" t="s">
        <v>1043</v>
      </c>
      <c r="AF202" t="s">
        <v>1044</v>
      </c>
      <c r="AG202" t="s">
        <v>102</v>
      </c>
      <c r="AH202" t="s">
        <v>131</v>
      </c>
      <c r="AI202">
        <v>45805</v>
      </c>
      <c r="AJ202">
        <v>45805</v>
      </c>
      <c r="AK202" t="s">
        <v>104</v>
      </c>
      <c r="AL202" t="s">
        <v>105</v>
      </c>
      <c r="AM202" t="s">
        <v>106</v>
      </c>
      <c r="AN202" t="s">
        <v>107</v>
      </c>
      <c r="AO202" t="s">
        <v>107</v>
      </c>
      <c r="AP202">
        <v>3000</v>
      </c>
      <c r="AQ202">
        <v>3000</v>
      </c>
      <c r="AR202">
        <v>0</v>
      </c>
      <c r="AS202" t="s">
        <v>107</v>
      </c>
      <c r="AT202" t="s">
        <v>161</v>
      </c>
      <c r="AU202" t="s">
        <v>109</v>
      </c>
      <c r="AV202" t="s">
        <v>110</v>
      </c>
      <c r="AW202" t="s">
        <v>111</v>
      </c>
      <c r="AX202" t="s">
        <v>1041</v>
      </c>
      <c r="AY202" t="s">
        <v>1045</v>
      </c>
      <c r="AZ202" t="s">
        <v>113</v>
      </c>
      <c r="BA202" t="s">
        <v>133</v>
      </c>
      <c r="BB202" t="s">
        <v>211</v>
      </c>
      <c r="BC202" t="s">
        <v>115</v>
      </c>
      <c r="BN202" t="s">
        <v>116</v>
      </c>
      <c r="BO202" t="s">
        <v>1046</v>
      </c>
      <c r="BP202" t="s">
        <v>166</v>
      </c>
      <c r="BR202" t="s">
        <v>454</v>
      </c>
      <c r="BS202" t="s">
        <v>214</v>
      </c>
      <c r="BW202" t="s">
        <v>382</v>
      </c>
      <c r="BX202" t="s">
        <v>383</v>
      </c>
      <c r="BY202" t="s">
        <v>123</v>
      </c>
      <c r="BZ202" t="s">
        <v>124</v>
      </c>
    </row>
    <row r="203" spans="1:78" x14ac:dyDescent="0.3">
      <c r="A203" t="s">
        <v>2</v>
      </c>
      <c r="B203" t="s">
        <v>92</v>
      </c>
      <c r="C203" t="s">
        <v>93</v>
      </c>
      <c r="D203" t="s">
        <v>94</v>
      </c>
      <c r="E203" t="s">
        <v>95</v>
      </c>
      <c r="F203" t="s">
        <v>1039</v>
      </c>
      <c r="G203">
        <v>660000</v>
      </c>
      <c r="H203">
        <v>660000</v>
      </c>
      <c r="AA203" t="s">
        <v>1040</v>
      </c>
      <c r="AB203" t="s">
        <v>1041</v>
      </c>
      <c r="AC203" t="s">
        <v>1042</v>
      </c>
      <c r="AE203" t="s">
        <v>1043</v>
      </c>
      <c r="AF203" t="s">
        <v>1044</v>
      </c>
      <c r="AG203" t="s">
        <v>102</v>
      </c>
      <c r="AH203" t="s">
        <v>131</v>
      </c>
      <c r="AI203">
        <v>45818</v>
      </c>
      <c r="AJ203">
        <v>45856</v>
      </c>
      <c r="AK203" t="s">
        <v>137</v>
      </c>
      <c r="AL203" t="s">
        <v>142</v>
      </c>
      <c r="AM203" t="s">
        <v>1047</v>
      </c>
      <c r="AN203" t="s">
        <v>107</v>
      </c>
      <c r="AO203" t="s">
        <v>107</v>
      </c>
      <c r="AP203">
        <v>162000</v>
      </c>
      <c r="AQ203">
        <v>162</v>
      </c>
      <c r="AR203">
        <v>0</v>
      </c>
      <c r="AS203" t="s">
        <v>107</v>
      </c>
      <c r="AT203" t="s">
        <v>161</v>
      </c>
      <c r="AU203" t="s">
        <v>109</v>
      </c>
      <c r="AV203" t="s">
        <v>110</v>
      </c>
      <c r="AW203" t="s">
        <v>111</v>
      </c>
      <c r="AY203" t="s">
        <v>1048</v>
      </c>
      <c r="AZ203" t="s">
        <v>113</v>
      </c>
      <c r="BB203" t="s">
        <v>114</v>
      </c>
      <c r="BC203" t="s">
        <v>115</v>
      </c>
      <c r="BN203" t="s">
        <v>116</v>
      </c>
      <c r="BO203" t="s">
        <v>1046</v>
      </c>
      <c r="BP203" t="s">
        <v>166</v>
      </c>
      <c r="BR203" t="s">
        <v>454</v>
      </c>
      <c r="BS203" t="s">
        <v>1049</v>
      </c>
      <c r="BW203" t="s">
        <v>382</v>
      </c>
      <c r="BX203" t="s">
        <v>383</v>
      </c>
      <c r="BY203" t="s">
        <v>123</v>
      </c>
      <c r="BZ203" t="s">
        <v>124</v>
      </c>
    </row>
    <row r="204" spans="1:78" x14ac:dyDescent="0.3">
      <c r="A204" t="s">
        <v>2</v>
      </c>
      <c r="B204" t="s">
        <v>92</v>
      </c>
      <c r="C204" t="s">
        <v>93</v>
      </c>
      <c r="D204" t="s">
        <v>94</v>
      </c>
      <c r="E204" t="s">
        <v>95</v>
      </c>
      <c r="F204" t="s">
        <v>1039</v>
      </c>
      <c r="G204">
        <v>660000</v>
      </c>
      <c r="H204">
        <v>660000</v>
      </c>
      <c r="AA204" t="s">
        <v>1040</v>
      </c>
      <c r="AB204" t="s">
        <v>1041</v>
      </c>
      <c r="AC204" t="s">
        <v>1042</v>
      </c>
      <c r="AE204" t="s">
        <v>1043</v>
      </c>
      <c r="AF204" t="s">
        <v>1044</v>
      </c>
      <c r="AG204" t="s">
        <v>102</v>
      </c>
      <c r="AH204" t="s">
        <v>131</v>
      </c>
      <c r="AI204">
        <v>45818</v>
      </c>
      <c r="AJ204">
        <v>45856</v>
      </c>
      <c r="AK204" t="s">
        <v>137</v>
      </c>
      <c r="AL204" t="s">
        <v>142</v>
      </c>
      <c r="AM204" t="s">
        <v>107</v>
      </c>
      <c r="AN204" t="s">
        <v>107</v>
      </c>
      <c r="AO204" t="s">
        <v>107</v>
      </c>
      <c r="AP204">
        <v>0</v>
      </c>
      <c r="AQ204">
        <v>161838</v>
      </c>
      <c r="AR204">
        <v>0</v>
      </c>
      <c r="AS204" t="s">
        <v>107</v>
      </c>
      <c r="AT204" t="s">
        <v>161</v>
      </c>
      <c r="AU204" t="s">
        <v>109</v>
      </c>
      <c r="AV204" t="s">
        <v>110</v>
      </c>
      <c r="AW204" t="s">
        <v>111</v>
      </c>
      <c r="AY204" t="s">
        <v>1050</v>
      </c>
      <c r="AZ204" t="s">
        <v>113</v>
      </c>
      <c r="BB204" t="s">
        <v>114</v>
      </c>
      <c r="BC204" t="s">
        <v>115</v>
      </c>
      <c r="BN204" t="s">
        <v>116</v>
      </c>
      <c r="BO204" t="s">
        <v>1046</v>
      </c>
      <c r="BP204" t="s">
        <v>166</v>
      </c>
      <c r="BR204" t="s">
        <v>454</v>
      </c>
      <c r="BS204" t="s">
        <v>1049</v>
      </c>
      <c r="BW204" t="s">
        <v>382</v>
      </c>
      <c r="BX204" t="s">
        <v>383</v>
      </c>
      <c r="BY204" t="s">
        <v>123</v>
      </c>
      <c r="BZ204" t="s">
        <v>124</v>
      </c>
    </row>
    <row r="205" spans="1:78" x14ac:dyDescent="0.3">
      <c r="A205" t="s">
        <v>12</v>
      </c>
      <c r="B205" t="s">
        <v>92</v>
      </c>
      <c r="C205" t="s">
        <v>93</v>
      </c>
      <c r="D205" t="s">
        <v>94</v>
      </c>
      <c r="E205" t="s">
        <v>95</v>
      </c>
      <c r="F205" t="s">
        <v>1051</v>
      </c>
      <c r="G205">
        <v>392000</v>
      </c>
      <c r="H205">
        <v>392000</v>
      </c>
      <c r="I205" t="s">
        <v>93</v>
      </c>
      <c r="J205" t="s">
        <v>94</v>
      </c>
      <c r="K205" t="s">
        <v>202</v>
      </c>
      <c r="L205" t="s">
        <v>1052</v>
      </c>
      <c r="M205">
        <v>43000</v>
      </c>
      <c r="N205">
        <v>43000</v>
      </c>
      <c r="AA205" t="s">
        <v>1053</v>
      </c>
      <c r="AB205" t="s">
        <v>1054</v>
      </c>
      <c r="AC205" t="s">
        <v>1055</v>
      </c>
      <c r="AD205" t="s">
        <v>365</v>
      </c>
      <c r="AE205" t="s">
        <v>1056</v>
      </c>
      <c r="AF205" t="s">
        <v>1057</v>
      </c>
      <c r="AG205" t="s">
        <v>450</v>
      </c>
      <c r="AH205" t="s">
        <v>450</v>
      </c>
      <c r="AI205">
        <v>45896</v>
      </c>
      <c r="AJ205">
        <v>45896</v>
      </c>
      <c r="AK205" t="s">
        <v>104</v>
      </c>
      <c r="AL205" t="s">
        <v>105</v>
      </c>
      <c r="AM205" t="s">
        <v>106</v>
      </c>
      <c r="AN205" t="s">
        <v>107</v>
      </c>
      <c r="AO205" t="s">
        <v>107</v>
      </c>
      <c r="AP205">
        <v>3000</v>
      </c>
      <c r="AQ205">
        <v>3000</v>
      </c>
      <c r="AR205">
        <v>0</v>
      </c>
      <c r="AS205" t="s">
        <v>107</v>
      </c>
      <c r="AT205" t="s">
        <v>161</v>
      </c>
      <c r="AY205" t="s">
        <v>1058</v>
      </c>
      <c r="AZ205" t="s">
        <v>113</v>
      </c>
      <c r="BB205" t="s">
        <v>114</v>
      </c>
      <c r="BC205" t="s">
        <v>115</v>
      </c>
      <c r="BN205" t="s">
        <v>113</v>
      </c>
      <c r="BO205" t="s">
        <v>1059</v>
      </c>
      <c r="BP205" t="s">
        <v>370</v>
      </c>
      <c r="BR205" t="s">
        <v>439</v>
      </c>
      <c r="BS205" t="s">
        <v>1060</v>
      </c>
      <c r="BW205" t="s">
        <v>382</v>
      </c>
      <c r="BX205" t="s">
        <v>383</v>
      </c>
      <c r="BY205" t="s">
        <v>123</v>
      </c>
      <c r="BZ205" t="s">
        <v>124</v>
      </c>
    </row>
    <row r="206" spans="1:78" x14ac:dyDescent="0.3">
      <c r="A206" t="s">
        <v>12</v>
      </c>
      <c r="B206" t="s">
        <v>92</v>
      </c>
      <c r="C206" t="s">
        <v>93</v>
      </c>
      <c r="D206" t="s">
        <v>94</v>
      </c>
      <c r="E206" t="s">
        <v>95</v>
      </c>
      <c r="F206" t="s">
        <v>1051</v>
      </c>
      <c r="G206">
        <v>392000</v>
      </c>
      <c r="H206">
        <v>392000</v>
      </c>
      <c r="I206" t="s">
        <v>93</v>
      </c>
      <c r="J206" t="s">
        <v>94</v>
      </c>
      <c r="K206" t="s">
        <v>202</v>
      </c>
      <c r="L206" t="s">
        <v>1052</v>
      </c>
      <c r="M206">
        <v>43000</v>
      </c>
      <c r="N206">
        <v>43000</v>
      </c>
      <c r="AA206" t="s">
        <v>1053</v>
      </c>
      <c r="AB206" t="s">
        <v>1054</v>
      </c>
      <c r="AC206" t="s">
        <v>1055</v>
      </c>
      <c r="AD206" t="s">
        <v>365</v>
      </c>
      <c r="AE206" t="s">
        <v>1056</v>
      </c>
      <c r="AF206" t="s">
        <v>1057</v>
      </c>
      <c r="AG206" t="s">
        <v>450</v>
      </c>
      <c r="AH206" t="s">
        <v>450</v>
      </c>
      <c r="AI206">
        <v>45905</v>
      </c>
      <c r="AJ206">
        <v>45905</v>
      </c>
      <c r="AK206" t="s">
        <v>137</v>
      </c>
      <c r="AL206" t="s">
        <v>105</v>
      </c>
      <c r="AM206" t="s">
        <v>1061</v>
      </c>
      <c r="AN206" t="s">
        <v>107</v>
      </c>
      <c r="AO206" t="s">
        <v>107</v>
      </c>
      <c r="AP206">
        <v>217500</v>
      </c>
      <c r="AQ206">
        <v>217500</v>
      </c>
      <c r="AR206">
        <v>0</v>
      </c>
      <c r="AS206" t="s">
        <v>107</v>
      </c>
      <c r="AT206" t="s">
        <v>161</v>
      </c>
      <c r="AU206" t="s">
        <v>109</v>
      </c>
      <c r="AV206" t="s">
        <v>451</v>
      </c>
      <c r="AW206" t="s">
        <v>139</v>
      </c>
      <c r="AX206" t="s">
        <v>1062</v>
      </c>
      <c r="AY206" t="s">
        <v>1063</v>
      </c>
      <c r="AZ206" t="s">
        <v>113</v>
      </c>
      <c r="BA206" t="s">
        <v>133</v>
      </c>
      <c r="BB206" t="s">
        <v>114</v>
      </c>
      <c r="BC206" t="s">
        <v>115</v>
      </c>
      <c r="BN206" t="s">
        <v>116</v>
      </c>
      <c r="BO206" t="s">
        <v>1059</v>
      </c>
      <c r="BP206" t="s">
        <v>370</v>
      </c>
      <c r="BR206" t="s">
        <v>439</v>
      </c>
      <c r="BS206" t="s">
        <v>1064</v>
      </c>
      <c r="BW206" t="s">
        <v>382</v>
      </c>
      <c r="BX206" t="s">
        <v>383</v>
      </c>
      <c r="BY206" t="s">
        <v>123</v>
      </c>
      <c r="BZ206" t="s">
        <v>124</v>
      </c>
    </row>
    <row r="207" spans="1:78" x14ac:dyDescent="0.3">
      <c r="A207" t="s">
        <v>12</v>
      </c>
      <c r="B207" t="s">
        <v>92</v>
      </c>
      <c r="C207" t="s">
        <v>93</v>
      </c>
      <c r="D207" t="s">
        <v>94</v>
      </c>
      <c r="E207" t="s">
        <v>95</v>
      </c>
      <c r="F207" t="s">
        <v>1051</v>
      </c>
      <c r="G207">
        <v>392000</v>
      </c>
      <c r="H207">
        <v>392000</v>
      </c>
      <c r="I207" t="s">
        <v>93</v>
      </c>
      <c r="J207" t="s">
        <v>94</v>
      </c>
      <c r="K207" t="s">
        <v>202</v>
      </c>
      <c r="L207" t="s">
        <v>1052</v>
      </c>
      <c r="M207">
        <v>43000</v>
      </c>
      <c r="N207">
        <v>43000</v>
      </c>
      <c r="AA207" t="s">
        <v>1053</v>
      </c>
      <c r="AB207" t="s">
        <v>1054</v>
      </c>
      <c r="AC207" t="s">
        <v>1055</v>
      </c>
      <c r="AD207" t="s">
        <v>365</v>
      </c>
      <c r="AE207" t="s">
        <v>1056</v>
      </c>
      <c r="AF207" t="s">
        <v>1057</v>
      </c>
      <c r="AG207" t="s">
        <v>450</v>
      </c>
      <c r="AH207" t="s">
        <v>450</v>
      </c>
      <c r="AI207">
        <v>45961</v>
      </c>
      <c r="AJ207">
        <v>45954</v>
      </c>
      <c r="AK207" t="s">
        <v>218</v>
      </c>
      <c r="AL207" t="s">
        <v>105</v>
      </c>
      <c r="AM207" t="s">
        <v>1065</v>
      </c>
      <c r="AN207" t="s">
        <v>107</v>
      </c>
      <c r="AO207" t="s">
        <v>107</v>
      </c>
      <c r="AP207">
        <v>14300</v>
      </c>
      <c r="AQ207">
        <v>14300</v>
      </c>
      <c r="AR207">
        <v>0</v>
      </c>
      <c r="AS207" t="s">
        <v>107</v>
      </c>
      <c r="AT207" t="s">
        <v>161</v>
      </c>
      <c r="AU207" t="s">
        <v>109</v>
      </c>
      <c r="AV207" t="s">
        <v>451</v>
      </c>
      <c r="AW207" t="s">
        <v>288</v>
      </c>
      <c r="AZ207" t="s">
        <v>116</v>
      </c>
      <c r="BB207" t="s">
        <v>114</v>
      </c>
      <c r="BC207" t="s">
        <v>115</v>
      </c>
      <c r="BN207" t="s">
        <v>113</v>
      </c>
      <c r="BO207" t="s">
        <v>1059</v>
      </c>
      <c r="BP207" t="s">
        <v>370</v>
      </c>
      <c r="BR207" t="s">
        <v>439</v>
      </c>
      <c r="BS207" t="s">
        <v>1066</v>
      </c>
      <c r="BW207" t="s">
        <v>382</v>
      </c>
      <c r="BX207" t="s">
        <v>383</v>
      </c>
      <c r="BY207" t="s">
        <v>123</v>
      </c>
      <c r="BZ207" t="s">
        <v>124</v>
      </c>
    </row>
    <row r="208" spans="1:78" x14ac:dyDescent="0.3">
      <c r="A208" t="s">
        <v>12</v>
      </c>
      <c r="B208" t="s">
        <v>92</v>
      </c>
      <c r="C208" t="s">
        <v>93</v>
      </c>
      <c r="D208" t="s">
        <v>94</v>
      </c>
      <c r="E208" t="s">
        <v>95</v>
      </c>
      <c r="F208" t="s">
        <v>1051</v>
      </c>
      <c r="G208">
        <v>392000</v>
      </c>
      <c r="H208">
        <v>392000</v>
      </c>
      <c r="I208" t="s">
        <v>93</v>
      </c>
      <c r="J208" t="s">
        <v>94</v>
      </c>
      <c r="K208" t="s">
        <v>202</v>
      </c>
      <c r="L208" t="s">
        <v>1052</v>
      </c>
      <c r="M208">
        <v>43000</v>
      </c>
      <c r="N208">
        <v>43000</v>
      </c>
      <c r="AA208" t="s">
        <v>1053</v>
      </c>
      <c r="AB208" t="s">
        <v>1054</v>
      </c>
      <c r="AC208" t="s">
        <v>1055</v>
      </c>
      <c r="AD208" t="s">
        <v>365</v>
      </c>
      <c r="AE208" t="s">
        <v>1056</v>
      </c>
      <c r="AF208" t="s">
        <v>1057</v>
      </c>
      <c r="AG208" t="s">
        <v>450</v>
      </c>
      <c r="AH208" t="s">
        <v>450</v>
      </c>
      <c r="AI208">
        <v>45991</v>
      </c>
      <c r="AJ208">
        <v>45988</v>
      </c>
      <c r="AK208" t="s">
        <v>218</v>
      </c>
      <c r="AL208" t="s">
        <v>142</v>
      </c>
      <c r="AM208" t="s">
        <v>1065</v>
      </c>
      <c r="AN208" t="s">
        <v>107</v>
      </c>
      <c r="AO208" t="s">
        <v>107</v>
      </c>
      <c r="AP208">
        <v>14300</v>
      </c>
      <c r="AQ208">
        <v>14300</v>
      </c>
      <c r="AR208">
        <v>0</v>
      </c>
      <c r="AS208" t="s">
        <v>107</v>
      </c>
      <c r="AT208" t="s">
        <v>161</v>
      </c>
      <c r="AU208" t="s">
        <v>109</v>
      </c>
      <c r="AV208" t="s">
        <v>451</v>
      </c>
      <c r="AW208" t="s">
        <v>288</v>
      </c>
      <c r="AY208" t="s">
        <v>1067</v>
      </c>
      <c r="AZ208" t="s">
        <v>116</v>
      </c>
      <c r="BB208" t="s">
        <v>114</v>
      </c>
      <c r="BC208" t="s">
        <v>115</v>
      </c>
      <c r="BN208" t="s">
        <v>113</v>
      </c>
      <c r="BO208" t="s">
        <v>1059</v>
      </c>
      <c r="BP208" t="s">
        <v>370</v>
      </c>
      <c r="BR208" t="s">
        <v>439</v>
      </c>
      <c r="BS208" t="s">
        <v>1068</v>
      </c>
      <c r="BW208" t="s">
        <v>382</v>
      </c>
      <c r="BX208" t="s">
        <v>383</v>
      </c>
      <c r="BY208" t="s">
        <v>123</v>
      </c>
      <c r="BZ208" t="s">
        <v>124</v>
      </c>
    </row>
    <row r="209" spans="1:78" x14ac:dyDescent="0.3">
      <c r="A209" t="s">
        <v>12</v>
      </c>
      <c r="B209" t="s">
        <v>92</v>
      </c>
      <c r="C209" t="s">
        <v>93</v>
      </c>
      <c r="D209" t="s">
        <v>94</v>
      </c>
      <c r="E209" t="s">
        <v>95</v>
      </c>
      <c r="F209" t="s">
        <v>1051</v>
      </c>
      <c r="G209">
        <v>392000</v>
      </c>
      <c r="H209">
        <v>392000</v>
      </c>
      <c r="I209" t="s">
        <v>93</v>
      </c>
      <c r="J209" t="s">
        <v>94</v>
      </c>
      <c r="K209" t="s">
        <v>202</v>
      </c>
      <c r="L209" t="s">
        <v>1052</v>
      </c>
      <c r="M209">
        <v>43000</v>
      </c>
      <c r="N209">
        <v>43000</v>
      </c>
      <c r="AA209" t="s">
        <v>1053</v>
      </c>
      <c r="AB209" t="s">
        <v>1054</v>
      </c>
      <c r="AC209" t="s">
        <v>1055</v>
      </c>
      <c r="AD209" t="s">
        <v>365</v>
      </c>
      <c r="AE209" t="s">
        <v>1056</v>
      </c>
      <c r="AF209" t="s">
        <v>1057</v>
      </c>
      <c r="AG209" t="s">
        <v>450</v>
      </c>
      <c r="AH209" t="s">
        <v>450</v>
      </c>
      <c r="AI209">
        <v>46022</v>
      </c>
      <c r="AJ209">
        <v>45988</v>
      </c>
      <c r="AK209" t="s">
        <v>218</v>
      </c>
      <c r="AL209" t="s">
        <v>146</v>
      </c>
      <c r="AM209" t="s">
        <v>1065</v>
      </c>
      <c r="AN209" t="s">
        <v>107</v>
      </c>
      <c r="AO209" t="s">
        <v>107</v>
      </c>
      <c r="AP209">
        <v>14300</v>
      </c>
      <c r="AQ209">
        <v>14300</v>
      </c>
      <c r="AR209">
        <v>0</v>
      </c>
      <c r="AS209" t="s">
        <v>107</v>
      </c>
      <c r="AT209" t="s">
        <v>161</v>
      </c>
      <c r="AU209" t="s">
        <v>109</v>
      </c>
      <c r="AV209" t="s">
        <v>451</v>
      </c>
      <c r="AW209" t="s">
        <v>288</v>
      </c>
      <c r="AY209" t="s">
        <v>1067</v>
      </c>
      <c r="AZ209" t="s">
        <v>116</v>
      </c>
      <c r="BB209" t="s">
        <v>114</v>
      </c>
      <c r="BC209" t="s">
        <v>115</v>
      </c>
      <c r="BN209" t="s">
        <v>113</v>
      </c>
      <c r="BO209" t="s">
        <v>1059</v>
      </c>
      <c r="BP209" t="s">
        <v>370</v>
      </c>
      <c r="BR209" t="s">
        <v>439</v>
      </c>
      <c r="BS209" t="s">
        <v>1068</v>
      </c>
      <c r="BW209" t="s">
        <v>382</v>
      </c>
      <c r="BX209" t="s">
        <v>383</v>
      </c>
      <c r="BY209" t="s">
        <v>123</v>
      </c>
      <c r="BZ209" t="s">
        <v>124</v>
      </c>
    </row>
    <row r="210" spans="1:78" x14ac:dyDescent="0.3">
      <c r="A210" t="s">
        <v>12</v>
      </c>
      <c r="B210" t="s">
        <v>92</v>
      </c>
      <c r="C210" t="s">
        <v>93</v>
      </c>
      <c r="D210" t="s">
        <v>94</v>
      </c>
      <c r="E210" t="s">
        <v>95</v>
      </c>
      <c r="F210" t="s">
        <v>1069</v>
      </c>
      <c r="G210">
        <v>573000</v>
      </c>
      <c r="H210">
        <v>573000</v>
      </c>
      <c r="I210" t="s">
        <v>93</v>
      </c>
      <c r="J210" t="s">
        <v>94</v>
      </c>
      <c r="K210" t="s">
        <v>202</v>
      </c>
      <c r="L210" t="s">
        <v>1070</v>
      </c>
      <c r="M210">
        <v>51000</v>
      </c>
      <c r="N210">
        <v>51000</v>
      </c>
      <c r="AA210" t="s">
        <v>1071</v>
      </c>
      <c r="AB210" t="s">
        <v>1072</v>
      </c>
      <c r="AC210" t="s">
        <v>1073</v>
      </c>
      <c r="AD210" t="s">
        <v>365</v>
      </c>
      <c r="AE210" t="s">
        <v>1074</v>
      </c>
      <c r="AF210" t="s">
        <v>1075</v>
      </c>
      <c r="AG210" t="s">
        <v>1076</v>
      </c>
      <c r="AH210" t="s">
        <v>1076</v>
      </c>
      <c r="AI210">
        <v>45871</v>
      </c>
      <c r="AJ210">
        <v>45871</v>
      </c>
      <c r="AK210" t="s">
        <v>104</v>
      </c>
      <c r="AL210" t="s">
        <v>105</v>
      </c>
      <c r="AM210" t="s">
        <v>106</v>
      </c>
      <c r="AN210" t="s">
        <v>107</v>
      </c>
      <c r="AO210" t="s">
        <v>107</v>
      </c>
      <c r="AP210">
        <v>3000</v>
      </c>
      <c r="AQ210">
        <v>3000</v>
      </c>
      <c r="AR210">
        <v>0</v>
      </c>
      <c r="AS210" t="s">
        <v>107</v>
      </c>
      <c r="AT210" t="s">
        <v>161</v>
      </c>
      <c r="AU210" t="s">
        <v>109</v>
      </c>
      <c r="AV210" t="s">
        <v>451</v>
      </c>
      <c r="AW210" t="s">
        <v>111</v>
      </c>
      <c r="AY210" t="s">
        <v>1077</v>
      </c>
      <c r="AZ210" t="s">
        <v>113</v>
      </c>
      <c r="BB210" t="s">
        <v>114</v>
      </c>
      <c r="BC210" t="s">
        <v>115</v>
      </c>
      <c r="BN210" t="s">
        <v>113</v>
      </c>
      <c r="BO210" t="s">
        <v>1078</v>
      </c>
      <c r="BP210" t="s">
        <v>370</v>
      </c>
      <c r="BR210" t="s">
        <v>512</v>
      </c>
      <c r="BS210" t="s">
        <v>1079</v>
      </c>
      <c r="BW210" t="s">
        <v>382</v>
      </c>
      <c r="BX210" t="s">
        <v>383</v>
      </c>
      <c r="BY210" t="s">
        <v>123</v>
      </c>
      <c r="BZ210" t="s">
        <v>124</v>
      </c>
    </row>
    <row r="211" spans="1:78" x14ac:dyDescent="0.3">
      <c r="A211" t="s">
        <v>12</v>
      </c>
      <c r="B211" t="s">
        <v>92</v>
      </c>
      <c r="C211" t="s">
        <v>93</v>
      </c>
      <c r="D211" t="s">
        <v>94</v>
      </c>
      <c r="E211" t="s">
        <v>95</v>
      </c>
      <c r="F211" t="s">
        <v>1069</v>
      </c>
      <c r="G211">
        <v>573000</v>
      </c>
      <c r="H211">
        <v>573000</v>
      </c>
      <c r="I211" t="s">
        <v>93</v>
      </c>
      <c r="J211" t="s">
        <v>94</v>
      </c>
      <c r="K211" t="s">
        <v>202</v>
      </c>
      <c r="L211" t="s">
        <v>1070</v>
      </c>
      <c r="M211">
        <v>51000</v>
      </c>
      <c r="N211">
        <v>51000</v>
      </c>
      <c r="AA211" t="s">
        <v>1071</v>
      </c>
      <c r="AB211" t="s">
        <v>1072</v>
      </c>
      <c r="AC211" t="s">
        <v>1073</v>
      </c>
      <c r="AD211" t="s">
        <v>365</v>
      </c>
      <c r="AE211" t="s">
        <v>1074</v>
      </c>
      <c r="AF211" t="s">
        <v>1075</v>
      </c>
      <c r="AG211" t="s">
        <v>1076</v>
      </c>
      <c r="AH211" t="s">
        <v>1076</v>
      </c>
      <c r="AI211">
        <v>45898</v>
      </c>
      <c r="AJ211">
        <v>45898</v>
      </c>
      <c r="AK211" t="s">
        <v>137</v>
      </c>
      <c r="AL211" t="s">
        <v>105</v>
      </c>
      <c r="AM211" t="s">
        <v>1080</v>
      </c>
      <c r="AN211" t="s">
        <v>107</v>
      </c>
      <c r="AO211" t="s">
        <v>107</v>
      </c>
      <c r="AP211">
        <v>54300</v>
      </c>
      <c r="AQ211">
        <v>54300</v>
      </c>
      <c r="AR211">
        <v>0</v>
      </c>
      <c r="AS211" t="s">
        <v>107</v>
      </c>
      <c r="AT211" t="s">
        <v>161</v>
      </c>
      <c r="AU211" t="s">
        <v>109</v>
      </c>
      <c r="AV211" t="s">
        <v>451</v>
      </c>
      <c r="AW211" t="s">
        <v>111</v>
      </c>
      <c r="AY211" t="s">
        <v>1081</v>
      </c>
      <c r="AZ211" t="s">
        <v>113</v>
      </c>
      <c r="BB211" t="s">
        <v>114</v>
      </c>
      <c r="BC211" t="s">
        <v>115</v>
      </c>
      <c r="BN211" t="s">
        <v>113</v>
      </c>
      <c r="BO211" t="s">
        <v>1078</v>
      </c>
      <c r="BP211" t="s">
        <v>370</v>
      </c>
      <c r="BR211" t="s">
        <v>512</v>
      </c>
      <c r="BS211" t="s">
        <v>1082</v>
      </c>
      <c r="BW211" t="s">
        <v>382</v>
      </c>
      <c r="BX211" t="s">
        <v>383</v>
      </c>
      <c r="BY211" t="s">
        <v>123</v>
      </c>
      <c r="BZ211" t="s">
        <v>124</v>
      </c>
    </row>
    <row r="212" spans="1:78" x14ac:dyDescent="0.3">
      <c r="A212" t="s">
        <v>12</v>
      </c>
      <c r="B212" t="s">
        <v>92</v>
      </c>
      <c r="C212" t="s">
        <v>93</v>
      </c>
      <c r="D212" t="s">
        <v>94</v>
      </c>
      <c r="E212" t="s">
        <v>95</v>
      </c>
      <c r="F212" t="s">
        <v>1069</v>
      </c>
      <c r="G212">
        <v>573000</v>
      </c>
      <c r="H212">
        <v>573000</v>
      </c>
      <c r="I212" t="s">
        <v>93</v>
      </c>
      <c r="J212" t="s">
        <v>94</v>
      </c>
      <c r="K212" t="s">
        <v>202</v>
      </c>
      <c r="L212" t="s">
        <v>1070</v>
      </c>
      <c r="M212">
        <v>51000</v>
      </c>
      <c r="N212">
        <v>51000</v>
      </c>
      <c r="AA212" t="s">
        <v>1071</v>
      </c>
      <c r="AB212" t="s">
        <v>1072</v>
      </c>
      <c r="AC212" t="s">
        <v>1073</v>
      </c>
      <c r="AD212" t="s">
        <v>365</v>
      </c>
      <c r="AE212" t="s">
        <v>1074</v>
      </c>
      <c r="AF212" t="s">
        <v>1075</v>
      </c>
      <c r="AG212" t="s">
        <v>1076</v>
      </c>
      <c r="AH212" t="s">
        <v>1076</v>
      </c>
      <c r="AI212">
        <v>45937</v>
      </c>
      <c r="AJ212">
        <v>45937</v>
      </c>
      <c r="AK212" t="s">
        <v>137</v>
      </c>
      <c r="AL212" t="s">
        <v>142</v>
      </c>
      <c r="AM212" t="s">
        <v>398</v>
      </c>
      <c r="AN212" t="s">
        <v>107</v>
      </c>
      <c r="AO212" t="s">
        <v>107</v>
      </c>
      <c r="AP212">
        <v>10000</v>
      </c>
      <c r="AQ212">
        <v>10000</v>
      </c>
      <c r="AR212">
        <v>0</v>
      </c>
      <c r="AS212" t="s">
        <v>107</v>
      </c>
      <c r="AT212" t="s">
        <v>161</v>
      </c>
      <c r="AU212" t="s">
        <v>109</v>
      </c>
      <c r="AV212" t="s">
        <v>451</v>
      </c>
      <c r="AW212" t="s">
        <v>111</v>
      </c>
      <c r="AY212" t="s">
        <v>1083</v>
      </c>
      <c r="AZ212" t="s">
        <v>113</v>
      </c>
      <c r="BB212" t="s">
        <v>114</v>
      </c>
      <c r="BC212" t="s">
        <v>115</v>
      </c>
      <c r="BN212" t="s">
        <v>113</v>
      </c>
      <c r="BO212" t="s">
        <v>1078</v>
      </c>
      <c r="BP212" t="s">
        <v>370</v>
      </c>
      <c r="BR212" t="s">
        <v>512</v>
      </c>
      <c r="BS212" t="s">
        <v>1082</v>
      </c>
      <c r="BW212" t="s">
        <v>382</v>
      </c>
      <c r="BX212" t="s">
        <v>383</v>
      </c>
      <c r="BY212" t="s">
        <v>123</v>
      </c>
      <c r="BZ212" t="s">
        <v>124</v>
      </c>
    </row>
    <row r="213" spans="1:78" x14ac:dyDescent="0.3">
      <c r="A213" t="s">
        <v>11</v>
      </c>
      <c r="B213" t="s">
        <v>92</v>
      </c>
      <c r="C213" t="s">
        <v>93</v>
      </c>
      <c r="D213" t="s">
        <v>94</v>
      </c>
      <c r="E213" t="s">
        <v>95</v>
      </c>
      <c r="F213" t="s">
        <v>416</v>
      </c>
      <c r="G213">
        <v>498000</v>
      </c>
      <c r="H213">
        <v>464400</v>
      </c>
      <c r="I213" t="s">
        <v>93</v>
      </c>
      <c r="J213" t="s">
        <v>94</v>
      </c>
      <c r="K213" t="s">
        <v>202</v>
      </c>
      <c r="L213" t="s">
        <v>1084</v>
      </c>
      <c r="M213">
        <v>45600</v>
      </c>
      <c r="N213">
        <v>45600</v>
      </c>
      <c r="AA213" t="s">
        <v>1085</v>
      </c>
      <c r="AB213" t="s">
        <v>1086</v>
      </c>
      <c r="AC213" t="s">
        <v>1087</v>
      </c>
      <c r="AD213" t="s">
        <v>365</v>
      </c>
      <c r="AE213" t="s">
        <v>1088</v>
      </c>
      <c r="AF213" t="s">
        <v>1089</v>
      </c>
      <c r="AG213" t="s">
        <v>102</v>
      </c>
      <c r="AH213" t="s">
        <v>1090</v>
      </c>
      <c r="AI213">
        <v>45999</v>
      </c>
      <c r="AJ213">
        <v>45999</v>
      </c>
      <c r="AK213" t="s">
        <v>104</v>
      </c>
      <c r="AL213" t="s">
        <v>105</v>
      </c>
      <c r="AM213" t="s">
        <v>106</v>
      </c>
      <c r="AN213" t="s">
        <v>107</v>
      </c>
      <c r="AO213" t="s">
        <v>107</v>
      </c>
      <c r="AP213">
        <v>3000</v>
      </c>
      <c r="AQ213">
        <v>3000</v>
      </c>
      <c r="AR213">
        <v>0</v>
      </c>
      <c r="AS213" t="s">
        <v>107</v>
      </c>
      <c r="AT213" t="s">
        <v>243</v>
      </c>
      <c r="AU213" t="s">
        <v>162</v>
      </c>
      <c r="AV213" t="s">
        <v>163</v>
      </c>
      <c r="AW213" t="s">
        <v>111</v>
      </c>
      <c r="AY213" t="s">
        <v>1091</v>
      </c>
      <c r="AZ213" t="s">
        <v>113</v>
      </c>
      <c r="BB213" t="s">
        <v>114</v>
      </c>
      <c r="BC213" t="s">
        <v>115</v>
      </c>
      <c r="BN213" t="s">
        <v>113</v>
      </c>
      <c r="BO213" t="s">
        <v>1092</v>
      </c>
      <c r="BP213" t="s">
        <v>370</v>
      </c>
      <c r="BR213" t="s">
        <v>231</v>
      </c>
      <c r="BS213" t="s">
        <v>1093</v>
      </c>
      <c r="BW213" t="s">
        <v>382</v>
      </c>
      <c r="BX213" t="s">
        <v>383</v>
      </c>
      <c r="BY213" t="s">
        <v>123</v>
      </c>
      <c r="BZ213" t="s">
        <v>124</v>
      </c>
    </row>
    <row r="214" spans="1:78" x14ac:dyDescent="0.3">
      <c r="A214" t="s">
        <v>2</v>
      </c>
      <c r="B214" t="s">
        <v>92</v>
      </c>
      <c r="C214" t="s">
        <v>93</v>
      </c>
      <c r="D214" t="s">
        <v>94</v>
      </c>
      <c r="E214" t="s">
        <v>95</v>
      </c>
      <c r="F214" t="s">
        <v>350</v>
      </c>
      <c r="G214">
        <v>496000</v>
      </c>
      <c r="H214">
        <v>496000</v>
      </c>
      <c r="AA214" t="s">
        <v>351</v>
      </c>
      <c r="AB214" t="s">
        <v>352</v>
      </c>
      <c r="AC214" t="s">
        <v>353</v>
      </c>
      <c r="AE214" t="s">
        <v>354</v>
      </c>
      <c r="AF214" t="s">
        <v>355</v>
      </c>
      <c r="AG214" t="s">
        <v>102</v>
      </c>
      <c r="AH214" t="s">
        <v>160</v>
      </c>
      <c r="AI214">
        <v>45721</v>
      </c>
      <c r="AJ214">
        <v>45721</v>
      </c>
      <c r="AK214" t="s">
        <v>137</v>
      </c>
      <c r="AL214" t="s">
        <v>146</v>
      </c>
      <c r="AM214" t="s">
        <v>1094</v>
      </c>
      <c r="AN214" t="s">
        <v>107</v>
      </c>
      <c r="AO214" t="s">
        <v>107</v>
      </c>
      <c r="AP214">
        <v>25000</v>
      </c>
      <c r="AQ214">
        <v>25000</v>
      </c>
      <c r="AR214">
        <v>0</v>
      </c>
      <c r="AS214" t="s">
        <v>107</v>
      </c>
      <c r="AT214" t="s">
        <v>243</v>
      </c>
      <c r="AU214" t="s">
        <v>109</v>
      </c>
      <c r="AV214" t="s">
        <v>110</v>
      </c>
      <c r="AW214" t="s">
        <v>288</v>
      </c>
      <c r="AX214" t="s">
        <v>352</v>
      </c>
      <c r="AY214" t="s">
        <v>1095</v>
      </c>
      <c r="AZ214" t="s">
        <v>113</v>
      </c>
      <c r="BA214" t="s">
        <v>133</v>
      </c>
      <c r="BB214" t="s">
        <v>211</v>
      </c>
      <c r="BC214" t="s">
        <v>115</v>
      </c>
      <c r="BN214" t="s">
        <v>116</v>
      </c>
      <c r="BO214" t="s">
        <v>358</v>
      </c>
      <c r="BP214" t="s">
        <v>166</v>
      </c>
      <c r="BR214" t="s">
        <v>359</v>
      </c>
      <c r="BS214" t="s">
        <v>283</v>
      </c>
      <c r="BW214" t="s">
        <v>382</v>
      </c>
      <c r="BX214" t="s">
        <v>383</v>
      </c>
      <c r="BY214" t="s">
        <v>123</v>
      </c>
      <c r="BZ214" t="s">
        <v>124</v>
      </c>
    </row>
    <row r="215" spans="1:78" x14ac:dyDescent="0.3">
      <c r="A215" t="s">
        <v>2</v>
      </c>
      <c r="B215" t="s">
        <v>92</v>
      </c>
      <c r="C215" t="s">
        <v>93</v>
      </c>
      <c r="D215" t="s">
        <v>94</v>
      </c>
      <c r="E215" t="s">
        <v>95</v>
      </c>
      <c r="F215" t="s">
        <v>350</v>
      </c>
      <c r="G215">
        <v>496000</v>
      </c>
      <c r="H215">
        <v>496000</v>
      </c>
      <c r="AA215" t="s">
        <v>351</v>
      </c>
      <c r="AB215" t="s">
        <v>352</v>
      </c>
      <c r="AC215" t="s">
        <v>353</v>
      </c>
      <c r="AE215" t="s">
        <v>354</v>
      </c>
      <c r="AF215" t="s">
        <v>355</v>
      </c>
      <c r="AG215" t="s">
        <v>102</v>
      </c>
      <c r="AH215" t="s">
        <v>160</v>
      </c>
      <c r="AI215">
        <v>45828</v>
      </c>
      <c r="AJ215">
        <v>45828</v>
      </c>
      <c r="AK215" t="s">
        <v>137</v>
      </c>
      <c r="AL215" t="s">
        <v>152</v>
      </c>
      <c r="AM215" t="s">
        <v>410</v>
      </c>
      <c r="AN215" t="s">
        <v>107</v>
      </c>
      <c r="AO215" t="s">
        <v>107</v>
      </c>
      <c r="AP215">
        <v>7000</v>
      </c>
      <c r="AQ215">
        <v>7000</v>
      </c>
      <c r="AR215">
        <v>0</v>
      </c>
      <c r="AS215" t="s">
        <v>107</v>
      </c>
      <c r="AT215" t="s">
        <v>243</v>
      </c>
      <c r="AU215" t="s">
        <v>109</v>
      </c>
      <c r="AV215" t="s">
        <v>110</v>
      </c>
      <c r="AW215" t="s">
        <v>288</v>
      </c>
      <c r="AX215" t="s">
        <v>352</v>
      </c>
      <c r="AY215" t="s">
        <v>1096</v>
      </c>
      <c r="AZ215" t="s">
        <v>113</v>
      </c>
      <c r="BA215" t="s">
        <v>133</v>
      </c>
      <c r="BB215" t="s">
        <v>211</v>
      </c>
      <c r="BC215" t="s">
        <v>115</v>
      </c>
      <c r="BN215" t="s">
        <v>116</v>
      </c>
      <c r="BO215" t="s">
        <v>358</v>
      </c>
      <c r="BP215" t="s">
        <v>166</v>
      </c>
      <c r="BR215" t="s">
        <v>359</v>
      </c>
      <c r="BS215" t="s">
        <v>283</v>
      </c>
      <c r="BW215" t="s">
        <v>382</v>
      </c>
      <c r="BX215" t="s">
        <v>383</v>
      </c>
      <c r="BY215" t="s">
        <v>123</v>
      </c>
      <c r="BZ215" t="s">
        <v>124</v>
      </c>
    </row>
    <row r="216" spans="1:78" x14ac:dyDescent="0.3">
      <c r="A216" t="s">
        <v>2</v>
      </c>
      <c r="B216" t="s">
        <v>92</v>
      </c>
      <c r="C216" t="s">
        <v>93</v>
      </c>
      <c r="D216" t="s">
        <v>94</v>
      </c>
      <c r="E216" t="s">
        <v>95</v>
      </c>
      <c r="F216" t="s">
        <v>350</v>
      </c>
      <c r="G216">
        <v>496000</v>
      </c>
      <c r="H216">
        <v>496000</v>
      </c>
      <c r="AA216" t="s">
        <v>351</v>
      </c>
      <c r="AB216" t="s">
        <v>352</v>
      </c>
      <c r="AC216" t="s">
        <v>353</v>
      </c>
      <c r="AE216" t="s">
        <v>354</v>
      </c>
      <c r="AF216" t="s">
        <v>355</v>
      </c>
      <c r="AG216" t="s">
        <v>102</v>
      </c>
      <c r="AH216" t="s">
        <v>160</v>
      </c>
      <c r="AI216">
        <v>45829</v>
      </c>
      <c r="AJ216">
        <v>45829</v>
      </c>
      <c r="AK216" t="s">
        <v>137</v>
      </c>
      <c r="AL216" t="s">
        <v>584</v>
      </c>
      <c r="AM216" t="s">
        <v>1097</v>
      </c>
      <c r="AN216" t="s">
        <v>107</v>
      </c>
      <c r="AO216" t="s">
        <v>107</v>
      </c>
      <c r="AP216">
        <v>24800</v>
      </c>
      <c r="AQ216">
        <v>24800</v>
      </c>
      <c r="AR216">
        <v>0</v>
      </c>
      <c r="AS216" t="s">
        <v>107</v>
      </c>
      <c r="AT216" t="s">
        <v>243</v>
      </c>
      <c r="AU216" t="s">
        <v>109</v>
      </c>
      <c r="AV216" t="s">
        <v>110</v>
      </c>
      <c r="AW216" t="s">
        <v>111</v>
      </c>
      <c r="AX216" t="s">
        <v>352</v>
      </c>
      <c r="AY216" t="s">
        <v>352</v>
      </c>
      <c r="AZ216" t="s">
        <v>113</v>
      </c>
      <c r="BA216" t="s">
        <v>133</v>
      </c>
      <c r="BB216" t="s">
        <v>211</v>
      </c>
      <c r="BC216" t="s">
        <v>115</v>
      </c>
      <c r="BN216" t="s">
        <v>116</v>
      </c>
      <c r="BO216" t="s">
        <v>358</v>
      </c>
      <c r="BP216" t="s">
        <v>166</v>
      </c>
      <c r="BR216" t="s">
        <v>359</v>
      </c>
      <c r="BS216" t="s">
        <v>283</v>
      </c>
      <c r="BW216" t="s">
        <v>382</v>
      </c>
      <c r="BX216" t="s">
        <v>383</v>
      </c>
      <c r="BY216" t="s">
        <v>123</v>
      </c>
      <c r="BZ216" t="s">
        <v>124</v>
      </c>
    </row>
    <row r="217" spans="1:78" x14ac:dyDescent="0.3">
      <c r="A217" t="s">
        <v>2</v>
      </c>
      <c r="B217" t="s">
        <v>92</v>
      </c>
      <c r="C217" t="s">
        <v>93</v>
      </c>
      <c r="D217" t="s">
        <v>94</v>
      </c>
      <c r="E217" t="s">
        <v>95</v>
      </c>
      <c r="F217" t="s">
        <v>350</v>
      </c>
      <c r="G217">
        <v>496000</v>
      </c>
      <c r="H217">
        <v>496000</v>
      </c>
      <c r="AA217" t="s">
        <v>351</v>
      </c>
      <c r="AB217" t="s">
        <v>352</v>
      </c>
      <c r="AC217" t="s">
        <v>353</v>
      </c>
      <c r="AE217" t="s">
        <v>354</v>
      </c>
      <c r="AF217" t="s">
        <v>355</v>
      </c>
      <c r="AG217" t="s">
        <v>102</v>
      </c>
      <c r="AH217" t="s">
        <v>160</v>
      </c>
      <c r="AI217">
        <v>45869</v>
      </c>
      <c r="AJ217">
        <v>45854</v>
      </c>
      <c r="AK217" t="s">
        <v>218</v>
      </c>
      <c r="AL217" t="s">
        <v>397</v>
      </c>
      <c r="AM217" t="s">
        <v>1098</v>
      </c>
      <c r="AN217" t="s">
        <v>107</v>
      </c>
      <c r="AO217" t="s">
        <v>107</v>
      </c>
      <c r="AP217">
        <v>436200</v>
      </c>
      <c r="AQ217">
        <v>436200</v>
      </c>
      <c r="AR217">
        <v>0</v>
      </c>
      <c r="AS217" t="s">
        <v>107</v>
      </c>
      <c r="AT217" t="s">
        <v>243</v>
      </c>
      <c r="AU217" t="s">
        <v>109</v>
      </c>
      <c r="AV217" t="s">
        <v>110</v>
      </c>
      <c r="AW217" t="s">
        <v>111</v>
      </c>
      <c r="AY217" t="s">
        <v>1099</v>
      </c>
      <c r="AZ217" t="s">
        <v>113</v>
      </c>
      <c r="BB217" t="s">
        <v>114</v>
      </c>
      <c r="BC217" t="s">
        <v>115</v>
      </c>
      <c r="BN217" t="s">
        <v>116</v>
      </c>
      <c r="BO217" t="s">
        <v>358</v>
      </c>
      <c r="BP217" t="s">
        <v>166</v>
      </c>
      <c r="BR217" t="s">
        <v>359</v>
      </c>
      <c r="BS217" t="s">
        <v>1100</v>
      </c>
      <c r="BW217" t="s">
        <v>382</v>
      </c>
      <c r="BX217" t="s">
        <v>383</v>
      </c>
      <c r="BY217" t="s">
        <v>123</v>
      </c>
      <c r="BZ217" t="s">
        <v>124</v>
      </c>
    </row>
    <row r="218" spans="1:78" x14ac:dyDescent="0.3">
      <c r="A218" t="s">
        <v>2</v>
      </c>
      <c r="B218" t="s">
        <v>92</v>
      </c>
      <c r="C218" t="s">
        <v>93</v>
      </c>
      <c r="D218" t="s">
        <v>94</v>
      </c>
      <c r="E218" t="s">
        <v>95</v>
      </c>
      <c r="F218" t="s">
        <v>765</v>
      </c>
      <c r="G218">
        <v>470500</v>
      </c>
      <c r="H218">
        <v>470500</v>
      </c>
      <c r="AA218" t="s">
        <v>1101</v>
      </c>
      <c r="AB218" t="s">
        <v>1102</v>
      </c>
      <c r="AC218" t="s">
        <v>1103</v>
      </c>
      <c r="AD218" t="s">
        <v>365</v>
      </c>
      <c r="AE218" t="s">
        <v>1104</v>
      </c>
      <c r="AF218" t="s">
        <v>1105</v>
      </c>
      <c r="AG218" t="s">
        <v>422</v>
      </c>
      <c r="AH218" t="s">
        <v>423</v>
      </c>
      <c r="AI218">
        <v>45815</v>
      </c>
      <c r="AJ218">
        <v>45815</v>
      </c>
      <c r="AK218" t="s">
        <v>104</v>
      </c>
      <c r="AL218" t="s">
        <v>105</v>
      </c>
      <c r="AM218" t="s">
        <v>106</v>
      </c>
      <c r="AN218" t="s">
        <v>107</v>
      </c>
      <c r="AO218" t="s">
        <v>107</v>
      </c>
      <c r="AP218">
        <v>3000</v>
      </c>
      <c r="AQ218">
        <v>3000</v>
      </c>
      <c r="AR218">
        <v>0</v>
      </c>
      <c r="AS218" t="s">
        <v>107</v>
      </c>
      <c r="AT218" t="s">
        <v>243</v>
      </c>
      <c r="AU218" t="s">
        <v>109</v>
      </c>
      <c r="AV218" t="s">
        <v>110</v>
      </c>
      <c r="AW218" t="s">
        <v>111</v>
      </c>
      <c r="AY218" t="s">
        <v>1106</v>
      </c>
      <c r="AZ218" t="s">
        <v>113</v>
      </c>
      <c r="BB218" t="s">
        <v>114</v>
      </c>
      <c r="BC218" t="s">
        <v>115</v>
      </c>
      <c r="BN218" t="s">
        <v>116</v>
      </c>
      <c r="BO218" t="s">
        <v>1107</v>
      </c>
      <c r="BP218" t="s">
        <v>370</v>
      </c>
      <c r="BR218" t="s">
        <v>1108</v>
      </c>
      <c r="BS218" t="s">
        <v>1109</v>
      </c>
      <c r="BW218" t="s">
        <v>382</v>
      </c>
      <c r="BX218" t="s">
        <v>383</v>
      </c>
      <c r="BY218" t="s">
        <v>123</v>
      </c>
      <c r="BZ218" t="s">
        <v>124</v>
      </c>
    </row>
    <row r="219" spans="1:78" x14ac:dyDescent="0.3">
      <c r="A219" t="s">
        <v>2</v>
      </c>
      <c r="B219" t="s">
        <v>92</v>
      </c>
      <c r="C219" t="s">
        <v>93</v>
      </c>
      <c r="D219" t="s">
        <v>94</v>
      </c>
      <c r="E219" t="s">
        <v>95</v>
      </c>
      <c r="F219" t="s">
        <v>765</v>
      </c>
      <c r="G219">
        <v>470500</v>
      </c>
      <c r="H219">
        <v>470500</v>
      </c>
      <c r="AA219" t="s">
        <v>1101</v>
      </c>
      <c r="AB219" t="s">
        <v>1102</v>
      </c>
      <c r="AC219" t="s">
        <v>1103</v>
      </c>
      <c r="AD219" t="s">
        <v>365</v>
      </c>
      <c r="AE219" t="s">
        <v>1104</v>
      </c>
      <c r="AF219" t="s">
        <v>1105</v>
      </c>
      <c r="AG219" t="s">
        <v>422</v>
      </c>
      <c r="AH219" t="s">
        <v>423</v>
      </c>
      <c r="AI219">
        <v>45834</v>
      </c>
      <c r="AJ219">
        <v>45834</v>
      </c>
      <c r="AK219" t="s">
        <v>137</v>
      </c>
      <c r="AL219" t="s">
        <v>105</v>
      </c>
      <c r="AM219" t="s">
        <v>1110</v>
      </c>
      <c r="AN219" t="s">
        <v>107</v>
      </c>
      <c r="AO219" t="s">
        <v>107</v>
      </c>
      <c r="AP219">
        <v>39000</v>
      </c>
      <c r="AQ219">
        <v>39000</v>
      </c>
      <c r="AR219">
        <v>0</v>
      </c>
      <c r="AS219" t="s">
        <v>107</v>
      </c>
      <c r="AT219" t="s">
        <v>243</v>
      </c>
      <c r="AU219" t="s">
        <v>109</v>
      </c>
      <c r="AV219" t="s">
        <v>110</v>
      </c>
      <c r="AW219" t="s">
        <v>111</v>
      </c>
      <c r="AY219" t="s">
        <v>1111</v>
      </c>
      <c r="AZ219" t="s">
        <v>113</v>
      </c>
      <c r="BB219" t="s">
        <v>114</v>
      </c>
      <c r="BC219" t="s">
        <v>115</v>
      </c>
      <c r="BN219" t="s">
        <v>116</v>
      </c>
      <c r="BO219" t="s">
        <v>1107</v>
      </c>
      <c r="BP219" t="s">
        <v>370</v>
      </c>
      <c r="BR219" t="s">
        <v>1108</v>
      </c>
      <c r="BS219" t="s">
        <v>1112</v>
      </c>
      <c r="BW219" t="s">
        <v>382</v>
      </c>
      <c r="BX219" t="s">
        <v>383</v>
      </c>
      <c r="BY219" t="s">
        <v>123</v>
      </c>
      <c r="BZ219" t="s">
        <v>124</v>
      </c>
    </row>
    <row r="220" spans="1:78" x14ac:dyDescent="0.3">
      <c r="A220" t="s">
        <v>11</v>
      </c>
      <c r="B220" t="s">
        <v>92</v>
      </c>
      <c r="C220" t="s">
        <v>93</v>
      </c>
      <c r="D220" t="s">
        <v>94</v>
      </c>
      <c r="E220" t="s">
        <v>95</v>
      </c>
      <c r="F220" t="s">
        <v>544</v>
      </c>
      <c r="G220">
        <v>531100</v>
      </c>
      <c r="H220">
        <v>518500</v>
      </c>
      <c r="AA220" t="s">
        <v>1113</v>
      </c>
      <c r="AB220" t="s">
        <v>1114</v>
      </c>
      <c r="AC220" t="s">
        <v>1115</v>
      </c>
      <c r="AD220" t="s">
        <v>365</v>
      </c>
      <c r="AE220" t="s">
        <v>1116</v>
      </c>
      <c r="AF220" t="s">
        <v>1117</v>
      </c>
      <c r="AG220" t="s">
        <v>102</v>
      </c>
      <c r="AH220" t="s">
        <v>781</v>
      </c>
      <c r="AI220">
        <v>45855</v>
      </c>
      <c r="AJ220">
        <v>45855</v>
      </c>
      <c r="AK220" t="s">
        <v>104</v>
      </c>
      <c r="AL220" t="s">
        <v>105</v>
      </c>
      <c r="AM220" t="s">
        <v>106</v>
      </c>
      <c r="AN220" t="s">
        <v>107</v>
      </c>
      <c r="AO220" t="s">
        <v>107</v>
      </c>
      <c r="AP220">
        <v>3000</v>
      </c>
      <c r="AQ220">
        <v>3000</v>
      </c>
      <c r="AR220">
        <v>0</v>
      </c>
      <c r="AS220" t="s">
        <v>107</v>
      </c>
      <c r="AT220" t="s">
        <v>243</v>
      </c>
      <c r="AU220" t="s">
        <v>162</v>
      </c>
      <c r="AV220" t="s">
        <v>163</v>
      </c>
      <c r="AW220" t="s">
        <v>111</v>
      </c>
      <c r="AY220" t="s">
        <v>1118</v>
      </c>
      <c r="AZ220" t="s">
        <v>113</v>
      </c>
      <c r="BB220" t="s">
        <v>114</v>
      </c>
      <c r="BC220" t="s">
        <v>115</v>
      </c>
      <c r="BN220" t="s">
        <v>113</v>
      </c>
      <c r="BO220" t="s">
        <v>1119</v>
      </c>
      <c r="BP220" t="s">
        <v>370</v>
      </c>
      <c r="BR220" t="s">
        <v>945</v>
      </c>
      <c r="BS220" t="s">
        <v>1120</v>
      </c>
      <c r="BW220" t="s">
        <v>382</v>
      </c>
      <c r="BX220" t="s">
        <v>383</v>
      </c>
      <c r="BY220" t="s">
        <v>123</v>
      </c>
      <c r="BZ220" t="s">
        <v>124</v>
      </c>
    </row>
    <row r="221" spans="1:78" x14ac:dyDescent="0.3">
      <c r="A221" t="s">
        <v>11</v>
      </c>
      <c r="B221" t="s">
        <v>92</v>
      </c>
      <c r="C221" t="s">
        <v>93</v>
      </c>
      <c r="D221" t="s">
        <v>94</v>
      </c>
      <c r="E221" t="s">
        <v>95</v>
      </c>
      <c r="F221" t="s">
        <v>544</v>
      </c>
      <c r="G221">
        <v>531100</v>
      </c>
      <c r="H221">
        <v>518500</v>
      </c>
      <c r="AA221" t="s">
        <v>1113</v>
      </c>
      <c r="AB221" t="s">
        <v>1114</v>
      </c>
      <c r="AC221" t="s">
        <v>1115</v>
      </c>
      <c r="AD221" t="s">
        <v>365</v>
      </c>
      <c r="AE221" t="s">
        <v>1116</v>
      </c>
      <c r="AF221" t="s">
        <v>1117</v>
      </c>
      <c r="AG221" t="s">
        <v>102</v>
      </c>
      <c r="AH221" t="s">
        <v>781</v>
      </c>
      <c r="AI221">
        <v>45870</v>
      </c>
      <c r="AK221" t="s">
        <v>137</v>
      </c>
      <c r="AL221" t="s">
        <v>105</v>
      </c>
      <c r="AM221" t="s">
        <v>1121</v>
      </c>
      <c r="AN221" t="s">
        <v>107</v>
      </c>
      <c r="AO221" t="s">
        <v>107</v>
      </c>
      <c r="AP221">
        <v>22925</v>
      </c>
      <c r="AQ221">
        <v>0</v>
      </c>
      <c r="AR221">
        <v>22925</v>
      </c>
      <c r="AT221" t="s">
        <v>243</v>
      </c>
      <c r="AZ221" t="s">
        <v>113</v>
      </c>
      <c r="BC221" t="s">
        <v>543</v>
      </c>
      <c r="BN221" t="s">
        <v>113</v>
      </c>
      <c r="BO221" t="s">
        <v>1119</v>
      </c>
      <c r="BP221" t="s">
        <v>370</v>
      </c>
      <c r="BR221" t="s">
        <v>945</v>
      </c>
      <c r="BW221" t="s">
        <v>382</v>
      </c>
      <c r="BX221" t="s">
        <v>383</v>
      </c>
      <c r="BY221" t="s">
        <v>123</v>
      </c>
      <c r="BZ221" t="s">
        <v>124</v>
      </c>
    </row>
    <row r="222" spans="1:78" x14ac:dyDescent="0.3">
      <c r="A222" t="s">
        <v>11</v>
      </c>
      <c r="B222" t="s">
        <v>92</v>
      </c>
      <c r="C222" t="s">
        <v>93</v>
      </c>
      <c r="D222" t="s">
        <v>94</v>
      </c>
      <c r="E222" t="s">
        <v>95</v>
      </c>
      <c r="F222" t="s">
        <v>544</v>
      </c>
      <c r="G222">
        <v>531100</v>
      </c>
      <c r="H222">
        <v>518500</v>
      </c>
      <c r="AA222" t="s">
        <v>1113</v>
      </c>
      <c r="AB222" t="s">
        <v>1114</v>
      </c>
      <c r="AC222" t="s">
        <v>1115</v>
      </c>
      <c r="AD222" t="s">
        <v>365</v>
      </c>
      <c r="AE222" t="s">
        <v>1116</v>
      </c>
      <c r="AF222" t="s">
        <v>1117</v>
      </c>
      <c r="AG222" t="s">
        <v>102</v>
      </c>
      <c r="AH222" t="s">
        <v>781</v>
      </c>
      <c r="AI222">
        <v>45991</v>
      </c>
      <c r="AK222" t="s">
        <v>1122</v>
      </c>
      <c r="AL222" t="s">
        <v>142</v>
      </c>
      <c r="AM222" t="s">
        <v>1123</v>
      </c>
      <c r="AN222" t="s">
        <v>107</v>
      </c>
      <c r="AO222" t="s">
        <v>107</v>
      </c>
      <c r="AP222">
        <v>13800</v>
      </c>
      <c r="AQ222">
        <v>0</v>
      </c>
      <c r="AR222">
        <v>13800</v>
      </c>
      <c r="AT222" t="s">
        <v>243</v>
      </c>
      <c r="AZ222" t="s">
        <v>113</v>
      </c>
      <c r="BC222" t="s">
        <v>543</v>
      </c>
      <c r="BN222" t="s">
        <v>113</v>
      </c>
      <c r="BO222" t="s">
        <v>1119</v>
      </c>
      <c r="BP222" t="s">
        <v>370</v>
      </c>
      <c r="BR222" t="s">
        <v>945</v>
      </c>
      <c r="BW222" t="s">
        <v>382</v>
      </c>
      <c r="BX222" t="s">
        <v>383</v>
      </c>
      <c r="BY222" t="s">
        <v>123</v>
      </c>
      <c r="BZ222" t="s">
        <v>124</v>
      </c>
    </row>
    <row r="223" spans="1:78" x14ac:dyDescent="0.3">
      <c r="A223" t="s">
        <v>11</v>
      </c>
      <c r="B223" t="s">
        <v>92</v>
      </c>
      <c r="C223" t="s">
        <v>93</v>
      </c>
      <c r="D223" t="s">
        <v>94</v>
      </c>
      <c r="E223" t="s">
        <v>95</v>
      </c>
      <c r="F223" t="s">
        <v>169</v>
      </c>
      <c r="G223">
        <v>587000</v>
      </c>
      <c r="H223">
        <v>577000</v>
      </c>
      <c r="AA223" t="s">
        <v>362</v>
      </c>
      <c r="AB223" t="s">
        <v>363</v>
      </c>
      <c r="AC223" t="s">
        <v>364</v>
      </c>
      <c r="AD223" t="s">
        <v>365</v>
      </c>
      <c r="AE223" t="s">
        <v>366</v>
      </c>
      <c r="AF223" t="s">
        <v>367</v>
      </c>
      <c r="AG223" t="s">
        <v>102</v>
      </c>
      <c r="AH223" t="s">
        <v>131</v>
      </c>
      <c r="AI223">
        <v>45918</v>
      </c>
      <c r="AJ223">
        <v>45918</v>
      </c>
      <c r="AK223" t="s">
        <v>137</v>
      </c>
      <c r="AL223" t="s">
        <v>105</v>
      </c>
      <c r="AM223" t="s">
        <v>1124</v>
      </c>
      <c r="AN223" t="s">
        <v>107</v>
      </c>
      <c r="AO223" t="s">
        <v>107</v>
      </c>
      <c r="AP223">
        <v>89400</v>
      </c>
      <c r="AQ223">
        <v>89400</v>
      </c>
      <c r="AR223">
        <v>0</v>
      </c>
      <c r="AS223" t="s">
        <v>107</v>
      </c>
      <c r="AT223" t="s">
        <v>243</v>
      </c>
      <c r="AU223" t="s">
        <v>162</v>
      </c>
      <c r="AV223" t="s">
        <v>163</v>
      </c>
      <c r="AW223" t="s">
        <v>111</v>
      </c>
      <c r="AX223" t="s">
        <v>363</v>
      </c>
      <c r="AY223" t="s">
        <v>1125</v>
      </c>
      <c r="AZ223" t="s">
        <v>113</v>
      </c>
      <c r="BA223" t="s">
        <v>133</v>
      </c>
      <c r="BB223" t="s">
        <v>114</v>
      </c>
      <c r="BC223" t="s">
        <v>115</v>
      </c>
      <c r="BN223" t="s">
        <v>116</v>
      </c>
      <c r="BO223" t="s">
        <v>369</v>
      </c>
      <c r="BP223" t="s">
        <v>370</v>
      </c>
      <c r="BR223" t="s">
        <v>371</v>
      </c>
      <c r="BS223" t="s">
        <v>1126</v>
      </c>
      <c r="BW223" t="s">
        <v>382</v>
      </c>
      <c r="BX223" t="s">
        <v>383</v>
      </c>
      <c r="BY223" t="s">
        <v>123</v>
      </c>
      <c r="BZ223" t="s">
        <v>124</v>
      </c>
    </row>
    <row r="224" spans="1:78" x14ac:dyDescent="0.3">
      <c r="A224" t="s">
        <v>11</v>
      </c>
      <c r="B224" t="s">
        <v>92</v>
      </c>
      <c r="C224" t="s">
        <v>93</v>
      </c>
      <c r="D224" t="s">
        <v>94</v>
      </c>
      <c r="E224" t="s">
        <v>95</v>
      </c>
      <c r="F224" t="s">
        <v>1127</v>
      </c>
      <c r="G224">
        <v>430000</v>
      </c>
      <c r="H224">
        <v>382000</v>
      </c>
      <c r="AA224" t="s">
        <v>1128</v>
      </c>
      <c r="AB224" t="s">
        <v>1129</v>
      </c>
      <c r="AC224" t="s">
        <v>1130</v>
      </c>
      <c r="AD224" t="s">
        <v>1131</v>
      </c>
      <c r="AE224" t="s">
        <v>1131</v>
      </c>
      <c r="AF224" t="s">
        <v>1132</v>
      </c>
      <c r="AG224" t="s">
        <v>102</v>
      </c>
      <c r="AH224" t="s">
        <v>771</v>
      </c>
      <c r="AI224">
        <v>46011</v>
      </c>
      <c r="AJ224">
        <v>46011</v>
      </c>
      <c r="AK224" t="s">
        <v>104</v>
      </c>
      <c r="AL224" t="s">
        <v>105</v>
      </c>
      <c r="AM224" t="s">
        <v>106</v>
      </c>
      <c r="AN224" t="s">
        <v>107</v>
      </c>
      <c r="AO224" t="s">
        <v>107</v>
      </c>
      <c r="AP224">
        <v>3000</v>
      </c>
      <c r="AQ224">
        <v>3000</v>
      </c>
      <c r="AR224">
        <v>0</v>
      </c>
      <c r="AS224" t="s">
        <v>107</v>
      </c>
      <c r="AT224" t="s">
        <v>108</v>
      </c>
      <c r="AU224" t="s">
        <v>162</v>
      </c>
      <c r="AV224" t="s">
        <v>163</v>
      </c>
      <c r="AW224" t="s">
        <v>111</v>
      </c>
      <c r="AY224" t="s">
        <v>1133</v>
      </c>
      <c r="AZ224" t="s">
        <v>116</v>
      </c>
      <c r="BB224" t="s">
        <v>114</v>
      </c>
      <c r="BC224" t="s">
        <v>115</v>
      </c>
      <c r="BN224" t="s">
        <v>113</v>
      </c>
      <c r="BO224" t="s">
        <v>1134</v>
      </c>
      <c r="BP224" t="s">
        <v>370</v>
      </c>
      <c r="BR224" t="s">
        <v>1135</v>
      </c>
      <c r="BS224" t="s">
        <v>1136</v>
      </c>
      <c r="BW224" t="s">
        <v>382</v>
      </c>
      <c r="BX224" t="s">
        <v>383</v>
      </c>
      <c r="BY224" t="s">
        <v>123</v>
      </c>
      <c r="BZ224" t="s">
        <v>124</v>
      </c>
    </row>
    <row r="225" spans="1:78" x14ac:dyDescent="0.3">
      <c r="A225" t="s">
        <v>11</v>
      </c>
      <c r="B225" t="s">
        <v>92</v>
      </c>
      <c r="C225" t="s">
        <v>93</v>
      </c>
      <c r="D225" t="s">
        <v>94</v>
      </c>
      <c r="E225" t="s">
        <v>95</v>
      </c>
      <c r="F225" t="s">
        <v>387</v>
      </c>
      <c r="G225">
        <v>518500</v>
      </c>
      <c r="H225">
        <v>475000</v>
      </c>
      <c r="I225" t="s">
        <v>93</v>
      </c>
      <c r="J225" t="s">
        <v>94</v>
      </c>
      <c r="K225" t="s">
        <v>202</v>
      </c>
      <c r="L225" t="s">
        <v>1137</v>
      </c>
      <c r="M225">
        <v>52500</v>
      </c>
      <c r="N225">
        <v>52500</v>
      </c>
      <c r="AA225" t="s">
        <v>1138</v>
      </c>
      <c r="AB225" t="s">
        <v>1139</v>
      </c>
      <c r="AC225" t="s">
        <v>1140</v>
      </c>
      <c r="AD225" t="s">
        <v>365</v>
      </c>
      <c r="AE225" t="s">
        <v>1141</v>
      </c>
      <c r="AF225" t="s">
        <v>1142</v>
      </c>
      <c r="AG225" t="s">
        <v>102</v>
      </c>
      <c r="AH225" t="s">
        <v>131</v>
      </c>
      <c r="AI225">
        <v>45902</v>
      </c>
      <c r="AJ225">
        <v>45902</v>
      </c>
      <c r="AK225" t="s">
        <v>104</v>
      </c>
      <c r="AL225" t="s">
        <v>105</v>
      </c>
      <c r="AM225" t="s">
        <v>106</v>
      </c>
      <c r="AN225" t="s">
        <v>107</v>
      </c>
      <c r="AO225" t="s">
        <v>107</v>
      </c>
      <c r="AP225">
        <v>3000</v>
      </c>
      <c r="AQ225">
        <v>3000</v>
      </c>
      <c r="AR225">
        <v>0</v>
      </c>
      <c r="AS225" t="s">
        <v>107</v>
      </c>
      <c r="AT225" t="s">
        <v>161</v>
      </c>
      <c r="AU225" t="s">
        <v>162</v>
      </c>
      <c r="AV225" t="s">
        <v>163</v>
      </c>
      <c r="AW225" t="s">
        <v>111</v>
      </c>
      <c r="AX225" t="s">
        <v>1139</v>
      </c>
      <c r="AY225" t="s">
        <v>1143</v>
      </c>
      <c r="AZ225" t="s">
        <v>113</v>
      </c>
      <c r="BA225" t="s">
        <v>133</v>
      </c>
      <c r="BB225" t="s">
        <v>114</v>
      </c>
      <c r="BC225" t="s">
        <v>115</v>
      </c>
      <c r="BN225" t="s">
        <v>116</v>
      </c>
      <c r="BO225" t="s">
        <v>1144</v>
      </c>
      <c r="BP225" t="s">
        <v>370</v>
      </c>
      <c r="BR225" t="s">
        <v>179</v>
      </c>
      <c r="BS225" t="s">
        <v>1145</v>
      </c>
      <c r="BW225" t="s">
        <v>382</v>
      </c>
      <c r="BX225" t="s">
        <v>383</v>
      </c>
      <c r="BY225" t="s">
        <v>123</v>
      </c>
      <c r="BZ225" t="s">
        <v>124</v>
      </c>
    </row>
    <row r="226" spans="1:78" x14ac:dyDescent="0.3">
      <c r="A226" t="s">
        <v>11</v>
      </c>
      <c r="B226" t="s">
        <v>92</v>
      </c>
      <c r="C226" t="s">
        <v>93</v>
      </c>
      <c r="D226" t="s">
        <v>94</v>
      </c>
      <c r="E226" t="s">
        <v>95</v>
      </c>
      <c r="F226" t="s">
        <v>387</v>
      </c>
      <c r="G226">
        <v>518500</v>
      </c>
      <c r="H226">
        <v>475000</v>
      </c>
      <c r="I226" t="s">
        <v>93</v>
      </c>
      <c r="J226" t="s">
        <v>94</v>
      </c>
      <c r="K226" t="s">
        <v>202</v>
      </c>
      <c r="L226" t="s">
        <v>1137</v>
      </c>
      <c r="M226">
        <v>52500</v>
      </c>
      <c r="N226">
        <v>52500</v>
      </c>
      <c r="AA226" t="s">
        <v>1138</v>
      </c>
      <c r="AB226" t="s">
        <v>1139</v>
      </c>
      <c r="AC226" t="s">
        <v>1140</v>
      </c>
      <c r="AD226" t="s">
        <v>365</v>
      </c>
      <c r="AE226" t="s">
        <v>1141</v>
      </c>
      <c r="AF226" t="s">
        <v>1142</v>
      </c>
      <c r="AG226" t="s">
        <v>102</v>
      </c>
      <c r="AH226" t="s">
        <v>131</v>
      </c>
      <c r="AI226">
        <v>46021</v>
      </c>
      <c r="AK226" t="s">
        <v>137</v>
      </c>
      <c r="AL226" t="s">
        <v>105</v>
      </c>
      <c r="AM226" t="s">
        <v>1146</v>
      </c>
      <c r="AN226" t="s">
        <v>107</v>
      </c>
      <c r="AO226" t="s">
        <v>107</v>
      </c>
      <c r="AP226">
        <v>54500</v>
      </c>
      <c r="AQ226">
        <v>0</v>
      </c>
      <c r="AR226">
        <v>54500</v>
      </c>
      <c r="AT226" t="s">
        <v>161</v>
      </c>
      <c r="AZ226" t="s">
        <v>113</v>
      </c>
      <c r="BC226" t="s">
        <v>543</v>
      </c>
      <c r="BN226" t="s">
        <v>113</v>
      </c>
      <c r="BO226" t="s">
        <v>1144</v>
      </c>
      <c r="BP226" t="s">
        <v>370</v>
      </c>
      <c r="BR226" t="s">
        <v>179</v>
      </c>
      <c r="BW226" t="s">
        <v>382</v>
      </c>
      <c r="BX226" t="s">
        <v>383</v>
      </c>
      <c r="BY226" t="s">
        <v>123</v>
      </c>
      <c r="BZ226" t="s">
        <v>124</v>
      </c>
    </row>
    <row r="227" spans="1:78" x14ac:dyDescent="0.3">
      <c r="A227" t="s">
        <v>11</v>
      </c>
      <c r="B227" t="s">
        <v>92</v>
      </c>
      <c r="C227" t="s">
        <v>93</v>
      </c>
      <c r="D227" t="s">
        <v>94</v>
      </c>
      <c r="E227" t="s">
        <v>95</v>
      </c>
      <c r="F227" t="s">
        <v>387</v>
      </c>
      <c r="G227">
        <v>518500</v>
      </c>
      <c r="H227">
        <v>475000</v>
      </c>
      <c r="I227" t="s">
        <v>93</v>
      </c>
      <c r="J227" t="s">
        <v>94</v>
      </c>
      <c r="K227" t="s">
        <v>202</v>
      </c>
      <c r="L227" t="s">
        <v>1137</v>
      </c>
      <c r="M227">
        <v>52500</v>
      </c>
      <c r="N227">
        <v>52500</v>
      </c>
      <c r="AA227" t="s">
        <v>1138</v>
      </c>
      <c r="AB227" t="s">
        <v>1139</v>
      </c>
      <c r="AC227" t="s">
        <v>1140</v>
      </c>
      <c r="AD227" t="s">
        <v>365</v>
      </c>
      <c r="AE227" t="s">
        <v>1141</v>
      </c>
      <c r="AF227" t="s">
        <v>1142</v>
      </c>
      <c r="AG227" t="s">
        <v>102</v>
      </c>
      <c r="AH227" t="s">
        <v>131</v>
      </c>
      <c r="AI227">
        <v>46021</v>
      </c>
      <c r="AK227" t="s">
        <v>218</v>
      </c>
      <c r="AL227" t="s">
        <v>105</v>
      </c>
      <c r="AM227" t="s">
        <v>1147</v>
      </c>
      <c r="AN227" t="s">
        <v>107</v>
      </c>
      <c r="AO227" t="s">
        <v>107</v>
      </c>
      <c r="AP227">
        <v>52222.22</v>
      </c>
      <c r="AQ227">
        <v>0</v>
      </c>
      <c r="AR227">
        <v>52222.22</v>
      </c>
      <c r="AT227" t="s">
        <v>161</v>
      </c>
      <c r="AZ227" t="s">
        <v>113</v>
      </c>
      <c r="BC227" t="s">
        <v>543</v>
      </c>
      <c r="BN227" t="s">
        <v>113</v>
      </c>
      <c r="BO227" t="s">
        <v>1144</v>
      </c>
      <c r="BP227" t="s">
        <v>370</v>
      </c>
      <c r="BR227" t="s">
        <v>179</v>
      </c>
      <c r="BW227" t="s">
        <v>382</v>
      </c>
      <c r="BX227" t="s">
        <v>383</v>
      </c>
      <c r="BY227" t="s">
        <v>123</v>
      </c>
      <c r="BZ227" t="s">
        <v>124</v>
      </c>
    </row>
    <row r="228" spans="1:78" x14ac:dyDescent="0.3">
      <c r="A228" t="s">
        <v>2</v>
      </c>
      <c r="B228" t="s">
        <v>92</v>
      </c>
      <c r="C228" t="s">
        <v>93</v>
      </c>
      <c r="D228" t="s">
        <v>94</v>
      </c>
      <c r="E228" t="s">
        <v>95</v>
      </c>
      <c r="F228" t="s">
        <v>444</v>
      </c>
      <c r="G228">
        <v>417700</v>
      </c>
      <c r="H228">
        <v>417700</v>
      </c>
      <c r="AA228" t="s">
        <v>1148</v>
      </c>
      <c r="AB228" t="s">
        <v>1149</v>
      </c>
      <c r="AC228" t="s">
        <v>1150</v>
      </c>
      <c r="AD228" t="s">
        <v>1151</v>
      </c>
      <c r="AE228" t="s">
        <v>1152</v>
      </c>
      <c r="AF228" t="s">
        <v>1153</v>
      </c>
      <c r="AG228" t="s">
        <v>102</v>
      </c>
      <c r="AH228" t="s">
        <v>131</v>
      </c>
      <c r="AI228">
        <v>45861</v>
      </c>
      <c r="AJ228">
        <v>45861</v>
      </c>
      <c r="AK228" t="s">
        <v>104</v>
      </c>
      <c r="AL228" t="s">
        <v>105</v>
      </c>
      <c r="AM228" t="s">
        <v>106</v>
      </c>
      <c r="AN228" t="s">
        <v>107</v>
      </c>
      <c r="AO228" t="s">
        <v>107</v>
      </c>
      <c r="AP228">
        <v>3000</v>
      </c>
      <c r="AQ228">
        <v>3000</v>
      </c>
      <c r="AR228">
        <v>0</v>
      </c>
      <c r="AS228" t="s">
        <v>107</v>
      </c>
      <c r="AT228" t="s">
        <v>108</v>
      </c>
      <c r="AU228" t="s">
        <v>109</v>
      </c>
      <c r="AV228" t="s">
        <v>110</v>
      </c>
      <c r="AW228" t="s">
        <v>111</v>
      </c>
      <c r="AX228" t="s">
        <v>1149</v>
      </c>
      <c r="AY228" t="s">
        <v>1154</v>
      </c>
      <c r="AZ228" t="s">
        <v>113</v>
      </c>
      <c r="BA228" t="s">
        <v>133</v>
      </c>
      <c r="BB228" t="s">
        <v>211</v>
      </c>
      <c r="BC228" t="s">
        <v>115</v>
      </c>
      <c r="BN228" t="s">
        <v>116</v>
      </c>
      <c r="BO228" t="s">
        <v>1155</v>
      </c>
      <c r="BP228" t="s">
        <v>166</v>
      </c>
      <c r="BR228" t="s">
        <v>985</v>
      </c>
      <c r="BS228" t="s">
        <v>214</v>
      </c>
      <c r="BW228" t="s">
        <v>382</v>
      </c>
      <c r="BX228" t="s">
        <v>383</v>
      </c>
      <c r="BY228" t="s">
        <v>123</v>
      </c>
      <c r="BZ228" t="s">
        <v>124</v>
      </c>
    </row>
    <row r="229" spans="1:78" x14ac:dyDescent="0.3">
      <c r="A229" t="s">
        <v>11</v>
      </c>
      <c r="B229" t="s">
        <v>92</v>
      </c>
      <c r="C229" t="s">
        <v>93</v>
      </c>
      <c r="D229" t="s">
        <v>94</v>
      </c>
      <c r="E229" t="s">
        <v>95</v>
      </c>
      <c r="F229" t="s">
        <v>373</v>
      </c>
      <c r="G229">
        <v>312500</v>
      </c>
      <c r="H229">
        <v>265000</v>
      </c>
      <c r="AA229" t="s">
        <v>374</v>
      </c>
      <c r="AB229" t="s">
        <v>375</v>
      </c>
      <c r="AC229" t="s">
        <v>376</v>
      </c>
      <c r="AD229" t="s">
        <v>365</v>
      </c>
      <c r="AE229" t="s">
        <v>377</v>
      </c>
      <c r="AF229" t="s">
        <v>378</v>
      </c>
      <c r="AG229" t="s">
        <v>102</v>
      </c>
      <c r="AH229" t="s">
        <v>160</v>
      </c>
      <c r="AI229">
        <v>46053</v>
      </c>
      <c r="AK229" t="s">
        <v>1122</v>
      </c>
      <c r="AL229" t="s">
        <v>142</v>
      </c>
      <c r="AM229" t="s">
        <v>1156</v>
      </c>
      <c r="AN229" t="s">
        <v>107</v>
      </c>
      <c r="AO229" t="s">
        <v>107</v>
      </c>
      <c r="AP229">
        <v>11400</v>
      </c>
      <c r="AQ229">
        <v>0</v>
      </c>
      <c r="AR229">
        <v>11400</v>
      </c>
      <c r="AT229" t="s">
        <v>243</v>
      </c>
      <c r="AZ229" t="s">
        <v>113</v>
      </c>
      <c r="BC229" t="s">
        <v>543</v>
      </c>
      <c r="BN229" t="s">
        <v>113</v>
      </c>
      <c r="BO229" t="s">
        <v>380</v>
      </c>
      <c r="BP229" t="s">
        <v>166</v>
      </c>
      <c r="BR229" t="s">
        <v>302</v>
      </c>
      <c r="BW229" t="s">
        <v>1157</v>
      </c>
      <c r="BX229" t="s">
        <v>1158</v>
      </c>
      <c r="BY229" t="s">
        <v>123</v>
      </c>
      <c r="BZ229" t="s">
        <v>124</v>
      </c>
    </row>
    <row r="230" spans="1:78" x14ac:dyDescent="0.3">
      <c r="A230" t="s">
        <v>11</v>
      </c>
      <c r="B230" t="s">
        <v>92</v>
      </c>
      <c r="C230" t="s">
        <v>93</v>
      </c>
      <c r="D230" t="s">
        <v>94</v>
      </c>
      <c r="E230" t="s">
        <v>95</v>
      </c>
      <c r="F230" t="s">
        <v>373</v>
      </c>
      <c r="G230">
        <v>312500</v>
      </c>
      <c r="H230">
        <v>265000</v>
      </c>
      <c r="AA230" t="s">
        <v>374</v>
      </c>
      <c r="AB230" t="s">
        <v>375</v>
      </c>
      <c r="AC230" t="s">
        <v>376</v>
      </c>
      <c r="AD230" t="s">
        <v>365</v>
      </c>
      <c r="AE230" t="s">
        <v>377</v>
      </c>
      <c r="AF230" t="s">
        <v>378</v>
      </c>
      <c r="AG230" t="s">
        <v>102</v>
      </c>
      <c r="AH230" t="s">
        <v>160</v>
      </c>
      <c r="AI230">
        <v>46234</v>
      </c>
      <c r="AK230" t="s">
        <v>218</v>
      </c>
      <c r="AL230" t="s">
        <v>105</v>
      </c>
      <c r="AM230" t="s">
        <v>1159</v>
      </c>
      <c r="AN230" t="s">
        <v>107</v>
      </c>
      <c r="AO230" t="s">
        <v>107</v>
      </c>
      <c r="AP230">
        <v>185000</v>
      </c>
      <c r="AQ230">
        <v>0</v>
      </c>
      <c r="AR230">
        <v>185000</v>
      </c>
      <c r="AT230" t="s">
        <v>243</v>
      </c>
      <c r="AZ230" t="s">
        <v>113</v>
      </c>
      <c r="BC230" t="s">
        <v>1160</v>
      </c>
      <c r="BN230" t="s">
        <v>113</v>
      </c>
      <c r="BO230" t="s">
        <v>380</v>
      </c>
      <c r="BP230" t="s">
        <v>166</v>
      </c>
      <c r="BR230" t="s">
        <v>302</v>
      </c>
      <c r="BW230" t="s">
        <v>1157</v>
      </c>
      <c r="BX230" t="s">
        <v>1158</v>
      </c>
      <c r="BY230" t="s">
        <v>123</v>
      </c>
      <c r="BZ230" t="s">
        <v>124</v>
      </c>
    </row>
    <row r="231" spans="1:78" x14ac:dyDescent="0.3">
      <c r="A231" t="s">
        <v>11</v>
      </c>
      <c r="B231" t="s">
        <v>92</v>
      </c>
      <c r="C231" t="s">
        <v>93</v>
      </c>
      <c r="D231" t="s">
        <v>94</v>
      </c>
      <c r="E231" t="s">
        <v>95</v>
      </c>
      <c r="F231" t="s">
        <v>1161</v>
      </c>
      <c r="G231">
        <v>482100</v>
      </c>
      <c r="H231">
        <v>482100</v>
      </c>
      <c r="I231" t="s">
        <v>93</v>
      </c>
      <c r="J231" t="s">
        <v>94</v>
      </c>
      <c r="K231" t="s">
        <v>202</v>
      </c>
      <c r="L231" t="s">
        <v>1162</v>
      </c>
      <c r="M231">
        <v>54000</v>
      </c>
      <c r="N231">
        <v>54000</v>
      </c>
      <c r="AA231" t="s">
        <v>1163</v>
      </c>
      <c r="AB231" t="s">
        <v>1164</v>
      </c>
      <c r="AC231" t="s">
        <v>1165</v>
      </c>
      <c r="AD231" t="s">
        <v>365</v>
      </c>
      <c r="AE231" t="s">
        <v>1166</v>
      </c>
      <c r="AF231" t="s">
        <v>1167</v>
      </c>
      <c r="AG231" t="s">
        <v>102</v>
      </c>
      <c r="AH231" t="s">
        <v>489</v>
      </c>
      <c r="AI231">
        <v>46169</v>
      </c>
      <c r="AJ231">
        <v>46169</v>
      </c>
      <c r="AK231" t="s">
        <v>104</v>
      </c>
      <c r="AL231" t="s">
        <v>105</v>
      </c>
      <c r="AM231" t="s">
        <v>106</v>
      </c>
      <c r="AN231" t="s">
        <v>107</v>
      </c>
      <c r="AO231" t="s">
        <v>107</v>
      </c>
      <c r="AP231">
        <v>3000</v>
      </c>
      <c r="AQ231">
        <v>3000</v>
      </c>
      <c r="AR231">
        <v>0</v>
      </c>
      <c r="AS231" t="s">
        <v>107</v>
      </c>
      <c r="AT231" t="s">
        <v>243</v>
      </c>
      <c r="AU231" t="s">
        <v>162</v>
      </c>
      <c r="AV231" t="s">
        <v>163</v>
      </c>
      <c r="AW231" t="s">
        <v>111</v>
      </c>
      <c r="AY231" t="s">
        <v>1168</v>
      </c>
      <c r="AZ231" t="s">
        <v>113</v>
      </c>
      <c r="BB231" t="s">
        <v>114</v>
      </c>
      <c r="BC231" t="s">
        <v>115</v>
      </c>
      <c r="BN231" t="s">
        <v>113</v>
      </c>
      <c r="BO231" t="s">
        <v>1169</v>
      </c>
      <c r="BP231" t="s">
        <v>370</v>
      </c>
      <c r="BR231" t="s">
        <v>532</v>
      </c>
      <c r="BS231" t="s">
        <v>1170</v>
      </c>
      <c r="BW231" t="s">
        <v>1157</v>
      </c>
      <c r="BX231" t="s">
        <v>1158</v>
      </c>
      <c r="BY231" t="s">
        <v>123</v>
      </c>
      <c r="BZ231" t="s">
        <v>124</v>
      </c>
    </row>
    <row r="232" spans="1:78" x14ac:dyDescent="0.3">
      <c r="A232" t="s">
        <v>11</v>
      </c>
      <c r="B232" t="s">
        <v>92</v>
      </c>
      <c r="C232" t="s">
        <v>93</v>
      </c>
      <c r="D232" t="s">
        <v>94</v>
      </c>
      <c r="E232" t="s">
        <v>95</v>
      </c>
      <c r="F232" t="s">
        <v>1161</v>
      </c>
      <c r="G232">
        <v>482100</v>
      </c>
      <c r="H232">
        <v>482100</v>
      </c>
      <c r="I232" t="s">
        <v>93</v>
      </c>
      <c r="J232" t="s">
        <v>94</v>
      </c>
      <c r="K232" t="s">
        <v>202</v>
      </c>
      <c r="L232" t="s">
        <v>1162</v>
      </c>
      <c r="M232">
        <v>54000</v>
      </c>
      <c r="N232">
        <v>54000</v>
      </c>
      <c r="AA232" t="s">
        <v>1163</v>
      </c>
      <c r="AB232" t="s">
        <v>1164</v>
      </c>
      <c r="AC232" t="s">
        <v>1165</v>
      </c>
      <c r="AD232" t="s">
        <v>365</v>
      </c>
      <c r="AE232" t="s">
        <v>1166</v>
      </c>
      <c r="AF232" t="s">
        <v>1167</v>
      </c>
      <c r="AG232" t="s">
        <v>102</v>
      </c>
      <c r="AH232" t="s">
        <v>489</v>
      </c>
      <c r="AI232">
        <v>46172</v>
      </c>
      <c r="AJ232">
        <v>46172</v>
      </c>
      <c r="AK232" t="s">
        <v>137</v>
      </c>
      <c r="AL232" t="s">
        <v>105</v>
      </c>
      <c r="AM232" t="s">
        <v>410</v>
      </c>
      <c r="AN232" t="s">
        <v>107</v>
      </c>
      <c r="AO232" t="s">
        <v>107</v>
      </c>
      <c r="AP232">
        <v>7000</v>
      </c>
      <c r="AQ232">
        <v>7000</v>
      </c>
      <c r="AR232">
        <v>0</v>
      </c>
      <c r="AS232" t="s">
        <v>107</v>
      </c>
      <c r="AT232" t="s">
        <v>243</v>
      </c>
      <c r="AU232" t="s">
        <v>162</v>
      </c>
      <c r="AV232" t="s">
        <v>163</v>
      </c>
      <c r="AW232" t="s">
        <v>111</v>
      </c>
      <c r="AY232" t="s">
        <v>1171</v>
      </c>
      <c r="AZ232" t="s">
        <v>113</v>
      </c>
      <c r="BB232" t="s">
        <v>114</v>
      </c>
      <c r="BC232" t="s">
        <v>115</v>
      </c>
      <c r="BN232" t="s">
        <v>113</v>
      </c>
      <c r="BO232" t="s">
        <v>1169</v>
      </c>
      <c r="BP232" t="s">
        <v>370</v>
      </c>
      <c r="BR232" t="s">
        <v>532</v>
      </c>
      <c r="BS232" t="s">
        <v>1172</v>
      </c>
      <c r="BW232" t="s">
        <v>1157</v>
      </c>
      <c r="BX232" t="s">
        <v>1158</v>
      </c>
      <c r="BY232" t="s">
        <v>123</v>
      </c>
      <c r="BZ232" t="s">
        <v>124</v>
      </c>
    </row>
    <row r="233" spans="1:78" x14ac:dyDescent="0.3">
      <c r="A233" t="s">
        <v>11</v>
      </c>
      <c r="B233" t="s">
        <v>92</v>
      </c>
      <c r="C233" t="s">
        <v>93</v>
      </c>
      <c r="D233" t="s">
        <v>94</v>
      </c>
      <c r="E233" t="s">
        <v>95</v>
      </c>
      <c r="F233" t="s">
        <v>1161</v>
      </c>
      <c r="G233">
        <v>482100</v>
      </c>
      <c r="H233">
        <v>482100</v>
      </c>
      <c r="I233" t="s">
        <v>93</v>
      </c>
      <c r="J233" t="s">
        <v>94</v>
      </c>
      <c r="K233" t="s">
        <v>202</v>
      </c>
      <c r="L233" t="s">
        <v>1162</v>
      </c>
      <c r="M233">
        <v>54000</v>
      </c>
      <c r="N233">
        <v>54000</v>
      </c>
      <c r="AA233" t="s">
        <v>1163</v>
      </c>
      <c r="AB233" t="s">
        <v>1164</v>
      </c>
      <c r="AC233" t="s">
        <v>1165</v>
      </c>
      <c r="AD233" t="s">
        <v>365</v>
      </c>
      <c r="AE233" t="s">
        <v>1166</v>
      </c>
      <c r="AF233" t="s">
        <v>1167</v>
      </c>
      <c r="AG233" t="s">
        <v>102</v>
      </c>
      <c r="AH233" t="s">
        <v>489</v>
      </c>
      <c r="AI233">
        <v>46174</v>
      </c>
      <c r="AJ233">
        <v>46174</v>
      </c>
      <c r="AK233" t="s">
        <v>137</v>
      </c>
      <c r="AL233" t="s">
        <v>142</v>
      </c>
      <c r="AM233" t="s">
        <v>1173</v>
      </c>
      <c r="AN233" t="s">
        <v>107</v>
      </c>
      <c r="AO233" t="s">
        <v>107</v>
      </c>
      <c r="AP233">
        <v>70415</v>
      </c>
      <c r="AQ233">
        <v>70415</v>
      </c>
      <c r="AR233">
        <v>0</v>
      </c>
      <c r="AS233" t="s">
        <v>107</v>
      </c>
      <c r="AT233" t="s">
        <v>243</v>
      </c>
      <c r="AU233" t="s">
        <v>162</v>
      </c>
      <c r="AV233" t="s">
        <v>163</v>
      </c>
      <c r="AW233" t="s">
        <v>111</v>
      </c>
      <c r="AY233" t="s">
        <v>1174</v>
      </c>
      <c r="AZ233" t="s">
        <v>113</v>
      </c>
      <c r="BB233" t="s">
        <v>114</v>
      </c>
      <c r="BC233" t="s">
        <v>115</v>
      </c>
      <c r="BN233" t="s">
        <v>113</v>
      </c>
      <c r="BO233" t="s">
        <v>1169</v>
      </c>
      <c r="BP233" t="s">
        <v>370</v>
      </c>
      <c r="BR233" t="s">
        <v>532</v>
      </c>
      <c r="BS233" t="s">
        <v>1172</v>
      </c>
      <c r="BW233" t="s">
        <v>1157</v>
      </c>
      <c r="BX233" t="s">
        <v>1158</v>
      </c>
      <c r="BY233" t="s">
        <v>123</v>
      </c>
      <c r="BZ233" t="s">
        <v>124</v>
      </c>
    </row>
    <row r="234" spans="1:78" x14ac:dyDescent="0.3">
      <c r="A234" t="s">
        <v>11</v>
      </c>
      <c r="B234" t="s">
        <v>92</v>
      </c>
      <c r="C234" t="s">
        <v>93</v>
      </c>
      <c r="D234" t="s">
        <v>94</v>
      </c>
      <c r="E234" t="s">
        <v>95</v>
      </c>
      <c r="F234" t="s">
        <v>1161</v>
      </c>
      <c r="G234">
        <v>482100</v>
      </c>
      <c r="H234">
        <v>482100</v>
      </c>
      <c r="I234" t="s">
        <v>93</v>
      </c>
      <c r="J234" t="s">
        <v>94</v>
      </c>
      <c r="K234" t="s">
        <v>202</v>
      </c>
      <c r="L234" t="s">
        <v>1162</v>
      </c>
      <c r="M234">
        <v>54000</v>
      </c>
      <c r="N234">
        <v>54000</v>
      </c>
      <c r="AA234" t="s">
        <v>1163</v>
      </c>
      <c r="AB234" t="s">
        <v>1164</v>
      </c>
      <c r="AC234" t="s">
        <v>1165</v>
      </c>
      <c r="AD234" t="s">
        <v>365</v>
      </c>
      <c r="AE234" t="s">
        <v>1166</v>
      </c>
      <c r="AF234" t="s">
        <v>1167</v>
      </c>
      <c r="AG234" t="s">
        <v>102</v>
      </c>
      <c r="AH234" t="s">
        <v>489</v>
      </c>
      <c r="AI234">
        <v>46386</v>
      </c>
      <c r="AK234" t="s">
        <v>1122</v>
      </c>
      <c r="AL234" t="s">
        <v>146</v>
      </c>
      <c r="AM234" t="s">
        <v>1175</v>
      </c>
      <c r="AN234" t="s">
        <v>107</v>
      </c>
      <c r="AO234" t="s">
        <v>107</v>
      </c>
      <c r="AP234">
        <v>26805</v>
      </c>
      <c r="AQ234">
        <v>0</v>
      </c>
      <c r="AR234">
        <v>26805</v>
      </c>
      <c r="AT234" t="s">
        <v>243</v>
      </c>
      <c r="AZ234" t="s">
        <v>113</v>
      </c>
      <c r="BC234" t="s">
        <v>1160</v>
      </c>
      <c r="BN234" t="s">
        <v>113</v>
      </c>
      <c r="BO234" t="s">
        <v>1169</v>
      </c>
      <c r="BP234" t="s">
        <v>370</v>
      </c>
      <c r="BR234" t="s">
        <v>532</v>
      </c>
      <c r="BW234" t="s">
        <v>1157</v>
      </c>
      <c r="BX234" t="s">
        <v>1158</v>
      </c>
      <c r="BY234" t="s">
        <v>123</v>
      </c>
      <c r="BZ234" t="s">
        <v>124</v>
      </c>
    </row>
    <row r="235" spans="1:78" x14ac:dyDescent="0.3">
      <c r="A235" t="s">
        <v>2</v>
      </c>
      <c r="B235" t="s">
        <v>92</v>
      </c>
      <c r="C235" t="s">
        <v>93</v>
      </c>
      <c r="D235" t="s">
        <v>94</v>
      </c>
      <c r="E235" t="s">
        <v>95</v>
      </c>
      <c r="F235" t="s">
        <v>387</v>
      </c>
      <c r="G235">
        <v>630000</v>
      </c>
      <c r="H235">
        <v>630000</v>
      </c>
      <c r="AA235" t="s">
        <v>388</v>
      </c>
      <c r="AB235" t="s">
        <v>389</v>
      </c>
      <c r="AC235" t="s">
        <v>390</v>
      </c>
      <c r="AE235" t="s">
        <v>391</v>
      </c>
      <c r="AF235" t="s">
        <v>392</v>
      </c>
      <c r="AG235" t="s">
        <v>102</v>
      </c>
      <c r="AH235" t="s">
        <v>393</v>
      </c>
      <c r="AI235">
        <v>46268.456250000003</v>
      </c>
      <c r="AJ235">
        <v>45833</v>
      </c>
      <c r="AK235" t="s">
        <v>218</v>
      </c>
      <c r="AL235" t="s">
        <v>105</v>
      </c>
      <c r="AM235" t="s">
        <v>1176</v>
      </c>
      <c r="AN235" t="s">
        <v>107</v>
      </c>
      <c r="AO235" t="s">
        <v>107</v>
      </c>
      <c r="AP235">
        <v>528000</v>
      </c>
      <c r="AQ235">
        <v>68000</v>
      </c>
      <c r="AR235">
        <v>0</v>
      </c>
      <c r="AS235" t="s">
        <v>107</v>
      </c>
      <c r="AT235" t="s">
        <v>108</v>
      </c>
      <c r="AU235" t="s">
        <v>109</v>
      </c>
      <c r="AV235" t="s">
        <v>110</v>
      </c>
      <c r="AW235" t="s">
        <v>111</v>
      </c>
      <c r="AY235" t="s">
        <v>1177</v>
      </c>
      <c r="AZ235" t="s">
        <v>113</v>
      </c>
      <c r="BB235" t="s">
        <v>114</v>
      </c>
      <c r="BC235" t="s">
        <v>115</v>
      </c>
      <c r="BN235" t="s">
        <v>116</v>
      </c>
      <c r="BO235" t="s">
        <v>395</v>
      </c>
      <c r="BP235" t="s">
        <v>166</v>
      </c>
      <c r="BR235" t="s">
        <v>396</v>
      </c>
      <c r="BS235" t="s">
        <v>1178</v>
      </c>
      <c r="BW235" t="s">
        <v>1157</v>
      </c>
      <c r="BX235" t="s">
        <v>1158</v>
      </c>
      <c r="BY235" t="s">
        <v>123</v>
      </c>
      <c r="BZ235" t="s">
        <v>124</v>
      </c>
    </row>
    <row r="236" spans="1:78" x14ac:dyDescent="0.3">
      <c r="A236" t="s">
        <v>2</v>
      </c>
      <c r="B236" t="s">
        <v>92</v>
      </c>
      <c r="C236" t="s">
        <v>93</v>
      </c>
      <c r="D236" t="s">
        <v>94</v>
      </c>
      <c r="E236" t="s">
        <v>95</v>
      </c>
      <c r="F236" t="s">
        <v>387</v>
      </c>
      <c r="G236">
        <v>630000</v>
      </c>
      <c r="H236">
        <v>630000</v>
      </c>
      <c r="AA236" t="s">
        <v>388</v>
      </c>
      <c r="AB236" t="s">
        <v>389</v>
      </c>
      <c r="AC236" t="s">
        <v>390</v>
      </c>
      <c r="AE236" t="s">
        <v>391</v>
      </c>
      <c r="AF236" t="s">
        <v>392</v>
      </c>
      <c r="AG236" t="s">
        <v>102</v>
      </c>
      <c r="AH236" t="s">
        <v>393</v>
      </c>
      <c r="AI236">
        <v>46268.456250000003</v>
      </c>
      <c r="AJ236">
        <v>45868</v>
      </c>
      <c r="AK236" t="s">
        <v>218</v>
      </c>
      <c r="AL236" t="s">
        <v>105</v>
      </c>
      <c r="AM236" t="s">
        <v>107</v>
      </c>
      <c r="AN236" t="s">
        <v>107</v>
      </c>
      <c r="AO236" t="s">
        <v>107</v>
      </c>
      <c r="AP236">
        <v>0</v>
      </c>
      <c r="AQ236">
        <v>460000</v>
      </c>
      <c r="AR236">
        <v>0</v>
      </c>
      <c r="AS236" t="s">
        <v>107</v>
      </c>
      <c r="AT236" t="s">
        <v>108</v>
      </c>
      <c r="AU236" t="s">
        <v>109</v>
      </c>
      <c r="AV236" t="s">
        <v>110</v>
      </c>
      <c r="AW236" t="s">
        <v>111</v>
      </c>
      <c r="AY236" t="s">
        <v>1179</v>
      </c>
      <c r="AZ236" t="s">
        <v>113</v>
      </c>
      <c r="BB236" t="s">
        <v>114</v>
      </c>
      <c r="BC236" t="s">
        <v>115</v>
      </c>
      <c r="BN236" t="s">
        <v>116</v>
      </c>
      <c r="BO236" t="s">
        <v>395</v>
      </c>
      <c r="BP236" t="s">
        <v>166</v>
      </c>
      <c r="BR236" t="s">
        <v>396</v>
      </c>
      <c r="BS236" t="s">
        <v>1180</v>
      </c>
      <c r="BW236" t="s">
        <v>1157</v>
      </c>
      <c r="BX236" t="s">
        <v>1158</v>
      </c>
      <c r="BY236" t="s">
        <v>123</v>
      </c>
      <c r="BZ236" t="s">
        <v>124</v>
      </c>
    </row>
    <row r="237" spans="1:78" x14ac:dyDescent="0.3">
      <c r="A237" t="s">
        <v>2</v>
      </c>
      <c r="B237" t="s">
        <v>92</v>
      </c>
      <c r="C237" t="s">
        <v>93</v>
      </c>
      <c r="D237" t="s">
        <v>94</v>
      </c>
      <c r="E237" t="s">
        <v>202</v>
      </c>
      <c r="F237" t="s">
        <v>405</v>
      </c>
      <c r="G237">
        <v>52000</v>
      </c>
      <c r="H237">
        <v>52000</v>
      </c>
      <c r="AA237" t="s">
        <v>388</v>
      </c>
      <c r="AB237" t="s">
        <v>389</v>
      </c>
      <c r="AC237" t="s">
        <v>390</v>
      </c>
      <c r="AD237" t="s">
        <v>365</v>
      </c>
      <c r="AE237" t="s">
        <v>391</v>
      </c>
      <c r="AF237" t="s">
        <v>392</v>
      </c>
      <c r="AG237" t="s">
        <v>102</v>
      </c>
      <c r="AH237" t="s">
        <v>393</v>
      </c>
      <c r="AI237">
        <v>46112</v>
      </c>
      <c r="AJ237">
        <v>46112</v>
      </c>
      <c r="AK237" t="s">
        <v>218</v>
      </c>
      <c r="AL237" t="s">
        <v>146</v>
      </c>
      <c r="AM237" t="s">
        <v>411</v>
      </c>
      <c r="AN237" t="s">
        <v>107</v>
      </c>
      <c r="AO237" t="s">
        <v>107</v>
      </c>
      <c r="AP237">
        <v>14000</v>
      </c>
      <c r="AQ237">
        <v>14000</v>
      </c>
      <c r="AR237">
        <v>0</v>
      </c>
      <c r="AS237" t="s">
        <v>107</v>
      </c>
      <c r="AT237" t="s">
        <v>161</v>
      </c>
      <c r="AU237" t="s">
        <v>109</v>
      </c>
      <c r="AV237" t="s">
        <v>110</v>
      </c>
      <c r="AW237" t="s">
        <v>111</v>
      </c>
      <c r="AY237" t="s">
        <v>1181</v>
      </c>
      <c r="AZ237" t="s">
        <v>113</v>
      </c>
      <c r="BB237" t="s">
        <v>114</v>
      </c>
      <c r="BC237" t="s">
        <v>115</v>
      </c>
      <c r="BN237" t="s">
        <v>116</v>
      </c>
      <c r="BO237" t="s">
        <v>407</v>
      </c>
      <c r="BP237" t="s">
        <v>370</v>
      </c>
      <c r="BR237" t="s">
        <v>408</v>
      </c>
      <c r="BS237" t="s">
        <v>1182</v>
      </c>
      <c r="BW237" t="s">
        <v>1157</v>
      </c>
      <c r="BX237" t="s">
        <v>1158</v>
      </c>
      <c r="BY237" t="s">
        <v>123</v>
      </c>
      <c r="BZ237" t="s">
        <v>124</v>
      </c>
    </row>
    <row r="238" spans="1:78" x14ac:dyDescent="0.3">
      <c r="A238" t="s">
        <v>2</v>
      </c>
      <c r="B238" t="s">
        <v>92</v>
      </c>
      <c r="C238" t="s">
        <v>93</v>
      </c>
      <c r="D238" t="s">
        <v>94</v>
      </c>
      <c r="E238" t="s">
        <v>95</v>
      </c>
      <c r="F238" t="s">
        <v>416</v>
      </c>
      <c r="G238">
        <v>417700</v>
      </c>
      <c r="H238">
        <v>417700</v>
      </c>
      <c r="AA238" t="s">
        <v>417</v>
      </c>
      <c r="AB238" t="s">
        <v>418</v>
      </c>
      <c r="AC238" t="s">
        <v>419</v>
      </c>
      <c r="AD238" t="s">
        <v>420</v>
      </c>
      <c r="AE238" t="s">
        <v>420</v>
      </c>
      <c r="AF238" t="s">
        <v>421</v>
      </c>
      <c r="AG238" t="s">
        <v>422</v>
      </c>
      <c r="AH238" t="s">
        <v>423</v>
      </c>
      <c r="AI238">
        <v>46142</v>
      </c>
      <c r="AJ238">
        <v>46146</v>
      </c>
      <c r="AK238" t="s">
        <v>137</v>
      </c>
      <c r="AL238" t="s">
        <v>142</v>
      </c>
      <c r="AM238" t="s">
        <v>107</v>
      </c>
      <c r="AN238" t="s">
        <v>107</v>
      </c>
      <c r="AO238" t="s">
        <v>107</v>
      </c>
      <c r="AP238">
        <v>31000</v>
      </c>
      <c r="AQ238">
        <v>12000</v>
      </c>
      <c r="AR238">
        <v>0</v>
      </c>
      <c r="AS238" t="s">
        <v>107</v>
      </c>
      <c r="AT238" t="s">
        <v>243</v>
      </c>
      <c r="AU238" t="s">
        <v>109</v>
      </c>
      <c r="AV238" t="s">
        <v>110</v>
      </c>
      <c r="AW238" t="s">
        <v>111</v>
      </c>
      <c r="AY238" t="s">
        <v>1183</v>
      </c>
      <c r="AZ238" t="s">
        <v>113</v>
      </c>
      <c r="BB238" t="s">
        <v>114</v>
      </c>
      <c r="BC238" t="s">
        <v>115</v>
      </c>
      <c r="BN238" t="s">
        <v>116</v>
      </c>
      <c r="BO238" t="s">
        <v>425</v>
      </c>
      <c r="BP238" t="s">
        <v>118</v>
      </c>
      <c r="BR238" t="s">
        <v>426</v>
      </c>
      <c r="BS238" t="s">
        <v>1184</v>
      </c>
      <c r="BW238" t="s">
        <v>1157</v>
      </c>
      <c r="BX238" t="s">
        <v>1158</v>
      </c>
      <c r="BY238" t="s">
        <v>123</v>
      </c>
      <c r="BZ238" t="s">
        <v>124</v>
      </c>
    </row>
    <row r="239" spans="1:78" x14ac:dyDescent="0.3">
      <c r="A239" t="s">
        <v>2</v>
      </c>
      <c r="B239" t="s">
        <v>92</v>
      </c>
      <c r="C239" t="s">
        <v>93</v>
      </c>
      <c r="D239" t="s">
        <v>94</v>
      </c>
      <c r="E239" t="s">
        <v>95</v>
      </c>
      <c r="F239" t="s">
        <v>416</v>
      </c>
      <c r="G239">
        <v>417700</v>
      </c>
      <c r="H239">
        <v>417700</v>
      </c>
      <c r="AA239" t="s">
        <v>417</v>
      </c>
      <c r="AB239" t="s">
        <v>418</v>
      </c>
      <c r="AC239" t="s">
        <v>419</v>
      </c>
      <c r="AD239" t="s">
        <v>420</v>
      </c>
      <c r="AE239" t="s">
        <v>420</v>
      </c>
      <c r="AF239" t="s">
        <v>421</v>
      </c>
      <c r="AG239" t="s">
        <v>422</v>
      </c>
      <c r="AH239" t="s">
        <v>423</v>
      </c>
      <c r="AI239">
        <v>46142</v>
      </c>
      <c r="AJ239">
        <v>46144</v>
      </c>
      <c r="AK239" t="s">
        <v>137</v>
      </c>
      <c r="AL239" t="s">
        <v>142</v>
      </c>
      <c r="AM239" t="s">
        <v>107</v>
      </c>
      <c r="AN239" t="s">
        <v>107</v>
      </c>
      <c r="AO239" t="s">
        <v>107</v>
      </c>
      <c r="AP239">
        <v>0</v>
      </c>
      <c r="AQ239">
        <v>12000</v>
      </c>
      <c r="AR239">
        <v>0</v>
      </c>
      <c r="AS239" t="s">
        <v>107</v>
      </c>
      <c r="AT239" t="s">
        <v>243</v>
      </c>
      <c r="AU239" t="s">
        <v>109</v>
      </c>
      <c r="AV239" t="s">
        <v>110</v>
      </c>
      <c r="AW239" t="s">
        <v>111</v>
      </c>
      <c r="AY239" t="s">
        <v>1185</v>
      </c>
      <c r="AZ239" t="s">
        <v>113</v>
      </c>
      <c r="BB239" t="s">
        <v>114</v>
      </c>
      <c r="BC239" t="s">
        <v>115</v>
      </c>
      <c r="BN239" t="s">
        <v>116</v>
      </c>
      <c r="BO239" t="s">
        <v>425</v>
      </c>
      <c r="BP239" t="s">
        <v>118</v>
      </c>
      <c r="BR239" t="s">
        <v>426</v>
      </c>
      <c r="BS239" t="s">
        <v>1186</v>
      </c>
      <c r="BW239" t="s">
        <v>1157</v>
      </c>
      <c r="BX239" t="s">
        <v>1158</v>
      </c>
      <c r="BY239" t="s">
        <v>123</v>
      </c>
      <c r="BZ239" t="s">
        <v>124</v>
      </c>
    </row>
    <row r="240" spans="1:78" x14ac:dyDescent="0.3">
      <c r="A240" t="s">
        <v>2</v>
      </c>
      <c r="B240" t="s">
        <v>92</v>
      </c>
      <c r="C240" t="s">
        <v>93</v>
      </c>
      <c r="D240" t="s">
        <v>94</v>
      </c>
      <c r="E240" t="s">
        <v>95</v>
      </c>
      <c r="F240" t="s">
        <v>416</v>
      </c>
      <c r="G240">
        <v>417700</v>
      </c>
      <c r="H240">
        <v>417700</v>
      </c>
      <c r="AA240" t="s">
        <v>417</v>
      </c>
      <c r="AB240" t="s">
        <v>418</v>
      </c>
      <c r="AC240" t="s">
        <v>419</v>
      </c>
      <c r="AD240" t="s">
        <v>420</v>
      </c>
      <c r="AE240" t="s">
        <v>420</v>
      </c>
      <c r="AF240" t="s">
        <v>421</v>
      </c>
      <c r="AG240" t="s">
        <v>422</v>
      </c>
      <c r="AH240" t="s">
        <v>423</v>
      </c>
      <c r="AI240">
        <v>46142</v>
      </c>
      <c r="AJ240">
        <v>46144</v>
      </c>
      <c r="AK240" t="s">
        <v>137</v>
      </c>
      <c r="AL240" t="s">
        <v>142</v>
      </c>
      <c r="AM240" t="s">
        <v>1187</v>
      </c>
      <c r="AN240" t="s">
        <v>107</v>
      </c>
      <c r="AO240" t="s">
        <v>107</v>
      </c>
      <c r="AP240">
        <v>0</v>
      </c>
      <c r="AQ240">
        <v>7000</v>
      </c>
      <c r="AR240">
        <v>0</v>
      </c>
      <c r="AS240" t="s">
        <v>107</v>
      </c>
      <c r="AT240" t="s">
        <v>243</v>
      </c>
      <c r="AU240" t="s">
        <v>109</v>
      </c>
      <c r="AV240" t="s">
        <v>110</v>
      </c>
      <c r="AW240" t="s">
        <v>111</v>
      </c>
      <c r="AY240" t="s">
        <v>1188</v>
      </c>
      <c r="AZ240" t="s">
        <v>113</v>
      </c>
      <c r="BB240" t="s">
        <v>114</v>
      </c>
      <c r="BC240" t="s">
        <v>115</v>
      </c>
      <c r="BN240" t="s">
        <v>116</v>
      </c>
      <c r="BO240" t="s">
        <v>425</v>
      </c>
      <c r="BP240" t="s">
        <v>118</v>
      </c>
      <c r="BR240" t="s">
        <v>426</v>
      </c>
      <c r="BS240" t="s">
        <v>1189</v>
      </c>
      <c r="BW240" t="s">
        <v>1157</v>
      </c>
      <c r="BX240" t="s">
        <v>1158</v>
      </c>
      <c r="BY240" t="s">
        <v>123</v>
      </c>
      <c r="BZ240" t="s">
        <v>124</v>
      </c>
    </row>
    <row r="241" spans="1:78" x14ac:dyDescent="0.3">
      <c r="A241" t="s">
        <v>2</v>
      </c>
      <c r="B241" t="s">
        <v>92</v>
      </c>
      <c r="C241" t="s">
        <v>93</v>
      </c>
      <c r="D241" t="s">
        <v>94</v>
      </c>
      <c r="E241" t="s">
        <v>95</v>
      </c>
      <c r="F241" t="s">
        <v>416</v>
      </c>
      <c r="G241">
        <v>417700</v>
      </c>
      <c r="H241">
        <v>417700</v>
      </c>
      <c r="AA241" t="s">
        <v>417</v>
      </c>
      <c r="AB241" t="s">
        <v>418</v>
      </c>
      <c r="AC241" t="s">
        <v>419</v>
      </c>
      <c r="AD241" t="s">
        <v>420</v>
      </c>
      <c r="AE241" t="s">
        <v>420</v>
      </c>
      <c r="AF241" t="s">
        <v>421</v>
      </c>
      <c r="AG241" t="s">
        <v>422</v>
      </c>
      <c r="AH241" t="s">
        <v>423</v>
      </c>
      <c r="AI241">
        <v>46081</v>
      </c>
      <c r="AJ241">
        <v>46144</v>
      </c>
      <c r="AK241" t="s">
        <v>137</v>
      </c>
      <c r="AL241" t="s">
        <v>146</v>
      </c>
      <c r="AM241" t="s">
        <v>153</v>
      </c>
      <c r="AN241" t="s">
        <v>107</v>
      </c>
      <c r="AO241" t="s">
        <v>107</v>
      </c>
      <c r="AP241">
        <v>21000</v>
      </c>
      <c r="AQ241">
        <v>21000</v>
      </c>
      <c r="AR241">
        <v>0</v>
      </c>
      <c r="AS241" t="s">
        <v>107</v>
      </c>
      <c r="AT241" t="s">
        <v>243</v>
      </c>
      <c r="AU241" t="s">
        <v>109</v>
      </c>
      <c r="AV241" t="s">
        <v>110</v>
      </c>
      <c r="AW241" t="s">
        <v>111</v>
      </c>
      <c r="AY241" t="s">
        <v>1188</v>
      </c>
      <c r="AZ241" t="s">
        <v>113</v>
      </c>
      <c r="BB241" t="s">
        <v>114</v>
      </c>
      <c r="BC241" t="s">
        <v>115</v>
      </c>
      <c r="BN241" t="s">
        <v>116</v>
      </c>
      <c r="BO241" t="s">
        <v>425</v>
      </c>
      <c r="BP241" t="s">
        <v>118</v>
      </c>
      <c r="BR241" t="s">
        <v>426</v>
      </c>
      <c r="BS241" t="s">
        <v>1189</v>
      </c>
      <c r="BW241" t="s">
        <v>1157</v>
      </c>
      <c r="BX241" t="s">
        <v>1158</v>
      </c>
      <c r="BY241" t="s">
        <v>123</v>
      </c>
      <c r="BZ241" t="s">
        <v>124</v>
      </c>
    </row>
    <row r="242" spans="1:78" x14ac:dyDescent="0.3">
      <c r="A242" t="s">
        <v>2</v>
      </c>
      <c r="B242" t="s">
        <v>92</v>
      </c>
      <c r="C242" t="s">
        <v>93</v>
      </c>
      <c r="D242" t="s">
        <v>94</v>
      </c>
      <c r="E242" t="s">
        <v>95</v>
      </c>
      <c r="F242" t="s">
        <v>416</v>
      </c>
      <c r="G242">
        <v>417700</v>
      </c>
      <c r="H242">
        <v>417700</v>
      </c>
      <c r="AA242" t="s">
        <v>417</v>
      </c>
      <c r="AB242" t="s">
        <v>418</v>
      </c>
      <c r="AC242" t="s">
        <v>419</v>
      </c>
      <c r="AD242" t="s">
        <v>420</v>
      </c>
      <c r="AE242" t="s">
        <v>420</v>
      </c>
      <c r="AF242" t="s">
        <v>421</v>
      </c>
      <c r="AG242" t="s">
        <v>422</v>
      </c>
      <c r="AH242" t="s">
        <v>423</v>
      </c>
      <c r="AI242">
        <v>46203</v>
      </c>
      <c r="AJ242">
        <v>46172</v>
      </c>
      <c r="AK242" t="s">
        <v>218</v>
      </c>
      <c r="AL242" t="s">
        <v>105</v>
      </c>
      <c r="AM242" t="s">
        <v>1190</v>
      </c>
      <c r="AN242" t="s">
        <v>107</v>
      </c>
      <c r="AO242" t="s">
        <v>107</v>
      </c>
      <c r="AP242">
        <v>352700</v>
      </c>
      <c r="AQ242">
        <v>352700</v>
      </c>
      <c r="AR242">
        <v>0</v>
      </c>
      <c r="AS242" t="s">
        <v>107</v>
      </c>
      <c r="AT242" t="s">
        <v>243</v>
      </c>
      <c r="AU242" t="s">
        <v>109</v>
      </c>
      <c r="AV242" t="s">
        <v>110</v>
      </c>
      <c r="AW242" t="s">
        <v>111</v>
      </c>
      <c r="AY242" t="s">
        <v>1191</v>
      </c>
      <c r="AZ242" t="s">
        <v>113</v>
      </c>
      <c r="BB242" t="s">
        <v>114</v>
      </c>
      <c r="BC242" t="s">
        <v>115</v>
      </c>
      <c r="BN242" t="s">
        <v>116</v>
      </c>
      <c r="BO242" t="s">
        <v>425</v>
      </c>
      <c r="BP242" t="s">
        <v>118</v>
      </c>
      <c r="BR242" t="s">
        <v>426</v>
      </c>
      <c r="BS242" t="s">
        <v>1192</v>
      </c>
      <c r="BW242" t="s">
        <v>1157</v>
      </c>
      <c r="BX242" t="s">
        <v>1158</v>
      </c>
      <c r="BY242" t="s">
        <v>123</v>
      </c>
      <c r="BZ242" t="s">
        <v>124</v>
      </c>
    </row>
    <row r="243" spans="1:78" x14ac:dyDescent="0.3">
      <c r="A243" t="s">
        <v>2</v>
      </c>
      <c r="B243" t="s">
        <v>92</v>
      </c>
      <c r="C243" t="s">
        <v>93</v>
      </c>
      <c r="D243" t="s">
        <v>94</v>
      </c>
      <c r="E243" t="s">
        <v>95</v>
      </c>
      <c r="F243" t="s">
        <v>430</v>
      </c>
      <c r="G243">
        <v>397000</v>
      </c>
      <c r="H243">
        <v>397000</v>
      </c>
      <c r="AA243" t="s">
        <v>431</v>
      </c>
      <c r="AB243" t="s">
        <v>432</v>
      </c>
      <c r="AC243" t="s">
        <v>433</v>
      </c>
      <c r="AD243" t="s">
        <v>434</v>
      </c>
      <c r="AE243" t="s">
        <v>435</v>
      </c>
      <c r="AF243" t="s">
        <v>436</v>
      </c>
      <c r="AG243" t="s">
        <v>102</v>
      </c>
      <c r="AH243" t="s">
        <v>299</v>
      </c>
      <c r="AI243">
        <v>46272.597916666673</v>
      </c>
      <c r="AJ243">
        <v>45747</v>
      </c>
      <c r="AK243" t="s">
        <v>218</v>
      </c>
      <c r="AL243" t="s">
        <v>105</v>
      </c>
      <c r="AM243" t="s">
        <v>1193</v>
      </c>
      <c r="AN243" t="s">
        <v>107</v>
      </c>
      <c r="AO243" t="s">
        <v>107</v>
      </c>
      <c r="AP243">
        <v>292550</v>
      </c>
      <c r="AQ243">
        <v>34500</v>
      </c>
      <c r="AR243">
        <v>0</v>
      </c>
      <c r="AS243" t="s">
        <v>107</v>
      </c>
      <c r="AT243" t="s">
        <v>108</v>
      </c>
      <c r="AU243" t="s">
        <v>109</v>
      </c>
      <c r="AV243" t="s">
        <v>110</v>
      </c>
      <c r="AW243" t="s">
        <v>288</v>
      </c>
      <c r="AY243" t="s">
        <v>1194</v>
      </c>
      <c r="AZ243" t="s">
        <v>113</v>
      </c>
      <c r="BB243" t="s">
        <v>114</v>
      </c>
      <c r="BC243" t="s">
        <v>115</v>
      </c>
      <c r="BN243" t="s">
        <v>116</v>
      </c>
      <c r="BO243" t="s">
        <v>438</v>
      </c>
      <c r="BP243" t="s">
        <v>166</v>
      </c>
      <c r="BR243" t="s">
        <v>439</v>
      </c>
      <c r="BS243" t="s">
        <v>1195</v>
      </c>
      <c r="BW243" t="s">
        <v>1157</v>
      </c>
      <c r="BX243" t="s">
        <v>1158</v>
      </c>
      <c r="BY243" t="s">
        <v>123</v>
      </c>
      <c r="BZ243" t="s">
        <v>124</v>
      </c>
    </row>
    <row r="244" spans="1:78" x14ac:dyDescent="0.3">
      <c r="A244" t="s">
        <v>2</v>
      </c>
      <c r="B244" t="s">
        <v>92</v>
      </c>
      <c r="C244" t="s">
        <v>93</v>
      </c>
      <c r="D244" t="s">
        <v>94</v>
      </c>
      <c r="E244" t="s">
        <v>95</v>
      </c>
      <c r="F244" t="s">
        <v>430</v>
      </c>
      <c r="G244">
        <v>397000</v>
      </c>
      <c r="H244">
        <v>397000</v>
      </c>
      <c r="AA244" t="s">
        <v>431</v>
      </c>
      <c r="AB244" t="s">
        <v>432</v>
      </c>
      <c r="AC244" t="s">
        <v>433</v>
      </c>
      <c r="AD244" t="s">
        <v>434</v>
      </c>
      <c r="AE244" t="s">
        <v>435</v>
      </c>
      <c r="AF244" t="s">
        <v>436</v>
      </c>
      <c r="AG244" t="s">
        <v>102</v>
      </c>
      <c r="AH244" t="s">
        <v>299</v>
      </c>
      <c r="AI244">
        <v>46272.597916666673</v>
      </c>
      <c r="AJ244">
        <v>45747</v>
      </c>
      <c r="AK244" t="s">
        <v>218</v>
      </c>
      <c r="AL244" t="s">
        <v>105</v>
      </c>
      <c r="AM244" t="s">
        <v>107</v>
      </c>
      <c r="AN244" t="s">
        <v>107</v>
      </c>
      <c r="AO244" t="s">
        <v>107</v>
      </c>
      <c r="AP244">
        <v>0</v>
      </c>
      <c r="AQ244">
        <v>258050</v>
      </c>
      <c r="AR244">
        <v>0</v>
      </c>
      <c r="AS244" t="s">
        <v>107</v>
      </c>
      <c r="AT244" t="s">
        <v>108</v>
      </c>
      <c r="AU244" t="s">
        <v>109</v>
      </c>
      <c r="AV244" t="s">
        <v>110</v>
      </c>
      <c r="AW244" t="s">
        <v>111</v>
      </c>
      <c r="AY244" t="s">
        <v>1196</v>
      </c>
      <c r="AZ244" t="s">
        <v>113</v>
      </c>
      <c r="BB244" t="s">
        <v>114</v>
      </c>
      <c r="BC244" t="s">
        <v>115</v>
      </c>
      <c r="BN244" t="s">
        <v>116</v>
      </c>
      <c r="BO244" t="s">
        <v>438</v>
      </c>
      <c r="BP244" t="s">
        <v>166</v>
      </c>
      <c r="BR244" t="s">
        <v>439</v>
      </c>
      <c r="BS244" t="s">
        <v>1197</v>
      </c>
      <c r="BW244" t="s">
        <v>1157</v>
      </c>
      <c r="BX244" t="s">
        <v>1158</v>
      </c>
      <c r="BY244" t="s">
        <v>123</v>
      </c>
      <c r="BZ244" t="s">
        <v>124</v>
      </c>
    </row>
    <row r="245" spans="1:78" x14ac:dyDescent="0.3">
      <c r="A245" t="s">
        <v>12</v>
      </c>
      <c r="B245" t="s">
        <v>92</v>
      </c>
      <c r="C245" t="s">
        <v>93</v>
      </c>
      <c r="D245" t="s">
        <v>94</v>
      </c>
      <c r="E245" t="s">
        <v>95</v>
      </c>
      <c r="F245" t="s">
        <v>444</v>
      </c>
      <c r="G245">
        <v>438000</v>
      </c>
      <c r="H245">
        <v>438000</v>
      </c>
      <c r="AA245" t="s">
        <v>445</v>
      </c>
      <c r="AB245" t="s">
        <v>446</v>
      </c>
      <c r="AC245" t="s">
        <v>447</v>
      </c>
      <c r="AD245" t="s">
        <v>365</v>
      </c>
      <c r="AE245" t="s">
        <v>448</v>
      </c>
      <c r="AF245" t="s">
        <v>449</v>
      </c>
      <c r="AG245" t="s">
        <v>450</v>
      </c>
      <c r="AH245" t="s">
        <v>450</v>
      </c>
      <c r="AI245">
        <v>46112</v>
      </c>
      <c r="AJ245">
        <v>46112</v>
      </c>
      <c r="AK245" t="s">
        <v>137</v>
      </c>
      <c r="AL245" t="s">
        <v>142</v>
      </c>
      <c r="AM245" t="s">
        <v>1198</v>
      </c>
      <c r="AN245" t="s">
        <v>107</v>
      </c>
      <c r="AO245" t="s">
        <v>107</v>
      </c>
      <c r="AP245">
        <v>20800</v>
      </c>
      <c r="AQ245">
        <v>20800</v>
      </c>
      <c r="AR245">
        <v>0</v>
      </c>
      <c r="AS245" t="s">
        <v>107</v>
      </c>
      <c r="AT245" t="s">
        <v>108</v>
      </c>
      <c r="AU245" t="s">
        <v>109</v>
      </c>
      <c r="AV245" t="s">
        <v>451</v>
      </c>
      <c r="AW245" t="s">
        <v>139</v>
      </c>
      <c r="AX245" t="s">
        <v>446</v>
      </c>
      <c r="AY245" t="s">
        <v>1199</v>
      </c>
      <c r="AZ245" t="s">
        <v>113</v>
      </c>
      <c r="BA245" t="s">
        <v>133</v>
      </c>
      <c r="BB245" t="s">
        <v>114</v>
      </c>
      <c r="BC245" t="s">
        <v>115</v>
      </c>
      <c r="BN245" t="s">
        <v>116</v>
      </c>
      <c r="BO245" t="s">
        <v>453</v>
      </c>
      <c r="BP245" t="s">
        <v>370</v>
      </c>
      <c r="BR245" t="s">
        <v>454</v>
      </c>
      <c r="BS245" t="s">
        <v>1200</v>
      </c>
      <c r="BW245" t="s">
        <v>1157</v>
      </c>
      <c r="BX245" t="s">
        <v>1158</v>
      </c>
      <c r="BY245" t="s">
        <v>123</v>
      </c>
      <c r="BZ245" t="s">
        <v>124</v>
      </c>
    </row>
    <row r="246" spans="1:78" x14ac:dyDescent="0.3">
      <c r="A246" t="s">
        <v>12</v>
      </c>
      <c r="B246" t="s">
        <v>92</v>
      </c>
      <c r="C246" t="s">
        <v>93</v>
      </c>
      <c r="D246" t="s">
        <v>94</v>
      </c>
      <c r="E246" t="s">
        <v>95</v>
      </c>
      <c r="F246" t="s">
        <v>444</v>
      </c>
      <c r="G246">
        <v>438000</v>
      </c>
      <c r="H246">
        <v>438000</v>
      </c>
      <c r="AA246" t="s">
        <v>445</v>
      </c>
      <c r="AB246" t="s">
        <v>446</v>
      </c>
      <c r="AC246" t="s">
        <v>447</v>
      </c>
      <c r="AD246" t="s">
        <v>365</v>
      </c>
      <c r="AE246" t="s">
        <v>448</v>
      </c>
      <c r="AF246" t="s">
        <v>449</v>
      </c>
      <c r="AG246" t="s">
        <v>450</v>
      </c>
      <c r="AH246" t="s">
        <v>450</v>
      </c>
      <c r="AI246">
        <v>46203</v>
      </c>
      <c r="AK246" t="s">
        <v>218</v>
      </c>
      <c r="AL246" t="s">
        <v>105</v>
      </c>
      <c r="AM246" t="s">
        <v>1201</v>
      </c>
      <c r="AN246" t="s">
        <v>107</v>
      </c>
      <c r="AO246" t="s">
        <v>107</v>
      </c>
      <c r="AP246">
        <v>394200</v>
      </c>
      <c r="AQ246">
        <v>0</v>
      </c>
      <c r="AR246">
        <v>394200</v>
      </c>
      <c r="AT246" t="s">
        <v>108</v>
      </c>
      <c r="AZ246" t="s">
        <v>113</v>
      </c>
      <c r="BC246" t="s">
        <v>543</v>
      </c>
      <c r="BN246" t="s">
        <v>113</v>
      </c>
      <c r="BO246" t="s">
        <v>453</v>
      </c>
      <c r="BP246" t="s">
        <v>370</v>
      </c>
      <c r="BR246" t="s">
        <v>454</v>
      </c>
      <c r="BW246" t="s">
        <v>1157</v>
      </c>
      <c r="BX246" t="s">
        <v>1158</v>
      </c>
      <c r="BY246" t="s">
        <v>123</v>
      </c>
      <c r="BZ246" t="s">
        <v>124</v>
      </c>
    </row>
    <row r="247" spans="1:78" x14ac:dyDescent="0.3">
      <c r="A247" t="s">
        <v>2</v>
      </c>
      <c r="B247" t="s">
        <v>92</v>
      </c>
      <c r="C247" t="s">
        <v>93</v>
      </c>
      <c r="D247" t="s">
        <v>94</v>
      </c>
      <c r="E247" t="s">
        <v>95</v>
      </c>
      <c r="F247" t="s">
        <v>458</v>
      </c>
      <c r="G247">
        <v>675000</v>
      </c>
      <c r="H247">
        <v>675000</v>
      </c>
      <c r="I247" t="s">
        <v>93</v>
      </c>
      <c r="J247" t="s">
        <v>94</v>
      </c>
      <c r="K247" t="s">
        <v>202</v>
      </c>
      <c r="L247" t="s">
        <v>459</v>
      </c>
      <c r="M247">
        <v>60400</v>
      </c>
      <c r="N247">
        <v>60400</v>
      </c>
      <c r="AA247" t="s">
        <v>460</v>
      </c>
      <c r="AB247" t="s">
        <v>461</v>
      </c>
      <c r="AC247" t="s">
        <v>462</v>
      </c>
      <c r="AD247" t="s">
        <v>365</v>
      </c>
      <c r="AE247" t="s">
        <v>463</v>
      </c>
      <c r="AF247" t="s">
        <v>464</v>
      </c>
      <c r="AG247" t="s">
        <v>450</v>
      </c>
      <c r="AH247" t="s">
        <v>450</v>
      </c>
      <c r="AI247">
        <v>46039</v>
      </c>
      <c r="AJ247">
        <v>46010</v>
      </c>
      <c r="AK247" t="s">
        <v>218</v>
      </c>
      <c r="AL247" t="s">
        <v>142</v>
      </c>
      <c r="AM247" t="s">
        <v>473</v>
      </c>
      <c r="AN247" t="s">
        <v>107</v>
      </c>
      <c r="AO247" t="s">
        <v>107</v>
      </c>
      <c r="AP247">
        <v>66057.14</v>
      </c>
      <c r="AQ247">
        <v>66057.14</v>
      </c>
      <c r="AR247">
        <v>0</v>
      </c>
      <c r="AS247" t="s">
        <v>107</v>
      </c>
      <c r="AT247" t="s">
        <v>161</v>
      </c>
      <c r="AU247" t="s">
        <v>109</v>
      </c>
      <c r="AV247" t="s">
        <v>110</v>
      </c>
      <c r="AW247" t="s">
        <v>111</v>
      </c>
      <c r="AY247" t="s">
        <v>474</v>
      </c>
      <c r="AZ247" t="s">
        <v>116</v>
      </c>
      <c r="BB247" t="s">
        <v>471</v>
      </c>
      <c r="BC247" t="s">
        <v>115</v>
      </c>
      <c r="BN247" t="s">
        <v>113</v>
      </c>
      <c r="BO247" t="s">
        <v>466</v>
      </c>
      <c r="BP247" t="s">
        <v>370</v>
      </c>
      <c r="BR247" t="s">
        <v>467</v>
      </c>
      <c r="BS247" t="s">
        <v>475</v>
      </c>
      <c r="BW247" t="s">
        <v>1157</v>
      </c>
      <c r="BX247" t="s">
        <v>1158</v>
      </c>
      <c r="BY247" t="s">
        <v>123</v>
      </c>
      <c r="BZ247" t="s">
        <v>124</v>
      </c>
    </row>
    <row r="248" spans="1:78" x14ac:dyDescent="0.3">
      <c r="A248" t="s">
        <v>2</v>
      </c>
      <c r="B248" t="s">
        <v>92</v>
      </c>
      <c r="C248" t="s">
        <v>93</v>
      </c>
      <c r="D248" t="s">
        <v>94</v>
      </c>
      <c r="E248" t="s">
        <v>95</v>
      </c>
      <c r="F248" t="s">
        <v>458</v>
      </c>
      <c r="G248">
        <v>675000</v>
      </c>
      <c r="H248">
        <v>675000</v>
      </c>
      <c r="I248" t="s">
        <v>93</v>
      </c>
      <c r="J248" t="s">
        <v>94</v>
      </c>
      <c r="K248" t="s">
        <v>202</v>
      </c>
      <c r="L248" t="s">
        <v>459</v>
      </c>
      <c r="M248">
        <v>60400</v>
      </c>
      <c r="N248">
        <v>60400</v>
      </c>
      <c r="AA248" t="s">
        <v>460</v>
      </c>
      <c r="AB248" t="s">
        <v>461</v>
      </c>
      <c r="AC248" t="s">
        <v>462</v>
      </c>
      <c r="AD248" t="s">
        <v>365</v>
      </c>
      <c r="AE248" t="s">
        <v>463</v>
      </c>
      <c r="AF248" t="s">
        <v>464</v>
      </c>
      <c r="AG248" t="s">
        <v>450</v>
      </c>
      <c r="AH248" t="s">
        <v>450</v>
      </c>
      <c r="AI248">
        <v>46070</v>
      </c>
      <c r="AJ248">
        <v>46065</v>
      </c>
      <c r="AK248" t="s">
        <v>218</v>
      </c>
      <c r="AL248" t="s">
        <v>146</v>
      </c>
      <c r="AM248" t="s">
        <v>473</v>
      </c>
      <c r="AN248" t="s">
        <v>107</v>
      </c>
      <c r="AO248" t="s">
        <v>107</v>
      </c>
      <c r="AP248">
        <v>66057.14</v>
      </c>
      <c r="AQ248">
        <v>66057.14</v>
      </c>
      <c r="AR248">
        <v>0</v>
      </c>
      <c r="AS248" t="s">
        <v>107</v>
      </c>
      <c r="AT248" t="s">
        <v>161</v>
      </c>
      <c r="AU248" t="s">
        <v>109</v>
      </c>
      <c r="AV248" t="s">
        <v>110</v>
      </c>
      <c r="AW248" t="s">
        <v>111</v>
      </c>
      <c r="AY248" t="s">
        <v>1202</v>
      </c>
      <c r="AZ248" t="s">
        <v>116</v>
      </c>
      <c r="BB248" t="s">
        <v>471</v>
      </c>
      <c r="BC248" t="s">
        <v>115</v>
      </c>
      <c r="BN248" t="s">
        <v>113</v>
      </c>
      <c r="BO248" t="s">
        <v>466</v>
      </c>
      <c r="BP248" t="s">
        <v>370</v>
      </c>
      <c r="BR248" t="s">
        <v>467</v>
      </c>
      <c r="BS248" t="s">
        <v>1203</v>
      </c>
      <c r="BW248" t="s">
        <v>1157</v>
      </c>
      <c r="BX248" t="s">
        <v>1158</v>
      </c>
      <c r="BY248" t="s">
        <v>123</v>
      </c>
      <c r="BZ248" t="s">
        <v>124</v>
      </c>
    </row>
    <row r="249" spans="1:78" x14ac:dyDescent="0.3">
      <c r="A249" t="s">
        <v>2</v>
      </c>
      <c r="B249" t="s">
        <v>92</v>
      </c>
      <c r="C249" t="s">
        <v>93</v>
      </c>
      <c r="D249" t="s">
        <v>94</v>
      </c>
      <c r="E249" t="s">
        <v>95</v>
      </c>
      <c r="F249" t="s">
        <v>458</v>
      </c>
      <c r="G249">
        <v>675000</v>
      </c>
      <c r="H249">
        <v>675000</v>
      </c>
      <c r="I249" t="s">
        <v>93</v>
      </c>
      <c r="J249" t="s">
        <v>94</v>
      </c>
      <c r="K249" t="s">
        <v>202</v>
      </c>
      <c r="L249" t="s">
        <v>459</v>
      </c>
      <c r="M249">
        <v>60400</v>
      </c>
      <c r="N249">
        <v>60400</v>
      </c>
      <c r="AA249" t="s">
        <v>460</v>
      </c>
      <c r="AB249" t="s">
        <v>461</v>
      </c>
      <c r="AC249" t="s">
        <v>462</v>
      </c>
      <c r="AD249" t="s">
        <v>365</v>
      </c>
      <c r="AE249" t="s">
        <v>463</v>
      </c>
      <c r="AF249" t="s">
        <v>464</v>
      </c>
      <c r="AG249" t="s">
        <v>450</v>
      </c>
      <c r="AH249" t="s">
        <v>450</v>
      </c>
      <c r="AI249">
        <v>46098</v>
      </c>
      <c r="AJ249">
        <v>46065</v>
      </c>
      <c r="AK249" t="s">
        <v>218</v>
      </c>
      <c r="AL249" t="s">
        <v>152</v>
      </c>
      <c r="AM249" t="s">
        <v>473</v>
      </c>
      <c r="AN249" t="s">
        <v>107</v>
      </c>
      <c r="AO249" t="s">
        <v>107</v>
      </c>
      <c r="AP249">
        <v>66057.14</v>
      </c>
      <c r="AQ249">
        <v>66057.14</v>
      </c>
      <c r="AR249">
        <v>0</v>
      </c>
      <c r="AS249" t="s">
        <v>107</v>
      </c>
      <c r="AT249" t="s">
        <v>161</v>
      </c>
      <c r="AU249" t="s">
        <v>109</v>
      </c>
      <c r="AV249" t="s">
        <v>110</v>
      </c>
      <c r="AW249" t="s">
        <v>111</v>
      </c>
      <c r="AY249" t="s">
        <v>1202</v>
      </c>
      <c r="AZ249" t="s">
        <v>116</v>
      </c>
      <c r="BB249" t="s">
        <v>471</v>
      </c>
      <c r="BC249" t="s">
        <v>115</v>
      </c>
      <c r="BN249" t="s">
        <v>113</v>
      </c>
      <c r="BO249" t="s">
        <v>466</v>
      </c>
      <c r="BP249" t="s">
        <v>370</v>
      </c>
      <c r="BR249" t="s">
        <v>467</v>
      </c>
      <c r="BS249" t="s">
        <v>1203</v>
      </c>
      <c r="BW249" t="s">
        <v>1157</v>
      </c>
      <c r="BX249" t="s">
        <v>1158</v>
      </c>
      <c r="BY249" t="s">
        <v>123</v>
      </c>
      <c r="BZ249" t="s">
        <v>124</v>
      </c>
    </row>
    <row r="250" spans="1:78" x14ac:dyDescent="0.3">
      <c r="A250" t="s">
        <v>2</v>
      </c>
      <c r="B250" t="s">
        <v>92</v>
      </c>
      <c r="C250" t="s">
        <v>93</v>
      </c>
      <c r="D250" t="s">
        <v>94</v>
      </c>
      <c r="E250" t="s">
        <v>95</v>
      </c>
      <c r="F250" t="s">
        <v>458</v>
      </c>
      <c r="G250">
        <v>675000</v>
      </c>
      <c r="H250">
        <v>675000</v>
      </c>
      <c r="I250" t="s">
        <v>93</v>
      </c>
      <c r="J250" t="s">
        <v>94</v>
      </c>
      <c r="K250" t="s">
        <v>202</v>
      </c>
      <c r="L250" t="s">
        <v>459</v>
      </c>
      <c r="M250">
        <v>60400</v>
      </c>
      <c r="N250">
        <v>60400</v>
      </c>
      <c r="AA250" t="s">
        <v>460</v>
      </c>
      <c r="AB250" t="s">
        <v>461</v>
      </c>
      <c r="AC250" t="s">
        <v>462</v>
      </c>
      <c r="AD250" t="s">
        <v>365</v>
      </c>
      <c r="AE250" t="s">
        <v>463</v>
      </c>
      <c r="AF250" t="s">
        <v>464</v>
      </c>
      <c r="AG250" t="s">
        <v>450</v>
      </c>
      <c r="AH250" t="s">
        <v>450</v>
      </c>
      <c r="AI250">
        <v>46129</v>
      </c>
      <c r="AJ250">
        <v>46171</v>
      </c>
      <c r="AK250" t="s">
        <v>218</v>
      </c>
      <c r="AL250" t="s">
        <v>584</v>
      </c>
      <c r="AM250" t="s">
        <v>473</v>
      </c>
      <c r="AN250" t="s">
        <v>107</v>
      </c>
      <c r="AO250" t="s">
        <v>107</v>
      </c>
      <c r="AP250">
        <v>66057.14</v>
      </c>
      <c r="AQ250">
        <v>66057.14</v>
      </c>
      <c r="AR250">
        <v>0</v>
      </c>
      <c r="AS250" t="s">
        <v>107</v>
      </c>
      <c r="AT250" t="s">
        <v>161</v>
      </c>
      <c r="AU250" t="s">
        <v>109</v>
      </c>
      <c r="AV250" t="s">
        <v>110</v>
      </c>
      <c r="AW250" t="s">
        <v>111</v>
      </c>
      <c r="AY250" t="s">
        <v>1204</v>
      </c>
      <c r="AZ250" t="s">
        <v>116</v>
      </c>
      <c r="BB250" t="s">
        <v>471</v>
      </c>
      <c r="BC250" t="s">
        <v>115</v>
      </c>
      <c r="BN250" t="s">
        <v>113</v>
      </c>
      <c r="BO250" t="s">
        <v>466</v>
      </c>
      <c r="BP250" t="s">
        <v>370</v>
      </c>
      <c r="BR250" t="s">
        <v>467</v>
      </c>
      <c r="BS250" t="s">
        <v>1205</v>
      </c>
      <c r="BW250" t="s">
        <v>1157</v>
      </c>
      <c r="BX250" t="s">
        <v>1158</v>
      </c>
      <c r="BY250" t="s">
        <v>123</v>
      </c>
      <c r="BZ250" t="s">
        <v>124</v>
      </c>
    </row>
    <row r="251" spans="1:78" x14ac:dyDescent="0.3">
      <c r="A251" t="s">
        <v>2</v>
      </c>
      <c r="B251" t="s">
        <v>92</v>
      </c>
      <c r="C251" t="s">
        <v>93</v>
      </c>
      <c r="D251" t="s">
        <v>94</v>
      </c>
      <c r="E251" t="s">
        <v>95</v>
      </c>
      <c r="F251" t="s">
        <v>458</v>
      </c>
      <c r="G251">
        <v>675000</v>
      </c>
      <c r="H251">
        <v>675000</v>
      </c>
      <c r="I251" t="s">
        <v>93</v>
      </c>
      <c r="J251" t="s">
        <v>94</v>
      </c>
      <c r="K251" t="s">
        <v>202</v>
      </c>
      <c r="L251" t="s">
        <v>459</v>
      </c>
      <c r="M251">
        <v>60400</v>
      </c>
      <c r="N251">
        <v>60400</v>
      </c>
      <c r="AA251" t="s">
        <v>460</v>
      </c>
      <c r="AB251" t="s">
        <v>461</v>
      </c>
      <c r="AC251" t="s">
        <v>462</v>
      </c>
      <c r="AD251" t="s">
        <v>365</v>
      </c>
      <c r="AE251" t="s">
        <v>463</v>
      </c>
      <c r="AF251" t="s">
        <v>464</v>
      </c>
      <c r="AG251" t="s">
        <v>450</v>
      </c>
      <c r="AH251" t="s">
        <v>450</v>
      </c>
      <c r="AI251">
        <v>46159</v>
      </c>
      <c r="AJ251">
        <v>46171</v>
      </c>
      <c r="AK251" t="s">
        <v>218</v>
      </c>
      <c r="AL251" t="s">
        <v>397</v>
      </c>
      <c r="AM251" t="s">
        <v>473</v>
      </c>
      <c r="AN251" t="s">
        <v>107</v>
      </c>
      <c r="AO251" t="s">
        <v>107</v>
      </c>
      <c r="AP251">
        <v>66057.14</v>
      </c>
      <c r="AQ251">
        <v>66057.14</v>
      </c>
      <c r="AR251">
        <v>0</v>
      </c>
      <c r="AS251" t="s">
        <v>107</v>
      </c>
      <c r="AT251" t="s">
        <v>161</v>
      </c>
      <c r="AU251" t="s">
        <v>109</v>
      </c>
      <c r="AV251" t="s">
        <v>110</v>
      </c>
      <c r="AW251" t="s">
        <v>111</v>
      </c>
      <c r="AY251" t="s">
        <v>1204</v>
      </c>
      <c r="AZ251" t="s">
        <v>116</v>
      </c>
      <c r="BB251" t="s">
        <v>471</v>
      </c>
      <c r="BC251" t="s">
        <v>115</v>
      </c>
      <c r="BN251" t="s">
        <v>113</v>
      </c>
      <c r="BO251" t="s">
        <v>466</v>
      </c>
      <c r="BP251" t="s">
        <v>370</v>
      </c>
      <c r="BR251" t="s">
        <v>467</v>
      </c>
      <c r="BS251" t="s">
        <v>1205</v>
      </c>
      <c r="BW251" t="s">
        <v>1157</v>
      </c>
      <c r="BX251" t="s">
        <v>1158</v>
      </c>
      <c r="BY251" t="s">
        <v>123</v>
      </c>
      <c r="BZ251" t="s">
        <v>124</v>
      </c>
    </row>
    <row r="252" spans="1:78" x14ac:dyDescent="0.3">
      <c r="A252" t="s">
        <v>2</v>
      </c>
      <c r="B252" t="s">
        <v>92</v>
      </c>
      <c r="C252" t="s">
        <v>93</v>
      </c>
      <c r="D252" t="s">
        <v>94</v>
      </c>
      <c r="E252" t="s">
        <v>95</v>
      </c>
      <c r="F252" t="s">
        <v>458</v>
      </c>
      <c r="G252">
        <v>675000</v>
      </c>
      <c r="H252">
        <v>675000</v>
      </c>
      <c r="I252" t="s">
        <v>93</v>
      </c>
      <c r="J252" t="s">
        <v>94</v>
      </c>
      <c r="K252" t="s">
        <v>202</v>
      </c>
      <c r="L252" t="s">
        <v>459</v>
      </c>
      <c r="M252">
        <v>60400</v>
      </c>
      <c r="N252">
        <v>60400</v>
      </c>
      <c r="AA252" t="s">
        <v>460</v>
      </c>
      <c r="AB252" t="s">
        <v>461</v>
      </c>
      <c r="AC252" t="s">
        <v>462</v>
      </c>
      <c r="AD252" t="s">
        <v>365</v>
      </c>
      <c r="AE252" t="s">
        <v>463</v>
      </c>
      <c r="AF252" t="s">
        <v>464</v>
      </c>
      <c r="AG252" t="s">
        <v>450</v>
      </c>
      <c r="AH252" t="s">
        <v>450</v>
      </c>
      <c r="AI252">
        <v>46190</v>
      </c>
      <c r="AJ252">
        <v>46171</v>
      </c>
      <c r="AK252" t="s">
        <v>218</v>
      </c>
      <c r="AL252" t="s">
        <v>588</v>
      </c>
      <c r="AM252" t="s">
        <v>1206</v>
      </c>
      <c r="AN252" t="s">
        <v>107</v>
      </c>
      <c r="AO252" t="s">
        <v>107</v>
      </c>
      <c r="AP252">
        <v>66057.16</v>
      </c>
      <c r="AQ252">
        <v>66057.14</v>
      </c>
      <c r="AR252">
        <v>0</v>
      </c>
      <c r="AS252" t="s">
        <v>107</v>
      </c>
      <c r="AT252" t="s">
        <v>161</v>
      </c>
      <c r="AU252" t="s">
        <v>109</v>
      </c>
      <c r="AV252" t="s">
        <v>110</v>
      </c>
      <c r="AW252" t="s">
        <v>111</v>
      </c>
      <c r="AY252" t="s">
        <v>1204</v>
      </c>
      <c r="AZ252" t="s">
        <v>116</v>
      </c>
      <c r="BB252" t="s">
        <v>471</v>
      </c>
      <c r="BC252" t="s">
        <v>115</v>
      </c>
      <c r="BN252" t="s">
        <v>113</v>
      </c>
      <c r="BO252" t="s">
        <v>466</v>
      </c>
      <c r="BP252" t="s">
        <v>370</v>
      </c>
      <c r="BR252" t="s">
        <v>467</v>
      </c>
      <c r="BS252" t="s">
        <v>1205</v>
      </c>
      <c r="BW252" t="s">
        <v>1157</v>
      </c>
      <c r="BX252" t="s">
        <v>1158</v>
      </c>
      <c r="BY252" t="s">
        <v>123</v>
      </c>
      <c r="BZ252" t="s">
        <v>124</v>
      </c>
    </row>
    <row r="253" spans="1:78" x14ac:dyDescent="0.3">
      <c r="A253" t="s">
        <v>2</v>
      </c>
      <c r="B253" t="s">
        <v>92</v>
      </c>
      <c r="C253" t="s">
        <v>93</v>
      </c>
      <c r="D253" t="s">
        <v>94</v>
      </c>
      <c r="E253" t="s">
        <v>95</v>
      </c>
      <c r="F253" t="s">
        <v>1207</v>
      </c>
      <c r="G253">
        <v>429000</v>
      </c>
      <c r="H253">
        <v>429000</v>
      </c>
      <c r="AA253" t="s">
        <v>1208</v>
      </c>
      <c r="AB253" t="s">
        <v>1209</v>
      </c>
      <c r="AC253" t="s">
        <v>1210</v>
      </c>
      <c r="AD253" t="s">
        <v>1211</v>
      </c>
      <c r="AE253" t="s">
        <v>1211</v>
      </c>
      <c r="AF253" t="s">
        <v>1212</v>
      </c>
      <c r="AG253" t="s">
        <v>102</v>
      </c>
      <c r="AH253" t="s">
        <v>813</v>
      </c>
      <c r="AI253">
        <v>46103</v>
      </c>
      <c r="AJ253">
        <v>46103</v>
      </c>
      <c r="AK253" t="s">
        <v>104</v>
      </c>
      <c r="AL253" t="s">
        <v>105</v>
      </c>
      <c r="AM253" t="s">
        <v>106</v>
      </c>
      <c r="AN253" t="s">
        <v>107</v>
      </c>
      <c r="AO253" t="s">
        <v>107</v>
      </c>
      <c r="AP253">
        <v>3000</v>
      </c>
      <c r="AQ253">
        <v>3000</v>
      </c>
      <c r="AR253">
        <v>0</v>
      </c>
      <c r="AS253" t="s">
        <v>107</v>
      </c>
      <c r="AT253" t="s">
        <v>108</v>
      </c>
      <c r="AU253" t="s">
        <v>109</v>
      </c>
      <c r="AV253" t="s">
        <v>110</v>
      </c>
      <c r="AW253" t="s">
        <v>111</v>
      </c>
      <c r="AY253" t="s">
        <v>1213</v>
      </c>
      <c r="AZ253" t="s">
        <v>113</v>
      </c>
      <c r="BB253" t="s">
        <v>114</v>
      </c>
      <c r="BC253" t="s">
        <v>115</v>
      </c>
      <c r="BN253" t="s">
        <v>116</v>
      </c>
      <c r="BO253" t="s">
        <v>1214</v>
      </c>
      <c r="BP253" t="s">
        <v>118</v>
      </c>
      <c r="BR253" t="s">
        <v>1215</v>
      </c>
      <c r="BS253" t="s">
        <v>1216</v>
      </c>
      <c r="BW253" t="s">
        <v>1157</v>
      </c>
      <c r="BX253" t="s">
        <v>1158</v>
      </c>
      <c r="BY253" t="s">
        <v>123</v>
      </c>
      <c r="BZ253" t="s">
        <v>124</v>
      </c>
    </row>
    <row r="254" spans="1:78" x14ac:dyDescent="0.3">
      <c r="A254" t="s">
        <v>2</v>
      </c>
      <c r="B254" t="s">
        <v>92</v>
      </c>
      <c r="C254" t="s">
        <v>93</v>
      </c>
      <c r="D254" t="s">
        <v>94</v>
      </c>
      <c r="E254" t="s">
        <v>95</v>
      </c>
      <c r="F254" t="s">
        <v>1207</v>
      </c>
      <c r="G254">
        <v>429000</v>
      </c>
      <c r="H254">
        <v>429000</v>
      </c>
      <c r="AA254" t="s">
        <v>1208</v>
      </c>
      <c r="AB254" t="s">
        <v>1209</v>
      </c>
      <c r="AC254" t="s">
        <v>1210</v>
      </c>
      <c r="AD254" t="s">
        <v>1211</v>
      </c>
      <c r="AE254" t="s">
        <v>1211</v>
      </c>
      <c r="AF254" t="s">
        <v>1212</v>
      </c>
      <c r="AG254" t="s">
        <v>102</v>
      </c>
      <c r="AH254" t="s">
        <v>813</v>
      </c>
      <c r="AI254">
        <v>46122</v>
      </c>
      <c r="AJ254">
        <v>46122</v>
      </c>
      <c r="AK254" t="s">
        <v>137</v>
      </c>
      <c r="AL254" t="s">
        <v>105</v>
      </c>
      <c r="AM254" t="s">
        <v>107</v>
      </c>
      <c r="AN254" t="s">
        <v>107</v>
      </c>
      <c r="AO254" t="s">
        <v>107</v>
      </c>
      <c r="AP254">
        <v>39900</v>
      </c>
      <c r="AQ254">
        <v>30000</v>
      </c>
      <c r="AR254">
        <v>0</v>
      </c>
      <c r="AS254" t="s">
        <v>107</v>
      </c>
      <c r="AT254" t="s">
        <v>108</v>
      </c>
      <c r="AU254" t="s">
        <v>109</v>
      </c>
      <c r="AV254" t="s">
        <v>110</v>
      </c>
      <c r="AW254" t="s">
        <v>111</v>
      </c>
      <c r="AX254" t="s">
        <v>1209</v>
      </c>
      <c r="AY254" t="s">
        <v>1217</v>
      </c>
      <c r="AZ254" t="s">
        <v>113</v>
      </c>
      <c r="BA254" t="s">
        <v>133</v>
      </c>
      <c r="BB254" t="s">
        <v>114</v>
      </c>
      <c r="BC254" t="s">
        <v>115</v>
      </c>
      <c r="BN254" t="s">
        <v>116</v>
      </c>
      <c r="BO254" t="s">
        <v>1214</v>
      </c>
      <c r="BP254" t="s">
        <v>118</v>
      </c>
      <c r="BR254" t="s">
        <v>1215</v>
      </c>
      <c r="BS254" t="s">
        <v>1218</v>
      </c>
      <c r="BW254" t="s">
        <v>1157</v>
      </c>
      <c r="BX254" t="s">
        <v>1158</v>
      </c>
      <c r="BY254" t="s">
        <v>123</v>
      </c>
      <c r="BZ254" t="s">
        <v>124</v>
      </c>
    </row>
    <row r="255" spans="1:78" x14ac:dyDescent="0.3">
      <c r="A255" t="s">
        <v>2</v>
      </c>
      <c r="B255" t="s">
        <v>92</v>
      </c>
      <c r="C255" t="s">
        <v>93</v>
      </c>
      <c r="D255" t="s">
        <v>94</v>
      </c>
      <c r="E255" t="s">
        <v>95</v>
      </c>
      <c r="F255" t="s">
        <v>1207</v>
      </c>
      <c r="G255">
        <v>429000</v>
      </c>
      <c r="H255">
        <v>429000</v>
      </c>
      <c r="AA255" t="s">
        <v>1208</v>
      </c>
      <c r="AB255" t="s">
        <v>1209</v>
      </c>
      <c r="AC255" t="s">
        <v>1210</v>
      </c>
      <c r="AD255" t="s">
        <v>1211</v>
      </c>
      <c r="AE255" t="s">
        <v>1211</v>
      </c>
      <c r="AF255" t="s">
        <v>1212</v>
      </c>
      <c r="AG255" t="s">
        <v>102</v>
      </c>
      <c r="AH255" t="s">
        <v>813</v>
      </c>
      <c r="AI255">
        <v>46122</v>
      </c>
      <c r="AJ255">
        <v>46122</v>
      </c>
      <c r="AK255" t="s">
        <v>137</v>
      </c>
      <c r="AL255" t="s">
        <v>105</v>
      </c>
      <c r="AM255" t="s">
        <v>1219</v>
      </c>
      <c r="AN255" t="s">
        <v>107</v>
      </c>
      <c r="AO255" t="s">
        <v>107</v>
      </c>
      <c r="AP255">
        <v>0</v>
      </c>
      <c r="AQ255">
        <v>9900</v>
      </c>
      <c r="AR255">
        <v>0</v>
      </c>
      <c r="AS255" t="s">
        <v>107</v>
      </c>
      <c r="AT255" t="s">
        <v>108</v>
      </c>
      <c r="AU255" t="s">
        <v>109</v>
      </c>
      <c r="AV255" t="s">
        <v>110</v>
      </c>
      <c r="AW255" t="s">
        <v>111</v>
      </c>
      <c r="AX255" t="s">
        <v>1209</v>
      </c>
      <c r="AY255" t="s">
        <v>1220</v>
      </c>
      <c r="AZ255" t="s">
        <v>113</v>
      </c>
      <c r="BA255" t="s">
        <v>133</v>
      </c>
      <c r="BB255" t="s">
        <v>114</v>
      </c>
      <c r="BC255" t="s">
        <v>115</v>
      </c>
      <c r="BN255" t="s">
        <v>116</v>
      </c>
      <c r="BO255" t="s">
        <v>1214</v>
      </c>
      <c r="BP255" t="s">
        <v>118</v>
      </c>
      <c r="BR255" t="s">
        <v>1215</v>
      </c>
      <c r="BS255" t="s">
        <v>1221</v>
      </c>
      <c r="BW255" t="s">
        <v>1157</v>
      </c>
      <c r="BX255" t="s">
        <v>1158</v>
      </c>
      <c r="BY255" t="s">
        <v>123</v>
      </c>
      <c r="BZ255" t="s">
        <v>124</v>
      </c>
    </row>
    <row r="256" spans="1:78" x14ac:dyDescent="0.3">
      <c r="A256" t="s">
        <v>2</v>
      </c>
      <c r="B256" t="s">
        <v>92</v>
      </c>
      <c r="C256" t="s">
        <v>93</v>
      </c>
      <c r="D256" t="s">
        <v>94</v>
      </c>
      <c r="E256" t="s">
        <v>95</v>
      </c>
      <c r="F256" t="s">
        <v>1207</v>
      </c>
      <c r="G256">
        <v>429000</v>
      </c>
      <c r="H256">
        <v>429000</v>
      </c>
      <c r="AA256" t="s">
        <v>1208</v>
      </c>
      <c r="AB256" t="s">
        <v>1209</v>
      </c>
      <c r="AC256" t="s">
        <v>1210</v>
      </c>
      <c r="AD256" t="s">
        <v>1211</v>
      </c>
      <c r="AE256" t="s">
        <v>1211</v>
      </c>
      <c r="AF256" t="s">
        <v>1212</v>
      </c>
      <c r="AG256" t="s">
        <v>102</v>
      </c>
      <c r="AH256" t="s">
        <v>813</v>
      </c>
      <c r="AI256">
        <v>46203</v>
      </c>
      <c r="AJ256">
        <v>46172</v>
      </c>
      <c r="AK256" t="s">
        <v>218</v>
      </c>
      <c r="AL256" t="s">
        <v>105</v>
      </c>
      <c r="AM256" t="s">
        <v>1222</v>
      </c>
      <c r="AN256" t="s">
        <v>107</v>
      </c>
      <c r="AO256" t="s">
        <v>107</v>
      </c>
      <c r="AP256">
        <v>386100</v>
      </c>
      <c r="AQ256">
        <v>386100</v>
      </c>
      <c r="AR256">
        <v>0</v>
      </c>
      <c r="AS256" t="s">
        <v>107</v>
      </c>
      <c r="AT256" t="s">
        <v>108</v>
      </c>
      <c r="AU256" t="s">
        <v>109</v>
      </c>
      <c r="AV256" t="s">
        <v>110</v>
      </c>
      <c r="AW256" t="s">
        <v>111</v>
      </c>
      <c r="AX256" t="s">
        <v>1209</v>
      </c>
      <c r="AY256" t="s">
        <v>1223</v>
      </c>
      <c r="AZ256" t="s">
        <v>113</v>
      </c>
      <c r="BA256" t="s">
        <v>133</v>
      </c>
      <c r="BB256" t="s">
        <v>114</v>
      </c>
      <c r="BC256" t="s">
        <v>115</v>
      </c>
      <c r="BN256" t="s">
        <v>116</v>
      </c>
      <c r="BO256" t="s">
        <v>1214</v>
      </c>
      <c r="BP256" t="s">
        <v>118</v>
      </c>
      <c r="BR256" t="s">
        <v>1215</v>
      </c>
      <c r="BS256" t="s">
        <v>1224</v>
      </c>
      <c r="BW256" t="s">
        <v>1157</v>
      </c>
      <c r="BX256" t="s">
        <v>1158</v>
      </c>
      <c r="BY256" t="s">
        <v>123</v>
      </c>
      <c r="BZ256" t="s">
        <v>124</v>
      </c>
    </row>
    <row r="257" spans="1:78" x14ac:dyDescent="0.3">
      <c r="A257" t="s">
        <v>12</v>
      </c>
      <c r="B257" t="s">
        <v>92</v>
      </c>
      <c r="C257" t="s">
        <v>93</v>
      </c>
      <c r="D257" t="s">
        <v>94</v>
      </c>
      <c r="E257" t="s">
        <v>95</v>
      </c>
      <c r="F257" t="s">
        <v>482</v>
      </c>
      <c r="G257">
        <v>483000</v>
      </c>
      <c r="H257">
        <v>443000</v>
      </c>
      <c r="I257" t="s">
        <v>93</v>
      </c>
      <c r="J257" t="s">
        <v>94</v>
      </c>
      <c r="K257" t="s">
        <v>202</v>
      </c>
      <c r="L257" t="s">
        <v>483</v>
      </c>
      <c r="M257">
        <v>42800</v>
      </c>
      <c r="N257">
        <v>42800</v>
      </c>
      <c r="AA257" t="s">
        <v>484</v>
      </c>
      <c r="AB257" t="s">
        <v>485</v>
      </c>
      <c r="AC257" t="s">
        <v>486</v>
      </c>
      <c r="AD257" t="s">
        <v>365</v>
      </c>
      <c r="AE257" t="s">
        <v>487</v>
      </c>
      <c r="AF257" t="s">
        <v>488</v>
      </c>
      <c r="AG257" t="s">
        <v>102</v>
      </c>
      <c r="AH257" t="s">
        <v>489</v>
      </c>
      <c r="AI257">
        <v>46024</v>
      </c>
      <c r="AJ257">
        <v>46027</v>
      </c>
      <c r="AK257" t="s">
        <v>218</v>
      </c>
      <c r="AL257" t="s">
        <v>105</v>
      </c>
      <c r="AM257" t="s">
        <v>1000</v>
      </c>
      <c r="AN257" t="s">
        <v>107</v>
      </c>
      <c r="AO257" t="s">
        <v>107</v>
      </c>
      <c r="AP257">
        <v>70000</v>
      </c>
      <c r="AQ257">
        <v>70000</v>
      </c>
      <c r="AR257">
        <v>0</v>
      </c>
      <c r="AS257" t="s">
        <v>107</v>
      </c>
      <c r="AT257" t="s">
        <v>161</v>
      </c>
      <c r="AU257" t="s">
        <v>109</v>
      </c>
      <c r="AV257" t="s">
        <v>451</v>
      </c>
      <c r="AW257" t="s">
        <v>111</v>
      </c>
      <c r="AY257" t="s">
        <v>1225</v>
      </c>
      <c r="AZ257" t="s">
        <v>113</v>
      </c>
      <c r="BB257" t="s">
        <v>114</v>
      </c>
      <c r="BC257" t="s">
        <v>115</v>
      </c>
      <c r="BN257" t="s">
        <v>113</v>
      </c>
      <c r="BO257" t="s">
        <v>491</v>
      </c>
      <c r="BP257" t="s">
        <v>370</v>
      </c>
      <c r="BR257" t="s">
        <v>359</v>
      </c>
      <c r="BS257" t="s">
        <v>1226</v>
      </c>
      <c r="BW257" t="s">
        <v>1157</v>
      </c>
      <c r="BX257" t="s">
        <v>1158</v>
      </c>
      <c r="BY257" t="s">
        <v>123</v>
      </c>
      <c r="BZ257" t="s">
        <v>124</v>
      </c>
    </row>
    <row r="258" spans="1:78" x14ac:dyDescent="0.3">
      <c r="A258" t="s">
        <v>12</v>
      </c>
      <c r="B258" t="s">
        <v>92</v>
      </c>
      <c r="C258" t="s">
        <v>93</v>
      </c>
      <c r="D258" t="s">
        <v>94</v>
      </c>
      <c r="E258" t="s">
        <v>95</v>
      </c>
      <c r="F258" t="s">
        <v>482</v>
      </c>
      <c r="G258">
        <v>483000</v>
      </c>
      <c r="H258">
        <v>443000</v>
      </c>
      <c r="I258" t="s">
        <v>93</v>
      </c>
      <c r="J258" t="s">
        <v>94</v>
      </c>
      <c r="K258" t="s">
        <v>202</v>
      </c>
      <c r="L258" t="s">
        <v>483</v>
      </c>
      <c r="M258">
        <v>42800</v>
      </c>
      <c r="N258">
        <v>42800</v>
      </c>
      <c r="AA258" t="s">
        <v>484</v>
      </c>
      <c r="AB258" t="s">
        <v>485</v>
      </c>
      <c r="AC258" t="s">
        <v>486</v>
      </c>
      <c r="AD258" t="s">
        <v>365</v>
      </c>
      <c r="AE258" t="s">
        <v>487</v>
      </c>
      <c r="AF258" t="s">
        <v>488</v>
      </c>
      <c r="AG258" t="s">
        <v>102</v>
      </c>
      <c r="AH258" t="s">
        <v>489</v>
      </c>
      <c r="AI258">
        <v>46063</v>
      </c>
      <c r="AJ258">
        <v>46063</v>
      </c>
      <c r="AK258" t="s">
        <v>218</v>
      </c>
      <c r="AL258" t="s">
        <v>142</v>
      </c>
      <c r="AM258" t="s">
        <v>107</v>
      </c>
      <c r="AN258" t="s">
        <v>107</v>
      </c>
      <c r="AO258" t="s">
        <v>107</v>
      </c>
      <c r="AP258">
        <v>110740</v>
      </c>
      <c r="AQ258">
        <v>83000</v>
      </c>
      <c r="AR258">
        <v>0</v>
      </c>
      <c r="AS258" t="s">
        <v>107</v>
      </c>
      <c r="AT258" t="s">
        <v>161</v>
      </c>
      <c r="AU258" t="s">
        <v>109</v>
      </c>
      <c r="AV258" t="s">
        <v>451</v>
      </c>
      <c r="AW258" t="s">
        <v>111</v>
      </c>
      <c r="AY258" t="s">
        <v>1227</v>
      </c>
      <c r="AZ258" t="s">
        <v>113</v>
      </c>
      <c r="BB258" t="s">
        <v>114</v>
      </c>
      <c r="BC258" t="s">
        <v>115</v>
      </c>
      <c r="BN258" t="s">
        <v>113</v>
      </c>
      <c r="BO258" t="s">
        <v>491</v>
      </c>
      <c r="BP258" t="s">
        <v>370</v>
      </c>
      <c r="BR258" t="s">
        <v>359</v>
      </c>
      <c r="BS258" t="s">
        <v>1228</v>
      </c>
      <c r="BW258" t="s">
        <v>1157</v>
      </c>
      <c r="BX258" t="s">
        <v>1158</v>
      </c>
      <c r="BY258" t="s">
        <v>123</v>
      </c>
      <c r="BZ258" t="s">
        <v>124</v>
      </c>
    </row>
    <row r="259" spans="1:78" x14ac:dyDescent="0.3">
      <c r="A259" t="s">
        <v>12</v>
      </c>
      <c r="B259" t="s">
        <v>92</v>
      </c>
      <c r="C259" t="s">
        <v>93</v>
      </c>
      <c r="D259" t="s">
        <v>94</v>
      </c>
      <c r="E259" t="s">
        <v>95</v>
      </c>
      <c r="F259" t="s">
        <v>482</v>
      </c>
      <c r="G259">
        <v>483000</v>
      </c>
      <c r="H259">
        <v>443000</v>
      </c>
      <c r="I259" t="s">
        <v>93</v>
      </c>
      <c r="J259" t="s">
        <v>94</v>
      </c>
      <c r="K259" t="s">
        <v>202</v>
      </c>
      <c r="L259" t="s">
        <v>483</v>
      </c>
      <c r="M259">
        <v>42800</v>
      </c>
      <c r="N259">
        <v>42800</v>
      </c>
      <c r="AA259" t="s">
        <v>484</v>
      </c>
      <c r="AB259" t="s">
        <v>485</v>
      </c>
      <c r="AC259" t="s">
        <v>486</v>
      </c>
      <c r="AD259" t="s">
        <v>365</v>
      </c>
      <c r="AE259" t="s">
        <v>487</v>
      </c>
      <c r="AF259" t="s">
        <v>488</v>
      </c>
      <c r="AG259" t="s">
        <v>102</v>
      </c>
      <c r="AH259" t="s">
        <v>489</v>
      </c>
      <c r="AI259">
        <v>46063</v>
      </c>
      <c r="AJ259">
        <v>46167</v>
      </c>
      <c r="AK259" t="s">
        <v>218</v>
      </c>
      <c r="AL259" t="s">
        <v>142</v>
      </c>
      <c r="AM259" t="s">
        <v>1229</v>
      </c>
      <c r="AN259" t="s">
        <v>107</v>
      </c>
      <c r="AO259" t="s">
        <v>107</v>
      </c>
      <c r="AP259">
        <v>0</v>
      </c>
      <c r="AQ259">
        <v>27740</v>
      </c>
      <c r="AR259">
        <v>0</v>
      </c>
      <c r="AS259" t="s">
        <v>107</v>
      </c>
      <c r="AT259" t="s">
        <v>161</v>
      </c>
      <c r="AU259" t="s">
        <v>109</v>
      </c>
      <c r="AV259" t="s">
        <v>451</v>
      </c>
      <c r="AW259" t="s">
        <v>111</v>
      </c>
      <c r="AY259" t="s">
        <v>1230</v>
      </c>
      <c r="AZ259" t="s">
        <v>116</v>
      </c>
      <c r="BB259" t="s">
        <v>114</v>
      </c>
      <c r="BC259" t="s">
        <v>115</v>
      </c>
      <c r="BN259" t="s">
        <v>113</v>
      </c>
      <c r="BO259" t="s">
        <v>491</v>
      </c>
      <c r="BP259" t="s">
        <v>370</v>
      </c>
      <c r="BR259" t="s">
        <v>359</v>
      </c>
      <c r="BS259" t="s">
        <v>1231</v>
      </c>
      <c r="BW259" t="s">
        <v>1157</v>
      </c>
      <c r="BX259" t="s">
        <v>1158</v>
      </c>
      <c r="BY259" t="s">
        <v>123</v>
      </c>
      <c r="BZ259" t="s">
        <v>124</v>
      </c>
    </row>
    <row r="260" spans="1:78" x14ac:dyDescent="0.3">
      <c r="A260" t="s">
        <v>12</v>
      </c>
      <c r="B260" t="s">
        <v>92</v>
      </c>
      <c r="C260" t="s">
        <v>93</v>
      </c>
      <c r="D260" t="s">
        <v>94</v>
      </c>
      <c r="E260" t="s">
        <v>95</v>
      </c>
      <c r="F260" t="s">
        <v>482</v>
      </c>
      <c r="G260">
        <v>483000</v>
      </c>
      <c r="H260">
        <v>443000</v>
      </c>
      <c r="I260" t="s">
        <v>93</v>
      </c>
      <c r="J260" t="s">
        <v>94</v>
      </c>
      <c r="K260" t="s">
        <v>202</v>
      </c>
      <c r="L260" t="s">
        <v>483</v>
      </c>
      <c r="M260">
        <v>42800</v>
      </c>
      <c r="N260">
        <v>42800</v>
      </c>
      <c r="AA260" t="s">
        <v>484</v>
      </c>
      <c r="AB260" t="s">
        <v>485</v>
      </c>
      <c r="AC260" t="s">
        <v>486</v>
      </c>
      <c r="AD260" t="s">
        <v>365</v>
      </c>
      <c r="AE260" t="s">
        <v>487</v>
      </c>
      <c r="AF260" t="s">
        <v>488</v>
      </c>
      <c r="AG260" t="s">
        <v>102</v>
      </c>
      <c r="AH260" t="s">
        <v>489</v>
      </c>
      <c r="AI260">
        <v>46214</v>
      </c>
      <c r="AJ260">
        <v>46167</v>
      </c>
      <c r="AK260" t="s">
        <v>218</v>
      </c>
      <c r="AL260" t="s">
        <v>146</v>
      </c>
      <c r="AM260" t="s">
        <v>1229</v>
      </c>
      <c r="AN260" t="s">
        <v>107</v>
      </c>
      <c r="AO260" t="s">
        <v>107</v>
      </c>
      <c r="AP260">
        <v>110740</v>
      </c>
      <c r="AQ260">
        <v>12260</v>
      </c>
      <c r="AR260">
        <v>98480</v>
      </c>
      <c r="AS260" t="s">
        <v>107</v>
      </c>
      <c r="AT260" t="s">
        <v>161</v>
      </c>
      <c r="AU260" t="s">
        <v>109</v>
      </c>
      <c r="AV260" t="s">
        <v>451</v>
      </c>
      <c r="AW260" t="s">
        <v>111</v>
      </c>
      <c r="AY260" t="s">
        <v>1230</v>
      </c>
      <c r="AZ260" t="s">
        <v>116</v>
      </c>
      <c r="BB260" t="s">
        <v>114</v>
      </c>
      <c r="BC260" t="s">
        <v>1160</v>
      </c>
      <c r="BN260" t="s">
        <v>113</v>
      </c>
      <c r="BO260" t="s">
        <v>491</v>
      </c>
      <c r="BP260" t="s">
        <v>370</v>
      </c>
      <c r="BR260" t="s">
        <v>359</v>
      </c>
      <c r="BS260" t="s">
        <v>1231</v>
      </c>
      <c r="BW260" t="s">
        <v>1157</v>
      </c>
      <c r="BX260" t="s">
        <v>1158</v>
      </c>
      <c r="BY260" t="s">
        <v>123</v>
      </c>
      <c r="BZ260" t="s">
        <v>124</v>
      </c>
    </row>
    <row r="261" spans="1:78" x14ac:dyDescent="0.3">
      <c r="A261" t="s">
        <v>2</v>
      </c>
      <c r="B261" t="s">
        <v>92</v>
      </c>
      <c r="C261" t="s">
        <v>93</v>
      </c>
      <c r="D261" t="s">
        <v>94</v>
      </c>
      <c r="E261" t="s">
        <v>95</v>
      </c>
      <c r="F261" t="s">
        <v>503</v>
      </c>
      <c r="G261">
        <v>630000</v>
      </c>
      <c r="H261">
        <v>630000</v>
      </c>
      <c r="I261" t="s">
        <v>93</v>
      </c>
      <c r="J261" t="s">
        <v>94</v>
      </c>
      <c r="K261" t="s">
        <v>202</v>
      </c>
      <c r="L261" t="s">
        <v>504</v>
      </c>
      <c r="M261">
        <v>60000</v>
      </c>
      <c r="N261">
        <v>60000</v>
      </c>
      <c r="AA261" t="s">
        <v>505</v>
      </c>
      <c r="AB261" t="s">
        <v>506</v>
      </c>
      <c r="AC261" t="s">
        <v>507</v>
      </c>
      <c r="AE261" t="s">
        <v>508</v>
      </c>
      <c r="AF261" t="s">
        <v>509</v>
      </c>
      <c r="AG261" t="s">
        <v>102</v>
      </c>
      <c r="AH261" t="s">
        <v>131</v>
      </c>
      <c r="AI261">
        <v>46268.606249999997</v>
      </c>
      <c r="AK261" t="s">
        <v>218</v>
      </c>
      <c r="AL261" t="s">
        <v>105</v>
      </c>
      <c r="AM261" t="s">
        <v>1232</v>
      </c>
      <c r="AN261" t="s">
        <v>107</v>
      </c>
      <c r="AO261" t="s">
        <v>107</v>
      </c>
      <c r="AP261">
        <v>580000</v>
      </c>
      <c r="AQ261">
        <v>0</v>
      </c>
      <c r="AR261">
        <v>580000</v>
      </c>
      <c r="AT261" t="s">
        <v>108</v>
      </c>
      <c r="AZ261" t="s">
        <v>113</v>
      </c>
      <c r="BC261" t="s">
        <v>1160</v>
      </c>
      <c r="BN261" t="s">
        <v>113</v>
      </c>
      <c r="BO261" t="s">
        <v>511</v>
      </c>
      <c r="BP261" t="s">
        <v>166</v>
      </c>
      <c r="BR261" t="s">
        <v>512</v>
      </c>
      <c r="BW261" t="s">
        <v>1157</v>
      </c>
      <c r="BX261" t="s">
        <v>1158</v>
      </c>
      <c r="BY261" t="s">
        <v>123</v>
      </c>
      <c r="BZ261" t="s">
        <v>124</v>
      </c>
    </row>
    <row r="262" spans="1:78" x14ac:dyDescent="0.3">
      <c r="A262" t="s">
        <v>11</v>
      </c>
      <c r="B262" t="s">
        <v>92</v>
      </c>
      <c r="C262" t="s">
        <v>93</v>
      </c>
      <c r="D262" t="s">
        <v>94</v>
      </c>
      <c r="E262" t="s">
        <v>95</v>
      </c>
      <c r="F262" t="s">
        <v>1233</v>
      </c>
      <c r="G262">
        <v>504700</v>
      </c>
      <c r="H262">
        <v>455000</v>
      </c>
      <c r="I262" t="s">
        <v>93</v>
      </c>
      <c r="J262" t="s">
        <v>94</v>
      </c>
      <c r="K262" t="s">
        <v>202</v>
      </c>
      <c r="L262" t="s">
        <v>1234</v>
      </c>
      <c r="M262">
        <v>47500</v>
      </c>
      <c r="N262">
        <v>47500</v>
      </c>
      <c r="AA262" t="s">
        <v>1235</v>
      </c>
      <c r="AB262" t="s">
        <v>1236</v>
      </c>
      <c r="AC262" t="s">
        <v>1237</v>
      </c>
      <c r="AD262" t="s">
        <v>365</v>
      </c>
      <c r="AE262" t="s">
        <v>1238</v>
      </c>
      <c r="AF262" t="s">
        <v>1239</v>
      </c>
      <c r="AG262" t="s">
        <v>102</v>
      </c>
      <c r="AH262" t="s">
        <v>131</v>
      </c>
      <c r="AI262">
        <v>46167</v>
      </c>
      <c r="AJ262">
        <v>46167</v>
      </c>
      <c r="AK262" t="s">
        <v>104</v>
      </c>
      <c r="AL262" t="s">
        <v>105</v>
      </c>
      <c r="AM262" t="s">
        <v>106</v>
      </c>
      <c r="AN262" t="s">
        <v>107</v>
      </c>
      <c r="AO262" t="s">
        <v>107</v>
      </c>
      <c r="AP262">
        <v>3000</v>
      </c>
      <c r="AQ262">
        <v>3000</v>
      </c>
      <c r="AR262">
        <v>0</v>
      </c>
      <c r="AS262" t="s">
        <v>107</v>
      </c>
      <c r="AT262" t="s">
        <v>108</v>
      </c>
      <c r="AU262" t="s">
        <v>162</v>
      </c>
      <c r="AV262" t="s">
        <v>163</v>
      </c>
      <c r="AW262" t="s">
        <v>111</v>
      </c>
      <c r="AY262" t="s">
        <v>1240</v>
      </c>
      <c r="AZ262" t="s">
        <v>113</v>
      </c>
      <c r="BB262" t="s">
        <v>114</v>
      </c>
      <c r="BC262" t="s">
        <v>543</v>
      </c>
      <c r="BN262" t="s">
        <v>116</v>
      </c>
      <c r="BO262" t="s">
        <v>1241</v>
      </c>
      <c r="BP262" t="s">
        <v>118</v>
      </c>
      <c r="BR262" t="s">
        <v>554</v>
      </c>
      <c r="BS262" t="s">
        <v>1242</v>
      </c>
      <c r="BW262" t="s">
        <v>1157</v>
      </c>
      <c r="BX262" t="s">
        <v>1158</v>
      </c>
      <c r="BY262" t="s">
        <v>123</v>
      </c>
      <c r="BZ262" t="s">
        <v>124</v>
      </c>
    </row>
    <row r="263" spans="1:78" x14ac:dyDescent="0.3">
      <c r="A263" t="s">
        <v>11</v>
      </c>
      <c r="B263" t="s">
        <v>92</v>
      </c>
      <c r="C263" t="s">
        <v>93</v>
      </c>
      <c r="D263" t="s">
        <v>94</v>
      </c>
      <c r="E263" t="s">
        <v>95</v>
      </c>
      <c r="F263" t="s">
        <v>1233</v>
      </c>
      <c r="G263">
        <v>504700</v>
      </c>
      <c r="H263">
        <v>455000</v>
      </c>
      <c r="I263" t="s">
        <v>93</v>
      </c>
      <c r="J263" t="s">
        <v>94</v>
      </c>
      <c r="K263" t="s">
        <v>202</v>
      </c>
      <c r="L263" t="s">
        <v>1234</v>
      </c>
      <c r="M263">
        <v>47500</v>
      </c>
      <c r="N263">
        <v>47500</v>
      </c>
      <c r="AA263" t="s">
        <v>1235</v>
      </c>
      <c r="AB263" t="s">
        <v>1236</v>
      </c>
      <c r="AC263" t="s">
        <v>1237</v>
      </c>
      <c r="AD263" t="s">
        <v>365</v>
      </c>
      <c r="AE263" t="s">
        <v>1238</v>
      </c>
      <c r="AF263" t="s">
        <v>1239</v>
      </c>
      <c r="AG263" t="s">
        <v>102</v>
      </c>
      <c r="AH263" t="s">
        <v>131</v>
      </c>
      <c r="AI263">
        <v>46167</v>
      </c>
      <c r="AJ263">
        <v>46167</v>
      </c>
      <c r="AK263" t="s">
        <v>104</v>
      </c>
      <c r="AL263" t="s">
        <v>105</v>
      </c>
      <c r="AM263" t="s">
        <v>107</v>
      </c>
      <c r="AN263" t="s">
        <v>107</v>
      </c>
      <c r="AO263" t="s">
        <v>107</v>
      </c>
      <c r="AP263">
        <v>0</v>
      </c>
      <c r="AQ263">
        <v>3000</v>
      </c>
      <c r="AR263">
        <v>0</v>
      </c>
      <c r="AS263" t="s">
        <v>107</v>
      </c>
      <c r="AT263" t="s">
        <v>108</v>
      </c>
      <c r="AU263" t="s">
        <v>162</v>
      </c>
      <c r="AV263" t="s">
        <v>163</v>
      </c>
      <c r="AW263" t="s">
        <v>111</v>
      </c>
      <c r="AY263" t="s">
        <v>1240</v>
      </c>
      <c r="AZ263" t="s">
        <v>113</v>
      </c>
      <c r="BB263" t="s">
        <v>114</v>
      </c>
      <c r="BC263" t="s">
        <v>543</v>
      </c>
      <c r="BN263" t="s">
        <v>113</v>
      </c>
      <c r="BO263" t="s">
        <v>1241</v>
      </c>
      <c r="BP263" t="s">
        <v>118</v>
      </c>
      <c r="BR263" t="s">
        <v>554</v>
      </c>
      <c r="BS263" t="s">
        <v>1242</v>
      </c>
      <c r="BW263" t="s">
        <v>1157</v>
      </c>
      <c r="BX263" t="s">
        <v>1158</v>
      </c>
      <c r="BY263" t="s">
        <v>123</v>
      </c>
      <c r="BZ263" t="s">
        <v>124</v>
      </c>
    </row>
    <row r="264" spans="1:78" x14ac:dyDescent="0.3">
      <c r="A264" t="s">
        <v>11</v>
      </c>
      <c r="B264" t="s">
        <v>92</v>
      </c>
      <c r="C264" t="s">
        <v>93</v>
      </c>
      <c r="D264" t="s">
        <v>94</v>
      </c>
      <c r="E264" t="s">
        <v>95</v>
      </c>
      <c r="F264" t="s">
        <v>1233</v>
      </c>
      <c r="G264">
        <v>504700</v>
      </c>
      <c r="H264">
        <v>455000</v>
      </c>
      <c r="I264" t="s">
        <v>93</v>
      </c>
      <c r="J264" t="s">
        <v>94</v>
      </c>
      <c r="K264" t="s">
        <v>202</v>
      </c>
      <c r="L264" t="s">
        <v>1234</v>
      </c>
      <c r="M264">
        <v>47500</v>
      </c>
      <c r="N264">
        <v>47500</v>
      </c>
      <c r="AA264" t="s">
        <v>1235</v>
      </c>
      <c r="AB264" t="s">
        <v>1236</v>
      </c>
      <c r="AC264" t="s">
        <v>1237</v>
      </c>
      <c r="AD264" t="s">
        <v>365</v>
      </c>
      <c r="AE264" t="s">
        <v>1238</v>
      </c>
      <c r="AF264" t="s">
        <v>1239</v>
      </c>
      <c r="AG264" t="s">
        <v>102</v>
      </c>
      <c r="AH264" t="s">
        <v>131</v>
      </c>
      <c r="AI264">
        <v>46167</v>
      </c>
      <c r="AJ264">
        <v>46167</v>
      </c>
      <c r="AK264" t="s">
        <v>137</v>
      </c>
      <c r="AL264" t="s">
        <v>105</v>
      </c>
      <c r="AM264" t="s">
        <v>1243</v>
      </c>
      <c r="AN264" t="s">
        <v>107</v>
      </c>
      <c r="AO264" t="s">
        <v>107</v>
      </c>
      <c r="AP264">
        <v>22000</v>
      </c>
      <c r="AQ264">
        <v>22000</v>
      </c>
      <c r="AR264">
        <v>0</v>
      </c>
      <c r="AS264" t="s">
        <v>107</v>
      </c>
      <c r="AT264" t="s">
        <v>108</v>
      </c>
      <c r="AU264" t="s">
        <v>162</v>
      </c>
      <c r="AV264" t="s">
        <v>163</v>
      </c>
      <c r="AW264" t="s">
        <v>111</v>
      </c>
      <c r="AY264" t="s">
        <v>1240</v>
      </c>
      <c r="AZ264" t="s">
        <v>113</v>
      </c>
      <c r="BB264" t="s">
        <v>114</v>
      </c>
      <c r="BC264" t="s">
        <v>543</v>
      </c>
      <c r="BN264" t="s">
        <v>116</v>
      </c>
      <c r="BO264" t="s">
        <v>1241</v>
      </c>
      <c r="BP264" t="s">
        <v>118</v>
      </c>
      <c r="BR264" t="s">
        <v>554</v>
      </c>
      <c r="BS264" t="s">
        <v>1242</v>
      </c>
      <c r="BW264" t="s">
        <v>1157</v>
      </c>
      <c r="BX264" t="s">
        <v>1158</v>
      </c>
      <c r="BY264" t="s">
        <v>123</v>
      </c>
      <c r="BZ264" t="s">
        <v>124</v>
      </c>
    </row>
    <row r="265" spans="1:78" x14ac:dyDescent="0.3">
      <c r="A265" t="s">
        <v>11</v>
      </c>
      <c r="B265" t="s">
        <v>92</v>
      </c>
      <c r="C265" t="s">
        <v>93</v>
      </c>
      <c r="D265" t="s">
        <v>94</v>
      </c>
      <c r="E265" t="s">
        <v>95</v>
      </c>
      <c r="F265" t="s">
        <v>1233</v>
      </c>
      <c r="G265">
        <v>504700</v>
      </c>
      <c r="H265">
        <v>455000</v>
      </c>
      <c r="I265" t="s">
        <v>93</v>
      </c>
      <c r="J265" t="s">
        <v>94</v>
      </c>
      <c r="K265" t="s">
        <v>202</v>
      </c>
      <c r="L265" t="s">
        <v>1234</v>
      </c>
      <c r="M265">
        <v>47500</v>
      </c>
      <c r="N265">
        <v>47500</v>
      </c>
      <c r="AA265" t="s">
        <v>1235</v>
      </c>
      <c r="AB265" t="s">
        <v>1236</v>
      </c>
      <c r="AC265" t="s">
        <v>1237</v>
      </c>
      <c r="AD265" t="s">
        <v>365</v>
      </c>
      <c r="AE265" t="s">
        <v>1238</v>
      </c>
      <c r="AF265" t="s">
        <v>1239</v>
      </c>
      <c r="AG265" t="s">
        <v>102</v>
      </c>
      <c r="AH265" t="s">
        <v>131</v>
      </c>
      <c r="AI265">
        <v>46167</v>
      </c>
      <c r="AJ265">
        <v>46167</v>
      </c>
      <c r="AK265" t="s">
        <v>137</v>
      </c>
      <c r="AL265" t="s">
        <v>105</v>
      </c>
      <c r="AM265" t="s">
        <v>107</v>
      </c>
      <c r="AN265" t="s">
        <v>107</v>
      </c>
      <c r="AO265" t="s">
        <v>107</v>
      </c>
      <c r="AP265">
        <v>0</v>
      </c>
      <c r="AQ265">
        <v>22000</v>
      </c>
      <c r="AR265">
        <v>0</v>
      </c>
      <c r="AS265" t="s">
        <v>107</v>
      </c>
      <c r="AT265" t="s">
        <v>108</v>
      </c>
      <c r="AU265" t="s">
        <v>162</v>
      </c>
      <c r="AV265" t="s">
        <v>163</v>
      </c>
      <c r="AW265" t="s">
        <v>111</v>
      </c>
      <c r="AY265" t="s">
        <v>1240</v>
      </c>
      <c r="AZ265" t="s">
        <v>113</v>
      </c>
      <c r="BB265" t="s">
        <v>114</v>
      </c>
      <c r="BC265" t="s">
        <v>543</v>
      </c>
      <c r="BN265" t="s">
        <v>113</v>
      </c>
      <c r="BO265" t="s">
        <v>1241</v>
      </c>
      <c r="BP265" t="s">
        <v>118</v>
      </c>
      <c r="BR265" t="s">
        <v>554</v>
      </c>
      <c r="BS265" t="s">
        <v>1242</v>
      </c>
      <c r="BW265" t="s">
        <v>1157</v>
      </c>
      <c r="BX265" t="s">
        <v>1158</v>
      </c>
      <c r="BY265" t="s">
        <v>123</v>
      </c>
      <c r="BZ265" t="s">
        <v>124</v>
      </c>
    </row>
    <row r="266" spans="1:78" x14ac:dyDescent="0.3">
      <c r="A266" t="s">
        <v>11</v>
      </c>
      <c r="B266" t="s">
        <v>92</v>
      </c>
      <c r="C266" t="s">
        <v>93</v>
      </c>
      <c r="D266" t="s">
        <v>94</v>
      </c>
      <c r="E266" t="s">
        <v>95</v>
      </c>
      <c r="F266" t="s">
        <v>1233</v>
      </c>
      <c r="G266">
        <v>504700</v>
      </c>
      <c r="H266">
        <v>455000</v>
      </c>
      <c r="I266" t="s">
        <v>93</v>
      </c>
      <c r="J266" t="s">
        <v>94</v>
      </c>
      <c r="K266" t="s">
        <v>202</v>
      </c>
      <c r="L266" t="s">
        <v>1234</v>
      </c>
      <c r="M266">
        <v>47500</v>
      </c>
      <c r="N266">
        <v>47500</v>
      </c>
      <c r="AA266" t="s">
        <v>1235</v>
      </c>
      <c r="AB266" t="s">
        <v>1236</v>
      </c>
      <c r="AC266" t="s">
        <v>1237</v>
      </c>
      <c r="AD266" t="s">
        <v>365</v>
      </c>
      <c r="AE266" t="s">
        <v>1238</v>
      </c>
      <c r="AF266" t="s">
        <v>1239</v>
      </c>
      <c r="AG266" t="s">
        <v>102</v>
      </c>
      <c r="AH266" t="s">
        <v>131</v>
      </c>
      <c r="AI266">
        <v>46188</v>
      </c>
      <c r="AJ266">
        <v>46174</v>
      </c>
      <c r="AK266" t="s">
        <v>137</v>
      </c>
      <c r="AL266" t="s">
        <v>142</v>
      </c>
      <c r="AM266" t="s">
        <v>1244</v>
      </c>
      <c r="AN266" t="s">
        <v>107</v>
      </c>
      <c r="AO266" t="s">
        <v>107</v>
      </c>
      <c r="AP266">
        <v>25250</v>
      </c>
      <c r="AQ266">
        <v>25250</v>
      </c>
      <c r="AR266">
        <v>0</v>
      </c>
      <c r="AS266" t="s">
        <v>107</v>
      </c>
      <c r="AT266" t="s">
        <v>108</v>
      </c>
      <c r="AU266" t="s">
        <v>162</v>
      </c>
      <c r="AV266" t="s">
        <v>163</v>
      </c>
      <c r="AW266" t="s">
        <v>111</v>
      </c>
      <c r="AY266" t="s">
        <v>1245</v>
      </c>
      <c r="AZ266" t="s">
        <v>113</v>
      </c>
      <c r="BB266" t="s">
        <v>114</v>
      </c>
      <c r="BC266" t="s">
        <v>115</v>
      </c>
      <c r="BN266" t="s">
        <v>116</v>
      </c>
      <c r="BO266" t="s">
        <v>1241</v>
      </c>
      <c r="BP266" t="s">
        <v>118</v>
      </c>
      <c r="BR266" t="s">
        <v>554</v>
      </c>
      <c r="BS266" t="s">
        <v>1246</v>
      </c>
      <c r="BW266" t="s">
        <v>1157</v>
      </c>
      <c r="BX266" t="s">
        <v>1158</v>
      </c>
      <c r="BY266" t="s">
        <v>123</v>
      </c>
      <c r="BZ266" t="s">
        <v>124</v>
      </c>
    </row>
    <row r="267" spans="1:78" x14ac:dyDescent="0.3">
      <c r="A267" t="s">
        <v>11</v>
      </c>
      <c r="B267" t="s">
        <v>92</v>
      </c>
      <c r="C267" t="s">
        <v>93</v>
      </c>
      <c r="D267" t="s">
        <v>94</v>
      </c>
      <c r="E267" t="s">
        <v>95</v>
      </c>
      <c r="F267" t="s">
        <v>1233</v>
      </c>
      <c r="G267">
        <v>504700</v>
      </c>
      <c r="H267">
        <v>455000</v>
      </c>
      <c r="I267" t="s">
        <v>93</v>
      </c>
      <c r="J267" t="s">
        <v>94</v>
      </c>
      <c r="K267" t="s">
        <v>202</v>
      </c>
      <c r="L267" t="s">
        <v>1234</v>
      </c>
      <c r="M267">
        <v>47500</v>
      </c>
      <c r="N267">
        <v>47500</v>
      </c>
      <c r="AA267" t="s">
        <v>1235</v>
      </c>
      <c r="AB267" t="s">
        <v>1236</v>
      </c>
      <c r="AC267" t="s">
        <v>1237</v>
      </c>
      <c r="AD267" t="s">
        <v>365</v>
      </c>
      <c r="AE267" t="s">
        <v>1238</v>
      </c>
      <c r="AF267" t="s">
        <v>1239</v>
      </c>
      <c r="AG267" t="s">
        <v>102</v>
      </c>
      <c r="AH267" t="s">
        <v>131</v>
      </c>
      <c r="AI267">
        <v>46386</v>
      </c>
      <c r="AK267" t="s">
        <v>137</v>
      </c>
      <c r="AL267" t="s">
        <v>146</v>
      </c>
      <c r="AM267" t="s">
        <v>558</v>
      </c>
      <c r="AN267" t="s">
        <v>107</v>
      </c>
      <c r="AO267" t="s">
        <v>107</v>
      </c>
      <c r="AP267">
        <v>50000</v>
      </c>
      <c r="AQ267">
        <v>0</v>
      </c>
      <c r="AR267">
        <v>25000</v>
      </c>
      <c r="AT267" t="s">
        <v>108</v>
      </c>
      <c r="AZ267" t="s">
        <v>113</v>
      </c>
      <c r="BC267" t="s">
        <v>1160</v>
      </c>
      <c r="BN267" t="s">
        <v>113</v>
      </c>
      <c r="BO267" t="s">
        <v>1241</v>
      </c>
      <c r="BP267" t="s">
        <v>118</v>
      </c>
      <c r="BR267" t="s">
        <v>554</v>
      </c>
      <c r="BW267" t="s">
        <v>1157</v>
      </c>
      <c r="BX267" t="s">
        <v>1158</v>
      </c>
      <c r="BY267" t="s">
        <v>123</v>
      </c>
      <c r="BZ267" t="s">
        <v>124</v>
      </c>
    </row>
    <row r="268" spans="1:78" x14ac:dyDescent="0.3">
      <c r="A268" t="s">
        <v>2</v>
      </c>
      <c r="B268" t="s">
        <v>92</v>
      </c>
      <c r="C268" t="s">
        <v>93</v>
      </c>
      <c r="D268" t="s">
        <v>94</v>
      </c>
      <c r="E268" t="s">
        <v>95</v>
      </c>
      <c r="F268" t="s">
        <v>519</v>
      </c>
      <c r="G268">
        <v>433500</v>
      </c>
      <c r="H268">
        <v>433500</v>
      </c>
      <c r="I268" t="s">
        <v>93</v>
      </c>
      <c r="J268" t="s">
        <v>94</v>
      </c>
      <c r="K268" t="s">
        <v>202</v>
      </c>
      <c r="L268" t="s">
        <v>520</v>
      </c>
      <c r="M268">
        <v>50500</v>
      </c>
      <c r="N268">
        <v>50500</v>
      </c>
      <c r="AA268" t="s">
        <v>521</v>
      </c>
      <c r="AB268" t="s">
        <v>522</v>
      </c>
      <c r="AC268" t="s">
        <v>523</v>
      </c>
      <c r="AD268" t="s">
        <v>524</v>
      </c>
      <c r="AE268" t="s">
        <v>525</v>
      </c>
      <c r="AF268" t="s">
        <v>526</v>
      </c>
      <c r="AG268" t="s">
        <v>102</v>
      </c>
      <c r="AH268" t="s">
        <v>527</v>
      </c>
      <c r="AI268">
        <v>46176</v>
      </c>
      <c r="AJ268">
        <v>46176</v>
      </c>
      <c r="AK268" t="s">
        <v>104</v>
      </c>
      <c r="AL268" t="s">
        <v>105</v>
      </c>
      <c r="AM268" t="s">
        <v>106</v>
      </c>
      <c r="AN268" t="s">
        <v>107</v>
      </c>
      <c r="AO268" t="s">
        <v>107</v>
      </c>
      <c r="AP268">
        <v>3000</v>
      </c>
      <c r="AQ268">
        <v>3000</v>
      </c>
      <c r="AR268">
        <v>0</v>
      </c>
      <c r="AS268" t="s">
        <v>107</v>
      </c>
      <c r="AT268" t="s">
        <v>108</v>
      </c>
      <c r="AU268" t="s">
        <v>109</v>
      </c>
      <c r="AV268" t="s">
        <v>110</v>
      </c>
      <c r="AW268" t="s">
        <v>111</v>
      </c>
      <c r="AY268" t="s">
        <v>1247</v>
      </c>
      <c r="AZ268" t="s">
        <v>113</v>
      </c>
      <c r="BB268" t="s">
        <v>114</v>
      </c>
      <c r="BC268" t="s">
        <v>115</v>
      </c>
      <c r="BN268" t="s">
        <v>116</v>
      </c>
      <c r="BO268" t="s">
        <v>531</v>
      </c>
      <c r="BP268" t="s">
        <v>118</v>
      </c>
      <c r="BR268" t="s">
        <v>532</v>
      </c>
      <c r="BS268" t="s">
        <v>1248</v>
      </c>
      <c r="BW268" t="s">
        <v>1157</v>
      </c>
      <c r="BX268" t="s">
        <v>1158</v>
      </c>
      <c r="BY268" t="s">
        <v>123</v>
      </c>
      <c r="BZ268" t="s">
        <v>124</v>
      </c>
    </row>
    <row r="269" spans="1:78" x14ac:dyDescent="0.3">
      <c r="A269" t="s">
        <v>2</v>
      </c>
      <c r="B269" t="s">
        <v>92</v>
      </c>
      <c r="C269" t="s">
        <v>93</v>
      </c>
      <c r="D269" t="s">
        <v>94</v>
      </c>
      <c r="E269" t="s">
        <v>95</v>
      </c>
      <c r="F269" t="s">
        <v>519</v>
      </c>
      <c r="G269">
        <v>433500</v>
      </c>
      <c r="H269">
        <v>433500</v>
      </c>
      <c r="I269" t="s">
        <v>93</v>
      </c>
      <c r="J269" t="s">
        <v>94</v>
      </c>
      <c r="K269" t="s">
        <v>202</v>
      </c>
      <c r="L269" t="s">
        <v>520</v>
      </c>
      <c r="M269">
        <v>50500</v>
      </c>
      <c r="N269">
        <v>50500</v>
      </c>
      <c r="AA269" t="s">
        <v>521</v>
      </c>
      <c r="AB269" t="s">
        <v>522</v>
      </c>
      <c r="AC269" t="s">
        <v>523</v>
      </c>
      <c r="AD269" t="s">
        <v>524</v>
      </c>
      <c r="AE269" t="s">
        <v>525</v>
      </c>
      <c r="AF269" t="s">
        <v>526</v>
      </c>
      <c r="AG269" t="s">
        <v>102</v>
      </c>
      <c r="AH269" t="s">
        <v>527</v>
      </c>
      <c r="AI269">
        <v>46081</v>
      </c>
      <c r="AJ269">
        <v>46178</v>
      </c>
      <c r="AK269" t="s">
        <v>218</v>
      </c>
      <c r="AL269" t="s">
        <v>105</v>
      </c>
      <c r="AM269" t="s">
        <v>1249</v>
      </c>
      <c r="AN269" t="s">
        <v>107</v>
      </c>
      <c r="AO269" t="s">
        <v>107</v>
      </c>
      <c r="AP269">
        <v>435600</v>
      </c>
      <c r="AQ269">
        <v>435600</v>
      </c>
      <c r="AR269">
        <v>0</v>
      </c>
      <c r="AS269" t="s">
        <v>107</v>
      </c>
      <c r="AT269" t="s">
        <v>108</v>
      </c>
      <c r="AU269" t="s">
        <v>109</v>
      </c>
      <c r="AV269" t="s">
        <v>110</v>
      </c>
      <c r="AW269" t="s">
        <v>111</v>
      </c>
      <c r="AX269" t="s">
        <v>522</v>
      </c>
      <c r="AY269" t="s">
        <v>1250</v>
      </c>
      <c r="AZ269" t="s">
        <v>113</v>
      </c>
      <c r="BA269" t="s">
        <v>133</v>
      </c>
      <c r="BB269" t="s">
        <v>114</v>
      </c>
      <c r="BC269" t="s">
        <v>115</v>
      </c>
      <c r="BN269" t="s">
        <v>116</v>
      </c>
      <c r="BO269" t="s">
        <v>531</v>
      </c>
      <c r="BP269" t="s">
        <v>118</v>
      </c>
      <c r="BR269" t="s">
        <v>532</v>
      </c>
      <c r="BS269" t="s">
        <v>1251</v>
      </c>
      <c r="BW269" t="s">
        <v>1157</v>
      </c>
      <c r="BX269" t="s">
        <v>1158</v>
      </c>
      <c r="BY269" t="s">
        <v>123</v>
      </c>
      <c r="BZ269" t="s">
        <v>124</v>
      </c>
    </row>
    <row r="270" spans="1:78" x14ac:dyDescent="0.3">
      <c r="A270" t="s">
        <v>11</v>
      </c>
      <c r="B270" t="s">
        <v>92</v>
      </c>
      <c r="C270" t="s">
        <v>93</v>
      </c>
      <c r="D270" t="s">
        <v>94</v>
      </c>
      <c r="E270" t="s">
        <v>95</v>
      </c>
      <c r="F270" t="s">
        <v>125</v>
      </c>
      <c r="G270">
        <v>430000</v>
      </c>
      <c r="H270">
        <v>381000</v>
      </c>
      <c r="AA270" t="s">
        <v>534</v>
      </c>
      <c r="AB270" t="s">
        <v>535</v>
      </c>
      <c r="AC270" t="s">
        <v>536</v>
      </c>
      <c r="AD270" t="s">
        <v>365</v>
      </c>
      <c r="AE270" t="s">
        <v>537</v>
      </c>
      <c r="AF270" t="s">
        <v>538</v>
      </c>
      <c r="AG270" t="s">
        <v>102</v>
      </c>
      <c r="AH270" t="s">
        <v>131</v>
      </c>
      <c r="AI270">
        <v>46172</v>
      </c>
      <c r="AK270" t="s">
        <v>137</v>
      </c>
      <c r="AL270" t="s">
        <v>146</v>
      </c>
      <c r="AM270" t="s">
        <v>153</v>
      </c>
      <c r="AN270" t="s">
        <v>107</v>
      </c>
      <c r="AO270" t="s">
        <v>107</v>
      </c>
      <c r="AP270">
        <v>21000</v>
      </c>
      <c r="AQ270">
        <v>0</v>
      </c>
      <c r="AR270">
        <v>21000</v>
      </c>
      <c r="AT270" t="s">
        <v>243</v>
      </c>
      <c r="AZ270" t="s">
        <v>113</v>
      </c>
      <c r="BC270" t="s">
        <v>543</v>
      </c>
      <c r="BN270" t="s">
        <v>113</v>
      </c>
      <c r="BO270" t="s">
        <v>540</v>
      </c>
      <c r="BP270" t="s">
        <v>370</v>
      </c>
      <c r="BR270" t="s">
        <v>246</v>
      </c>
      <c r="BW270" t="s">
        <v>1157</v>
      </c>
      <c r="BX270" t="s">
        <v>1158</v>
      </c>
      <c r="BY270" t="s">
        <v>123</v>
      </c>
      <c r="BZ270" t="s">
        <v>124</v>
      </c>
    </row>
    <row r="271" spans="1:78" x14ac:dyDescent="0.3">
      <c r="A271" t="s">
        <v>11</v>
      </c>
      <c r="B271" t="s">
        <v>92</v>
      </c>
      <c r="C271" t="s">
        <v>93</v>
      </c>
      <c r="D271" t="s">
        <v>94</v>
      </c>
      <c r="E271" t="s">
        <v>95</v>
      </c>
      <c r="F271" t="s">
        <v>125</v>
      </c>
      <c r="G271">
        <v>430000</v>
      </c>
      <c r="H271">
        <v>381000</v>
      </c>
      <c r="AA271" t="s">
        <v>534</v>
      </c>
      <c r="AB271" t="s">
        <v>535</v>
      </c>
      <c r="AC271" t="s">
        <v>536</v>
      </c>
      <c r="AD271" t="s">
        <v>365</v>
      </c>
      <c r="AE271" t="s">
        <v>537</v>
      </c>
      <c r="AF271" t="s">
        <v>538</v>
      </c>
      <c r="AG271" t="s">
        <v>102</v>
      </c>
      <c r="AH271" t="s">
        <v>131</v>
      </c>
      <c r="AI271">
        <v>46234</v>
      </c>
      <c r="AK271" t="s">
        <v>218</v>
      </c>
      <c r="AL271" t="s">
        <v>105</v>
      </c>
      <c r="AM271" t="s">
        <v>1252</v>
      </c>
      <c r="AN271" t="s">
        <v>107</v>
      </c>
      <c r="AO271" t="s">
        <v>107</v>
      </c>
      <c r="AP271">
        <v>296000</v>
      </c>
      <c r="AQ271">
        <v>0</v>
      </c>
      <c r="AR271">
        <v>296000</v>
      </c>
      <c r="AT271" t="s">
        <v>243</v>
      </c>
      <c r="AZ271" t="s">
        <v>113</v>
      </c>
      <c r="BC271" t="s">
        <v>1160</v>
      </c>
      <c r="BN271" t="s">
        <v>113</v>
      </c>
      <c r="BO271" t="s">
        <v>540</v>
      </c>
      <c r="BP271" t="s">
        <v>370</v>
      </c>
      <c r="BR271" t="s">
        <v>246</v>
      </c>
      <c r="BW271" t="s">
        <v>1157</v>
      </c>
      <c r="BX271" t="s">
        <v>1158</v>
      </c>
      <c r="BY271" t="s">
        <v>123</v>
      </c>
      <c r="BZ271" t="s">
        <v>124</v>
      </c>
    </row>
    <row r="272" spans="1:78" x14ac:dyDescent="0.3">
      <c r="A272" t="s">
        <v>2</v>
      </c>
      <c r="B272" t="s">
        <v>92</v>
      </c>
      <c r="C272" t="s">
        <v>93</v>
      </c>
      <c r="D272" t="s">
        <v>94</v>
      </c>
      <c r="E272" t="s">
        <v>95</v>
      </c>
      <c r="F272" t="s">
        <v>544</v>
      </c>
      <c r="G272">
        <v>615000</v>
      </c>
      <c r="H272">
        <v>615000</v>
      </c>
      <c r="AA272" t="s">
        <v>545</v>
      </c>
      <c r="AB272" t="s">
        <v>546</v>
      </c>
      <c r="AC272" t="s">
        <v>547</v>
      </c>
      <c r="AD272" t="s">
        <v>548</v>
      </c>
      <c r="AE272" t="s">
        <v>548</v>
      </c>
      <c r="AF272" t="s">
        <v>549</v>
      </c>
      <c r="AG272" t="s">
        <v>550</v>
      </c>
      <c r="AH272" t="s">
        <v>551</v>
      </c>
      <c r="AI272">
        <v>46073</v>
      </c>
      <c r="AJ272">
        <v>46073</v>
      </c>
      <c r="AK272" t="s">
        <v>137</v>
      </c>
      <c r="AL272" t="s">
        <v>152</v>
      </c>
      <c r="AM272" t="s">
        <v>398</v>
      </c>
      <c r="AN272" t="s">
        <v>107</v>
      </c>
      <c r="AO272" t="s">
        <v>107</v>
      </c>
      <c r="AP272">
        <v>10000</v>
      </c>
      <c r="AQ272">
        <v>10000</v>
      </c>
      <c r="AR272">
        <v>0</v>
      </c>
      <c r="AS272" t="s">
        <v>107</v>
      </c>
      <c r="AT272" t="s">
        <v>108</v>
      </c>
      <c r="AU272" t="s">
        <v>109</v>
      </c>
      <c r="AV272" t="s">
        <v>110</v>
      </c>
      <c r="AW272" t="s">
        <v>111</v>
      </c>
      <c r="AX272" t="s">
        <v>546</v>
      </c>
      <c r="AY272" t="s">
        <v>1253</v>
      </c>
      <c r="AZ272" t="s">
        <v>113</v>
      </c>
      <c r="BA272" t="s">
        <v>133</v>
      </c>
      <c r="BB272" t="s">
        <v>114</v>
      </c>
      <c r="BC272" t="s">
        <v>115</v>
      </c>
      <c r="BN272" t="s">
        <v>116</v>
      </c>
      <c r="BO272" t="s">
        <v>553</v>
      </c>
      <c r="BP272" t="s">
        <v>118</v>
      </c>
      <c r="BR272" t="s">
        <v>554</v>
      </c>
      <c r="BS272" t="s">
        <v>1254</v>
      </c>
      <c r="BW272" t="s">
        <v>1157</v>
      </c>
      <c r="BX272" t="s">
        <v>1158</v>
      </c>
      <c r="BY272" t="s">
        <v>123</v>
      </c>
      <c r="BZ272" t="s">
        <v>124</v>
      </c>
    </row>
    <row r="273" spans="1:78" x14ac:dyDescent="0.3">
      <c r="A273" t="s">
        <v>2</v>
      </c>
      <c r="B273" t="s">
        <v>92</v>
      </c>
      <c r="C273" t="s">
        <v>93</v>
      </c>
      <c r="D273" t="s">
        <v>94</v>
      </c>
      <c r="E273" t="s">
        <v>95</v>
      </c>
      <c r="F273" t="s">
        <v>544</v>
      </c>
      <c r="G273">
        <v>615000</v>
      </c>
      <c r="H273">
        <v>615000</v>
      </c>
      <c r="AA273" t="s">
        <v>545</v>
      </c>
      <c r="AB273" t="s">
        <v>546</v>
      </c>
      <c r="AC273" t="s">
        <v>547</v>
      </c>
      <c r="AD273" t="s">
        <v>548</v>
      </c>
      <c r="AE273" t="s">
        <v>548</v>
      </c>
      <c r="AF273" t="s">
        <v>549</v>
      </c>
      <c r="AG273" t="s">
        <v>550</v>
      </c>
      <c r="AH273" t="s">
        <v>551</v>
      </c>
      <c r="AI273">
        <v>46081</v>
      </c>
      <c r="AJ273">
        <v>46112</v>
      </c>
      <c r="AK273" t="s">
        <v>218</v>
      </c>
      <c r="AL273" t="s">
        <v>105</v>
      </c>
      <c r="AM273" t="s">
        <v>1255</v>
      </c>
      <c r="AN273" t="s">
        <v>107</v>
      </c>
      <c r="AO273" t="s">
        <v>107</v>
      </c>
      <c r="AP273">
        <v>508000</v>
      </c>
      <c r="AQ273">
        <v>508000</v>
      </c>
      <c r="AR273">
        <v>0</v>
      </c>
      <c r="AS273" t="s">
        <v>107</v>
      </c>
      <c r="AT273" t="s">
        <v>108</v>
      </c>
      <c r="AU273" t="s">
        <v>109</v>
      </c>
      <c r="AV273" t="s">
        <v>110</v>
      </c>
      <c r="AW273" t="s">
        <v>111</v>
      </c>
      <c r="AY273" t="s">
        <v>1256</v>
      </c>
      <c r="AZ273" t="s">
        <v>113</v>
      </c>
      <c r="BB273" t="s">
        <v>114</v>
      </c>
      <c r="BC273" t="s">
        <v>115</v>
      </c>
      <c r="BN273" t="s">
        <v>116</v>
      </c>
      <c r="BO273" t="s">
        <v>553</v>
      </c>
      <c r="BP273" t="s">
        <v>118</v>
      </c>
      <c r="BR273" t="s">
        <v>554</v>
      </c>
      <c r="BS273" t="s">
        <v>1257</v>
      </c>
      <c r="BW273" t="s">
        <v>1157</v>
      </c>
      <c r="BX273" t="s">
        <v>1158</v>
      </c>
      <c r="BY273" t="s">
        <v>123</v>
      </c>
      <c r="BZ273" t="s">
        <v>124</v>
      </c>
    </row>
    <row r="274" spans="1:78" x14ac:dyDescent="0.3">
      <c r="A274" t="s">
        <v>11</v>
      </c>
      <c r="B274" t="s">
        <v>92</v>
      </c>
      <c r="C274" t="s">
        <v>93</v>
      </c>
      <c r="D274" t="s">
        <v>94</v>
      </c>
      <c r="E274" t="s">
        <v>95</v>
      </c>
      <c r="F274" t="s">
        <v>154</v>
      </c>
      <c r="G274">
        <v>532100</v>
      </c>
      <c r="H274">
        <v>500000</v>
      </c>
      <c r="AA274" t="s">
        <v>155</v>
      </c>
      <c r="AB274" t="s">
        <v>156</v>
      </c>
      <c r="AC274" t="s">
        <v>157</v>
      </c>
      <c r="AD274" t="s">
        <v>158</v>
      </c>
      <c r="AE274" t="s">
        <v>158</v>
      </c>
      <c r="AF274" t="s">
        <v>159</v>
      </c>
      <c r="AG274" t="s">
        <v>102</v>
      </c>
      <c r="AH274" t="s">
        <v>160</v>
      </c>
      <c r="AI274">
        <v>46182</v>
      </c>
      <c r="AK274" t="s">
        <v>137</v>
      </c>
      <c r="AL274" t="s">
        <v>105</v>
      </c>
      <c r="AM274" t="s">
        <v>1258</v>
      </c>
      <c r="AN274" t="s">
        <v>107</v>
      </c>
      <c r="AO274" t="s">
        <v>107</v>
      </c>
      <c r="AP274">
        <v>217040</v>
      </c>
      <c r="AQ274">
        <v>0</v>
      </c>
      <c r="AR274">
        <v>217040</v>
      </c>
      <c r="AT274" t="s">
        <v>161</v>
      </c>
      <c r="AZ274" t="s">
        <v>113</v>
      </c>
      <c r="BC274" t="s">
        <v>543</v>
      </c>
      <c r="BN274" t="s">
        <v>113</v>
      </c>
      <c r="BO274" t="s">
        <v>165</v>
      </c>
      <c r="BP274" t="s">
        <v>166</v>
      </c>
      <c r="BR274" t="s">
        <v>167</v>
      </c>
      <c r="BW274" t="s">
        <v>1157</v>
      </c>
      <c r="BX274" t="s">
        <v>1158</v>
      </c>
      <c r="BY274" t="s">
        <v>123</v>
      </c>
      <c r="BZ274" t="s">
        <v>124</v>
      </c>
    </row>
    <row r="275" spans="1:78" x14ac:dyDescent="0.3">
      <c r="A275" t="s">
        <v>11</v>
      </c>
      <c r="B275" t="s">
        <v>92</v>
      </c>
      <c r="C275" t="s">
        <v>93</v>
      </c>
      <c r="D275" t="s">
        <v>94</v>
      </c>
      <c r="E275" t="s">
        <v>95</v>
      </c>
      <c r="F275" t="s">
        <v>154</v>
      </c>
      <c r="G275">
        <v>532100</v>
      </c>
      <c r="H275">
        <v>500000</v>
      </c>
      <c r="AA275" t="s">
        <v>155</v>
      </c>
      <c r="AB275" t="s">
        <v>156</v>
      </c>
      <c r="AC275" t="s">
        <v>157</v>
      </c>
      <c r="AD275" t="s">
        <v>158</v>
      </c>
      <c r="AE275" t="s">
        <v>158</v>
      </c>
      <c r="AF275" t="s">
        <v>159</v>
      </c>
      <c r="AG275" t="s">
        <v>102</v>
      </c>
      <c r="AH275" t="s">
        <v>160</v>
      </c>
      <c r="AI275">
        <v>46212</v>
      </c>
      <c r="AK275" t="s">
        <v>218</v>
      </c>
      <c r="AL275" t="s">
        <v>105</v>
      </c>
      <c r="AM275" t="s">
        <v>1259</v>
      </c>
      <c r="AN275" t="s">
        <v>107</v>
      </c>
      <c r="AO275" t="s">
        <v>107</v>
      </c>
      <c r="AP275">
        <v>55992</v>
      </c>
      <c r="AQ275">
        <v>0</v>
      </c>
      <c r="AR275">
        <v>55992</v>
      </c>
      <c r="AT275" t="s">
        <v>161</v>
      </c>
      <c r="AZ275" t="s">
        <v>113</v>
      </c>
      <c r="BC275" t="s">
        <v>1160</v>
      </c>
      <c r="BN275" t="s">
        <v>113</v>
      </c>
      <c r="BO275" t="s">
        <v>165</v>
      </c>
      <c r="BP275" t="s">
        <v>166</v>
      </c>
      <c r="BR275" t="s">
        <v>167</v>
      </c>
      <c r="BW275" t="s">
        <v>1157</v>
      </c>
      <c r="BX275" t="s">
        <v>1158</v>
      </c>
      <c r="BY275" t="s">
        <v>123</v>
      </c>
      <c r="BZ275" t="s">
        <v>124</v>
      </c>
    </row>
    <row r="276" spans="1:78" x14ac:dyDescent="0.3">
      <c r="A276" t="s">
        <v>11</v>
      </c>
      <c r="B276" t="s">
        <v>92</v>
      </c>
      <c r="C276" t="s">
        <v>93</v>
      </c>
      <c r="D276" t="s">
        <v>94</v>
      </c>
      <c r="E276" t="s">
        <v>95</v>
      </c>
      <c r="F276" t="s">
        <v>154</v>
      </c>
      <c r="G276">
        <v>532100</v>
      </c>
      <c r="H276">
        <v>500000</v>
      </c>
      <c r="AA276" t="s">
        <v>155</v>
      </c>
      <c r="AB276" t="s">
        <v>156</v>
      </c>
      <c r="AC276" t="s">
        <v>157</v>
      </c>
      <c r="AD276" t="s">
        <v>158</v>
      </c>
      <c r="AE276" t="s">
        <v>158</v>
      </c>
      <c r="AF276" t="s">
        <v>159</v>
      </c>
      <c r="AG276" t="s">
        <v>102</v>
      </c>
      <c r="AH276" t="s">
        <v>160</v>
      </c>
      <c r="AI276">
        <v>46243</v>
      </c>
      <c r="AK276" t="s">
        <v>218</v>
      </c>
      <c r="AL276" t="s">
        <v>142</v>
      </c>
      <c r="AM276" t="s">
        <v>1259</v>
      </c>
      <c r="AN276" t="s">
        <v>107</v>
      </c>
      <c r="AO276" t="s">
        <v>107</v>
      </c>
      <c r="AP276">
        <v>55992</v>
      </c>
      <c r="AQ276">
        <v>0</v>
      </c>
      <c r="AR276">
        <v>55992</v>
      </c>
      <c r="AT276" t="s">
        <v>161</v>
      </c>
      <c r="AZ276" t="s">
        <v>113</v>
      </c>
      <c r="BC276" t="s">
        <v>1160</v>
      </c>
      <c r="BN276" t="s">
        <v>113</v>
      </c>
      <c r="BO276" t="s">
        <v>165</v>
      </c>
      <c r="BP276" t="s">
        <v>166</v>
      </c>
      <c r="BR276" t="s">
        <v>167</v>
      </c>
      <c r="BW276" t="s">
        <v>1157</v>
      </c>
      <c r="BX276" t="s">
        <v>1158</v>
      </c>
      <c r="BY276" t="s">
        <v>123</v>
      </c>
      <c r="BZ276" t="s">
        <v>124</v>
      </c>
    </row>
    <row r="277" spans="1:78" x14ac:dyDescent="0.3">
      <c r="A277" t="s">
        <v>11</v>
      </c>
      <c r="B277" t="s">
        <v>92</v>
      </c>
      <c r="C277" t="s">
        <v>93</v>
      </c>
      <c r="D277" t="s">
        <v>94</v>
      </c>
      <c r="E277" t="s">
        <v>95</v>
      </c>
      <c r="F277" t="s">
        <v>154</v>
      </c>
      <c r="G277">
        <v>532100</v>
      </c>
      <c r="H277">
        <v>500000</v>
      </c>
      <c r="AA277" t="s">
        <v>155</v>
      </c>
      <c r="AB277" t="s">
        <v>156</v>
      </c>
      <c r="AC277" t="s">
        <v>157</v>
      </c>
      <c r="AD277" t="s">
        <v>158</v>
      </c>
      <c r="AE277" t="s">
        <v>158</v>
      </c>
      <c r="AF277" t="s">
        <v>159</v>
      </c>
      <c r="AG277" t="s">
        <v>102</v>
      </c>
      <c r="AH277" t="s">
        <v>160</v>
      </c>
      <c r="AI277">
        <v>46274</v>
      </c>
      <c r="AK277" t="s">
        <v>218</v>
      </c>
      <c r="AL277" t="s">
        <v>146</v>
      </c>
      <c r="AM277" t="s">
        <v>1259</v>
      </c>
      <c r="AN277" t="s">
        <v>107</v>
      </c>
      <c r="AO277" t="s">
        <v>107</v>
      </c>
      <c r="AP277">
        <v>55992</v>
      </c>
      <c r="AQ277">
        <v>0</v>
      </c>
      <c r="AR277">
        <v>55992</v>
      </c>
      <c r="AT277" t="s">
        <v>161</v>
      </c>
      <c r="AZ277" t="s">
        <v>113</v>
      </c>
      <c r="BC277" t="s">
        <v>1160</v>
      </c>
      <c r="BN277" t="s">
        <v>113</v>
      </c>
      <c r="BO277" t="s">
        <v>165</v>
      </c>
      <c r="BP277" t="s">
        <v>166</v>
      </c>
      <c r="BR277" t="s">
        <v>167</v>
      </c>
      <c r="BW277" t="s">
        <v>1157</v>
      </c>
      <c r="BX277" t="s">
        <v>1158</v>
      </c>
      <c r="BY277" t="s">
        <v>123</v>
      </c>
      <c r="BZ277" t="s">
        <v>124</v>
      </c>
    </row>
    <row r="278" spans="1:78" x14ac:dyDescent="0.3">
      <c r="A278" t="s">
        <v>11</v>
      </c>
      <c r="B278" t="s">
        <v>92</v>
      </c>
      <c r="C278" t="s">
        <v>93</v>
      </c>
      <c r="D278" t="s">
        <v>94</v>
      </c>
      <c r="E278" t="s">
        <v>95</v>
      </c>
      <c r="F278" t="s">
        <v>154</v>
      </c>
      <c r="G278">
        <v>532100</v>
      </c>
      <c r="H278">
        <v>500000</v>
      </c>
      <c r="AA278" t="s">
        <v>155</v>
      </c>
      <c r="AB278" t="s">
        <v>156</v>
      </c>
      <c r="AC278" t="s">
        <v>157</v>
      </c>
      <c r="AD278" t="s">
        <v>158</v>
      </c>
      <c r="AE278" t="s">
        <v>158</v>
      </c>
      <c r="AF278" t="s">
        <v>159</v>
      </c>
      <c r="AG278" t="s">
        <v>102</v>
      </c>
      <c r="AH278" t="s">
        <v>160</v>
      </c>
      <c r="AI278">
        <v>46304</v>
      </c>
      <c r="AK278" t="s">
        <v>218</v>
      </c>
      <c r="AL278" t="s">
        <v>152</v>
      </c>
      <c r="AM278" t="s">
        <v>1259</v>
      </c>
      <c r="AN278" t="s">
        <v>107</v>
      </c>
      <c r="AO278" t="s">
        <v>107</v>
      </c>
      <c r="AP278">
        <v>55992</v>
      </c>
      <c r="AQ278">
        <v>0</v>
      </c>
      <c r="AR278">
        <v>55992</v>
      </c>
      <c r="AT278" t="s">
        <v>161</v>
      </c>
      <c r="AZ278" t="s">
        <v>113</v>
      </c>
      <c r="BC278" t="s">
        <v>1160</v>
      </c>
      <c r="BN278" t="s">
        <v>113</v>
      </c>
      <c r="BO278" t="s">
        <v>165</v>
      </c>
      <c r="BP278" t="s">
        <v>166</v>
      </c>
      <c r="BR278" t="s">
        <v>167</v>
      </c>
      <c r="BW278" t="s">
        <v>1157</v>
      </c>
      <c r="BX278" t="s">
        <v>1158</v>
      </c>
      <c r="BY278" t="s">
        <v>123</v>
      </c>
      <c r="BZ278" t="s">
        <v>124</v>
      </c>
    </row>
    <row r="279" spans="1:78" x14ac:dyDescent="0.3">
      <c r="A279" t="s">
        <v>11</v>
      </c>
      <c r="B279" t="s">
        <v>92</v>
      </c>
      <c r="C279" t="s">
        <v>93</v>
      </c>
      <c r="D279" t="s">
        <v>94</v>
      </c>
      <c r="E279" t="s">
        <v>95</v>
      </c>
      <c r="F279" t="s">
        <v>154</v>
      </c>
      <c r="G279">
        <v>532100</v>
      </c>
      <c r="H279">
        <v>500000</v>
      </c>
      <c r="AA279" t="s">
        <v>155</v>
      </c>
      <c r="AB279" t="s">
        <v>156</v>
      </c>
      <c r="AC279" t="s">
        <v>157</v>
      </c>
      <c r="AD279" t="s">
        <v>158</v>
      </c>
      <c r="AE279" t="s">
        <v>158</v>
      </c>
      <c r="AF279" t="s">
        <v>159</v>
      </c>
      <c r="AG279" t="s">
        <v>102</v>
      </c>
      <c r="AH279" t="s">
        <v>160</v>
      </c>
      <c r="AI279">
        <v>46335</v>
      </c>
      <c r="AK279" t="s">
        <v>218</v>
      </c>
      <c r="AL279" t="s">
        <v>584</v>
      </c>
      <c r="AM279" t="s">
        <v>1259</v>
      </c>
      <c r="AN279" t="s">
        <v>107</v>
      </c>
      <c r="AO279" t="s">
        <v>107</v>
      </c>
      <c r="AP279">
        <v>55992</v>
      </c>
      <c r="AQ279">
        <v>0</v>
      </c>
      <c r="AR279">
        <v>55992</v>
      </c>
      <c r="AT279" t="s">
        <v>161</v>
      </c>
      <c r="AZ279" t="s">
        <v>113</v>
      </c>
      <c r="BC279" t="s">
        <v>1160</v>
      </c>
      <c r="BN279" t="s">
        <v>113</v>
      </c>
      <c r="BO279" t="s">
        <v>165</v>
      </c>
      <c r="BP279" t="s">
        <v>166</v>
      </c>
      <c r="BR279" t="s">
        <v>167</v>
      </c>
      <c r="BW279" t="s">
        <v>1157</v>
      </c>
      <c r="BX279" t="s">
        <v>1158</v>
      </c>
      <c r="BY279" t="s">
        <v>123</v>
      </c>
      <c r="BZ279" t="s">
        <v>124</v>
      </c>
    </row>
    <row r="280" spans="1:78" x14ac:dyDescent="0.3">
      <c r="A280" t="s">
        <v>2</v>
      </c>
      <c r="B280" t="s">
        <v>92</v>
      </c>
      <c r="C280" t="s">
        <v>93</v>
      </c>
      <c r="D280" t="s">
        <v>94</v>
      </c>
      <c r="E280" t="s">
        <v>95</v>
      </c>
      <c r="F280" t="s">
        <v>564</v>
      </c>
      <c r="G280">
        <v>654000</v>
      </c>
      <c r="H280">
        <v>654000</v>
      </c>
      <c r="I280" t="s">
        <v>93</v>
      </c>
      <c r="J280" t="s">
        <v>94</v>
      </c>
      <c r="K280" t="s">
        <v>202</v>
      </c>
      <c r="L280" t="s">
        <v>565</v>
      </c>
      <c r="M280">
        <v>57500</v>
      </c>
      <c r="N280">
        <v>57500</v>
      </c>
      <c r="AA280" t="s">
        <v>566</v>
      </c>
      <c r="AB280" t="s">
        <v>567</v>
      </c>
      <c r="AC280" t="s">
        <v>568</v>
      </c>
      <c r="AD280" t="s">
        <v>569</v>
      </c>
      <c r="AE280" t="s">
        <v>569</v>
      </c>
      <c r="AF280" t="s">
        <v>570</v>
      </c>
      <c r="AG280" t="s">
        <v>102</v>
      </c>
      <c r="AH280" t="s">
        <v>489</v>
      </c>
      <c r="AI280">
        <v>46175</v>
      </c>
      <c r="AJ280">
        <v>45655</v>
      </c>
      <c r="AK280" t="s">
        <v>104</v>
      </c>
      <c r="AL280" t="s">
        <v>105</v>
      </c>
      <c r="AM280" t="s">
        <v>106</v>
      </c>
      <c r="AN280" t="s">
        <v>107</v>
      </c>
      <c r="AO280" t="s">
        <v>107</v>
      </c>
      <c r="AP280">
        <v>3000</v>
      </c>
      <c r="AQ280">
        <v>3000</v>
      </c>
      <c r="AR280">
        <v>0</v>
      </c>
      <c r="AS280" t="s">
        <v>107</v>
      </c>
      <c r="AT280" t="s">
        <v>108</v>
      </c>
      <c r="AU280" t="s">
        <v>109</v>
      </c>
      <c r="AV280" t="s">
        <v>110</v>
      </c>
      <c r="AW280" t="s">
        <v>111</v>
      </c>
      <c r="AX280" t="s">
        <v>567</v>
      </c>
      <c r="AY280" t="s">
        <v>1260</v>
      </c>
      <c r="AZ280" t="s">
        <v>113</v>
      </c>
      <c r="BA280" t="s">
        <v>133</v>
      </c>
      <c r="BB280" t="s">
        <v>114</v>
      </c>
      <c r="BC280" t="s">
        <v>115</v>
      </c>
      <c r="BN280" t="s">
        <v>116</v>
      </c>
      <c r="BO280" t="s">
        <v>573</v>
      </c>
      <c r="BP280" t="s">
        <v>118</v>
      </c>
      <c r="BR280" t="s">
        <v>574</v>
      </c>
      <c r="BS280" t="s">
        <v>1261</v>
      </c>
      <c r="BW280" t="s">
        <v>1157</v>
      </c>
      <c r="BX280" t="s">
        <v>1158</v>
      </c>
      <c r="BY280" t="s">
        <v>123</v>
      </c>
      <c r="BZ280" t="s">
        <v>124</v>
      </c>
    </row>
    <row r="281" spans="1:78" x14ac:dyDescent="0.3">
      <c r="A281" t="s">
        <v>2</v>
      </c>
      <c r="B281" t="s">
        <v>92</v>
      </c>
      <c r="C281" t="s">
        <v>93</v>
      </c>
      <c r="D281" t="s">
        <v>94</v>
      </c>
      <c r="E281" t="s">
        <v>95</v>
      </c>
      <c r="F281" t="s">
        <v>564</v>
      </c>
      <c r="G281">
        <v>654000</v>
      </c>
      <c r="H281">
        <v>654000</v>
      </c>
      <c r="I281" t="s">
        <v>93</v>
      </c>
      <c r="J281" t="s">
        <v>94</v>
      </c>
      <c r="K281" t="s">
        <v>202</v>
      </c>
      <c r="L281" t="s">
        <v>565</v>
      </c>
      <c r="M281">
        <v>57500</v>
      </c>
      <c r="N281">
        <v>57500</v>
      </c>
      <c r="AA281" t="s">
        <v>566</v>
      </c>
      <c r="AB281" t="s">
        <v>567</v>
      </c>
      <c r="AC281" t="s">
        <v>568</v>
      </c>
      <c r="AD281" t="s">
        <v>569</v>
      </c>
      <c r="AE281" t="s">
        <v>569</v>
      </c>
      <c r="AF281" t="s">
        <v>570</v>
      </c>
      <c r="AG281" t="s">
        <v>102</v>
      </c>
      <c r="AH281" t="s">
        <v>489</v>
      </c>
      <c r="AI281">
        <v>46052</v>
      </c>
      <c r="AJ281">
        <v>46178</v>
      </c>
      <c r="AK281" t="s">
        <v>218</v>
      </c>
      <c r="AL281" t="s">
        <v>1262</v>
      </c>
      <c r="AM281" t="s">
        <v>576</v>
      </c>
      <c r="AN281" t="s">
        <v>107</v>
      </c>
      <c r="AO281" t="s">
        <v>107</v>
      </c>
      <c r="AP281">
        <v>34750</v>
      </c>
      <c r="AQ281">
        <v>34750</v>
      </c>
      <c r="AR281">
        <v>0</v>
      </c>
      <c r="AS281" t="s">
        <v>107</v>
      </c>
      <c r="AT281" t="s">
        <v>108</v>
      </c>
      <c r="AU281" t="s">
        <v>109</v>
      </c>
      <c r="AV281" t="s">
        <v>110</v>
      </c>
      <c r="AW281" t="s">
        <v>111</v>
      </c>
      <c r="AX281" t="s">
        <v>567</v>
      </c>
      <c r="AY281" t="s">
        <v>592</v>
      </c>
      <c r="AZ281" t="s">
        <v>113</v>
      </c>
      <c r="BA281" t="s">
        <v>133</v>
      </c>
      <c r="BB281" t="s">
        <v>114</v>
      </c>
      <c r="BC281" t="s">
        <v>115</v>
      </c>
      <c r="BN281" t="s">
        <v>116</v>
      </c>
      <c r="BO281" t="s">
        <v>573</v>
      </c>
      <c r="BP281" t="s">
        <v>118</v>
      </c>
      <c r="BR281" t="s">
        <v>574</v>
      </c>
      <c r="BS281" t="s">
        <v>1263</v>
      </c>
      <c r="BW281" t="s">
        <v>1157</v>
      </c>
      <c r="BX281" t="s">
        <v>1158</v>
      </c>
      <c r="BY281" t="s">
        <v>123</v>
      </c>
      <c r="BZ281" t="s">
        <v>124</v>
      </c>
    </row>
    <row r="282" spans="1:78" x14ac:dyDescent="0.3">
      <c r="A282" t="s">
        <v>2</v>
      </c>
      <c r="B282" t="s">
        <v>92</v>
      </c>
      <c r="C282" t="s">
        <v>93</v>
      </c>
      <c r="D282" t="s">
        <v>94</v>
      </c>
      <c r="E282" t="s">
        <v>95</v>
      </c>
      <c r="F282" t="s">
        <v>601</v>
      </c>
      <c r="G282">
        <v>630000</v>
      </c>
      <c r="H282">
        <v>630000</v>
      </c>
      <c r="AA282" t="s">
        <v>602</v>
      </c>
      <c r="AB282" t="s">
        <v>603</v>
      </c>
      <c r="AC282" t="s">
        <v>604</v>
      </c>
      <c r="AD282" t="s">
        <v>605</v>
      </c>
      <c r="AE282" t="s">
        <v>605</v>
      </c>
      <c r="AF282" t="s">
        <v>606</v>
      </c>
      <c r="AG282" t="s">
        <v>102</v>
      </c>
      <c r="AH282" t="s">
        <v>160</v>
      </c>
      <c r="AI282">
        <v>46081</v>
      </c>
      <c r="AJ282">
        <v>46053</v>
      </c>
      <c r="AK282" t="s">
        <v>218</v>
      </c>
      <c r="AL282" t="s">
        <v>105</v>
      </c>
      <c r="AM282" t="s">
        <v>1264</v>
      </c>
      <c r="AN282" t="s">
        <v>107</v>
      </c>
      <c r="AO282" t="s">
        <v>107</v>
      </c>
      <c r="AP282">
        <v>504000</v>
      </c>
      <c r="AQ282">
        <v>504000</v>
      </c>
      <c r="AR282">
        <v>0</v>
      </c>
      <c r="AS282" t="s">
        <v>107</v>
      </c>
      <c r="AT282" t="s">
        <v>243</v>
      </c>
      <c r="AU282" t="s">
        <v>109</v>
      </c>
      <c r="AV282" t="s">
        <v>110</v>
      </c>
      <c r="AW282" t="s">
        <v>111</v>
      </c>
      <c r="AY282" t="s">
        <v>1265</v>
      </c>
      <c r="AZ282" t="s">
        <v>113</v>
      </c>
      <c r="BB282" t="s">
        <v>114</v>
      </c>
      <c r="BC282" t="s">
        <v>115</v>
      </c>
      <c r="BN282" t="s">
        <v>116</v>
      </c>
      <c r="BO282" t="s">
        <v>608</v>
      </c>
      <c r="BP282" t="s">
        <v>118</v>
      </c>
      <c r="BR282" t="s">
        <v>609</v>
      </c>
      <c r="BS282" t="s">
        <v>1266</v>
      </c>
      <c r="BW282" t="s">
        <v>1157</v>
      </c>
      <c r="BX282" t="s">
        <v>1158</v>
      </c>
      <c r="BY282" t="s">
        <v>123</v>
      </c>
      <c r="BZ282" t="s">
        <v>124</v>
      </c>
    </row>
    <row r="283" spans="1:78" x14ac:dyDescent="0.3">
      <c r="A283" t="s">
        <v>11</v>
      </c>
      <c r="B283" t="s">
        <v>92</v>
      </c>
      <c r="C283" t="s">
        <v>93</v>
      </c>
      <c r="D283" t="s">
        <v>94</v>
      </c>
      <c r="E283" t="s">
        <v>95</v>
      </c>
      <c r="F283" t="s">
        <v>1267</v>
      </c>
      <c r="G283">
        <v>422000</v>
      </c>
      <c r="H283">
        <v>370000</v>
      </c>
      <c r="AA283" t="s">
        <v>1268</v>
      </c>
      <c r="AB283" t="s">
        <v>1269</v>
      </c>
      <c r="AC283" t="s">
        <v>1270</v>
      </c>
      <c r="AD283" t="s">
        <v>365</v>
      </c>
      <c r="AE283" t="s">
        <v>1271</v>
      </c>
      <c r="AF283" t="s">
        <v>1272</v>
      </c>
      <c r="AG283" t="s">
        <v>102</v>
      </c>
      <c r="AH283" t="s">
        <v>771</v>
      </c>
      <c r="AI283">
        <v>46027</v>
      </c>
      <c r="AJ283">
        <v>46027</v>
      </c>
      <c r="AK283" t="s">
        <v>104</v>
      </c>
      <c r="AL283" t="s">
        <v>105</v>
      </c>
      <c r="AM283" t="s">
        <v>869</v>
      </c>
      <c r="AN283" t="s">
        <v>107</v>
      </c>
      <c r="AO283" t="s">
        <v>107</v>
      </c>
      <c r="AP283">
        <v>5000</v>
      </c>
      <c r="AQ283">
        <v>5000</v>
      </c>
      <c r="AR283">
        <v>0</v>
      </c>
      <c r="AS283" t="s">
        <v>107</v>
      </c>
      <c r="AT283" t="s">
        <v>161</v>
      </c>
      <c r="AU283" t="s">
        <v>162</v>
      </c>
      <c r="AV283" t="s">
        <v>163</v>
      </c>
      <c r="AW283" t="s">
        <v>111</v>
      </c>
      <c r="AY283" t="s">
        <v>1273</v>
      </c>
      <c r="AZ283" t="s">
        <v>113</v>
      </c>
      <c r="BB283" t="s">
        <v>114</v>
      </c>
      <c r="BC283" t="s">
        <v>115</v>
      </c>
      <c r="BN283" t="s">
        <v>113</v>
      </c>
      <c r="BO283" t="s">
        <v>1274</v>
      </c>
      <c r="BP283" t="s">
        <v>370</v>
      </c>
      <c r="BR283" t="s">
        <v>985</v>
      </c>
      <c r="BS283" t="s">
        <v>1275</v>
      </c>
      <c r="BW283" t="s">
        <v>1157</v>
      </c>
      <c r="BX283" t="s">
        <v>1158</v>
      </c>
      <c r="BY283" t="s">
        <v>123</v>
      </c>
      <c r="BZ283" t="s">
        <v>124</v>
      </c>
    </row>
    <row r="284" spans="1:78" x14ac:dyDescent="0.3">
      <c r="A284" t="s">
        <v>11</v>
      </c>
      <c r="B284" t="s">
        <v>92</v>
      </c>
      <c r="C284" t="s">
        <v>93</v>
      </c>
      <c r="D284" t="s">
        <v>94</v>
      </c>
      <c r="E284" t="s">
        <v>95</v>
      </c>
      <c r="F284" t="s">
        <v>1267</v>
      </c>
      <c r="G284">
        <v>422000</v>
      </c>
      <c r="H284">
        <v>370000</v>
      </c>
      <c r="AA284" t="s">
        <v>1268</v>
      </c>
      <c r="AB284" t="s">
        <v>1269</v>
      </c>
      <c r="AC284" t="s">
        <v>1270</v>
      </c>
      <c r="AD284" t="s">
        <v>365</v>
      </c>
      <c r="AE284" t="s">
        <v>1271</v>
      </c>
      <c r="AF284" t="s">
        <v>1272</v>
      </c>
      <c r="AG284" t="s">
        <v>102</v>
      </c>
      <c r="AH284" t="s">
        <v>771</v>
      </c>
      <c r="AI284">
        <v>46079</v>
      </c>
      <c r="AJ284">
        <v>46079</v>
      </c>
      <c r="AK284" t="s">
        <v>137</v>
      </c>
      <c r="AL284" t="s">
        <v>105</v>
      </c>
      <c r="AM284" t="s">
        <v>869</v>
      </c>
      <c r="AN284" t="s">
        <v>107</v>
      </c>
      <c r="AO284" t="s">
        <v>107</v>
      </c>
      <c r="AP284">
        <v>5000</v>
      </c>
      <c r="AQ284">
        <v>5000</v>
      </c>
      <c r="AR284">
        <v>0</v>
      </c>
      <c r="AS284" t="s">
        <v>107</v>
      </c>
      <c r="AT284" t="s">
        <v>161</v>
      </c>
      <c r="AU284" t="s">
        <v>162</v>
      </c>
      <c r="AV284" t="s">
        <v>163</v>
      </c>
      <c r="AW284" t="s">
        <v>111</v>
      </c>
      <c r="AY284" t="s">
        <v>1276</v>
      </c>
      <c r="AZ284" t="s">
        <v>113</v>
      </c>
      <c r="BB284" t="s">
        <v>114</v>
      </c>
      <c r="BC284" t="s">
        <v>115</v>
      </c>
      <c r="BN284" t="s">
        <v>113</v>
      </c>
      <c r="BO284" t="s">
        <v>1274</v>
      </c>
      <c r="BP284" t="s">
        <v>370</v>
      </c>
      <c r="BR284" t="s">
        <v>985</v>
      </c>
      <c r="BS284" t="s">
        <v>1277</v>
      </c>
      <c r="BW284" t="s">
        <v>1157</v>
      </c>
      <c r="BX284" t="s">
        <v>1158</v>
      </c>
      <c r="BY284" t="s">
        <v>123</v>
      </c>
      <c r="BZ284" t="s">
        <v>124</v>
      </c>
    </row>
    <row r="285" spans="1:78" x14ac:dyDescent="0.3">
      <c r="A285" t="s">
        <v>11</v>
      </c>
      <c r="B285" t="s">
        <v>92</v>
      </c>
      <c r="C285" t="s">
        <v>93</v>
      </c>
      <c r="D285" t="s">
        <v>94</v>
      </c>
      <c r="E285" t="s">
        <v>95</v>
      </c>
      <c r="F285" t="s">
        <v>1267</v>
      </c>
      <c r="G285">
        <v>422000</v>
      </c>
      <c r="H285">
        <v>370000</v>
      </c>
      <c r="AA285" t="s">
        <v>1268</v>
      </c>
      <c r="AB285" t="s">
        <v>1269</v>
      </c>
      <c r="AC285" t="s">
        <v>1270</v>
      </c>
      <c r="AD285" t="s">
        <v>365</v>
      </c>
      <c r="AE285" t="s">
        <v>1271</v>
      </c>
      <c r="AF285" t="s">
        <v>1272</v>
      </c>
      <c r="AG285" t="s">
        <v>102</v>
      </c>
      <c r="AH285" t="s">
        <v>771</v>
      </c>
      <c r="AI285">
        <v>46132</v>
      </c>
      <c r="AJ285">
        <v>46132</v>
      </c>
      <c r="AK285" t="s">
        <v>137</v>
      </c>
      <c r="AL285" t="s">
        <v>142</v>
      </c>
      <c r="AM285" t="s">
        <v>138</v>
      </c>
      <c r="AN285" t="s">
        <v>107</v>
      </c>
      <c r="AO285" t="s">
        <v>107</v>
      </c>
      <c r="AP285">
        <v>20000</v>
      </c>
      <c r="AQ285">
        <v>20000</v>
      </c>
      <c r="AR285">
        <v>0</v>
      </c>
      <c r="AS285" t="s">
        <v>107</v>
      </c>
      <c r="AT285" t="s">
        <v>161</v>
      </c>
      <c r="AU285" t="s">
        <v>162</v>
      </c>
      <c r="AV285" t="s">
        <v>163</v>
      </c>
      <c r="AW285" t="s">
        <v>111</v>
      </c>
      <c r="AY285" t="s">
        <v>1278</v>
      </c>
      <c r="AZ285" t="s">
        <v>113</v>
      </c>
      <c r="BB285" t="s">
        <v>114</v>
      </c>
      <c r="BC285" t="s">
        <v>115</v>
      </c>
      <c r="BN285" t="s">
        <v>113</v>
      </c>
      <c r="BO285" t="s">
        <v>1274</v>
      </c>
      <c r="BP285" t="s">
        <v>370</v>
      </c>
      <c r="BR285" t="s">
        <v>985</v>
      </c>
      <c r="BS285" t="s">
        <v>1279</v>
      </c>
      <c r="BW285" t="s">
        <v>1157</v>
      </c>
      <c r="BX285" t="s">
        <v>1158</v>
      </c>
      <c r="BY285" t="s">
        <v>123</v>
      </c>
      <c r="BZ285" t="s">
        <v>124</v>
      </c>
    </row>
    <row r="286" spans="1:78" x14ac:dyDescent="0.3">
      <c r="A286" t="s">
        <v>11</v>
      </c>
      <c r="B286" t="s">
        <v>92</v>
      </c>
      <c r="C286" t="s">
        <v>93</v>
      </c>
      <c r="D286" t="s">
        <v>94</v>
      </c>
      <c r="E286" t="s">
        <v>95</v>
      </c>
      <c r="F286" t="s">
        <v>1267</v>
      </c>
      <c r="G286">
        <v>422000</v>
      </c>
      <c r="H286">
        <v>370000</v>
      </c>
      <c r="AA286" t="s">
        <v>1268</v>
      </c>
      <c r="AB286" t="s">
        <v>1269</v>
      </c>
      <c r="AC286" t="s">
        <v>1270</v>
      </c>
      <c r="AD286" t="s">
        <v>365</v>
      </c>
      <c r="AE286" t="s">
        <v>1271</v>
      </c>
      <c r="AF286" t="s">
        <v>1272</v>
      </c>
      <c r="AG286" t="s">
        <v>102</v>
      </c>
      <c r="AH286" t="s">
        <v>771</v>
      </c>
      <c r="AI286">
        <v>46234</v>
      </c>
      <c r="AK286" t="s">
        <v>218</v>
      </c>
      <c r="AL286" t="s">
        <v>105</v>
      </c>
      <c r="AM286" t="s">
        <v>1280</v>
      </c>
      <c r="AN286" t="s">
        <v>107</v>
      </c>
      <c r="AO286" t="s">
        <v>107</v>
      </c>
      <c r="AP286">
        <v>99500</v>
      </c>
      <c r="AQ286">
        <v>0</v>
      </c>
      <c r="AR286">
        <v>99500</v>
      </c>
      <c r="AT286" t="s">
        <v>161</v>
      </c>
      <c r="AZ286" t="s">
        <v>113</v>
      </c>
      <c r="BC286" t="s">
        <v>1160</v>
      </c>
      <c r="BN286" t="s">
        <v>113</v>
      </c>
      <c r="BO286" t="s">
        <v>1274</v>
      </c>
      <c r="BP286" t="s">
        <v>370</v>
      </c>
      <c r="BR286" t="s">
        <v>985</v>
      </c>
      <c r="BW286" t="s">
        <v>1157</v>
      </c>
      <c r="BX286" t="s">
        <v>1158</v>
      </c>
      <c r="BY286" t="s">
        <v>123</v>
      </c>
      <c r="BZ286" t="s">
        <v>124</v>
      </c>
    </row>
    <row r="287" spans="1:78" x14ac:dyDescent="0.3">
      <c r="A287" t="s">
        <v>11</v>
      </c>
      <c r="B287" t="s">
        <v>92</v>
      </c>
      <c r="C287" t="s">
        <v>93</v>
      </c>
      <c r="D287" t="s">
        <v>94</v>
      </c>
      <c r="E287" t="s">
        <v>95</v>
      </c>
      <c r="F287" t="s">
        <v>333</v>
      </c>
      <c r="G287">
        <v>475000</v>
      </c>
      <c r="H287">
        <v>475000</v>
      </c>
      <c r="I287" t="s">
        <v>93</v>
      </c>
      <c r="J287" t="s">
        <v>94</v>
      </c>
      <c r="K287" t="s">
        <v>202</v>
      </c>
      <c r="L287" t="s">
        <v>617</v>
      </c>
      <c r="M287">
        <v>46800</v>
      </c>
      <c r="N287">
        <v>46800</v>
      </c>
      <c r="AA287" t="s">
        <v>618</v>
      </c>
      <c r="AB287" t="s">
        <v>619</v>
      </c>
      <c r="AC287" t="s">
        <v>620</v>
      </c>
      <c r="AD287" t="s">
        <v>365</v>
      </c>
      <c r="AE287" t="s">
        <v>621</v>
      </c>
      <c r="AF287" t="s">
        <v>622</v>
      </c>
      <c r="AG287" t="s">
        <v>623</v>
      </c>
      <c r="AH287" t="s">
        <v>624</v>
      </c>
      <c r="AI287">
        <v>46197.012499999997</v>
      </c>
      <c r="AJ287">
        <v>46003</v>
      </c>
      <c r="AK287" t="s">
        <v>137</v>
      </c>
      <c r="AL287" t="s">
        <v>105</v>
      </c>
      <c r="AM287" t="s">
        <v>1281</v>
      </c>
      <c r="AN287" t="s">
        <v>107</v>
      </c>
      <c r="AO287" t="s">
        <v>107</v>
      </c>
      <c r="AP287">
        <v>101360</v>
      </c>
      <c r="AQ287">
        <v>86440</v>
      </c>
      <c r="AR287">
        <v>14920</v>
      </c>
      <c r="AS287" t="s">
        <v>107</v>
      </c>
      <c r="AT287" t="s">
        <v>243</v>
      </c>
      <c r="AU287" t="s">
        <v>162</v>
      </c>
      <c r="AV287" t="s">
        <v>163</v>
      </c>
      <c r="AW287" t="s">
        <v>111</v>
      </c>
      <c r="AY287" t="s">
        <v>1282</v>
      </c>
      <c r="AZ287" t="s">
        <v>113</v>
      </c>
      <c r="BB287" t="s">
        <v>114</v>
      </c>
      <c r="BC287" t="s">
        <v>543</v>
      </c>
      <c r="BN287" t="s">
        <v>113</v>
      </c>
      <c r="BO287" t="s">
        <v>626</v>
      </c>
      <c r="BP287" t="s">
        <v>370</v>
      </c>
      <c r="BR287" t="s">
        <v>267</v>
      </c>
      <c r="BS287" t="s">
        <v>1283</v>
      </c>
      <c r="BW287" t="s">
        <v>1157</v>
      </c>
      <c r="BX287" t="s">
        <v>1158</v>
      </c>
      <c r="BY287" t="s">
        <v>123</v>
      </c>
      <c r="BZ287" t="s">
        <v>124</v>
      </c>
    </row>
    <row r="288" spans="1:78" x14ac:dyDescent="0.3">
      <c r="A288" t="s">
        <v>11</v>
      </c>
      <c r="B288" t="s">
        <v>92</v>
      </c>
      <c r="C288" t="s">
        <v>93</v>
      </c>
      <c r="D288" t="s">
        <v>94</v>
      </c>
      <c r="E288" t="s">
        <v>95</v>
      </c>
      <c r="F288" t="s">
        <v>333</v>
      </c>
      <c r="G288">
        <v>475000</v>
      </c>
      <c r="H288">
        <v>475000</v>
      </c>
      <c r="I288" t="s">
        <v>93</v>
      </c>
      <c r="J288" t="s">
        <v>94</v>
      </c>
      <c r="K288" t="s">
        <v>202</v>
      </c>
      <c r="L288" t="s">
        <v>617</v>
      </c>
      <c r="M288">
        <v>46800</v>
      </c>
      <c r="N288">
        <v>46800</v>
      </c>
      <c r="AA288" t="s">
        <v>618</v>
      </c>
      <c r="AB288" t="s">
        <v>619</v>
      </c>
      <c r="AC288" t="s">
        <v>620</v>
      </c>
      <c r="AD288" t="s">
        <v>365</v>
      </c>
      <c r="AE288" t="s">
        <v>621</v>
      </c>
      <c r="AF288" t="s">
        <v>622</v>
      </c>
      <c r="AG288" t="s">
        <v>623</v>
      </c>
      <c r="AH288" t="s">
        <v>624</v>
      </c>
      <c r="AI288">
        <v>46227.012499999997</v>
      </c>
      <c r="AK288" t="s">
        <v>218</v>
      </c>
      <c r="AL288" t="s">
        <v>105</v>
      </c>
      <c r="AM288" t="s">
        <v>1284</v>
      </c>
      <c r="AN288" t="s">
        <v>107</v>
      </c>
      <c r="AO288" t="s">
        <v>107</v>
      </c>
      <c r="AP288">
        <v>417440</v>
      </c>
      <c r="AQ288">
        <v>0</v>
      </c>
      <c r="AR288">
        <v>417440</v>
      </c>
      <c r="AT288" t="s">
        <v>243</v>
      </c>
      <c r="AZ288" t="s">
        <v>113</v>
      </c>
      <c r="BC288" t="s">
        <v>1160</v>
      </c>
      <c r="BN288" t="s">
        <v>113</v>
      </c>
      <c r="BO288" t="s">
        <v>626</v>
      </c>
      <c r="BP288" t="s">
        <v>370</v>
      </c>
      <c r="BR288" t="s">
        <v>267</v>
      </c>
      <c r="BW288" t="s">
        <v>1157</v>
      </c>
      <c r="BX288" t="s">
        <v>1158</v>
      </c>
      <c r="BY288" t="s">
        <v>123</v>
      </c>
      <c r="BZ288" t="s">
        <v>124</v>
      </c>
    </row>
    <row r="289" spans="1:78" x14ac:dyDescent="0.3">
      <c r="A289" t="s">
        <v>2</v>
      </c>
      <c r="B289" t="s">
        <v>92</v>
      </c>
      <c r="C289" t="s">
        <v>93</v>
      </c>
      <c r="D289" t="s">
        <v>94</v>
      </c>
      <c r="E289" t="s">
        <v>95</v>
      </c>
      <c r="F289" t="s">
        <v>628</v>
      </c>
      <c r="G289">
        <v>679000</v>
      </c>
      <c r="H289">
        <v>679000</v>
      </c>
      <c r="AA289" t="s">
        <v>629</v>
      </c>
      <c r="AB289" t="s">
        <v>630</v>
      </c>
      <c r="AC289" t="s">
        <v>631</v>
      </c>
      <c r="AD289" t="s">
        <v>632</v>
      </c>
      <c r="AE289" t="s">
        <v>632</v>
      </c>
      <c r="AF289" t="s">
        <v>633</v>
      </c>
      <c r="AG289" t="s">
        <v>102</v>
      </c>
      <c r="AH289" t="s">
        <v>634</v>
      </c>
      <c r="AI289">
        <v>46312</v>
      </c>
      <c r="AJ289">
        <v>45846</v>
      </c>
      <c r="AK289" t="s">
        <v>218</v>
      </c>
      <c r="AL289" t="s">
        <v>105</v>
      </c>
      <c r="AM289" t="s">
        <v>1285</v>
      </c>
      <c r="AN289" t="s">
        <v>107</v>
      </c>
      <c r="AO289" t="s">
        <v>107</v>
      </c>
      <c r="AP289">
        <v>379000</v>
      </c>
      <c r="AQ289">
        <v>379000</v>
      </c>
      <c r="AR289">
        <v>0</v>
      </c>
      <c r="AS289" t="s">
        <v>107</v>
      </c>
      <c r="AT289" t="s">
        <v>108</v>
      </c>
      <c r="AU289" t="s">
        <v>109</v>
      </c>
      <c r="AV289" t="s">
        <v>110</v>
      </c>
      <c r="AW289" t="s">
        <v>111</v>
      </c>
      <c r="AX289" t="s">
        <v>630</v>
      </c>
      <c r="AY289" t="s">
        <v>1286</v>
      </c>
      <c r="AZ289" t="s">
        <v>113</v>
      </c>
      <c r="BA289" t="s">
        <v>133</v>
      </c>
      <c r="BB289" t="s">
        <v>114</v>
      </c>
      <c r="BC289" t="s">
        <v>115</v>
      </c>
      <c r="BN289" t="s">
        <v>116</v>
      </c>
      <c r="BO289" t="s">
        <v>636</v>
      </c>
      <c r="BP289" t="s">
        <v>118</v>
      </c>
      <c r="BR289" t="s">
        <v>637</v>
      </c>
      <c r="BS289" t="s">
        <v>1287</v>
      </c>
      <c r="BW289" t="s">
        <v>1157</v>
      </c>
      <c r="BX289" t="s">
        <v>1158</v>
      </c>
      <c r="BY289" t="s">
        <v>123</v>
      </c>
      <c r="BZ289" t="s">
        <v>124</v>
      </c>
    </row>
    <row r="290" spans="1:78" x14ac:dyDescent="0.3">
      <c r="A290" t="s">
        <v>2</v>
      </c>
      <c r="B290" t="s">
        <v>92</v>
      </c>
      <c r="C290" t="s">
        <v>93</v>
      </c>
      <c r="D290" t="s">
        <v>94</v>
      </c>
      <c r="E290" t="s">
        <v>95</v>
      </c>
      <c r="F290" t="s">
        <v>1069</v>
      </c>
      <c r="G290">
        <v>475000</v>
      </c>
      <c r="H290">
        <v>475000</v>
      </c>
      <c r="AA290" t="s">
        <v>1288</v>
      </c>
      <c r="AB290" t="s">
        <v>1289</v>
      </c>
      <c r="AC290" t="s">
        <v>1290</v>
      </c>
      <c r="AD290" t="s">
        <v>1291</v>
      </c>
      <c r="AE290" t="s">
        <v>1291</v>
      </c>
      <c r="AF290" t="s">
        <v>1292</v>
      </c>
      <c r="AG290" t="s">
        <v>102</v>
      </c>
      <c r="AH290" t="s">
        <v>489</v>
      </c>
      <c r="AI290">
        <v>46096</v>
      </c>
      <c r="AJ290">
        <v>46096</v>
      </c>
      <c r="AK290" t="s">
        <v>104</v>
      </c>
      <c r="AL290" t="s">
        <v>105</v>
      </c>
      <c r="AM290" t="s">
        <v>106</v>
      </c>
      <c r="AN290" t="s">
        <v>107</v>
      </c>
      <c r="AO290" t="s">
        <v>107</v>
      </c>
      <c r="AP290">
        <v>3000</v>
      </c>
      <c r="AQ290">
        <v>3000</v>
      </c>
      <c r="AR290">
        <v>0</v>
      </c>
      <c r="AS290" t="s">
        <v>107</v>
      </c>
      <c r="AT290" t="s">
        <v>161</v>
      </c>
      <c r="AU290" t="s">
        <v>109</v>
      </c>
      <c r="AV290" t="s">
        <v>110</v>
      </c>
      <c r="AW290" t="s">
        <v>209</v>
      </c>
      <c r="AY290" t="s">
        <v>1293</v>
      </c>
      <c r="AZ290" t="s">
        <v>116</v>
      </c>
      <c r="BB290" t="s">
        <v>114</v>
      </c>
      <c r="BC290" t="s">
        <v>115</v>
      </c>
      <c r="BN290" t="s">
        <v>116</v>
      </c>
      <c r="BO290" t="s">
        <v>1294</v>
      </c>
      <c r="BP290" t="s">
        <v>118</v>
      </c>
      <c r="BR290" t="s">
        <v>827</v>
      </c>
      <c r="BS290" t="s">
        <v>1295</v>
      </c>
      <c r="BW290" t="s">
        <v>1157</v>
      </c>
      <c r="BX290" t="s">
        <v>1158</v>
      </c>
      <c r="BY290" t="s">
        <v>123</v>
      </c>
      <c r="BZ290" t="s">
        <v>124</v>
      </c>
    </row>
    <row r="291" spans="1:78" x14ac:dyDescent="0.3">
      <c r="A291" t="s">
        <v>2</v>
      </c>
      <c r="B291" t="s">
        <v>92</v>
      </c>
      <c r="C291" t="s">
        <v>93</v>
      </c>
      <c r="D291" t="s">
        <v>94</v>
      </c>
      <c r="E291" t="s">
        <v>95</v>
      </c>
      <c r="F291" t="s">
        <v>1069</v>
      </c>
      <c r="G291">
        <v>475000</v>
      </c>
      <c r="H291">
        <v>475000</v>
      </c>
      <c r="AA291" t="s">
        <v>1288</v>
      </c>
      <c r="AB291" t="s">
        <v>1289</v>
      </c>
      <c r="AC291" t="s">
        <v>1290</v>
      </c>
      <c r="AD291" t="s">
        <v>1291</v>
      </c>
      <c r="AE291" t="s">
        <v>1291</v>
      </c>
      <c r="AF291" t="s">
        <v>1292</v>
      </c>
      <c r="AG291" t="s">
        <v>102</v>
      </c>
      <c r="AH291" t="s">
        <v>489</v>
      </c>
      <c r="AI291">
        <v>46112</v>
      </c>
      <c r="AJ291">
        <v>46112</v>
      </c>
      <c r="AK291" t="s">
        <v>137</v>
      </c>
      <c r="AL291" t="s">
        <v>105</v>
      </c>
      <c r="AM291" t="s">
        <v>1296</v>
      </c>
      <c r="AN291" t="s">
        <v>107</v>
      </c>
      <c r="AO291" t="s">
        <v>107</v>
      </c>
      <c r="AP291">
        <v>234500</v>
      </c>
      <c r="AQ291">
        <v>100000</v>
      </c>
      <c r="AR291">
        <v>0</v>
      </c>
      <c r="AS291" t="s">
        <v>107</v>
      </c>
      <c r="AT291" t="s">
        <v>161</v>
      </c>
      <c r="AU291" t="s">
        <v>109</v>
      </c>
      <c r="AV291" t="s">
        <v>110</v>
      </c>
      <c r="AW291" t="s">
        <v>111</v>
      </c>
      <c r="AY291" t="s">
        <v>1297</v>
      </c>
      <c r="AZ291" t="s">
        <v>116</v>
      </c>
      <c r="BB291" t="s">
        <v>114</v>
      </c>
      <c r="BC291" t="s">
        <v>115</v>
      </c>
      <c r="BN291" t="s">
        <v>113</v>
      </c>
      <c r="BO291" t="s">
        <v>1294</v>
      </c>
      <c r="BP291" t="s">
        <v>118</v>
      </c>
      <c r="BR291" t="s">
        <v>827</v>
      </c>
      <c r="BS291" t="s">
        <v>1298</v>
      </c>
      <c r="BW291" t="s">
        <v>1157</v>
      </c>
      <c r="BX291" t="s">
        <v>1158</v>
      </c>
      <c r="BY291" t="s">
        <v>123</v>
      </c>
      <c r="BZ291" t="s">
        <v>124</v>
      </c>
    </row>
    <row r="292" spans="1:78" x14ac:dyDescent="0.3">
      <c r="A292" t="s">
        <v>2</v>
      </c>
      <c r="B292" t="s">
        <v>92</v>
      </c>
      <c r="C292" t="s">
        <v>93</v>
      </c>
      <c r="D292" t="s">
        <v>94</v>
      </c>
      <c r="E292" t="s">
        <v>95</v>
      </c>
      <c r="F292" t="s">
        <v>1069</v>
      </c>
      <c r="G292">
        <v>475000</v>
      </c>
      <c r="H292">
        <v>475000</v>
      </c>
      <c r="AA292" t="s">
        <v>1288</v>
      </c>
      <c r="AB292" t="s">
        <v>1289</v>
      </c>
      <c r="AC292" t="s">
        <v>1290</v>
      </c>
      <c r="AD292" t="s">
        <v>1291</v>
      </c>
      <c r="AE292" t="s">
        <v>1291</v>
      </c>
      <c r="AF292" t="s">
        <v>1292</v>
      </c>
      <c r="AG292" t="s">
        <v>102</v>
      </c>
      <c r="AH292" t="s">
        <v>489</v>
      </c>
      <c r="AI292">
        <v>46112</v>
      </c>
      <c r="AJ292">
        <v>46112</v>
      </c>
      <c r="AK292" t="s">
        <v>137</v>
      </c>
      <c r="AL292" t="s">
        <v>105</v>
      </c>
      <c r="AM292" t="s">
        <v>107</v>
      </c>
      <c r="AN292" t="s">
        <v>107</v>
      </c>
      <c r="AO292" t="s">
        <v>107</v>
      </c>
      <c r="AP292">
        <v>0</v>
      </c>
      <c r="AQ292">
        <v>134500</v>
      </c>
      <c r="AR292">
        <v>0</v>
      </c>
      <c r="AS292" t="s">
        <v>107</v>
      </c>
      <c r="AT292" t="s">
        <v>161</v>
      </c>
      <c r="AU292" t="s">
        <v>109</v>
      </c>
      <c r="AV292" t="s">
        <v>110</v>
      </c>
      <c r="AW292" t="s">
        <v>111</v>
      </c>
      <c r="AY292" t="s">
        <v>1299</v>
      </c>
      <c r="AZ292" t="s">
        <v>116</v>
      </c>
      <c r="BB292" t="s">
        <v>114</v>
      </c>
      <c r="BC292" t="s">
        <v>115</v>
      </c>
      <c r="BN292" t="s">
        <v>113</v>
      </c>
      <c r="BO292" t="s">
        <v>1294</v>
      </c>
      <c r="BP292" t="s">
        <v>118</v>
      </c>
      <c r="BR292" t="s">
        <v>827</v>
      </c>
      <c r="BS292" t="s">
        <v>1300</v>
      </c>
      <c r="BW292" t="s">
        <v>1157</v>
      </c>
      <c r="BX292" t="s">
        <v>1158</v>
      </c>
      <c r="BY292" t="s">
        <v>123</v>
      </c>
      <c r="BZ292" t="s">
        <v>124</v>
      </c>
    </row>
    <row r="293" spans="1:78" x14ac:dyDescent="0.3">
      <c r="A293" t="s">
        <v>2</v>
      </c>
      <c r="B293" t="s">
        <v>92</v>
      </c>
      <c r="C293" t="s">
        <v>93</v>
      </c>
      <c r="D293" t="s">
        <v>94</v>
      </c>
      <c r="E293" t="s">
        <v>95</v>
      </c>
      <c r="F293" t="s">
        <v>1069</v>
      </c>
      <c r="G293">
        <v>475000</v>
      </c>
      <c r="H293">
        <v>475000</v>
      </c>
      <c r="AA293" t="s">
        <v>1288</v>
      </c>
      <c r="AB293" t="s">
        <v>1289</v>
      </c>
      <c r="AC293" t="s">
        <v>1290</v>
      </c>
      <c r="AD293" t="s">
        <v>1291</v>
      </c>
      <c r="AE293" t="s">
        <v>1291</v>
      </c>
      <c r="AF293" t="s">
        <v>1292</v>
      </c>
      <c r="AG293" t="s">
        <v>102</v>
      </c>
      <c r="AH293" t="s">
        <v>489</v>
      </c>
      <c r="AI293">
        <v>46188</v>
      </c>
      <c r="AJ293">
        <v>46188</v>
      </c>
      <c r="AK293" t="s">
        <v>218</v>
      </c>
      <c r="AL293" t="s">
        <v>105</v>
      </c>
      <c r="AM293" t="s">
        <v>1301</v>
      </c>
      <c r="AN293" t="s">
        <v>107</v>
      </c>
      <c r="AO293" t="s">
        <v>107</v>
      </c>
      <c r="AP293">
        <v>237500</v>
      </c>
      <c r="AQ293">
        <v>237500</v>
      </c>
      <c r="AR293">
        <v>0</v>
      </c>
      <c r="AS293" t="s">
        <v>107</v>
      </c>
      <c r="AT293" t="s">
        <v>161</v>
      </c>
      <c r="AU293" t="s">
        <v>109</v>
      </c>
      <c r="AV293" t="s">
        <v>110</v>
      </c>
      <c r="AW293" t="s">
        <v>111</v>
      </c>
      <c r="AY293" t="s">
        <v>1302</v>
      </c>
      <c r="AZ293" t="s">
        <v>116</v>
      </c>
      <c r="BB293" t="s">
        <v>114</v>
      </c>
      <c r="BC293" t="s">
        <v>115</v>
      </c>
      <c r="BN293" t="s">
        <v>113</v>
      </c>
      <c r="BO293" t="s">
        <v>1294</v>
      </c>
      <c r="BP293" t="s">
        <v>118</v>
      </c>
      <c r="BR293" t="s">
        <v>827</v>
      </c>
      <c r="BS293" t="s">
        <v>1303</v>
      </c>
      <c r="BW293" t="s">
        <v>1157</v>
      </c>
      <c r="BX293" t="s">
        <v>1158</v>
      </c>
      <c r="BY293" t="s">
        <v>123</v>
      </c>
      <c r="BZ293" t="s">
        <v>124</v>
      </c>
    </row>
    <row r="294" spans="1:78" x14ac:dyDescent="0.3">
      <c r="A294" t="s">
        <v>2</v>
      </c>
      <c r="B294" t="s">
        <v>92</v>
      </c>
      <c r="C294" t="s">
        <v>93</v>
      </c>
      <c r="D294" t="s">
        <v>94</v>
      </c>
      <c r="E294" t="s">
        <v>202</v>
      </c>
      <c r="F294" t="s">
        <v>1304</v>
      </c>
      <c r="G294">
        <v>50000</v>
      </c>
      <c r="H294">
        <v>50000</v>
      </c>
      <c r="AA294" t="s">
        <v>1288</v>
      </c>
      <c r="AB294" t="s">
        <v>1289</v>
      </c>
      <c r="AC294" t="s">
        <v>1290</v>
      </c>
      <c r="AE294" t="s">
        <v>1291</v>
      </c>
      <c r="AF294" t="s">
        <v>1292</v>
      </c>
      <c r="AG294" t="s">
        <v>102</v>
      </c>
      <c r="AH294" t="s">
        <v>489</v>
      </c>
      <c r="AI294">
        <v>46098</v>
      </c>
      <c r="AJ294">
        <v>46098</v>
      </c>
      <c r="AK294" t="s">
        <v>104</v>
      </c>
      <c r="AL294" t="s">
        <v>105</v>
      </c>
      <c r="AM294" t="s">
        <v>106</v>
      </c>
      <c r="AN294" t="s">
        <v>107</v>
      </c>
      <c r="AO294" t="s">
        <v>107</v>
      </c>
      <c r="AP294">
        <v>3000</v>
      </c>
      <c r="AQ294">
        <v>3000</v>
      </c>
      <c r="AR294">
        <v>0</v>
      </c>
      <c r="AS294" t="s">
        <v>107</v>
      </c>
      <c r="AT294" t="s">
        <v>161</v>
      </c>
      <c r="AU294" t="s">
        <v>109</v>
      </c>
      <c r="AV294" t="s">
        <v>110</v>
      </c>
      <c r="AW294" t="s">
        <v>111</v>
      </c>
      <c r="AY294" t="s">
        <v>1305</v>
      </c>
      <c r="AZ294" t="s">
        <v>113</v>
      </c>
      <c r="BB294" t="s">
        <v>114</v>
      </c>
      <c r="BC294" t="s">
        <v>115</v>
      </c>
      <c r="BN294" t="s">
        <v>116</v>
      </c>
      <c r="BO294" t="s">
        <v>1306</v>
      </c>
      <c r="BP294" t="s">
        <v>166</v>
      </c>
      <c r="BR294" t="s">
        <v>1307</v>
      </c>
      <c r="BS294" t="s">
        <v>1308</v>
      </c>
      <c r="BW294" t="s">
        <v>1157</v>
      </c>
      <c r="BX294" t="s">
        <v>1158</v>
      </c>
      <c r="BY294" t="s">
        <v>123</v>
      </c>
      <c r="BZ294" t="s">
        <v>124</v>
      </c>
    </row>
    <row r="295" spans="1:78" x14ac:dyDescent="0.3">
      <c r="A295" t="s">
        <v>2</v>
      </c>
      <c r="B295" t="s">
        <v>92</v>
      </c>
      <c r="C295" t="s">
        <v>93</v>
      </c>
      <c r="D295" t="s">
        <v>94</v>
      </c>
      <c r="E295" t="s">
        <v>202</v>
      </c>
      <c r="F295" t="s">
        <v>1304</v>
      </c>
      <c r="G295">
        <v>50000</v>
      </c>
      <c r="H295">
        <v>50000</v>
      </c>
      <c r="AA295" t="s">
        <v>1288</v>
      </c>
      <c r="AB295" t="s">
        <v>1289</v>
      </c>
      <c r="AC295" t="s">
        <v>1290</v>
      </c>
      <c r="AE295" t="s">
        <v>1291</v>
      </c>
      <c r="AF295" t="s">
        <v>1292</v>
      </c>
      <c r="AG295" t="s">
        <v>102</v>
      </c>
      <c r="AH295" t="s">
        <v>489</v>
      </c>
      <c r="AI295">
        <v>46111</v>
      </c>
      <c r="AJ295">
        <v>46140</v>
      </c>
      <c r="AK295" t="s">
        <v>137</v>
      </c>
      <c r="AL295" t="s">
        <v>142</v>
      </c>
      <c r="AM295" t="s">
        <v>542</v>
      </c>
      <c r="AN295" t="s">
        <v>107</v>
      </c>
      <c r="AO295" t="s">
        <v>107</v>
      </c>
      <c r="AP295">
        <v>17000</v>
      </c>
      <c r="AQ295">
        <v>17000</v>
      </c>
      <c r="AR295">
        <v>0</v>
      </c>
      <c r="AS295" t="s">
        <v>107</v>
      </c>
      <c r="AT295" t="s">
        <v>161</v>
      </c>
      <c r="AU295" t="s">
        <v>109</v>
      </c>
      <c r="AV295" t="s">
        <v>110</v>
      </c>
      <c r="AW295" t="s">
        <v>111</v>
      </c>
      <c r="AY295" t="s">
        <v>1309</v>
      </c>
      <c r="AZ295" t="s">
        <v>113</v>
      </c>
      <c r="BB295" t="s">
        <v>114</v>
      </c>
      <c r="BC295" t="s">
        <v>115</v>
      </c>
      <c r="BN295" t="s">
        <v>116</v>
      </c>
      <c r="BO295" t="s">
        <v>1306</v>
      </c>
      <c r="BP295" t="s">
        <v>166</v>
      </c>
      <c r="BR295" t="s">
        <v>1307</v>
      </c>
      <c r="BS295" t="s">
        <v>1308</v>
      </c>
      <c r="BW295" t="s">
        <v>1157</v>
      </c>
      <c r="BX295" t="s">
        <v>1158</v>
      </c>
      <c r="BY295" t="s">
        <v>123</v>
      </c>
      <c r="BZ295" t="s">
        <v>124</v>
      </c>
    </row>
    <row r="296" spans="1:78" x14ac:dyDescent="0.3">
      <c r="A296" t="s">
        <v>2</v>
      </c>
      <c r="B296" t="s">
        <v>92</v>
      </c>
      <c r="C296" t="s">
        <v>93</v>
      </c>
      <c r="D296" t="s">
        <v>94</v>
      </c>
      <c r="E296" t="s">
        <v>202</v>
      </c>
      <c r="F296" t="s">
        <v>1304</v>
      </c>
      <c r="G296">
        <v>50000</v>
      </c>
      <c r="H296">
        <v>50000</v>
      </c>
      <c r="AA296" t="s">
        <v>1288</v>
      </c>
      <c r="AB296" t="s">
        <v>1289</v>
      </c>
      <c r="AC296" t="s">
        <v>1290</v>
      </c>
      <c r="AE296" t="s">
        <v>1291</v>
      </c>
      <c r="AF296" t="s">
        <v>1292</v>
      </c>
      <c r="AG296" t="s">
        <v>102</v>
      </c>
      <c r="AH296" t="s">
        <v>489</v>
      </c>
      <c r="AI296">
        <v>46203</v>
      </c>
      <c r="AJ296">
        <v>46188</v>
      </c>
      <c r="AK296" t="s">
        <v>218</v>
      </c>
      <c r="AL296" t="s">
        <v>146</v>
      </c>
      <c r="AM296" t="s">
        <v>398</v>
      </c>
      <c r="AN296" t="s">
        <v>107</v>
      </c>
      <c r="AO296" t="s">
        <v>107</v>
      </c>
      <c r="AP296">
        <v>10000</v>
      </c>
      <c r="AQ296">
        <v>10000</v>
      </c>
      <c r="AR296">
        <v>0</v>
      </c>
      <c r="AS296" t="s">
        <v>107</v>
      </c>
      <c r="AT296" t="s">
        <v>161</v>
      </c>
      <c r="AU296" t="s">
        <v>109</v>
      </c>
      <c r="AV296" t="s">
        <v>110</v>
      </c>
      <c r="AW296" t="s">
        <v>111</v>
      </c>
      <c r="AY296" t="s">
        <v>1310</v>
      </c>
      <c r="AZ296" t="s">
        <v>113</v>
      </c>
      <c r="BB296" t="s">
        <v>114</v>
      </c>
      <c r="BC296" t="s">
        <v>115</v>
      </c>
      <c r="BN296" t="s">
        <v>116</v>
      </c>
      <c r="BO296" t="s">
        <v>1306</v>
      </c>
      <c r="BP296" t="s">
        <v>166</v>
      </c>
      <c r="BR296" t="s">
        <v>1307</v>
      </c>
      <c r="BS296" t="s">
        <v>1311</v>
      </c>
      <c r="BW296" t="s">
        <v>1157</v>
      </c>
      <c r="BX296" t="s">
        <v>1158</v>
      </c>
      <c r="BY296" t="s">
        <v>123</v>
      </c>
      <c r="BZ296" t="s">
        <v>124</v>
      </c>
    </row>
    <row r="297" spans="1:78" x14ac:dyDescent="0.3">
      <c r="A297" t="s">
        <v>2</v>
      </c>
      <c r="B297" t="s">
        <v>92</v>
      </c>
      <c r="C297" t="s">
        <v>93</v>
      </c>
      <c r="D297" t="s">
        <v>94</v>
      </c>
      <c r="E297" t="s">
        <v>202</v>
      </c>
      <c r="F297" t="s">
        <v>1304</v>
      </c>
      <c r="G297">
        <v>50000</v>
      </c>
      <c r="H297">
        <v>50000</v>
      </c>
      <c r="AA297" t="s">
        <v>1288</v>
      </c>
      <c r="AB297" t="s">
        <v>1289</v>
      </c>
      <c r="AC297" t="s">
        <v>1290</v>
      </c>
      <c r="AE297" t="s">
        <v>1291</v>
      </c>
      <c r="AF297" t="s">
        <v>1292</v>
      </c>
      <c r="AG297" t="s">
        <v>102</v>
      </c>
      <c r="AH297" t="s">
        <v>489</v>
      </c>
      <c r="AI297">
        <v>46295</v>
      </c>
      <c r="AJ297">
        <v>46188</v>
      </c>
      <c r="AK297" t="s">
        <v>218</v>
      </c>
      <c r="AL297" t="s">
        <v>152</v>
      </c>
      <c r="AM297" t="s">
        <v>398</v>
      </c>
      <c r="AN297" t="s">
        <v>107</v>
      </c>
      <c r="AO297" t="s">
        <v>107</v>
      </c>
      <c r="AP297">
        <v>10000</v>
      </c>
      <c r="AQ297">
        <v>5010.2</v>
      </c>
      <c r="AR297">
        <v>4989.8</v>
      </c>
      <c r="AS297" t="s">
        <v>107</v>
      </c>
      <c r="AT297" t="s">
        <v>161</v>
      </c>
      <c r="AU297" t="s">
        <v>109</v>
      </c>
      <c r="AV297" t="s">
        <v>110</v>
      </c>
      <c r="AW297" t="s">
        <v>111</v>
      </c>
      <c r="AY297" t="s">
        <v>1310</v>
      </c>
      <c r="AZ297" t="s">
        <v>113</v>
      </c>
      <c r="BB297" t="s">
        <v>114</v>
      </c>
      <c r="BC297" t="s">
        <v>1160</v>
      </c>
      <c r="BN297" t="s">
        <v>116</v>
      </c>
      <c r="BO297" t="s">
        <v>1306</v>
      </c>
      <c r="BP297" t="s">
        <v>166</v>
      </c>
      <c r="BR297" t="s">
        <v>1307</v>
      </c>
      <c r="BS297" t="s">
        <v>1311</v>
      </c>
      <c r="BW297" t="s">
        <v>1157</v>
      </c>
      <c r="BX297" t="s">
        <v>1158</v>
      </c>
      <c r="BY297" t="s">
        <v>123</v>
      </c>
      <c r="BZ297" t="s">
        <v>124</v>
      </c>
    </row>
    <row r="298" spans="1:78" x14ac:dyDescent="0.3">
      <c r="A298" t="s">
        <v>2</v>
      </c>
      <c r="B298" t="s">
        <v>92</v>
      </c>
      <c r="C298" t="s">
        <v>93</v>
      </c>
      <c r="D298" t="s">
        <v>94</v>
      </c>
      <c r="E298" t="s">
        <v>202</v>
      </c>
      <c r="F298" t="s">
        <v>1304</v>
      </c>
      <c r="G298">
        <v>50000</v>
      </c>
      <c r="H298">
        <v>50000</v>
      </c>
      <c r="AA298" t="s">
        <v>1288</v>
      </c>
      <c r="AB298" t="s">
        <v>1289</v>
      </c>
      <c r="AC298" t="s">
        <v>1290</v>
      </c>
      <c r="AE298" t="s">
        <v>1291</v>
      </c>
      <c r="AF298" t="s">
        <v>1292</v>
      </c>
      <c r="AG298" t="s">
        <v>102</v>
      </c>
      <c r="AH298" t="s">
        <v>489</v>
      </c>
      <c r="AI298">
        <v>46386</v>
      </c>
      <c r="AK298" t="s">
        <v>218</v>
      </c>
      <c r="AL298" t="s">
        <v>584</v>
      </c>
      <c r="AM298" t="s">
        <v>398</v>
      </c>
      <c r="AN298" t="s">
        <v>107</v>
      </c>
      <c r="AO298" t="s">
        <v>107</v>
      </c>
      <c r="AP298">
        <v>10000</v>
      </c>
      <c r="AQ298">
        <v>0</v>
      </c>
      <c r="AR298">
        <v>10000</v>
      </c>
      <c r="AT298" t="s">
        <v>161</v>
      </c>
      <c r="AZ298" t="s">
        <v>113</v>
      </c>
      <c r="BC298" t="s">
        <v>1160</v>
      </c>
      <c r="BN298" t="s">
        <v>113</v>
      </c>
      <c r="BO298" t="s">
        <v>1306</v>
      </c>
      <c r="BP298" t="s">
        <v>166</v>
      </c>
      <c r="BR298" t="s">
        <v>1307</v>
      </c>
      <c r="BW298" t="s">
        <v>1157</v>
      </c>
      <c r="BX298" t="s">
        <v>1158</v>
      </c>
      <c r="BY298" t="s">
        <v>123</v>
      </c>
      <c r="BZ298" t="s">
        <v>124</v>
      </c>
    </row>
    <row r="299" spans="1:78" x14ac:dyDescent="0.3">
      <c r="A299" t="s">
        <v>11</v>
      </c>
      <c r="B299" t="s">
        <v>92</v>
      </c>
      <c r="C299" t="s">
        <v>93</v>
      </c>
      <c r="D299" t="s">
        <v>94</v>
      </c>
      <c r="E299" t="s">
        <v>95</v>
      </c>
      <c r="F299" t="s">
        <v>601</v>
      </c>
      <c r="G299">
        <v>531100</v>
      </c>
      <c r="H299">
        <v>493000</v>
      </c>
      <c r="AA299" t="s">
        <v>1312</v>
      </c>
      <c r="AB299" t="s">
        <v>1313</v>
      </c>
      <c r="AC299" t="s">
        <v>1314</v>
      </c>
      <c r="AD299" t="s">
        <v>365</v>
      </c>
      <c r="AE299" t="s">
        <v>1315</v>
      </c>
      <c r="AF299" t="s">
        <v>1316</v>
      </c>
      <c r="AG299" t="s">
        <v>102</v>
      </c>
      <c r="AH299" t="s">
        <v>1317</v>
      </c>
      <c r="AI299">
        <v>46139</v>
      </c>
      <c r="AJ299">
        <v>46139</v>
      </c>
      <c r="AK299" t="s">
        <v>104</v>
      </c>
      <c r="AL299" t="s">
        <v>105</v>
      </c>
      <c r="AM299" t="s">
        <v>106</v>
      </c>
      <c r="AN299" t="s">
        <v>107</v>
      </c>
      <c r="AO299" t="s">
        <v>107</v>
      </c>
      <c r="AP299">
        <v>3000</v>
      </c>
      <c r="AQ299">
        <v>3000</v>
      </c>
      <c r="AR299">
        <v>0</v>
      </c>
      <c r="AS299" t="s">
        <v>107</v>
      </c>
      <c r="AT299" t="s">
        <v>243</v>
      </c>
      <c r="AU299" t="s">
        <v>162</v>
      </c>
      <c r="AV299" t="s">
        <v>163</v>
      </c>
      <c r="AW299" t="s">
        <v>288</v>
      </c>
      <c r="AY299" t="s">
        <v>1318</v>
      </c>
      <c r="AZ299" t="s">
        <v>116</v>
      </c>
      <c r="BB299" t="s">
        <v>114</v>
      </c>
      <c r="BC299" t="s">
        <v>115</v>
      </c>
      <c r="BN299" t="s">
        <v>113</v>
      </c>
      <c r="BO299" t="s">
        <v>1319</v>
      </c>
      <c r="BP299" t="s">
        <v>370</v>
      </c>
      <c r="BR299" t="s">
        <v>688</v>
      </c>
      <c r="BS299" t="s">
        <v>1320</v>
      </c>
      <c r="BW299" t="s">
        <v>1157</v>
      </c>
      <c r="BX299" t="s">
        <v>1158</v>
      </c>
      <c r="BY299" t="s">
        <v>123</v>
      </c>
      <c r="BZ299" t="s">
        <v>124</v>
      </c>
    </row>
    <row r="300" spans="1:78" x14ac:dyDescent="0.3">
      <c r="A300" t="s">
        <v>11</v>
      </c>
      <c r="B300" t="s">
        <v>92</v>
      </c>
      <c r="C300" t="s">
        <v>93</v>
      </c>
      <c r="D300" t="s">
        <v>94</v>
      </c>
      <c r="E300" t="s">
        <v>95</v>
      </c>
      <c r="F300" t="s">
        <v>601</v>
      </c>
      <c r="G300">
        <v>531100</v>
      </c>
      <c r="H300">
        <v>493000</v>
      </c>
      <c r="AA300" t="s">
        <v>1312</v>
      </c>
      <c r="AB300" t="s">
        <v>1313</v>
      </c>
      <c r="AC300" t="s">
        <v>1314</v>
      </c>
      <c r="AD300" t="s">
        <v>365</v>
      </c>
      <c r="AE300" t="s">
        <v>1315</v>
      </c>
      <c r="AF300" t="s">
        <v>1316</v>
      </c>
      <c r="AG300" t="s">
        <v>102</v>
      </c>
      <c r="AH300" t="s">
        <v>1317</v>
      </c>
      <c r="AI300">
        <v>46142</v>
      </c>
      <c r="AJ300">
        <v>46142</v>
      </c>
      <c r="AK300" t="s">
        <v>137</v>
      </c>
      <c r="AL300" t="s">
        <v>105</v>
      </c>
      <c r="AM300" t="s">
        <v>287</v>
      </c>
      <c r="AN300" t="s">
        <v>107</v>
      </c>
      <c r="AO300" t="s">
        <v>107</v>
      </c>
      <c r="AP300">
        <v>30000</v>
      </c>
      <c r="AQ300">
        <v>30000</v>
      </c>
      <c r="AR300">
        <v>0</v>
      </c>
      <c r="AS300" t="s">
        <v>107</v>
      </c>
      <c r="AT300" t="s">
        <v>243</v>
      </c>
      <c r="AU300" t="s">
        <v>162</v>
      </c>
      <c r="AV300" t="s">
        <v>163</v>
      </c>
      <c r="AW300" t="s">
        <v>111</v>
      </c>
      <c r="AY300" t="s">
        <v>1321</v>
      </c>
      <c r="AZ300" t="s">
        <v>116</v>
      </c>
      <c r="BB300" t="s">
        <v>114</v>
      </c>
      <c r="BC300" t="s">
        <v>115</v>
      </c>
      <c r="BN300" t="s">
        <v>113</v>
      </c>
      <c r="BO300" t="s">
        <v>1319</v>
      </c>
      <c r="BP300" t="s">
        <v>370</v>
      </c>
      <c r="BR300" t="s">
        <v>688</v>
      </c>
      <c r="BS300" t="s">
        <v>1322</v>
      </c>
      <c r="BW300" t="s">
        <v>1157</v>
      </c>
      <c r="BX300" t="s">
        <v>1158</v>
      </c>
      <c r="BY300" t="s">
        <v>123</v>
      </c>
      <c r="BZ300" t="s">
        <v>124</v>
      </c>
    </row>
    <row r="301" spans="1:78" x14ac:dyDescent="0.3">
      <c r="A301" t="s">
        <v>11</v>
      </c>
      <c r="B301" t="s">
        <v>92</v>
      </c>
      <c r="C301" t="s">
        <v>93</v>
      </c>
      <c r="D301" t="s">
        <v>94</v>
      </c>
      <c r="E301" t="s">
        <v>95</v>
      </c>
      <c r="F301" t="s">
        <v>601</v>
      </c>
      <c r="G301">
        <v>531100</v>
      </c>
      <c r="H301">
        <v>493000</v>
      </c>
      <c r="AA301" t="s">
        <v>1312</v>
      </c>
      <c r="AB301" t="s">
        <v>1313</v>
      </c>
      <c r="AC301" t="s">
        <v>1314</v>
      </c>
      <c r="AD301" t="s">
        <v>365</v>
      </c>
      <c r="AE301" t="s">
        <v>1315</v>
      </c>
      <c r="AF301" t="s">
        <v>1316</v>
      </c>
      <c r="AG301" t="s">
        <v>102</v>
      </c>
      <c r="AH301" t="s">
        <v>1317</v>
      </c>
      <c r="AI301">
        <v>46144</v>
      </c>
      <c r="AJ301">
        <v>46144</v>
      </c>
      <c r="AK301" t="s">
        <v>137</v>
      </c>
      <c r="AL301" t="s">
        <v>142</v>
      </c>
      <c r="AM301" t="s">
        <v>682</v>
      </c>
      <c r="AN301" t="s">
        <v>107</v>
      </c>
      <c r="AO301" t="s">
        <v>107</v>
      </c>
      <c r="AP301">
        <v>40000</v>
      </c>
      <c r="AQ301">
        <v>40000</v>
      </c>
      <c r="AR301">
        <v>0</v>
      </c>
      <c r="AS301" t="s">
        <v>107</v>
      </c>
      <c r="AT301" t="s">
        <v>243</v>
      </c>
      <c r="AU301" t="s">
        <v>162</v>
      </c>
      <c r="AV301" t="s">
        <v>163</v>
      </c>
      <c r="AW301" t="s">
        <v>111</v>
      </c>
      <c r="AY301" t="s">
        <v>1323</v>
      </c>
      <c r="AZ301" t="s">
        <v>116</v>
      </c>
      <c r="BB301" t="s">
        <v>114</v>
      </c>
      <c r="BC301" t="s">
        <v>115</v>
      </c>
      <c r="BN301" t="s">
        <v>113</v>
      </c>
      <c r="BO301" t="s">
        <v>1319</v>
      </c>
      <c r="BP301" t="s">
        <v>370</v>
      </c>
      <c r="BR301" t="s">
        <v>688</v>
      </c>
      <c r="BS301" t="s">
        <v>1324</v>
      </c>
      <c r="BW301" t="s">
        <v>1157</v>
      </c>
      <c r="BX301" t="s">
        <v>1158</v>
      </c>
      <c r="BY301" t="s">
        <v>123</v>
      </c>
      <c r="BZ301" t="s">
        <v>124</v>
      </c>
    </row>
    <row r="302" spans="1:78" x14ac:dyDescent="0.3">
      <c r="A302" t="s">
        <v>11</v>
      </c>
      <c r="B302" t="s">
        <v>92</v>
      </c>
      <c r="C302" t="s">
        <v>93</v>
      </c>
      <c r="D302" t="s">
        <v>94</v>
      </c>
      <c r="E302" t="s">
        <v>95</v>
      </c>
      <c r="F302" t="s">
        <v>601</v>
      </c>
      <c r="G302">
        <v>531100</v>
      </c>
      <c r="H302">
        <v>493000</v>
      </c>
      <c r="AA302" t="s">
        <v>1312</v>
      </c>
      <c r="AB302" t="s">
        <v>1313</v>
      </c>
      <c r="AC302" t="s">
        <v>1314</v>
      </c>
      <c r="AD302" t="s">
        <v>365</v>
      </c>
      <c r="AE302" t="s">
        <v>1315</v>
      </c>
      <c r="AF302" t="s">
        <v>1316</v>
      </c>
      <c r="AG302" t="s">
        <v>102</v>
      </c>
      <c r="AH302" t="s">
        <v>1317</v>
      </c>
      <c r="AI302">
        <v>46157</v>
      </c>
      <c r="AJ302">
        <v>46148</v>
      </c>
      <c r="AK302" t="s">
        <v>137</v>
      </c>
      <c r="AL302" t="s">
        <v>146</v>
      </c>
      <c r="AM302" t="s">
        <v>1325</v>
      </c>
      <c r="AN302" t="s">
        <v>107</v>
      </c>
      <c r="AO302" t="s">
        <v>107</v>
      </c>
      <c r="AP302">
        <v>53700</v>
      </c>
      <c r="AQ302">
        <v>53700</v>
      </c>
      <c r="AR302">
        <v>0</v>
      </c>
      <c r="AS302" t="s">
        <v>107</v>
      </c>
      <c r="AT302" t="s">
        <v>243</v>
      </c>
      <c r="AU302" t="s">
        <v>162</v>
      </c>
      <c r="AV302" t="s">
        <v>163</v>
      </c>
      <c r="AW302" t="s">
        <v>111</v>
      </c>
      <c r="AY302" t="s">
        <v>1326</v>
      </c>
      <c r="AZ302" t="s">
        <v>116</v>
      </c>
      <c r="BB302" t="s">
        <v>114</v>
      </c>
      <c r="BC302" t="s">
        <v>115</v>
      </c>
      <c r="BN302" t="s">
        <v>113</v>
      </c>
      <c r="BO302" t="s">
        <v>1319</v>
      </c>
      <c r="BP302" t="s">
        <v>370</v>
      </c>
      <c r="BR302" t="s">
        <v>688</v>
      </c>
      <c r="BS302" t="s">
        <v>1327</v>
      </c>
      <c r="BW302" t="s">
        <v>1157</v>
      </c>
      <c r="BX302" t="s">
        <v>1158</v>
      </c>
      <c r="BY302" t="s">
        <v>123</v>
      </c>
      <c r="BZ302" t="s">
        <v>124</v>
      </c>
    </row>
    <row r="303" spans="1:78" x14ac:dyDescent="0.3">
      <c r="A303" t="s">
        <v>11</v>
      </c>
      <c r="B303" t="s">
        <v>92</v>
      </c>
      <c r="C303" t="s">
        <v>93</v>
      </c>
      <c r="D303" t="s">
        <v>94</v>
      </c>
      <c r="E303" t="s">
        <v>95</v>
      </c>
      <c r="F303" t="s">
        <v>601</v>
      </c>
      <c r="G303">
        <v>531100</v>
      </c>
      <c r="H303">
        <v>493000</v>
      </c>
      <c r="AA303" t="s">
        <v>1312</v>
      </c>
      <c r="AB303" t="s">
        <v>1313</v>
      </c>
      <c r="AC303" t="s">
        <v>1314</v>
      </c>
      <c r="AD303" t="s">
        <v>365</v>
      </c>
      <c r="AE303" t="s">
        <v>1315</v>
      </c>
      <c r="AF303" t="s">
        <v>1316</v>
      </c>
      <c r="AG303" t="s">
        <v>102</v>
      </c>
      <c r="AH303" t="s">
        <v>1317</v>
      </c>
      <c r="AI303">
        <v>46233</v>
      </c>
      <c r="AJ303">
        <v>46154</v>
      </c>
      <c r="AK303" t="s">
        <v>137</v>
      </c>
      <c r="AL303" t="s">
        <v>152</v>
      </c>
      <c r="AM303" t="s">
        <v>1325</v>
      </c>
      <c r="AN303" t="s">
        <v>107</v>
      </c>
      <c r="AO303" t="s">
        <v>107</v>
      </c>
      <c r="AP303">
        <v>53700</v>
      </c>
      <c r="AQ303">
        <v>53700</v>
      </c>
      <c r="AR303">
        <v>0</v>
      </c>
      <c r="AS303" t="s">
        <v>107</v>
      </c>
      <c r="AT303" t="s">
        <v>243</v>
      </c>
      <c r="AU303" t="s">
        <v>162</v>
      </c>
      <c r="AV303" t="s">
        <v>163</v>
      </c>
      <c r="AW303" t="s">
        <v>111</v>
      </c>
      <c r="AY303" t="s">
        <v>1328</v>
      </c>
      <c r="AZ303" t="s">
        <v>116</v>
      </c>
      <c r="BB303" t="s">
        <v>114</v>
      </c>
      <c r="BC303" t="s">
        <v>115</v>
      </c>
      <c r="BN303" t="s">
        <v>113</v>
      </c>
      <c r="BO303" t="s">
        <v>1319</v>
      </c>
      <c r="BP303" t="s">
        <v>370</v>
      </c>
      <c r="BR303" t="s">
        <v>688</v>
      </c>
      <c r="BS303" t="s">
        <v>1329</v>
      </c>
      <c r="BW303" t="s">
        <v>1157</v>
      </c>
      <c r="BX303" t="s">
        <v>1158</v>
      </c>
      <c r="BY303" t="s">
        <v>123</v>
      </c>
      <c r="BZ303" t="s">
        <v>124</v>
      </c>
    </row>
    <row r="304" spans="1:78" x14ac:dyDescent="0.3">
      <c r="A304" t="s">
        <v>11</v>
      </c>
      <c r="B304" t="s">
        <v>92</v>
      </c>
      <c r="C304" t="s">
        <v>93</v>
      </c>
      <c r="D304" t="s">
        <v>94</v>
      </c>
      <c r="E304" t="s">
        <v>95</v>
      </c>
      <c r="F304" t="s">
        <v>601</v>
      </c>
      <c r="G304">
        <v>531100</v>
      </c>
      <c r="H304">
        <v>493000</v>
      </c>
      <c r="AA304" t="s">
        <v>1312</v>
      </c>
      <c r="AB304" t="s">
        <v>1313</v>
      </c>
      <c r="AC304" t="s">
        <v>1314</v>
      </c>
      <c r="AD304" t="s">
        <v>365</v>
      </c>
      <c r="AE304" t="s">
        <v>1315</v>
      </c>
      <c r="AF304" t="s">
        <v>1316</v>
      </c>
      <c r="AG304" t="s">
        <v>102</v>
      </c>
      <c r="AH304" t="s">
        <v>1317</v>
      </c>
      <c r="AI304">
        <v>46264</v>
      </c>
      <c r="AK304" t="s">
        <v>1122</v>
      </c>
      <c r="AL304" t="s">
        <v>584</v>
      </c>
      <c r="AM304" t="s">
        <v>1330</v>
      </c>
      <c r="AN304" t="s">
        <v>107</v>
      </c>
      <c r="AO304" t="s">
        <v>107</v>
      </c>
      <c r="AP304">
        <v>16800</v>
      </c>
      <c r="AQ304">
        <v>0</v>
      </c>
      <c r="AR304">
        <v>16800</v>
      </c>
      <c r="AT304" t="s">
        <v>243</v>
      </c>
      <c r="AZ304" t="s">
        <v>113</v>
      </c>
      <c r="BC304" t="s">
        <v>1160</v>
      </c>
      <c r="BN304" t="s">
        <v>113</v>
      </c>
      <c r="BO304" t="s">
        <v>1319</v>
      </c>
      <c r="BP304" t="s">
        <v>370</v>
      </c>
      <c r="BR304" t="s">
        <v>688</v>
      </c>
      <c r="BW304" t="s">
        <v>1157</v>
      </c>
      <c r="BX304" t="s">
        <v>1158</v>
      </c>
      <c r="BY304" t="s">
        <v>123</v>
      </c>
      <c r="BZ304" t="s">
        <v>124</v>
      </c>
    </row>
    <row r="305" spans="1:78" x14ac:dyDescent="0.3">
      <c r="A305" t="s">
        <v>11</v>
      </c>
      <c r="B305" t="s">
        <v>92</v>
      </c>
      <c r="C305" t="s">
        <v>93</v>
      </c>
      <c r="D305" t="s">
        <v>94</v>
      </c>
      <c r="E305" t="s">
        <v>95</v>
      </c>
      <c r="F305" t="s">
        <v>601</v>
      </c>
      <c r="G305">
        <v>531100</v>
      </c>
      <c r="H305">
        <v>493000</v>
      </c>
      <c r="AA305" t="s">
        <v>1312</v>
      </c>
      <c r="AB305" t="s">
        <v>1313</v>
      </c>
      <c r="AC305" t="s">
        <v>1314</v>
      </c>
      <c r="AD305" t="s">
        <v>365</v>
      </c>
      <c r="AE305" t="s">
        <v>1315</v>
      </c>
      <c r="AF305" t="s">
        <v>1316</v>
      </c>
      <c r="AG305" t="s">
        <v>102</v>
      </c>
      <c r="AH305" t="s">
        <v>1317</v>
      </c>
      <c r="AI305">
        <v>46356</v>
      </c>
      <c r="AK305" t="s">
        <v>218</v>
      </c>
      <c r="AL305" t="s">
        <v>105</v>
      </c>
      <c r="AM305" t="s">
        <v>1331</v>
      </c>
      <c r="AN305" t="s">
        <v>107</v>
      </c>
      <c r="AO305" t="s">
        <v>107</v>
      </c>
      <c r="AP305">
        <v>295800</v>
      </c>
      <c r="AQ305">
        <v>0</v>
      </c>
      <c r="AR305">
        <v>295800</v>
      </c>
      <c r="AT305" t="s">
        <v>243</v>
      </c>
      <c r="AZ305" t="s">
        <v>113</v>
      </c>
      <c r="BC305" t="s">
        <v>1160</v>
      </c>
      <c r="BN305" t="s">
        <v>113</v>
      </c>
      <c r="BO305" t="s">
        <v>1319</v>
      </c>
      <c r="BP305" t="s">
        <v>370</v>
      </c>
      <c r="BR305" t="s">
        <v>688</v>
      </c>
      <c r="BW305" t="s">
        <v>1157</v>
      </c>
      <c r="BX305" t="s">
        <v>1158</v>
      </c>
      <c r="BY305" t="s">
        <v>123</v>
      </c>
      <c r="BZ305" t="s">
        <v>124</v>
      </c>
    </row>
    <row r="306" spans="1:78" x14ac:dyDescent="0.3">
      <c r="A306" t="s">
        <v>11</v>
      </c>
      <c r="B306" t="s">
        <v>92</v>
      </c>
      <c r="C306" t="s">
        <v>93</v>
      </c>
      <c r="D306" t="s">
        <v>94</v>
      </c>
      <c r="E306" t="s">
        <v>95</v>
      </c>
      <c r="F306" t="s">
        <v>1332</v>
      </c>
      <c r="G306">
        <v>508500</v>
      </c>
      <c r="H306">
        <v>455500</v>
      </c>
      <c r="AA306" t="s">
        <v>1333</v>
      </c>
      <c r="AB306" t="s">
        <v>1334</v>
      </c>
      <c r="AC306" t="s">
        <v>1335</v>
      </c>
      <c r="AD306" t="s">
        <v>365</v>
      </c>
      <c r="AE306" t="s">
        <v>1336</v>
      </c>
      <c r="AF306" t="s">
        <v>1337</v>
      </c>
      <c r="AG306" t="s">
        <v>102</v>
      </c>
      <c r="AH306" t="s">
        <v>299</v>
      </c>
      <c r="AI306">
        <v>46066</v>
      </c>
      <c r="AJ306">
        <v>46066</v>
      </c>
      <c r="AK306" t="s">
        <v>104</v>
      </c>
      <c r="AL306" t="s">
        <v>105</v>
      </c>
      <c r="AM306" t="s">
        <v>869</v>
      </c>
      <c r="AN306" t="s">
        <v>107</v>
      </c>
      <c r="AO306" t="s">
        <v>107</v>
      </c>
      <c r="AP306">
        <v>5000</v>
      </c>
      <c r="AQ306">
        <v>5000</v>
      </c>
      <c r="AR306">
        <v>0</v>
      </c>
      <c r="AS306" t="s">
        <v>107</v>
      </c>
      <c r="AT306" t="s">
        <v>243</v>
      </c>
      <c r="AU306" t="s">
        <v>162</v>
      </c>
      <c r="AV306" t="s">
        <v>163</v>
      </c>
      <c r="AW306" t="s">
        <v>209</v>
      </c>
      <c r="AY306" t="s">
        <v>1338</v>
      </c>
      <c r="AZ306" t="s">
        <v>113</v>
      </c>
      <c r="BB306" t="s">
        <v>114</v>
      </c>
      <c r="BC306" t="s">
        <v>115</v>
      </c>
      <c r="BN306" t="s">
        <v>113</v>
      </c>
      <c r="BO306" t="s">
        <v>1339</v>
      </c>
      <c r="BP306" t="s">
        <v>370</v>
      </c>
      <c r="BR306" t="s">
        <v>1340</v>
      </c>
      <c r="BS306" t="s">
        <v>1341</v>
      </c>
      <c r="BW306" t="s">
        <v>1157</v>
      </c>
      <c r="BX306" t="s">
        <v>1158</v>
      </c>
      <c r="BY306" t="s">
        <v>123</v>
      </c>
      <c r="BZ306" t="s">
        <v>124</v>
      </c>
    </row>
    <row r="307" spans="1:78" x14ac:dyDescent="0.3">
      <c r="A307" t="s">
        <v>11</v>
      </c>
      <c r="B307" t="s">
        <v>92</v>
      </c>
      <c r="C307" t="s">
        <v>93</v>
      </c>
      <c r="D307" t="s">
        <v>94</v>
      </c>
      <c r="E307" t="s">
        <v>95</v>
      </c>
      <c r="F307" t="s">
        <v>1332</v>
      </c>
      <c r="G307">
        <v>508500</v>
      </c>
      <c r="H307">
        <v>455500</v>
      </c>
      <c r="AA307" t="s">
        <v>1333</v>
      </c>
      <c r="AB307" t="s">
        <v>1334</v>
      </c>
      <c r="AC307" t="s">
        <v>1335</v>
      </c>
      <c r="AD307" t="s">
        <v>365</v>
      </c>
      <c r="AE307" t="s">
        <v>1336</v>
      </c>
      <c r="AF307" t="s">
        <v>1337</v>
      </c>
      <c r="AG307" t="s">
        <v>102</v>
      </c>
      <c r="AH307" t="s">
        <v>299</v>
      </c>
      <c r="AI307">
        <v>46101</v>
      </c>
      <c r="AJ307">
        <v>46101</v>
      </c>
      <c r="AK307" t="s">
        <v>137</v>
      </c>
      <c r="AL307" t="s">
        <v>105</v>
      </c>
      <c r="AM307" t="s">
        <v>1342</v>
      </c>
      <c r="AN307" t="s">
        <v>107</v>
      </c>
      <c r="AO307" t="s">
        <v>107</v>
      </c>
      <c r="AP307">
        <v>8888</v>
      </c>
      <c r="AQ307">
        <v>8888</v>
      </c>
      <c r="AR307">
        <v>0</v>
      </c>
      <c r="AS307" t="s">
        <v>107</v>
      </c>
      <c r="AT307" t="s">
        <v>243</v>
      </c>
      <c r="AU307" t="s">
        <v>162</v>
      </c>
      <c r="AV307" t="s">
        <v>163</v>
      </c>
      <c r="AW307" t="s">
        <v>111</v>
      </c>
      <c r="AY307" t="s">
        <v>1343</v>
      </c>
      <c r="AZ307" t="s">
        <v>113</v>
      </c>
      <c r="BB307" t="s">
        <v>114</v>
      </c>
      <c r="BC307" t="s">
        <v>115</v>
      </c>
      <c r="BN307" t="s">
        <v>113</v>
      </c>
      <c r="BO307" t="s">
        <v>1339</v>
      </c>
      <c r="BP307" t="s">
        <v>370</v>
      </c>
      <c r="BR307" t="s">
        <v>1340</v>
      </c>
      <c r="BS307" t="s">
        <v>1344</v>
      </c>
      <c r="BW307" t="s">
        <v>1157</v>
      </c>
      <c r="BX307" t="s">
        <v>1158</v>
      </c>
      <c r="BY307" t="s">
        <v>123</v>
      </c>
      <c r="BZ307" t="s">
        <v>124</v>
      </c>
    </row>
    <row r="308" spans="1:78" x14ac:dyDescent="0.3">
      <c r="A308" t="s">
        <v>11</v>
      </c>
      <c r="B308" t="s">
        <v>92</v>
      </c>
      <c r="C308" t="s">
        <v>93</v>
      </c>
      <c r="D308" t="s">
        <v>94</v>
      </c>
      <c r="E308" t="s">
        <v>95</v>
      </c>
      <c r="F308" t="s">
        <v>1332</v>
      </c>
      <c r="G308">
        <v>508500</v>
      </c>
      <c r="H308">
        <v>455500</v>
      </c>
      <c r="AA308" t="s">
        <v>1333</v>
      </c>
      <c r="AB308" t="s">
        <v>1334</v>
      </c>
      <c r="AC308" t="s">
        <v>1335</v>
      </c>
      <c r="AD308" t="s">
        <v>365</v>
      </c>
      <c r="AE308" t="s">
        <v>1336</v>
      </c>
      <c r="AF308" t="s">
        <v>1337</v>
      </c>
      <c r="AG308" t="s">
        <v>102</v>
      </c>
      <c r="AH308" t="s">
        <v>299</v>
      </c>
      <c r="AI308">
        <v>46142</v>
      </c>
      <c r="AJ308">
        <v>46165</v>
      </c>
      <c r="AK308" t="s">
        <v>137</v>
      </c>
      <c r="AL308" t="s">
        <v>142</v>
      </c>
      <c r="AM308" t="s">
        <v>1342</v>
      </c>
      <c r="AN308" t="s">
        <v>107</v>
      </c>
      <c r="AO308" t="s">
        <v>107</v>
      </c>
      <c r="AP308">
        <v>8888</v>
      </c>
      <c r="AQ308">
        <v>8888</v>
      </c>
      <c r="AR308">
        <v>0</v>
      </c>
      <c r="AS308" t="s">
        <v>107</v>
      </c>
      <c r="AT308" t="s">
        <v>243</v>
      </c>
      <c r="AU308" t="s">
        <v>162</v>
      </c>
      <c r="AV308" t="s">
        <v>163</v>
      </c>
      <c r="AW308" t="s">
        <v>111</v>
      </c>
      <c r="AY308" t="s">
        <v>1345</v>
      </c>
      <c r="AZ308" t="s">
        <v>113</v>
      </c>
      <c r="BB308" t="s">
        <v>114</v>
      </c>
      <c r="BC308" t="s">
        <v>115</v>
      </c>
      <c r="BN308" t="s">
        <v>113</v>
      </c>
      <c r="BO308" t="s">
        <v>1339</v>
      </c>
      <c r="BP308" t="s">
        <v>370</v>
      </c>
      <c r="BR308" t="s">
        <v>1340</v>
      </c>
      <c r="BS308" t="s">
        <v>1344</v>
      </c>
      <c r="BW308" t="s">
        <v>1157</v>
      </c>
      <c r="BX308" t="s">
        <v>1158</v>
      </c>
      <c r="BY308" t="s">
        <v>123</v>
      </c>
      <c r="BZ308" t="s">
        <v>124</v>
      </c>
    </row>
    <row r="309" spans="1:78" x14ac:dyDescent="0.3">
      <c r="A309" t="s">
        <v>11</v>
      </c>
      <c r="B309" t="s">
        <v>92</v>
      </c>
      <c r="C309" t="s">
        <v>93</v>
      </c>
      <c r="D309" t="s">
        <v>94</v>
      </c>
      <c r="E309" t="s">
        <v>95</v>
      </c>
      <c r="F309" t="s">
        <v>1332</v>
      </c>
      <c r="G309">
        <v>508500</v>
      </c>
      <c r="H309">
        <v>455500</v>
      </c>
      <c r="AA309" t="s">
        <v>1333</v>
      </c>
      <c r="AB309" t="s">
        <v>1334</v>
      </c>
      <c r="AC309" t="s">
        <v>1335</v>
      </c>
      <c r="AD309" t="s">
        <v>365</v>
      </c>
      <c r="AE309" t="s">
        <v>1336</v>
      </c>
      <c r="AF309" t="s">
        <v>1337</v>
      </c>
      <c r="AG309" t="s">
        <v>102</v>
      </c>
      <c r="AH309" t="s">
        <v>299</v>
      </c>
      <c r="AI309">
        <v>46295</v>
      </c>
      <c r="AK309" t="s">
        <v>1122</v>
      </c>
      <c r="AL309" t="s">
        <v>146</v>
      </c>
      <c r="AM309" t="s">
        <v>1346</v>
      </c>
      <c r="AN309" t="s">
        <v>107</v>
      </c>
      <c r="AO309" t="s">
        <v>107</v>
      </c>
      <c r="AP309">
        <v>22774</v>
      </c>
      <c r="AQ309">
        <v>0</v>
      </c>
      <c r="AR309">
        <v>22774</v>
      </c>
      <c r="AT309" t="s">
        <v>243</v>
      </c>
      <c r="AZ309" t="s">
        <v>113</v>
      </c>
      <c r="BC309" t="s">
        <v>1160</v>
      </c>
      <c r="BN309" t="s">
        <v>113</v>
      </c>
      <c r="BO309" t="s">
        <v>1339</v>
      </c>
      <c r="BP309" t="s">
        <v>370</v>
      </c>
      <c r="BR309" t="s">
        <v>1340</v>
      </c>
      <c r="BW309" t="s">
        <v>1157</v>
      </c>
      <c r="BX309" t="s">
        <v>1158</v>
      </c>
      <c r="BY309" t="s">
        <v>123</v>
      </c>
      <c r="BZ309" t="s">
        <v>124</v>
      </c>
    </row>
    <row r="310" spans="1:78" x14ac:dyDescent="0.3">
      <c r="A310" t="s">
        <v>11</v>
      </c>
      <c r="B310" t="s">
        <v>92</v>
      </c>
      <c r="C310" t="s">
        <v>93</v>
      </c>
      <c r="D310" t="s">
        <v>94</v>
      </c>
      <c r="E310" t="s">
        <v>95</v>
      </c>
      <c r="F310" t="s">
        <v>1332</v>
      </c>
      <c r="G310">
        <v>508500</v>
      </c>
      <c r="H310">
        <v>455500</v>
      </c>
      <c r="AA310" t="s">
        <v>1333</v>
      </c>
      <c r="AB310" t="s">
        <v>1334</v>
      </c>
      <c r="AC310" t="s">
        <v>1335</v>
      </c>
      <c r="AD310" t="s">
        <v>365</v>
      </c>
      <c r="AE310" t="s">
        <v>1336</v>
      </c>
      <c r="AF310" t="s">
        <v>1337</v>
      </c>
      <c r="AG310" t="s">
        <v>102</v>
      </c>
      <c r="AH310" t="s">
        <v>299</v>
      </c>
      <c r="AI310">
        <v>46356</v>
      </c>
      <c r="AK310" t="s">
        <v>218</v>
      </c>
      <c r="AL310" t="s">
        <v>105</v>
      </c>
      <c r="AM310" t="s">
        <v>1347</v>
      </c>
      <c r="AN310" t="s">
        <v>107</v>
      </c>
      <c r="AO310" t="s">
        <v>107</v>
      </c>
      <c r="AP310">
        <v>409950</v>
      </c>
      <c r="AQ310">
        <v>0</v>
      </c>
      <c r="AR310">
        <v>409950</v>
      </c>
      <c r="AT310" t="s">
        <v>243</v>
      </c>
      <c r="AZ310" t="s">
        <v>113</v>
      </c>
      <c r="BC310" t="s">
        <v>1160</v>
      </c>
      <c r="BN310" t="s">
        <v>113</v>
      </c>
      <c r="BO310" t="s">
        <v>1339</v>
      </c>
      <c r="BP310" t="s">
        <v>370</v>
      </c>
      <c r="BR310" t="s">
        <v>1340</v>
      </c>
      <c r="BW310" t="s">
        <v>1157</v>
      </c>
      <c r="BX310" t="s">
        <v>1158</v>
      </c>
      <c r="BY310" t="s">
        <v>123</v>
      </c>
      <c r="BZ310" t="s">
        <v>124</v>
      </c>
    </row>
    <row r="311" spans="1:78" x14ac:dyDescent="0.3">
      <c r="A311" t="s">
        <v>2</v>
      </c>
      <c r="B311" t="s">
        <v>92</v>
      </c>
      <c r="C311" t="s">
        <v>93</v>
      </c>
      <c r="D311" t="s">
        <v>94</v>
      </c>
      <c r="E311" t="s">
        <v>95</v>
      </c>
      <c r="F311" t="s">
        <v>169</v>
      </c>
      <c r="G311">
        <v>490000</v>
      </c>
      <c r="H311">
        <v>490000</v>
      </c>
      <c r="AA311" t="s">
        <v>170</v>
      </c>
      <c r="AB311" t="s">
        <v>171</v>
      </c>
      <c r="AC311" t="s">
        <v>172</v>
      </c>
      <c r="AE311" t="s">
        <v>173</v>
      </c>
      <c r="AF311" t="s">
        <v>174</v>
      </c>
      <c r="AG311" t="s">
        <v>102</v>
      </c>
      <c r="AH311" t="s">
        <v>175</v>
      </c>
      <c r="AI311">
        <v>46209</v>
      </c>
      <c r="AJ311">
        <v>45900</v>
      </c>
      <c r="AK311" t="s">
        <v>218</v>
      </c>
      <c r="AL311" t="s">
        <v>105</v>
      </c>
      <c r="AM311" t="s">
        <v>1348</v>
      </c>
      <c r="AN311" t="s">
        <v>107</v>
      </c>
      <c r="AO311" t="s">
        <v>107</v>
      </c>
      <c r="AP311">
        <v>392000</v>
      </c>
      <c r="AQ311">
        <v>392000</v>
      </c>
      <c r="AR311">
        <v>0</v>
      </c>
      <c r="AS311" t="s">
        <v>107</v>
      </c>
      <c r="AT311" t="s">
        <v>108</v>
      </c>
      <c r="AU311" t="s">
        <v>109</v>
      </c>
      <c r="AV311" t="s">
        <v>110</v>
      </c>
      <c r="AW311" t="s">
        <v>111</v>
      </c>
      <c r="AZ311" t="s">
        <v>116</v>
      </c>
      <c r="BB311" t="s">
        <v>114</v>
      </c>
      <c r="BC311" t="s">
        <v>115</v>
      </c>
      <c r="BN311" t="s">
        <v>116</v>
      </c>
      <c r="BO311" t="s">
        <v>178</v>
      </c>
      <c r="BP311" t="s">
        <v>166</v>
      </c>
      <c r="BR311" t="s">
        <v>179</v>
      </c>
      <c r="BS311" t="s">
        <v>1349</v>
      </c>
      <c r="BW311" t="s">
        <v>1157</v>
      </c>
      <c r="BX311" t="s">
        <v>1158</v>
      </c>
      <c r="BY311" t="s">
        <v>123</v>
      </c>
      <c r="BZ311" t="s">
        <v>124</v>
      </c>
    </row>
    <row r="312" spans="1:78" x14ac:dyDescent="0.3">
      <c r="A312" t="s">
        <v>2</v>
      </c>
      <c r="B312" t="s">
        <v>92</v>
      </c>
      <c r="C312" t="s">
        <v>93</v>
      </c>
      <c r="D312" t="s">
        <v>94</v>
      </c>
      <c r="E312" t="s">
        <v>202</v>
      </c>
      <c r="F312" t="s">
        <v>654</v>
      </c>
      <c r="G312">
        <v>47500</v>
      </c>
      <c r="H312">
        <v>47500</v>
      </c>
      <c r="AA312" t="s">
        <v>170</v>
      </c>
      <c r="AB312" t="s">
        <v>171</v>
      </c>
      <c r="AC312" t="s">
        <v>172</v>
      </c>
      <c r="AD312" t="s">
        <v>365</v>
      </c>
      <c r="AE312" t="s">
        <v>173</v>
      </c>
      <c r="AF312" t="s">
        <v>174</v>
      </c>
      <c r="AG312" t="s">
        <v>102</v>
      </c>
      <c r="AH312" t="s">
        <v>175</v>
      </c>
      <c r="AI312">
        <v>46023</v>
      </c>
      <c r="AJ312">
        <v>46023</v>
      </c>
      <c r="AK312" t="s">
        <v>218</v>
      </c>
      <c r="AL312" t="s">
        <v>142</v>
      </c>
      <c r="AM312" t="s">
        <v>410</v>
      </c>
      <c r="AN312" t="s">
        <v>107</v>
      </c>
      <c r="AO312" t="s">
        <v>107</v>
      </c>
      <c r="AP312">
        <v>7000</v>
      </c>
      <c r="AQ312">
        <v>7000</v>
      </c>
      <c r="AR312">
        <v>0</v>
      </c>
      <c r="AS312" t="s">
        <v>107</v>
      </c>
      <c r="AT312" t="s">
        <v>161</v>
      </c>
      <c r="AU312" t="s">
        <v>109</v>
      </c>
      <c r="AV312" t="s">
        <v>110</v>
      </c>
      <c r="AW312" t="s">
        <v>111</v>
      </c>
      <c r="AY312" t="s">
        <v>1350</v>
      </c>
      <c r="AZ312" t="s">
        <v>113</v>
      </c>
      <c r="BB312" t="s">
        <v>114</v>
      </c>
      <c r="BC312" t="s">
        <v>115</v>
      </c>
      <c r="BN312" t="s">
        <v>116</v>
      </c>
      <c r="BO312" t="s">
        <v>656</v>
      </c>
      <c r="BP312" t="s">
        <v>370</v>
      </c>
      <c r="BR312" t="s">
        <v>657</v>
      </c>
      <c r="BS312" t="s">
        <v>1351</v>
      </c>
      <c r="BW312" t="s">
        <v>1157</v>
      </c>
      <c r="BX312" t="s">
        <v>1158</v>
      </c>
      <c r="BY312" t="s">
        <v>123</v>
      </c>
      <c r="BZ312" t="s">
        <v>124</v>
      </c>
    </row>
    <row r="313" spans="1:78" x14ac:dyDescent="0.3">
      <c r="A313" t="s">
        <v>2</v>
      </c>
      <c r="B313" t="s">
        <v>92</v>
      </c>
      <c r="C313" t="s">
        <v>93</v>
      </c>
      <c r="D313" t="s">
        <v>94</v>
      </c>
      <c r="E313" t="s">
        <v>202</v>
      </c>
      <c r="F313" t="s">
        <v>654</v>
      </c>
      <c r="G313">
        <v>47500</v>
      </c>
      <c r="H313">
        <v>47500</v>
      </c>
      <c r="AA313" t="s">
        <v>170</v>
      </c>
      <c r="AB313" t="s">
        <v>171</v>
      </c>
      <c r="AC313" t="s">
        <v>172</v>
      </c>
      <c r="AD313" t="s">
        <v>365</v>
      </c>
      <c r="AE313" t="s">
        <v>173</v>
      </c>
      <c r="AF313" t="s">
        <v>174</v>
      </c>
      <c r="AG313" t="s">
        <v>102</v>
      </c>
      <c r="AH313" t="s">
        <v>175</v>
      </c>
      <c r="AI313">
        <v>46112</v>
      </c>
      <c r="AJ313">
        <v>46112</v>
      </c>
      <c r="AK313" t="s">
        <v>218</v>
      </c>
      <c r="AL313" t="s">
        <v>146</v>
      </c>
      <c r="AM313" t="s">
        <v>1352</v>
      </c>
      <c r="AN313" t="s">
        <v>107</v>
      </c>
      <c r="AO313" t="s">
        <v>107</v>
      </c>
      <c r="AP313">
        <v>22500</v>
      </c>
      <c r="AQ313">
        <v>22500</v>
      </c>
      <c r="AR313">
        <v>0</v>
      </c>
      <c r="AS313" t="s">
        <v>107</v>
      </c>
      <c r="AT313" t="s">
        <v>161</v>
      </c>
      <c r="AU313" t="s">
        <v>109</v>
      </c>
      <c r="AV313" t="s">
        <v>110</v>
      </c>
      <c r="AW313" t="s">
        <v>111</v>
      </c>
      <c r="AY313" t="s">
        <v>1353</v>
      </c>
      <c r="AZ313" t="s">
        <v>113</v>
      </c>
      <c r="BB313" t="s">
        <v>114</v>
      </c>
      <c r="BC313" t="s">
        <v>115</v>
      </c>
      <c r="BN313" t="s">
        <v>116</v>
      </c>
      <c r="BO313" t="s">
        <v>656</v>
      </c>
      <c r="BP313" t="s">
        <v>370</v>
      </c>
      <c r="BR313" t="s">
        <v>657</v>
      </c>
      <c r="BS313" t="s">
        <v>1354</v>
      </c>
      <c r="BW313" t="s">
        <v>1157</v>
      </c>
      <c r="BX313" t="s">
        <v>1158</v>
      </c>
      <c r="BY313" t="s">
        <v>123</v>
      </c>
      <c r="BZ313" t="s">
        <v>124</v>
      </c>
    </row>
    <row r="314" spans="1:78" x14ac:dyDescent="0.3">
      <c r="A314" t="s">
        <v>11</v>
      </c>
      <c r="B314" t="s">
        <v>92</v>
      </c>
      <c r="C314" t="s">
        <v>93</v>
      </c>
      <c r="D314" t="s">
        <v>94</v>
      </c>
      <c r="E314" t="s">
        <v>95</v>
      </c>
      <c r="F314" t="s">
        <v>1039</v>
      </c>
      <c r="G314">
        <v>504700</v>
      </c>
      <c r="H314">
        <v>470000</v>
      </c>
      <c r="I314" t="s">
        <v>93</v>
      </c>
      <c r="J314" t="s">
        <v>94</v>
      </c>
      <c r="K314" t="s">
        <v>202</v>
      </c>
      <c r="L314" t="s">
        <v>1355</v>
      </c>
      <c r="M314">
        <v>51500</v>
      </c>
      <c r="N314">
        <v>51500</v>
      </c>
      <c r="AA314" t="s">
        <v>1356</v>
      </c>
      <c r="AB314" t="s">
        <v>1357</v>
      </c>
      <c r="AC314" t="s">
        <v>1358</v>
      </c>
      <c r="AD314" t="s">
        <v>365</v>
      </c>
      <c r="AE314" t="s">
        <v>1359</v>
      </c>
      <c r="AF314" t="s">
        <v>1360</v>
      </c>
      <c r="AG314" t="s">
        <v>102</v>
      </c>
      <c r="AH314" t="s">
        <v>781</v>
      </c>
      <c r="AI314">
        <v>46033</v>
      </c>
      <c r="AJ314">
        <v>46033</v>
      </c>
      <c r="AK314" t="s">
        <v>104</v>
      </c>
      <c r="AL314" t="s">
        <v>105</v>
      </c>
      <c r="AM314" t="s">
        <v>106</v>
      </c>
      <c r="AN314" t="s">
        <v>107</v>
      </c>
      <c r="AO314" t="s">
        <v>107</v>
      </c>
      <c r="AP314">
        <v>3000</v>
      </c>
      <c r="AQ314">
        <v>3000</v>
      </c>
      <c r="AR314">
        <v>0</v>
      </c>
      <c r="AS314" t="s">
        <v>107</v>
      </c>
      <c r="AT314" t="s">
        <v>108</v>
      </c>
      <c r="AU314" t="s">
        <v>162</v>
      </c>
      <c r="AV314" t="s">
        <v>163</v>
      </c>
      <c r="AW314" t="s">
        <v>111</v>
      </c>
      <c r="AY314" t="s">
        <v>1361</v>
      </c>
      <c r="AZ314" t="s">
        <v>113</v>
      </c>
      <c r="BB314" t="s">
        <v>114</v>
      </c>
      <c r="BC314" t="s">
        <v>115</v>
      </c>
      <c r="BN314" t="s">
        <v>113</v>
      </c>
      <c r="BO314" t="s">
        <v>1362</v>
      </c>
      <c r="BP314" t="s">
        <v>370</v>
      </c>
      <c r="BR314" t="s">
        <v>119</v>
      </c>
      <c r="BS314" t="s">
        <v>1363</v>
      </c>
      <c r="BW314" t="s">
        <v>1157</v>
      </c>
      <c r="BX314" t="s">
        <v>1158</v>
      </c>
      <c r="BY314" t="s">
        <v>123</v>
      </c>
      <c r="BZ314" t="s">
        <v>124</v>
      </c>
    </row>
    <row r="315" spans="1:78" x14ac:dyDescent="0.3">
      <c r="A315" t="s">
        <v>11</v>
      </c>
      <c r="B315" t="s">
        <v>92</v>
      </c>
      <c r="C315" t="s">
        <v>93</v>
      </c>
      <c r="D315" t="s">
        <v>94</v>
      </c>
      <c r="E315" t="s">
        <v>95</v>
      </c>
      <c r="F315" t="s">
        <v>1039</v>
      </c>
      <c r="G315">
        <v>504700</v>
      </c>
      <c r="H315">
        <v>470000</v>
      </c>
      <c r="I315" t="s">
        <v>93</v>
      </c>
      <c r="J315" t="s">
        <v>94</v>
      </c>
      <c r="K315" t="s">
        <v>202</v>
      </c>
      <c r="L315" t="s">
        <v>1355</v>
      </c>
      <c r="M315">
        <v>51500</v>
      </c>
      <c r="N315">
        <v>51500</v>
      </c>
      <c r="AA315" t="s">
        <v>1356</v>
      </c>
      <c r="AB315" t="s">
        <v>1357</v>
      </c>
      <c r="AC315" t="s">
        <v>1358</v>
      </c>
      <c r="AD315" t="s">
        <v>365</v>
      </c>
      <c r="AE315" t="s">
        <v>1359</v>
      </c>
      <c r="AF315" t="s">
        <v>1360</v>
      </c>
      <c r="AG315" t="s">
        <v>102</v>
      </c>
      <c r="AH315" t="s">
        <v>781</v>
      </c>
      <c r="AI315">
        <v>46049</v>
      </c>
      <c r="AK315" t="s">
        <v>137</v>
      </c>
      <c r="AL315" t="s">
        <v>105</v>
      </c>
      <c r="AM315" t="s">
        <v>1364</v>
      </c>
      <c r="AN315" t="s">
        <v>107</v>
      </c>
      <c r="AO315" t="s">
        <v>107</v>
      </c>
      <c r="AP315">
        <v>5500</v>
      </c>
      <c r="AQ315">
        <v>0</v>
      </c>
      <c r="AR315">
        <v>5500</v>
      </c>
      <c r="AT315" t="s">
        <v>108</v>
      </c>
      <c r="AZ315" t="s">
        <v>113</v>
      </c>
      <c r="BC315" t="s">
        <v>543</v>
      </c>
      <c r="BN315" t="s">
        <v>113</v>
      </c>
      <c r="BO315" t="s">
        <v>1362</v>
      </c>
      <c r="BP315" t="s">
        <v>370</v>
      </c>
      <c r="BR315" t="s">
        <v>119</v>
      </c>
      <c r="BW315" t="s">
        <v>1157</v>
      </c>
      <c r="BX315" t="s">
        <v>1158</v>
      </c>
      <c r="BY315" t="s">
        <v>123</v>
      </c>
      <c r="BZ315" t="s">
        <v>124</v>
      </c>
    </row>
    <row r="316" spans="1:78" x14ac:dyDescent="0.3">
      <c r="A316" t="s">
        <v>11</v>
      </c>
      <c r="B316" t="s">
        <v>92</v>
      </c>
      <c r="C316" t="s">
        <v>93</v>
      </c>
      <c r="D316" t="s">
        <v>94</v>
      </c>
      <c r="E316" t="s">
        <v>95</v>
      </c>
      <c r="F316" t="s">
        <v>1039</v>
      </c>
      <c r="G316">
        <v>504700</v>
      </c>
      <c r="H316">
        <v>470000</v>
      </c>
      <c r="I316" t="s">
        <v>93</v>
      </c>
      <c r="J316" t="s">
        <v>94</v>
      </c>
      <c r="K316" t="s">
        <v>202</v>
      </c>
      <c r="L316" t="s">
        <v>1355</v>
      </c>
      <c r="M316">
        <v>51500</v>
      </c>
      <c r="N316">
        <v>51500</v>
      </c>
      <c r="AA316" t="s">
        <v>1356</v>
      </c>
      <c r="AB316" t="s">
        <v>1357</v>
      </c>
      <c r="AC316" t="s">
        <v>1358</v>
      </c>
      <c r="AD316" t="s">
        <v>365</v>
      </c>
      <c r="AE316" t="s">
        <v>1359</v>
      </c>
      <c r="AF316" t="s">
        <v>1360</v>
      </c>
      <c r="AG316" t="s">
        <v>102</v>
      </c>
      <c r="AH316" t="s">
        <v>781</v>
      </c>
      <c r="AI316">
        <v>46049</v>
      </c>
      <c r="AK316" t="s">
        <v>137</v>
      </c>
      <c r="AL316" t="s">
        <v>142</v>
      </c>
      <c r="AM316" t="s">
        <v>287</v>
      </c>
      <c r="AN316" t="s">
        <v>107</v>
      </c>
      <c r="AO316" t="s">
        <v>107</v>
      </c>
      <c r="AP316">
        <v>30000</v>
      </c>
      <c r="AQ316">
        <v>0</v>
      </c>
      <c r="AR316">
        <v>30000</v>
      </c>
      <c r="AT316" t="s">
        <v>108</v>
      </c>
      <c r="AZ316" t="s">
        <v>113</v>
      </c>
      <c r="BC316" t="s">
        <v>543</v>
      </c>
      <c r="BN316" t="s">
        <v>113</v>
      </c>
      <c r="BO316" t="s">
        <v>1362</v>
      </c>
      <c r="BP316" t="s">
        <v>370</v>
      </c>
      <c r="BR316" t="s">
        <v>119</v>
      </c>
      <c r="BW316" t="s">
        <v>1157</v>
      </c>
      <c r="BX316" t="s">
        <v>1158</v>
      </c>
      <c r="BY316" t="s">
        <v>123</v>
      </c>
      <c r="BZ316" t="s">
        <v>124</v>
      </c>
    </row>
    <row r="317" spans="1:78" x14ac:dyDescent="0.3">
      <c r="A317" t="s">
        <v>11</v>
      </c>
      <c r="B317" t="s">
        <v>92</v>
      </c>
      <c r="C317" t="s">
        <v>93</v>
      </c>
      <c r="D317" t="s">
        <v>94</v>
      </c>
      <c r="E317" t="s">
        <v>95</v>
      </c>
      <c r="F317" t="s">
        <v>1039</v>
      </c>
      <c r="G317">
        <v>504700</v>
      </c>
      <c r="H317">
        <v>470000</v>
      </c>
      <c r="I317" t="s">
        <v>93</v>
      </c>
      <c r="J317" t="s">
        <v>94</v>
      </c>
      <c r="K317" t="s">
        <v>202</v>
      </c>
      <c r="L317" t="s">
        <v>1355</v>
      </c>
      <c r="M317">
        <v>51500</v>
      </c>
      <c r="N317">
        <v>51500</v>
      </c>
      <c r="AA317" t="s">
        <v>1356</v>
      </c>
      <c r="AB317" t="s">
        <v>1357</v>
      </c>
      <c r="AC317" t="s">
        <v>1358</v>
      </c>
      <c r="AD317" t="s">
        <v>365</v>
      </c>
      <c r="AE317" t="s">
        <v>1359</v>
      </c>
      <c r="AF317" t="s">
        <v>1360</v>
      </c>
      <c r="AG317" t="s">
        <v>102</v>
      </c>
      <c r="AH317" t="s">
        <v>781</v>
      </c>
      <c r="AI317">
        <v>46050</v>
      </c>
      <c r="AK317" t="s">
        <v>137</v>
      </c>
      <c r="AL317" t="s">
        <v>146</v>
      </c>
      <c r="AM317" t="s">
        <v>287</v>
      </c>
      <c r="AN317" t="s">
        <v>107</v>
      </c>
      <c r="AO317" t="s">
        <v>107</v>
      </c>
      <c r="AP317">
        <v>30000</v>
      </c>
      <c r="AQ317">
        <v>0</v>
      </c>
      <c r="AR317">
        <v>30000</v>
      </c>
      <c r="AT317" t="s">
        <v>108</v>
      </c>
      <c r="AZ317" t="s">
        <v>113</v>
      </c>
      <c r="BC317" t="s">
        <v>543</v>
      </c>
      <c r="BN317" t="s">
        <v>113</v>
      </c>
      <c r="BO317" t="s">
        <v>1362</v>
      </c>
      <c r="BP317" t="s">
        <v>370</v>
      </c>
      <c r="BR317" t="s">
        <v>119</v>
      </c>
      <c r="BW317" t="s">
        <v>1157</v>
      </c>
      <c r="BX317" t="s">
        <v>1158</v>
      </c>
      <c r="BY317" t="s">
        <v>123</v>
      </c>
      <c r="BZ317" t="s">
        <v>124</v>
      </c>
    </row>
    <row r="318" spans="1:78" x14ac:dyDescent="0.3">
      <c r="A318" t="s">
        <v>11</v>
      </c>
      <c r="B318" t="s">
        <v>92</v>
      </c>
      <c r="C318" t="s">
        <v>93</v>
      </c>
      <c r="D318" t="s">
        <v>94</v>
      </c>
      <c r="E318" t="s">
        <v>95</v>
      </c>
      <c r="F318" t="s">
        <v>1039</v>
      </c>
      <c r="G318">
        <v>504700</v>
      </c>
      <c r="H318">
        <v>470000</v>
      </c>
      <c r="I318" t="s">
        <v>93</v>
      </c>
      <c r="J318" t="s">
        <v>94</v>
      </c>
      <c r="K318" t="s">
        <v>202</v>
      </c>
      <c r="L318" t="s">
        <v>1355</v>
      </c>
      <c r="M318">
        <v>51500</v>
      </c>
      <c r="N318">
        <v>51500</v>
      </c>
      <c r="AA318" t="s">
        <v>1356</v>
      </c>
      <c r="AB318" t="s">
        <v>1357</v>
      </c>
      <c r="AC318" t="s">
        <v>1358</v>
      </c>
      <c r="AD318" t="s">
        <v>365</v>
      </c>
      <c r="AE318" t="s">
        <v>1359</v>
      </c>
      <c r="AF318" t="s">
        <v>1360</v>
      </c>
      <c r="AG318" t="s">
        <v>102</v>
      </c>
      <c r="AH318" t="s">
        <v>781</v>
      </c>
      <c r="AI318">
        <v>46051</v>
      </c>
      <c r="AK318" t="s">
        <v>137</v>
      </c>
      <c r="AL318" t="s">
        <v>152</v>
      </c>
      <c r="AM318" t="s">
        <v>176</v>
      </c>
      <c r="AN318" t="s">
        <v>107</v>
      </c>
      <c r="AO318" t="s">
        <v>107</v>
      </c>
      <c r="AP318">
        <v>2000</v>
      </c>
      <c r="AQ318">
        <v>0</v>
      </c>
      <c r="AR318">
        <v>2000</v>
      </c>
      <c r="AT318" t="s">
        <v>108</v>
      </c>
      <c r="AZ318" t="s">
        <v>113</v>
      </c>
      <c r="BC318" t="s">
        <v>543</v>
      </c>
      <c r="BN318" t="s">
        <v>113</v>
      </c>
      <c r="BO318" t="s">
        <v>1362</v>
      </c>
      <c r="BP318" t="s">
        <v>370</v>
      </c>
      <c r="BR318" t="s">
        <v>119</v>
      </c>
      <c r="BW318" t="s">
        <v>1157</v>
      </c>
      <c r="BX318" t="s">
        <v>1158</v>
      </c>
      <c r="BY318" t="s">
        <v>123</v>
      </c>
      <c r="BZ318" t="s">
        <v>124</v>
      </c>
    </row>
    <row r="319" spans="1:78" x14ac:dyDescent="0.3">
      <c r="A319" t="s">
        <v>11</v>
      </c>
      <c r="B319" t="s">
        <v>92</v>
      </c>
      <c r="C319" t="s">
        <v>93</v>
      </c>
      <c r="D319" t="s">
        <v>94</v>
      </c>
      <c r="E319" t="s">
        <v>95</v>
      </c>
      <c r="F319" t="s">
        <v>1039</v>
      </c>
      <c r="G319">
        <v>504700</v>
      </c>
      <c r="H319">
        <v>470000</v>
      </c>
      <c r="I319" t="s">
        <v>93</v>
      </c>
      <c r="J319" t="s">
        <v>94</v>
      </c>
      <c r="K319" t="s">
        <v>202</v>
      </c>
      <c r="L319" t="s">
        <v>1355</v>
      </c>
      <c r="M319">
        <v>51500</v>
      </c>
      <c r="N319">
        <v>51500</v>
      </c>
      <c r="AA319" t="s">
        <v>1356</v>
      </c>
      <c r="AB319" t="s">
        <v>1357</v>
      </c>
      <c r="AC319" t="s">
        <v>1358</v>
      </c>
      <c r="AD319" t="s">
        <v>365</v>
      </c>
      <c r="AE319" t="s">
        <v>1359</v>
      </c>
      <c r="AF319" t="s">
        <v>1360</v>
      </c>
      <c r="AG319" t="s">
        <v>102</v>
      </c>
      <c r="AH319" t="s">
        <v>781</v>
      </c>
      <c r="AI319">
        <v>46059</v>
      </c>
      <c r="AK319" t="s">
        <v>137</v>
      </c>
      <c r="AL319" t="s">
        <v>584</v>
      </c>
      <c r="AM319" t="s">
        <v>398</v>
      </c>
      <c r="AN319" t="s">
        <v>107</v>
      </c>
      <c r="AO319" t="s">
        <v>107</v>
      </c>
      <c r="AP319">
        <v>10000</v>
      </c>
      <c r="AQ319">
        <v>0</v>
      </c>
      <c r="AR319">
        <v>10000</v>
      </c>
      <c r="AT319" t="s">
        <v>108</v>
      </c>
      <c r="AZ319" t="s">
        <v>113</v>
      </c>
      <c r="BC319" t="s">
        <v>543</v>
      </c>
      <c r="BN319" t="s">
        <v>113</v>
      </c>
      <c r="BO319" t="s">
        <v>1362</v>
      </c>
      <c r="BP319" t="s">
        <v>370</v>
      </c>
      <c r="BR319" t="s">
        <v>119</v>
      </c>
      <c r="BW319" t="s">
        <v>1157</v>
      </c>
      <c r="BX319" t="s">
        <v>1158</v>
      </c>
      <c r="BY319" t="s">
        <v>123</v>
      </c>
      <c r="BZ319" t="s">
        <v>124</v>
      </c>
    </row>
    <row r="320" spans="1:78" x14ac:dyDescent="0.3">
      <c r="A320" t="s">
        <v>11</v>
      </c>
      <c r="B320" t="s">
        <v>92</v>
      </c>
      <c r="C320" t="s">
        <v>93</v>
      </c>
      <c r="D320" t="s">
        <v>94</v>
      </c>
      <c r="E320" t="s">
        <v>95</v>
      </c>
      <c r="F320" t="s">
        <v>1039</v>
      </c>
      <c r="G320">
        <v>504700</v>
      </c>
      <c r="H320">
        <v>470000</v>
      </c>
      <c r="I320" t="s">
        <v>93</v>
      </c>
      <c r="J320" t="s">
        <v>94</v>
      </c>
      <c r="K320" t="s">
        <v>202</v>
      </c>
      <c r="L320" t="s">
        <v>1355</v>
      </c>
      <c r="M320">
        <v>51500</v>
      </c>
      <c r="N320">
        <v>51500</v>
      </c>
      <c r="AA320" t="s">
        <v>1356</v>
      </c>
      <c r="AB320" t="s">
        <v>1357</v>
      </c>
      <c r="AC320" t="s">
        <v>1358</v>
      </c>
      <c r="AD320" t="s">
        <v>365</v>
      </c>
      <c r="AE320" t="s">
        <v>1359</v>
      </c>
      <c r="AF320" t="s">
        <v>1360</v>
      </c>
      <c r="AG320" t="s">
        <v>102</v>
      </c>
      <c r="AH320" t="s">
        <v>781</v>
      </c>
      <c r="AI320">
        <v>46234</v>
      </c>
      <c r="AK320" t="s">
        <v>137</v>
      </c>
      <c r="AL320" t="s">
        <v>397</v>
      </c>
      <c r="AM320" t="s">
        <v>398</v>
      </c>
      <c r="AN320" t="s">
        <v>107</v>
      </c>
      <c r="AO320" t="s">
        <v>107</v>
      </c>
      <c r="AP320">
        <v>10000</v>
      </c>
      <c r="AQ320">
        <v>0</v>
      </c>
      <c r="AR320">
        <v>10000</v>
      </c>
      <c r="AT320" t="s">
        <v>108</v>
      </c>
      <c r="AZ320" t="s">
        <v>113</v>
      </c>
      <c r="BC320" t="s">
        <v>1160</v>
      </c>
      <c r="BN320" t="s">
        <v>113</v>
      </c>
      <c r="BO320" t="s">
        <v>1362</v>
      </c>
      <c r="BP320" t="s">
        <v>370</v>
      </c>
      <c r="BR320" t="s">
        <v>119</v>
      </c>
      <c r="BW320" t="s">
        <v>1157</v>
      </c>
      <c r="BX320" t="s">
        <v>1158</v>
      </c>
      <c r="BY320" t="s">
        <v>123</v>
      </c>
      <c r="BZ320" t="s">
        <v>124</v>
      </c>
    </row>
    <row r="321" spans="1:78" x14ac:dyDescent="0.3">
      <c r="A321" t="s">
        <v>11</v>
      </c>
      <c r="B321" t="s">
        <v>92</v>
      </c>
      <c r="C321" t="s">
        <v>93</v>
      </c>
      <c r="D321" t="s">
        <v>94</v>
      </c>
      <c r="E321" t="s">
        <v>95</v>
      </c>
      <c r="F321" t="s">
        <v>1039</v>
      </c>
      <c r="G321">
        <v>504700</v>
      </c>
      <c r="H321">
        <v>470000</v>
      </c>
      <c r="I321" t="s">
        <v>93</v>
      </c>
      <c r="J321" t="s">
        <v>94</v>
      </c>
      <c r="K321" t="s">
        <v>202</v>
      </c>
      <c r="L321" t="s">
        <v>1355</v>
      </c>
      <c r="M321">
        <v>51500</v>
      </c>
      <c r="N321">
        <v>51500</v>
      </c>
      <c r="AA321" t="s">
        <v>1356</v>
      </c>
      <c r="AB321" t="s">
        <v>1357</v>
      </c>
      <c r="AC321" t="s">
        <v>1358</v>
      </c>
      <c r="AD321" t="s">
        <v>365</v>
      </c>
      <c r="AE321" t="s">
        <v>1359</v>
      </c>
      <c r="AF321" t="s">
        <v>1360</v>
      </c>
      <c r="AG321" t="s">
        <v>102</v>
      </c>
      <c r="AH321" t="s">
        <v>781</v>
      </c>
      <c r="AI321">
        <v>46112</v>
      </c>
      <c r="AK321" t="s">
        <v>218</v>
      </c>
      <c r="AL321" t="s">
        <v>105</v>
      </c>
      <c r="AM321" t="s">
        <v>1365</v>
      </c>
      <c r="AN321" t="s">
        <v>107</v>
      </c>
      <c r="AO321" t="s">
        <v>107</v>
      </c>
      <c r="AP321">
        <v>107750</v>
      </c>
      <c r="AQ321">
        <v>0</v>
      </c>
      <c r="AR321">
        <v>107750</v>
      </c>
      <c r="AT321" t="s">
        <v>108</v>
      </c>
      <c r="AZ321" t="s">
        <v>113</v>
      </c>
      <c r="BC321" t="s">
        <v>543</v>
      </c>
      <c r="BN321" t="s">
        <v>113</v>
      </c>
      <c r="BO321" t="s">
        <v>1362</v>
      </c>
      <c r="BP321" t="s">
        <v>370</v>
      </c>
      <c r="BR321" t="s">
        <v>119</v>
      </c>
      <c r="BW321" t="s">
        <v>1157</v>
      </c>
      <c r="BX321" t="s">
        <v>1158</v>
      </c>
      <c r="BY321" t="s">
        <v>123</v>
      </c>
      <c r="BZ321" t="s">
        <v>124</v>
      </c>
    </row>
    <row r="322" spans="1:78" x14ac:dyDescent="0.3">
      <c r="A322" t="s">
        <v>11</v>
      </c>
      <c r="B322" t="s">
        <v>92</v>
      </c>
      <c r="C322" t="s">
        <v>93</v>
      </c>
      <c r="D322" t="s">
        <v>94</v>
      </c>
      <c r="E322" t="s">
        <v>95</v>
      </c>
      <c r="F322" t="s">
        <v>1039</v>
      </c>
      <c r="G322">
        <v>504700</v>
      </c>
      <c r="H322">
        <v>470000</v>
      </c>
      <c r="I322" t="s">
        <v>93</v>
      </c>
      <c r="J322" t="s">
        <v>94</v>
      </c>
      <c r="K322" t="s">
        <v>202</v>
      </c>
      <c r="L322" t="s">
        <v>1355</v>
      </c>
      <c r="M322">
        <v>51500</v>
      </c>
      <c r="N322">
        <v>51500</v>
      </c>
      <c r="AA322" t="s">
        <v>1356</v>
      </c>
      <c r="AB322" t="s">
        <v>1357</v>
      </c>
      <c r="AC322" t="s">
        <v>1358</v>
      </c>
      <c r="AD322" t="s">
        <v>365</v>
      </c>
      <c r="AE322" t="s">
        <v>1359</v>
      </c>
      <c r="AF322" t="s">
        <v>1360</v>
      </c>
      <c r="AG322" t="s">
        <v>102</v>
      </c>
      <c r="AH322" t="s">
        <v>781</v>
      </c>
      <c r="AI322">
        <v>46387</v>
      </c>
      <c r="AK322" t="s">
        <v>218</v>
      </c>
      <c r="AL322" t="s">
        <v>142</v>
      </c>
      <c r="AM322" t="s">
        <v>1365</v>
      </c>
      <c r="AN322" t="s">
        <v>107</v>
      </c>
      <c r="AO322" t="s">
        <v>107</v>
      </c>
      <c r="AP322">
        <v>107750</v>
      </c>
      <c r="AQ322">
        <v>0</v>
      </c>
      <c r="AR322">
        <v>107750</v>
      </c>
      <c r="AT322" t="s">
        <v>108</v>
      </c>
      <c r="AZ322" t="s">
        <v>113</v>
      </c>
      <c r="BC322" t="s">
        <v>1160</v>
      </c>
      <c r="BN322" t="s">
        <v>113</v>
      </c>
      <c r="BO322" t="s">
        <v>1362</v>
      </c>
      <c r="BP322" t="s">
        <v>370</v>
      </c>
      <c r="BR322" t="s">
        <v>119</v>
      </c>
      <c r="BW322" t="s">
        <v>1157</v>
      </c>
      <c r="BX322" t="s">
        <v>1158</v>
      </c>
      <c r="BY322" t="s">
        <v>123</v>
      </c>
      <c r="BZ322" t="s">
        <v>124</v>
      </c>
    </row>
    <row r="323" spans="1:78" x14ac:dyDescent="0.3">
      <c r="A323" t="s">
        <v>11</v>
      </c>
      <c r="B323" t="s">
        <v>92</v>
      </c>
      <c r="C323" t="s">
        <v>93</v>
      </c>
      <c r="D323" t="s">
        <v>94</v>
      </c>
      <c r="E323" t="s">
        <v>95</v>
      </c>
      <c r="F323" t="s">
        <v>271</v>
      </c>
      <c r="G323">
        <v>504700</v>
      </c>
      <c r="H323">
        <v>459100</v>
      </c>
      <c r="I323" t="s">
        <v>93</v>
      </c>
      <c r="J323" t="s">
        <v>94</v>
      </c>
      <c r="K323" t="s">
        <v>202</v>
      </c>
      <c r="L323" t="s">
        <v>664</v>
      </c>
      <c r="M323">
        <v>45600</v>
      </c>
      <c r="N323">
        <v>45600</v>
      </c>
      <c r="AA323" t="s">
        <v>665</v>
      </c>
      <c r="AB323" t="s">
        <v>666</v>
      </c>
      <c r="AC323" t="s">
        <v>667</v>
      </c>
      <c r="AD323" t="s">
        <v>365</v>
      </c>
      <c r="AE323" t="s">
        <v>668</v>
      </c>
      <c r="AF323" t="s">
        <v>669</v>
      </c>
      <c r="AG323" t="s">
        <v>102</v>
      </c>
      <c r="AH323" t="s">
        <v>299</v>
      </c>
      <c r="AI323">
        <v>46172</v>
      </c>
      <c r="AK323" t="s">
        <v>137</v>
      </c>
      <c r="AL323" t="s">
        <v>142</v>
      </c>
      <c r="AM323" t="s">
        <v>411</v>
      </c>
      <c r="AN323" t="s">
        <v>107</v>
      </c>
      <c r="AO323" t="s">
        <v>107</v>
      </c>
      <c r="AP323">
        <v>14000</v>
      </c>
      <c r="AQ323">
        <v>0</v>
      </c>
      <c r="AR323">
        <v>14000</v>
      </c>
      <c r="AT323" t="s">
        <v>243</v>
      </c>
      <c r="AZ323" t="s">
        <v>113</v>
      </c>
      <c r="BC323" t="s">
        <v>543</v>
      </c>
      <c r="BN323" t="s">
        <v>113</v>
      </c>
      <c r="BO323" t="s">
        <v>671</v>
      </c>
      <c r="BP323" t="s">
        <v>370</v>
      </c>
      <c r="BR323" t="s">
        <v>467</v>
      </c>
      <c r="BW323" t="s">
        <v>1157</v>
      </c>
      <c r="BX323" t="s">
        <v>1158</v>
      </c>
      <c r="BY323" t="s">
        <v>123</v>
      </c>
      <c r="BZ323" t="s">
        <v>124</v>
      </c>
    </row>
    <row r="324" spans="1:78" x14ac:dyDescent="0.3">
      <c r="A324" t="s">
        <v>11</v>
      </c>
      <c r="B324" t="s">
        <v>92</v>
      </c>
      <c r="C324" t="s">
        <v>93</v>
      </c>
      <c r="D324" t="s">
        <v>94</v>
      </c>
      <c r="E324" t="s">
        <v>95</v>
      </c>
      <c r="F324" t="s">
        <v>271</v>
      </c>
      <c r="G324">
        <v>504700</v>
      </c>
      <c r="H324">
        <v>459100</v>
      </c>
      <c r="I324" t="s">
        <v>93</v>
      </c>
      <c r="J324" t="s">
        <v>94</v>
      </c>
      <c r="K324" t="s">
        <v>202</v>
      </c>
      <c r="L324" t="s">
        <v>664</v>
      </c>
      <c r="M324">
        <v>45600</v>
      </c>
      <c r="N324">
        <v>45600</v>
      </c>
      <c r="AA324" t="s">
        <v>665</v>
      </c>
      <c r="AB324" t="s">
        <v>666</v>
      </c>
      <c r="AC324" t="s">
        <v>667</v>
      </c>
      <c r="AD324" t="s">
        <v>365</v>
      </c>
      <c r="AE324" t="s">
        <v>668</v>
      </c>
      <c r="AF324" t="s">
        <v>669</v>
      </c>
      <c r="AG324" t="s">
        <v>102</v>
      </c>
      <c r="AH324" t="s">
        <v>299</v>
      </c>
      <c r="AI324">
        <v>46172</v>
      </c>
      <c r="AK324" t="s">
        <v>137</v>
      </c>
      <c r="AL324" t="s">
        <v>146</v>
      </c>
      <c r="AM324" t="s">
        <v>1366</v>
      </c>
      <c r="AN324" t="s">
        <v>107</v>
      </c>
      <c r="AO324" t="s">
        <v>107</v>
      </c>
      <c r="AP324">
        <v>173000</v>
      </c>
      <c r="AQ324">
        <v>0</v>
      </c>
      <c r="AR324">
        <v>173000</v>
      </c>
      <c r="AT324" t="s">
        <v>243</v>
      </c>
      <c r="AZ324" t="s">
        <v>113</v>
      </c>
      <c r="BC324" t="s">
        <v>543</v>
      </c>
      <c r="BN324" t="s">
        <v>113</v>
      </c>
      <c r="BO324" t="s">
        <v>671</v>
      </c>
      <c r="BP324" t="s">
        <v>370</v>
      </c>
      <c r="BR324" t="s">
        <v>467</v>
      </c>
      <c r="BW324" t="s">
        <v>1157</v>
      </c>
      <c r="BX324" t="s">
        <v>1158</v>
      </c>
      <c r="BY324" t="s">
        <v>123</v>
      </c>
      <c r="BZ324" t="s">
        <v>124</v>
      </c>
    </row>
    <row r="325" spans="1:78" x14ac:dyDescent="0.3">
      <c r="A325" t="s">
        <v>11</v>
      </c>
      <c r="B325" t="s">
        <v>92</v>
      </c>
      <c r="C325" t="s">
        <v>93</v>
      </c>
      <c r="D325" t="s">
        <v>94</v>
      </c>
      <c r="E325" t="s">
        <v>95</v>
      </c>
      <c r="F325" t="s">
        <v>271</v>
      </c>
      <c r="G325">
        <v>504700</v>
      </c>
      <c r="H325">
        <v>459100</v>
      </c>
      <c r="I325" t="s">
        <v>93</v>
      </c>
      <c r="J325" t="s">
        <v>94</v>
      </c>
      <c r="K325" t="s">
        <v>202</v>
      </c>
      <c r="L325" t="s">
        <v>664</v>
      </c>
      <c r="M325">
        <v>45600</v>
      </c>
      <c r="N325">
        <v>45600</v>
      </c>
      <c r="AA325" t="s">
        <v>665</v>
      </c>
      <c r="AB325" t="s">
        <v>666</v>
      </c>
      <c r="AC325" t="s">
        <v>667</v>
      </c>
      <c r="AD325" t="s">
        <v>365</v>
      </c>
      <c r="AE325" t="s">
        <v>668</v>
      </c>
      <c r="AF325" t="s">
        <v>669</v>
      </c>
      <c r="AG325" t="s">
        <v>102</v>
      </c>
      <c r="AH325" t="s">
        <v>299</v>
      </c>
      <c r="AI325">
        <v>46234</v>
      </c>
      <c r="AK325" t="s">
        <v>218</v>
      </c>
      <c r="AL325" t="s">
        <v>105</v>
      </c>
      <c r="AM325" t="s">
        <v>1367</v>
      </c>
      <c r="AN325" t="s">
        <v>107</v>
      </c>
      <c r="AO325" t="s">
        <v>107</v>
      </c>
      <c r="AP325">
        <v>304700</v>
      </c>
      <c r="AQ325">
        <v>0</v>
      </c>
      <c r="AR325">
        <v>304700</v>
      </c>
      <c r="AT325" t="s">
        <v>243</v>
      </c>
      <c r="AZ325" t="s">
        <v>113</v>
      </c>
      <c r="BC325" t="s">
        <v>1160</v>
      </c>
      <c r="BN325" t="s">
        <v>113</v>
      </c>
      <c r="BO325" t="s">
        <v>671</v>
      </c>
      <c r="BP325" t="s">
        <v>370</v>
      </c>
      <c r="BR325" t="s">
        <v>467</v>
      </c>
      <c r="BW325" t="s">
        <v>1157</v>
      </c>
      <c r="BX325" t="s">
        <v>1158</v>
      </c>
      <c r="BY325" t="s">
        <v>123</v>
      </c>
      <c r="BZ325" t="s">
        <v>124</v>
      </c>
    </row>
    <row r="326" spans="1:78" x14ac:dyDescent="0.3">
      <c r="A326" t="s">
        <v>12</v>
      </c>
      <c r="B326" t="s">
        <v>92</v>
      </c>
      <c r="C326" t="s">
        <v>93</v>
      </c>
      <c r="D326" t="s">
        <v>94</v>
      </c>
      <c r="E326" t="s">
        <v>95</v>
      </c>
      <c r="F326" t="s">
        <v>673</v>
      </c>
      <c r="G326">
        <v>430000</v>
      </c>
      <c r="H326">
        <v>430000</v>
      </c>
      <c r="AA326" t="s">
        <v>674</v>
      </c>
      <c r="AB326" t="s">
        <v>675</v>
      </c>
      <c r="AC326" t="s">
        <v>676</v>
      </c>
      <c r="AD326" t="s">
        <v>365</v>
      </c>
      <c r="AE326" t="s">
        <v>677</v>
      </c>
      <c r="AF326" t="s">
        <v>678</v>
      </c>
      <c r="AG326" t="s">
        <v>102</v>
      </c>
      <c r="AH326" t="s">
        <v>242</v>
      </c>
      <c r="AI326">
        <v>46112</v>
      </c>
      <c r="AJ326">
        <v>46107</v>
      </c>
      <c r="AK326" t="s">
        <v>1122</v>
      </c>
      <c r="AL326" t="s">
        <v>142</v>
      </c>
      <c r="AM326" t="s">
        <v>107</v>
      </c>
      <c r="AN326" t="s">
        <v>107</v>
      </c>
      <c r="AO326" t="s">
        <v>107</v>
      </c>
      <c r="AP326">
        <v>43000</v>
      </c>
      <c r="AQ326">
        <v>23200</v>
      </c>
      <c r="AR326">
        <v>0</v>
      </c>
      <c r="AS326" t="s">
        <v>107</v>
      </c>
      <c r="AT326" t="s">
        <v>108</v>
      </c>
      <c r="AU326" t="s">
        <v>109</v>
      </c>
      <c r="AV326" t="s">
        <v>451</v>
      </c>
      <c r="AW326" t="s">
        <v>111</v>
      </c>
      <c r="AY326" t="s">
        <v>1368</v>
      </c>
      <c r="AZ326" t="s">
        <v>113</v>
      </c>
      <c r="BB326" t="s">
        <v>114</v>
      </c>
      <c r="BC326" t="s">
        <v>115</v>
      </c>
      <c r="BN326" t="s">
        <v>113</v>
      </c>
      <c r="BO326" t="s">
        <v>680</v>
      </c>
      <c r="BP326" t="s">
        <v>370</v>
      </c>
      <c r="BR326" t="s">
        <v>396</v>
      </c>
      <c r="BS326" t="s">
        <v>1369</v>
      </c>
      <c r="BW326" t="s">
        <v>1157</v>
      </c>
      <c r="BX326" t="s">
        <v>1158</v>
      </c>
      <c r="BY326" t="s">
        <v>123</v>
      </c>
      <c r="BZ326" t="s">
        <v>124</v>
      </c>
    </row>
    <row r="327" spans="1:78" x14ac:dyDescent="0.3">
      <c r="A327" t="s">
        <v>12</v>
      </c>
      <c r="B327" t="s">
        <v>92</v>
      </c>
      <c r="C327" t="s">
        <v>93</v>
      </c>
      <c r="D327" t="s">
        <v>94</v>
      </c>
      <c r="E327" t="s">
        <v>95</v>
      </c>
      <c r="F327" t="s">
        <v>673</v>
      </c>
      <c r="G327">
        <v>430000</v>
      </c>
      <c r="H327">
        <v>430000</v>
      </c>
      <c r="AA327" t="s">
        <v>674</v>
      </c>
      <c r="AB327" t="s">
        <v>675</v>
      </c>
      <c r="AC327" t="s">
        <v>676</v>
      </c>
      <c r="AD327" t="s">
        <v>365</v>
      </c>
      <c r="AE327" t="s">
        <v>677</v>
      </c>
      <c r="AF327" t="s">
        <v>678</v>
      </c>
      <c r="AG327" t="s">
        <v>102</v>
      </c>
      <c r="AH327" t="s">
        <v>242</v>
      </c>
      <c r="AI327">
        <v>46112</v>
      </c>
      <c r="AJ327">
        <v>46107</v>
      </c>
      <c r="AK327" t="s">
        <v>1122</v>
      </c>
      <c r="AL327" t="s">
        <v>142</v>
      </c>
      <c r="AM327" t="s">
        <v>1370</v>
      </c>
      <c r="AN327" t="s">
        <v>107</v>
      </c>
      <c r="AO327" t="s">
        <v>107</v>
      </c>
      <c r="AP327">
        <v>0</v>
      </c>
      <c r="AQ327">
        <v>19800</v>
      </c>
      <c r="AR327">
        <v>0</v>
      </c>
      <c r="AS327" t="s">
        <v>107</v>
      </c>
      <c r="AT327" t="s">
        <v>108</v>
      </c>
      <c r="AU327" t="s">
        <v>109</v>
      </c>
      <c r="AV327" t="s">
        <v>451</v>
      </c>
      <c r="AW327" t="s">
        <v>111</v>
      </c>
      <c r="AY327" t="s">
        <v>1371</v>
      </c>
      <c r="AZ327" t="s">
        <v>113</v>
      </c>
      <c r="BB327" t="s">
        <v>114</v>
      </c>
      <c r="BC327" t="s">
        <v>115</v>
      </c>
      <c r="BN327" t="s">
        <v>113</v>
      </c>
      <c r="BO327" t="s">
        <v>680</v>
      </c>
      <c r="BP327" t="s">
        <v>370</v>
      </c>
      <c r="BR327" t="s">
        <v>396</v>
      </c>
      <c r="BS327" t="s">
        <v>1372</v>
      </c>
      <c r="BW327" t="s">
        <v>1157</v>
      </c>
      <c r="BX327" t="s">
        <v>1158</v>
      </c>
      <c r="BY327" t="s">
        <v>123</v>
      </c>
      <c r="BZ327" t="s">
        <v>124</v>
      </c>
    </row>
    <row r="328" spans="1:78" x14ac:dyDescent="0.3">
      <c r="A328" t="s">
        <v>12</v>
      </c>
      <c r="B328" t="s">
        <v>92</v>
      </c>
      <c r="C328" t="s">
        <v>93</v>
      </c>
      <c r="D328" t="s">
        <v>94</v>
      </c>
      <c r="E328" t="s">
        <v>95</v>
      </c>
      <c r="F328" t="s">
        <v>673</v>
      </c>
      <c r="G328">
        <v>430000</v>
      </c>
      <c r="H328">
        <v>430000</v>
      </c>
      <c r="AA328" t="s">
        <v>674</v>
      </c>
      <c r="AB328" t="s">
        <v>675</v>
      </c>
      <c r="AC328" t="s">
        <v>676</v>
      </c>
      <c r="AD328" t="s">
        <v>365</v>
      </c>
      <c r="AE328" t="s">
        <v>677</v>
      </c>
      <c r="AF328" t="s">
        <v>678</v>
      </c>
      <c r="AG328" t="s">
        <v>102</v>
      </c>
      <c r="AH328" t="s">
        <v>242</v>
      </c>
      <c r="AI328">
        <v>46232.388888888891</v>
      </c>
      <c r="AK328" t="s">
        <v>218</v>
      </c>
      <c r="AL328" t="s">
        <v>105</v>
      </c>
      <c r="AM328" t="s">
        <v>1373</v>
      </c>
      <c r="AN328" t="s">
        <v>107</v>
      </c>
      <c r="AO328" t="s">
        <v>107</v>
      </c>
      <c r="AP328">
        <v>344000</v>
      </c>
      <c r="AQ328">
        <v>0</v>
      </c>
      <c r="AR328">
        <v>344000</v>
      </c>
      <c r="AT328" t="s">
        <v>108</v>
      </c>
      <c r="AZ328" t="s">
        <v>113</v>
      </c>
      <c r="BC328" t="s">
        <v>1160</v>
      </c>
      <c r="BN328" t="s">
        <v>113</v>
      </c>
      <c r="BO328" t="s">
        <v>680</v>
      </c>
      <c r="BP328" t="s">
        <v>370</v>
      </c>
      <c r="BR328" t="s">
        <v>396</v>
      </c>
      <c r="BW328" t="s">
        <v>1157</v>
      </c>
      <c r="BX328" t="s">
        <v>1158</v>
      </c>
      <c r="BY328" t="s">
        <v>123</v>
      </c>
      <c r="BZ328" t="s">
        <v>124</v>
      </c>
    </row>
    <row r="329" spans="1:78" x14ac:dyDescent="0.3">
      <c r="A329" t="s">
        <v>12</v>
      </c>
      <c r="B329" t="s">
        <v>92</v>
      </c>
      <c r="C329" t="s">
        <v>93</v>
      </c>
      <c r="D329" t="s">
        <v>94</v>
      </c>
      <c r="E329" t="s">
        <v>202</v>
      </c>
      <c r="F329" t="s">
        <v>685</v>
      </c>
      <c r="G329">
        <v>48500</v>
      </c>
      <c r="H329">
        <v>48500</v>
      </c>
      <c r="AA329" t="s">
        <v>674</v>
      </c>
      <c r="AB329" t="s">
        <v>675</v>
      </c>
      <c r="AC329" t="s">
        <v>676</v>
      </c>
      <c r="AD329" t="s">
        <v>365</v>
      </c>
      <c r="AE329" t="s">
        <v>677</v>
      </c>
      <c r="AF329" t="s">
        <v>678</v>
      </c>
      <c r="AG329" t="s">
        <v>102</v>
      </c>
      <c r="AH329" t="s">
        <v>242</v>
      </c>
      <c r="AI329">
        <v>46053</v>
      </c>
      <c r="AJ329">
        <v>46048</v>
      </c>
      <c r="AK329" t="s">
        <v>218</v>
      </c>
      <c r="AL329" t="s">
        <v>152</v>
      </c>
      <c r="AM329" t="s">
        <v>693</v>
      </c>
      <c r="AN329" t="s">
        <v>107</v>
      </c>
      <c r="AO329" t="s">
        <v>107</v>
      </c>
      <c r="AP329">
        <v>1940</v>
      </c>
      <c r="AQ329">
        <v>1940</v>
      </c>
      <c r="AR329">
        <v>0</v>
      </c>
      <c r="AS329" t="s">
        <v>107</v>
      </c>
      <c r="AT329" t="s">
        <v>161</v>
      </c>
      <c r="AU329" t="s">
        <v>109</v>
      </c>
      <c r="AV329" t="s">
        <v>451</v>
      </c>
      <c r="AW329" t="s">
        <v>111</v>
      </c>
      <c r="AY329" t="s">
        <v>694</v>
      </c>
      <c r="AZ329" t="s">
        <v>113</v>
      </c>
      <c r="BB329" t="s">
        <v>114</v>
      </c>
      <c r="BC329" t="s">
        <v>115</v>
      </c>
      <c r="BN329" t="s">
        <v>116</v>
      </c>
      <c r="BO329" t="s">
        <v>687</v>
      </c>
      <c r="BP329" t="s">
        <v>370</v>
      </c>
      <c r="BR329" t="s">
        <v>688</v>
      </c>
      <c r="BS329" t="s">
        <v>1374</v>
      </c>
      <c r="BW329" t="s">
        <v>1157</v>
      </c>
      <c r="BX329" t="s">
        <v>1158</v>
      </c>
      <c r="BY329" t="s">
        <v>123</v>
      </c>
      <c r="BZ329" t="s">
        <v>124</v>
      </c>
    </row>
    <row r="330" spans="1:78" x14ac:dyDescent="0.3">
      <c r="A330" t="s">
        <v>12</v>
      </c>
      <c r="B330" t="s">
        <v>92</v>
      </c>
      <c r="C330" t="s">
        <v>93</v>
      </c>
      <c r="D330" t="s">
        <v>94</v>
      </c>
      <c r="E330" t="s">
        <v>202</v>
      </c>
      <c r="F330" t="s">
        <v>685</v>
      </c>
      <c r="G330">
        <v>48500</v>
      </c>
      <c r="H330">
        <v>48500</v>
      </c>
      <c r="AA330" t="s">
        <v>674</v>
      </c>
      <c r="AB330" t="s">
        <v>675</v>
      </c>
      <c r="AC330" t="s">
        <v>676</v>
      </c>
      <c r="AD330" t="s">
        <v>365</v>
      </c>
      <c r="AE330" t="s">
        <v>677</v>
      </c>
      <c r="AF330" t="s">
        <v>678</v>
      </c>
      <c r="AG330" t="s">
        <v>102</v>
      </c>
      <c r="AH330" t="s">
        <v>242</v>
      </c>
      <c r="AI330">
        <v>46081</v>
      </c>
      <c r="AJ330">
        <v>46078</v>
      </c>
      <c r="AK330" t="s">
        <v>218</v>
      </c>
      <c r="AL330" t="s">
        <v>584</v>
      </c>
      <c r="AM330" t="s">
        <v>693</v>
      </c>
      <c r="AN330" t="s">
        <v>107</v>
      </c>
      <c r="AO330" t="s">
        <v>107</v>
      </c>
      <c r="AP330">
        <v>1940</v>
      </c>
      <c r="AQ330">
        <v>1940</v>
      </c>
      <c r="AR330">
        <v>0</v>
      </c>
      <c r="AS330" t="s">
        <v>107</v>
      </c>
      <c r="AT330" t="s">
        <v>161</v>
      </c>
      <c r="AU330" t="s">
        <v>109</v>
      </c>
      <c r="AV330" t="s">
        <v>451</v>
      </c>
      <c r="AW330" t="s">
        <v>111</v>
      </c>
      <c r="AY330" t="s">
        <v>1375</v>
      </c>
      <c r="AZ330" t="s">
        <v>113</v>
      </c>
      <c r="BB330" t="s">
        <v>114</v>
      </c>
      <c r="BC330" t="s">
        <v>115</v>
      </c>
      <c r="BN330" t="s">
        <v>116</v>
      </c>
      <c r="BO330" t="s">
        <v>687</v>
      </c>
      <c r="BP330" t="s">
        <v>370</v>
      </c>
      <c r="BR330" t="s">
        <v>688</v>
      </c>
      <c r="BS330" t="s">
        <v>1376</v>
      </c>
      <c r="BW330" t="s">
        <v>1157</v>
      </c>
      <c r="BX330" t="s">
        <v>1158</v>
      </c>
      <c r="BY330" t="s">
        <v>123</v>
      </c>
      <c r="BZ330" t="s">
        <v>124</v>
      </c>
    </row>
    <row r="331" spans="1:78" x14ac:dyDescent="0.3">
      <c r="A331" t="s">
        <v>12</v>
      </c>
      <c r="B331" t="s">
        <v>92</v>
      </c>
      <c r="C331" t="s">
        <v>93</v>
      </c>
      <c r="D331" t="s">
        <v>94</v>
      </c>
      <c r="E331" t="s">
        <v>202</v>
      </c>
      <c r="F331" t="s">
        <v>685</v>
      </c>
      <c r="G331">
        <v>48500</v>
      </c>
      <c r="H331">
        <v>48500</v>
      </c>
      <c r="AA331" t="s">
        <v>674</v>
      </c>
      <c r="AB331" t="s">
        <v>675</v>
      </c>
      <c r="AC331" t="s">
        <v>676</v>
      </c>
      <c r="AD331" t="s">
        <v>365</v>
      </c>
      <c r="AE331" t="s">
        <v>677</v>
      </c>
      <c r="AF331" t="s">
        <v>678</v>
      </c>
      <c r="AG331" t="s">
        <v>102</v>
      </c>
      <c r="AH331" t="s">
        <v>242</v>
      </c>
      <c r="AI331">
        <v>46112</v>
      </c>
      <c r="AJ331">
        <v>46107</v>
      </c>
      <c r="AK331" t="s">
        <v>218</v>
      </c>
      <c r="AL331" t="s">
        <v>397</v>
      </c>
      <c r="AM331" t="s">
        <v>693</v>
      </c>
      <c r="AN331" t="s">
        <v>107</v>
      </c>
      <c r="AO331" t="s">
        <v>107</v>
      </c>
      <c r="AP331">
        <v>1940</v>
      </c>
      <c r="AQ331">
        <v>1940</v>
      </c>
      <c r="AR331">
        <v>0</v>
      </c>
      <c r="AS331" t="s">
        <v>107</v>
      </c>
      <c r="AT331" t="s">
        <v>161</v>
      </c>
      <c r="AU331" t="s">
        <v>109</v>
      </c>
      <c r="AV331" t="s">
        <v>451</v>
      </c>
      <c r="AW331" t="s">
        <v>111</v>
      </c>
      <c r="AY331" t="s">
        <v>1371</v>
      </c>
      <c r="AZ331" t="s">
        <v>113</v>
      </c>
      <c r="BB331" t="s">
        <v>114</v>
      </c>
      <c r="BC331" t="s">
        <v>115</v>
      </c>
      <c r="BN331" t="s">
        <v>116</v>
      </c>
      <c r="BO331" t="s">
        <v>687</v>
      </c>
      <c r="BP331" t="s">
        <v>370</v>
      </c>
      <c r="BR331" t="s">
        <v>688</v>
      </c>
      <c r="BS331" t="s">
        <v>1377</v>
      </c>
      <c r="BW331" t="s">
        <v>1157</v>
      </c>
      <c r="BX331" t="s">
        <v>1158</v>
      </c>
      <c r="BY331" t="s">
        <v>123</v>
      </c>
      <c r="BZ331" t="s">
        <v>124</v>
      </c>
    </row>
    <row r="332" spans="1:78" x14ac:dyDescent="0.3">
      <c r="A332" t="s">
        <v>12</v>
      </c>
      <c r="B332" t="s">
        <v>92</v>
      </c>
      <c r="C332" t="s">
        <v>93</v>
      </c>
      <c r="D332" t="s">
        <v>94</v>
      </c>
      <c r="E332" t="s">
        <v>202</v>
      </c>
      <c r="F332" t="s">
        <v>685</v>
      </c>
      <c r="G332">
        <v>48500</v>
      </c>
      <c r="H332">
        <v>48500</v>
      </c>
      <c r="AA332" t="s">
        <v>674</v>
      </c>
      <c r="AB332" t="s">
        <v>675</v>
      </c>
      <c r="AC332" t="s">
        <v>676</v>
      </c>
      <c r="AD332" t="s">
        <v>365</v>
      </c>
      <c r="AE332" t="s">
        <v>677</v>
      </c>
      <c r="AF332" t="s">
        <v>678</v>
      </c>
      <c r="AG332" t="s">
        <v>102</v>
      </c>
      <c r="AH332" t="s">
        <v>242</v>
      </c>
      <c r="AI332">
        <v>46142</v>
      </c>
      <c r="AJ332">
        <v>46134</v>
      </c>
      <c r="AK332" t="s">
        <v>218</v>
      </c>
      <c r="AL332" t="s">
        <v>588</v>
      </c>
      <c r="AM332" t="s">
        <v>693</v>
      </c>
      <c r="AN332" t="s">
        <v>107</v>
      </c>
      <c r="AO332" t="s">
        <v>107</v>
      </c>
      <c r="AP332">
        <v>1940</v>
      </c>
      <c r="AQ332">
        <v>1940</v>
      </c>
      <c r="AR332">
        <v>0</v>
      </c>
      <c r="AS332" t="s">
        <v>107</v>
      </c>
      <c r="AT332" t="s">
        <v>161</v>
      </c>
      <c r="AU332" t="s">
        <v>109</v>
      </c>
      <c r="AV332" t="s">
        <v>451</v>
      </c>
      <c r="AW332" t="s">
        <v>111</v>
      </c>
      <c r="AY332" t="s">
        <v>1378</v>
      </c>
      <c r="AZ332" t="s">
        <v>113</v>
      </c>
      <c r="BB332" t="s">
        <v>114</v>
      </c>
      <c r="BC332" t="s">
        <v>115</v>
      </c>
      <c r="BN332" t="s">
        <v>116</v>
      </c>
      <c r="BO332" t="s">
        <v>687</v>
      </c>
      <c r="BP332" t="s">
        <v>370</v>
      </c>
      <c r="BR332" t="s">
        <v>688</v>
      </c>
      <c r="BS332" t="s">
        <v>1379</v>
      </c>
      <c r="BW332" t="s">
        <v>1157</v>
      </c>
      <c r="BX332" t="s">
        <v>1158</v>
      </c>
      <c r="BY332" t="s">
        <v>123</v>
      </c>
      <c r="BZ332" t="s">
        <v>124</v>
      </c>
    </row>
    <row r="333" spans="1:78" x14ac:dyDescent="0.3">
      <c r="A333" t="s">
        <v>12</v>
      </c>
      <c r="B333" t="s">
        <v>92</v>
      </c>
      <c r="C333" t="s">
        <v>93</v>
      </c>
      <c r="D333" t="s">
        <v>94</v>
      </c>
      <c r="E333" t="s">
        <v>202</v>
      </c>
      <c r="F333" t="s">
        <v>685</v>
      </c>
      <c r="G333">
        <v>48500</v>
      </c>
      <c r="H333">
        <v>48500</v>
      </c>
      <c r="AA333" t="s">
        <v>674</v>
      </c>
      <c r="AB333" t="s">
        <v>675</v>
      </c>
      <c r="AC333" t="s">
        <v>676</v>
      </c>
      <c r="AD333" t="s">
        <v>365</v>
      </c>
      <c r="AE333" t="s">
        <v>677</v>
      </c>
      <c r="AF333" t="s">
        <v>678</v>
      </c>
      <c r="AG333" t="s">
        <v>102</v>
      </c>
      <c r="AH333" t="s">
        <v>242</v>
      </c>
      <c r="AI333">
        <v>46173</v>
      </c>
      <c r="AJ333">
        <v>46167</v>
      </c>
      <c r="AK333" t="s">
        <v>218</v>
      </c>
      <c r="AL333" t="s">
        <v>591</v>
      </c>
      <c r="AM333" t="s">
        <v>693</v>
      </c>
      <c r="AN333" t="s">
        <v>107</v>
      </c>
      <c r="AO333" t="s">
        <v>107</v>
      </c>
      <c r="AP333">
        <v>1940</v>
      </c>
      <c r="AQ333">
        <v>1940</v>
      </c>
      <c r="AR333">
        <v>0</v>
      </c>
      <c r="AS333" t="s">
        <v>107</v>
      </c>
      <c r="AT333" t="s">
        <v>161</v>
      </c>
      <c r="AU333" t="s">
        <v>109</v>
      </c>
      <c r="AV333" t="s">
        <v>451</v>
      </c>
      <c r="AW333" t="s">
        <v>111</v>
      </c>
      <c r="AY333" t="s">
        <v>1371</v>
      </c>
      <c r="AZ333" t="s">
        <v>113</v>
      </c>
      <c r="BB333" t="s">
        <v>114</v>
      </c>
      <c r="BC333" t="s">
        <v>115</v>
      </c>
      <c r="BN333" t="s">
        <v>116</v>
      </c>
      <c r="BO333" t="s">
        <v>687</v>
      </c>
      <c r="BP333" t="s">
        <v>370</v>
      </c>
      <c r="BR333" t="s">
        <v>688</v>
      </c>
      <c r="BS333" t="s">
        <v>1380</v>
      </c>
      <c r="BW333" t="s">
        <v>1157</v>
      </c>
      <c r="BX333" t="s">
        <v>1158</v>
      </c>
      <c r="BY333" t="s">
        <v>123</v>
      </c>
      <c r="BZ333" t="s">
        <v>124</v>
      </c>
    </row>
    <row r="334" spans="1:78" x14ac:dyDescent="0.3">
      <c r="A334" t="s">
        <v>12</v>
      </c>
      <c r="B334" t="s">
        <v>92</v>
      </c>
      <c r="C334" t="s">
        <v>93</v>
      </c>
      <c r="D334" t="s">
        <v>94</v>
      </c>
      <c r="E334" t="s">
        <v>202</v>
      </c>
      <c r="F334" t="s">
        <v>685</v>
      </c>
      <c r="G334">
        <v>48500</v>
      </c>
      <c r="H334">
        <v>48500</v>
      </c>
      <c r="AA334" t="s">
        <v>674</v>
      </c>
      <c r="AB334" t="s">
        <v>675</v>
      </c>
      <c r="AC334" t="s">
        <v>676</v>
      </c>
      <c r="AD334" t="s">
        <v>365</v>
      </c>
      <c r="AE334" t="s">
        <v>677</v>
      </c>
      <c r="AF334" t="s">
        <v>678</v>
      </c>
      <c r="AG334" t="s">
        <v>102</v>
      </c>
      <c r="AH334" t="s">
        <v>242</v>
      </c>
      <c r="AI334">
        <v>46203</v>
      </c>
      <c r="AJ334">
        <v>46196</v>
      </c>
      <c r="AK334" t="s">
        <v>218</v>
      </c>
      <c r="AL334" t="s">
        <v>594</v>
      </c>
      <c r="AM334" t="s">
        <v>693</v>
      </c>
      <c r="AN334" t="s">
        <v>107</v>
      </c>
      <c r="AO334" t="s">
        <v>107</v>
      </c>
      <c r="AP334">
        <v>1940</v>
      </c>
      <c r="AQ334">
        <v>1940</v>
      </c>
      <c r="AR334">
        <v>0</v>
      </c>
      <c r="AS334" t="s">
        <v>107</v>
      </c>
      <c r="AT334" t="s">
        <v>161</v>
      </c>
      <c r="AU334" t="s">
        <v>109</v>
      </c>
      <c r="AV334" t="s">
        <v>451</v>
      </c>
      <c r="AW334" t="s">
        <v>111</v>
      </c>
      <c r="AY334" t="s">
        <v>1381</v>
      </c>
      <c r="AZ334" t="s">
        <v>113</v>
      </c>
      <c r="BB334" t="s">
        <v>114</v>
      </c>
      <c r="BC334" t="s">
        <v>115</v>
      </c>
      <c r="BN334" t="s">
        <v>116</v>
      </c>
      <c r="BO334" t="s">
        <v>687</v>
      </c>
      <c r="BP334" t="s">
        <v>370</v>
      </c>
      <c r="BR334" t="s">
        <v>688</v>
      </c>
      <c r="BS334" t="s">
        <v>1380</v>
      </c>
      <c r="BW334" t="s">
        <v>1157</v>
      </c>
      <c r="BX334" t="s">
        <v>1158</v>
      </c>
      <c r="BY334" t="s">
        <v>123</v>
      </c>
      <c r="BZ334" t="s">
        <v>124</v>
      </c>
    </row>
    <row r="335" spans="1:78" x14ac:dyDescent="0.3">
      <c r="A335" t="s">
        <v>12</v>
      </c>
      <c r="B335" t="s">
        <v>92</v>
      </c>
      <c r="C335" t="s">
        <v>93</v>
      </c>
      <c r="D335" t="s">
        <v>94</v>
      </c>
      <c r="E335" t="s">
        <v>202</v>
      </c>
      <c r="F335" t="s">
        <v>685</v>
      </c>
      <c r="G335">
        <v>48500</v>
      </c>
      <c r="H335">
        <v>48500</v>
      </c>
      <c r="AA335" t="s">
        <v>674</v>
      </c>
      <c r="AB335" t="s">
        <v>675</v>
      </c>
      <c r="AC335" t="s">
        <v>676</v>
      </c>
      <c r="AD335" t="s">
        <v>365</v>
      </c>
      <c r="AE335" t="s">
        <v>677</v>
      </c>
      <c r="AF335" t="s">
        <v>678</v>
      </c>
      <c r="AG335" t="s">
        <v>102</v>
      </c>
      <c r="AH335" t="s">
        <v>242</v>
      </c>
      <c r="AI335">
        <v>46234</v>
      </c>
      <c r="AK335" t="s">
        <v>218</v>
      </c>
      <c r="AL335" t="s">
        <v>597</v>
      </c>
      <c r="AM335" t="s">
        <v>693</v>
      </c>
      <c r="AN335" t="s">
        <v>107</v>
      </c>
      <c r="AO335" t="s">
        <v>107</v>
      </c>
      <c r="AP335">
        <v>1940</v>
      </c>
      <c r="AQ335">
        <v>0</v>
      </c>
      <c r="AR335">
        <v>1940</v>
      </c>
      <c r="AT335" t="s">
        <v>161</v>
      </c>
      <c r="AZ335" t="s">
        <v>113</v>
      </c>
      <c r="BC335" t="s">
        <v>1160</v>
      </c>
      <c r="BN335" t="s">
        <v>113</v>
      </c>
      <c r="BO335" t="s">
        <v>687</v>
      </c>
      <c r="BP335" t="s">
        <v>370</v>
      </c>
      <c r="BR335" t="s">
        <v>688</v>
      </c>
      <c r="BW335" t="s">
        <v>1157</v>
      </c>
      <c r="BX335" t="s">
        <v>1158</v>
      </c>
      <c r="BY335" t="s">
        <v>123</v>
      </c>
      <c r="BZ335" t="s">
        <v>124</v>
      </c>
    </row>
    <row r="336" spans="1:78" x14ac:dyDescent="0.3">
      <c r="A336" t="s">
        <v>12</v>
      </c>
      <c r="B336" t="s">
        <v>92</v>
      </c>
      <c r="C336" t="s">
        <v>93</v>
      </c>
      <c r="D336" t="s">
        <v>94</v>
      </c>
      <c r="E336" t="s">
        <v>202</v>
      </c>
      <c r="F336" t="s">
        <v>685</v>
      </c>
      <c r="G336">
        <v>48500</v>
      </c>
      <c r="H336">
        <v>48500</v>
      </c>
      <c r="AA336" t="s">
        <v>674</v>
      </c>
      <c r="AB336" t="s">
        <v>675</v>
      </c>
      <c r="AC336" t="s">
        <v>676</v>
      </c>
      <c r="AD336" t="s">
        <v>365</v>
      </c>
      <c r="AE336" t="s">
        <v>677</v>
      </c>
      <c r="AF336" t="s">
        <v>678</v>
      </c>
      <c r="AG336" t="s">
        <v>102</v>
      </c>
      <c r="AH336" t="s">
        <v>242</v>
      </c>
      <c r="AI336">
        <v>46265</v>
      </c>
      <c r="AK336" t="s">
        <v>218</v>
      </c>
      <c r="AL336" t="s">
        <v>599</v>
      </c>
      <c r="AM336" t="s">
        <v>693</v>
      </c>
      <c r="AN336" t="s">
        <v>107</v>
      </c>
      <c r="AO336" t="s">
        <v>107</v>
      </c>
      <c r="AP336">
        <v>1940</v>
      </c>
      <c r="AQ336">
        <v>0</v>
      </c>
      <c r="AR336">
        <v>1940</v>
      </c>
      <c r="AT336" t="s">
        <v>161</v>
      </c>
      <c r="AZ336" t="s">
        <v>113</v>
      </c>
      <c r="BC336" t="s">
        <v>1160</v>
      </c>
      <c r="BN336" t="s">
        <v>113</v>
      </c>
      <c r="BO336" t="s">
        <v>687</v>
      </c>
      <c r="BP336" t="s">
        <v>370</v>
      </c>
      <c r="BR336" t="s">
        <v>688</v>
      </c>
      <c r="BW336" t="s">
        <v>1157</v>
      </c>
      <c r="BX336" t="s">
        <v>1158</v>
      </c>
      <c r="BY336" t="s">
        <v>123</v>
      </c>
      <c r="BZ336" t="s">
        <v>124</v>
      </c>
    </row>
    <row r="337" spans="1:78" x14ac:dyDescent="0.3">
      <c r="A337" t="s">
        <v>12</v>
      </c>
      <c r="B337" t="s">
        <v>92</v>
      </c>
      <c r="C337" t="s">
        <v>93</v>
      </c>
      <c r="D337" t="s">
        <v>94</v>
      </c>
      <c r="E337" t="s">
        <v>202</v>
      </c>
      <c r="F337" t="s">
        <v>685</v>
      </c>
      <c r="G337">
        <v>48500</v>
      </c>
      <c r="H337">
        <v>48500</v>
      </c>
      <c r="AA337" t="s">
        <v>674</v>
      </c>
      <c r="AB337" t="s">
        <v>675</v>
      </c>
      <c r="AC337" t="s">
        <v>676</v>
      </c>
      <c r="AD337" t="s">
        <v>365</v>
      </c>
      <c r="AE337" t="s">
        <v>677</v>
      </c>
      <c r="AF337" t="s">
        <v>678</v>
      </c>
      <c r="AG337" t="s">
        <v>102</v>
      </c>
      <c r="AH337" t="s">
        <v>242</v>
      </c>
      <c r="AI337">
        <v>46295</v>
      </c>
      <c r="AK337" t="s">
        <v>218</v>
      </c>
      <c r="AL337" t="s">
        <v>1262</v>
      </c>
      <c r="AM337" t="s">
        <v>693</v>
      </c>
      <c r="AN337" t="s">
        <v>107</v>
      </c>
      <c r="AO337" t="s">
        <v>107</v>
      </c>
      <c r="AP337">
        <v>1940</v>
      </c>
      <c r="AQ337">
        <v>0</v>
      </c>
      <c r="AR337">
        <v>1940</v>
      </c>
      <c r="AT337" t="s">
        <v>161</v>
      </c>
      <c r="AZ337" t="s">
        <v>113</v>
      </c>
      <c r="BC337" t="s">
        <v>1160</v>
      </c>
      <c r="BN337" t="s">
        <v>113</v>
      </c>
      <c r="BO337" t="s">
        <v>687</v>
      </c>
      <c r="BP337" t="s">
        <v>370</v>
      </c>
      <c r="BR337" t="s">
        <v>688</v>
      </c>
      <c r="BW337" t="s">
        <v>1157</v>
      </c>
      <c r="BX337" t="s">
        <v>1158</v>
      </c>
      <c r="BY337" t="s">
        <v>123</v>
      </c>
      <c r="BZ337" t="s">
        <v>124</v>
      </c>
    </row>
    <row r="338" spans="1:78" x14ac:dyDescent="0.3">
      <c r="A338" t="s">
        <v>12</v>
      </c>
      <c r="B338" t="s">
        <v>92</v>
      </c>
      <c r="C338" t="s">
        <v>93</v>
      </c>
      <c r="D338" t="s">
        <v>94</v>
      </c>
      <c r="E338" t="s">
        <v>202</v>
      </c>
      <c r="F338" t="s">
        <v>685</v>
      </c>
      <c r="G338">
        <v>48500</v>
      </c>
      <c r="H338">
        <v>48500</v>
      </c>
      <c r="AA338" t="s">
        <v>674</v>
      </c>
      <c r="AB338" t="s">
        <v>675</v>
      </c>
      <c r="AC338" t="s">
        <v>676</v>
      </c>
      <c r="AD338" t="s">
        <v>365</v>
      </c>
      <c r="AE338" t="s">
        <v>677</v>
      </c>
      <c r="AF338" t="s">
        <v>678</v>
      </c>
      <c r="AG338" t="s">
        <v>102</v>
      </c>
      <c r="AH338" t="s">
        <v>242</v>
      </c>
      <c r="AI338">
        <v>46326</v>
      </c>
      <c r="AK338" t="s">
        <v>218</v>
      </c>
      <c r="AL338" t="s">
        <v>1382</v>
      </c>
      <c r="AM338" t="s">
        <v>693</v>
      </c>
      <c r="AN338" t="s">
        <v>107</v>
      </c>
      <c r="AO338" t="s">
        <v>107</v>
      </c>
      <c r="AP338">
        <v>1940</v>
      </c>
      <c r="AQ338">
        <v>0</v>
      </c>
      <c r="AR338">
        <v>1940</v>
      </c>
      <c r="AT338" t="s">
        <v>161</v>
      </c>
      <c r="AZ338" t="s">
        <v>113</v>
      </c>
      <c r="BC338" t="s">
        <v>1160</v>
      </c>
      <c r="BN338" t="s">
        <v>113</v>
      </c>
      <c r="BO338" t="s">
        <v>687</v>
      </c>
      <c r="BP338" t="s">
        <v>370</v>
      </c>
      <c r="BR338" t="s">
        <v>688</v>
      </c>
      <c r="BW338" t="s">
        <v>1157</v>
      </c>
      <c r="BX338" t="s">
        <v>1158</v>
      </c>
      <c r="BY338" t="s">
        <v>123</v>
      </c>
      <c r="BZ338" t="s">
        <v>124</v>
      </c>
    </row>
    <row r="339" spans="1:78" x14ac:dyDescent="0.3">
      <c r="A339" t="s">
        <v>12</v>
      </c>
      <c r="B339" t="s">
        <v>92</v>
      </c>
      <c r="C339" t="s">
        <v>93</v>
      </c>
      <c r="D339" t="s">
        <v>94</v>
      </c>
      <c r="E339" t="s">
        <v>202</v>
      </c>
      <c r="F339" t="s">
        <v>685</v>
      </c>
      <c r="G339">
        <v>48500</v>
      </c>
      <c r="H339">
        <v>48500</v>
      </c>
      <c r="AA339" t="s">
        <v>674</v>
      </c>
      <c r="AB339" t="s">
        <v>675</v>
      </c>
      <c r="AC339" t="s">
        <v>676</v>
      </c>
      <c r="AD339" t="s">
        <v>365</v>
      </c>
      <c r="AE339" t="s">
        <v>677</v>
      </c>
      <c r="AF339" t="s">
        <v>678</v>
      </c>
      <c r="AG339" t="s">
        <v>102</v>
      </c>
      <c r="AH339" t="s">
        <v>242</v>
      </c>
      <c r="AI339">
        <v>46356</v>
      </c>
      <c r="AK339" t="s">
        <v>218</v>
      </c>
      <c r="AL339" t="s">
        <v>1383</v>
      </c>
      <c r="AM339" t="s">
        <v>693</v>
      </c>
      <c r="AN339" t="s">
        <v>107</v>
      </c>
      <c r="AO339" t="s">
        <v>107</v>
      </c>
      <c r="AP339">
        <v>1940</v>
      </c>
      <c r="AQ339">
        <v>0</v>
      </c>
      <c r="AR339">
        <v>1940</v>
      </c>
      <c r="AT339" t="s">
        <v>161</v>
      </c>
      <c r="AZ339" t="s">
        <v>113</v>
      </c>
      <c r="BC339" t="s">
        <v>1160</v>
      </c>
      <c r="BN339" t="s">
        <v>113</v>
      </c>
      <c r="BO339" t="s">
        <v>687</v>
      </c>
      <c r="BP339" t="s">
        <v>370</v>
      </c>
      <c r="BR339" t="s">
        <v>688</v>
      </c>
      <c r="BW339" t="s">
        <v>1157</v>
      </c>
      <c r="BX339" t="s">
        <v>1158</v>
      </c>
      <c r="BY339" t="s">
        <v>123</v>
      </c>
      <c r="BZ339" t="s">
        <v>124</v>
      </c>
    </row>
    <row r="340" spans="1:78" x14ac:dyDescent="0.3">
      <c r="A340" t="s">
        <v>12</v>
      </c>
      <c r="B340" t="s">
        <v>92</v>
      </c>
      <c r="C340" t="s">
        <v>93</v>
      </c>
      <c r="D340" t="s">
        <v>94</v>
      </c>
      <c r="E340" t="s">
        <v>202</v>
      </c>
      <c r="F340" t="s">
        <v>685</v>
      </c>
      <c r="G340">
        <v>48500</v>
      </c>
      <c r="H340">
        <v>48500</v>
      </c>
      <c r="AA340" t="s">
        <v>674</v>
      </c>
      <c r="AB340" t="s">
        <v>675</v>
      </c>
      <c r="AC340" t="s">
        <v>676</v>
      </c>
      <c r="AD340" t="s">
        <v>365</v>
      </c>
      <c r="AE340" t="s">
        <v>677</v>
      </c>
      <c r="AF340" t="s">
        <v>678</v>
      </c>
      <c r="AG340" t="s">
        <v>102</v>
      </c>
      <c r="AH340" t="s">
        <v>242</v>
      </c>
      <c r="AI340">
        <v>46387</v>
      </c>
      <c r="AK340" t="s">
        <v>218</v>
      </c>
      <c r="AL340" t="s">
        <v>1384</v>
      </c>
      <c r="AM340" t="s">
        <v>693</v>
      </c>
      <c r="AN340" t="s">
        <v>107</v>
      </c>
      <c r="AO340" t="s">
        <v>107</v>
      </c>
      <c r="AP340">
        <v>1940</v>
      </c>
      <c r="AQ340">
        <v>0</v>
      </c>
      <c r="AR340">
        <v>1940</v>
      </c>
      <c r="AT340" t="s">
        <v>161</v>
      </c>
      <c r="AZ340" t="s">
        <v>113</v>
      </c>
      <c r="BC340" t="s">
        <v>1160</v>
      </c>
      <c r="BN340" t="s">
        <v>113</v>
      </c>
      <c r="BO340" t="s">
        <v>687</v>
      </c>
      <c r="BP340" t="s">
        <v>370</v>
      </c>
      <c r="BR340" t="s">
        <v>688</v>
      </c>
      <c r="BW340" t="s">
        <v>1157</v>
      </c>
      <c r="BX340" t="s">
        <v>1158</v>
      </c>
      <c r="BY340" t="s">
        <v>123</v>
      </c>
      <c r="BZ340" t="s">
        <v>124</v>
      </c>
    </row>
    <row r="341" spans="1:78" x14ac:dyDescent="0.3">
      <c r="A341" t="s">
        <v>11</v>
      </c>
      <c r="B341" t="s">
        <v>92</v>
      </c>
      <c r="C341" t="s">
        <v>93</v>
      </c>
      <c r="D341" t="s">
        <v>94</v>
      </c>
      <c r="E341" t="s">
        <v>95</v>
      </c>
      <c r="F341" t="s">
        <v>1385</v>
      </c>
      <c r="G341">
        <v>520100</v>
      </c>
      <c r="H341">
        <v>467100</v>
      </c>
      <c r="AA341" t="s">
        <v>1386</v>
      </c>
      <c r="AB341" t="s">
        <v>1387</v>
      </c>
      <c r="AC341" t="s">
        <v>1388</v>
      </c>
      <c r="AD341" t="s">
        <v>365</v>
      </c>
      <c r="AE341" t="s">
        <v>1389</v>
      </c>
      <c r="AF341" t="s">
        <v>1390</v>
      </c>
      <c r="AG341" t="s">
        <v>102</v>
      </c>
      <c r="AH341" t="s">
        <v>634</v>
      </c>
      <c r="AI341">
        <v>46032</v>
      </c>
      <c r="AJ341">
        <v>46032</v>
      </c>
      <c r="AK341" t="s">
        <v>104</v>
      </c>
      <c r="AL341" t="s">
        <v>105</v>
      </c>
      <c r="AM341" t="s">
        <v>106</v>
      </c>
      <c r="AN341" t="s">
        <v>107</v>
      </c>
      <c r="AO341" t="s">
        <v>107</v>
      </c>
      <c r="AP341">
        <v>3000</v>
      </c>
      <c r="AQ341">
        <v>3000</v>
      </c>
      <c r="AR341">
        <v>0</v>
      </c>
      <c r="AS341" t="s">
        <v>107</v>
      </c>
      <c r="AT341" t="s">
        <v>161</v>
      </c>
      <c r="AU341" t="s">
        <v>162</v>
      </c>
      <c r="AV341" t="s">
        <v>163</v>
      </c>
      <c r="AW341" t="s">
        <v>288</v>
      </c>
      <c r="AY341" t="s">
        <v>1391</v>
      </c>
      <c r="AZ341" t="s">
        <v>113</v>
      </c>
      <c r="BB341" t="s">
        <v>114</v>
      </c>
      <c r="BC341" t="s">
        <v>115</v>
      </c>
      <c r="BN341" t="s">
        <v>116</v>
      </c>
      <c r="BO341" t="s">
        <v>1392</v>
      </c>
      <c r="BP341" t="s">
        <v>370</v>
      </c>
      <c r="BR341" t="s">
        <v>454</v>
      </c>
      <c r="BS341" t="s">
        <v>1393</v>
      </c>
      <c r="BW341" t="s">
        <v>1157</v>
      </c>
      <c r="BX341" t="s">
        <v>1158</v>
      </c>
      <c r="BY341" t="s">
        <v>123</v>
      </c>
      <c r="BZ341" t="s">
        <v>124</v>
      </c>
    </row>
    <row r="342" spans="1:78" x14ac:dyDescent="0.3">
      <c r="A342" t="s">
        <v>11</v>
      </c>
      <c r="B342" t="s">
        <v>92</v>
      </c>
      <c r="C342" t="s">
        <v>93</v>
      </c>
      <c r="D342" t="s">
        <v>94</v>
      </c>
      <c r="E342" t="s">
        <v>95</v>
      </c>
      <c r="F342" t="s">
        <v>1385</v>
      </c>
      <c r="G342">
        <v>520100</v>
      </c>
      <c r="H342">
        <v>467100</v>
      </c>
      <c r="AA342" t="s">
        <v>1386</v>
      </c>
      <c r="AB342" t="s">
        <v>1387</v>
      </c>
      <c r="AC342" t="s">
        <v>1388</v>
      </c>
      <c r="AD342" t="s">
        <v>365</v>
      </c>
      <c r="AE342" t="s">
        <v>1389</v>
      </c>
      <c r="AF342" t="s">
        <v>1390</v>
      </c>
      <c r="AG342" t="s">
        <v>102</v>
      </c>
      <c r="AH342" t="s">
        <v>634</v>
      </c>
      <c r="AI342">
        <v>46055</v>
      </c>
      <c r="AJ342">
        <v>46055</v>
      </c>
      <c r="AK342" t="s">
        <v>137</v>
      </c>
      <c r="AL342" t="s">
        <v>105</v>
      </c>
      <c r="AM342" t="s">
        <v>287</v>
      </c>
      <c r="AN342" t="s">
        <v>107</v>
      </c>
      <c r="AO342" t="s">
        <v>107</v>
      </c>
      <c r="AP342">
        <v>30000</v>
      </c>
      <c r="AQ342">
        <v>30000</v>
      </c>
      <c r="AR342">
        <v>0</v>
      </c>
      <c r="AS342" t="s">
        <v>107</v>
      </c>
      <c r="AT342" t="s">
        <v>161</v>
      </c>
      <c r="AU342" t="s">
        <v>162</v>
      </c>
      <c r="AV342" t="s">
        <v>163</v>
      </c>
      <c r="AW342" t="s">
        <v>111</v>
      </c>
      <c r="AY342" t="s">
        <v>1394</v>
      </c>
      <c r="AZ342" t="s">
        <v>113</v>
      </c>
      <c r="BB342" t="s">
        <v>114</v>
      </c>
      <c r="BC342" t="s">
        <v>115</v>
      </c>
      <c r="BN342" t="s">
        <v>116</v>
      </c>
      <c r="BO342" t="s">
        <v>1392</v>
      </c>
      <c r="BP342" t="s">
        <v>370</v>
      </c>
      <c r="BR342" t="s">
        <v>454</v>
      </c>
      <c r="BS342" t="s">
        <v>1395</v>
      </c>
      <c r="BW342" t="s">
        <v>1157</v>
      </c>
      <c r="BX342" t="s">
        <v>1158</v>
      </c>
      <c r="BY342" t="s">
        <v>123</v>
      </c>
      <c r="BZ342" t="s">
        <v>124</v>
      </c>
    </row>
    <row r="343" spans="1:78" x14ac:dyDescent="0.3">
      <c r="A343" t="s">
        <v>11</v>
      </c>
      <c r="B343" t="s">
        <v>92</v>
      </c>
      <c r="C343" t="s">
        <v>93</v>
      </c>
      <c r="D343" t="s">
        <v>94</v>
      </c>
      <c r="E343" t="s">
        <v>95</v>
      </c>
      <c r="F343" t="s">
        <v>1385</v>
      </c>
      <c r="G343">
        <v>520100</v>
      </c>
      <c r="H343">
        <v>467100</v>
      </c>
      <c r="AA343" t="s">
        <v>1386</v>
      </c>
      <c r="AB343" t="s">
        <v>1387</v>
      </c>
      <c r="AC343" t="s">
        <v>1388</v>
      </c>
      <c r="AD343" t="s">
        <v>365</v>
      </c>
      <c r="AE343" t="s">
        <v>1389</v>
      </c>
      <c r="AF343" t="s">
        <v>1390</v>
      </c>
      <c r="AG343" t="s">
        <v>102</v>
      </c>
      <c r="AH343" t="s">
        <v>634</v>
      </c>
      <c r="AI343">
        <v>46056</v>
      </c>
      <c r="AJ343">
        <v>46056</v>
      </c>
      <c r="AK343" t="s">
        <v>137</v>
      </c>
      <c r="AL343" t="s">
        <v>142</v>
      </c>
      <c r="AM343" t="s">
        <v>1396</v>
      </c>
      <c r="AN343" t="s">
        <v>107</v>
      </c>
      <c r="AO343" t="s">
        <v>107</v>
      </c>
      <c r="AP343">
        <v>16470</v>
      </c>
      <c r="AQ343">
        <v>16470</v>
      </c>
      <c r="AR343">
        <v>0</v>
      </c>
      <c r="AS343" t="s">
        <v>107</v>
      </c>
      <c r="AT343" t="s">
        <v>161</v>
      </c>
      <c r="AU343" t="s">
        <v>162</v>
      </c>
      <c r="AV343" t="s">
        <v>163</v>
      </c>
      <c r="AW343" t="s">
        <v>111</v>
      </c>
      <c r="AY343" t="s">
        <v>1397</v>
      </c>
      <c r="AZ343" t="s">
        <v>113</v>
      </c>
      <c r="BB343" t="s">
        <v>114</v>
      </c>
      <c r="BC343" t="s">
        <v>115</v>
      </c>
      <c r="BN343" t="s">
        <v>116</v>
      </c>
      <c r="BO343" t="s">
        <v>1392</v>
      </c>
      <c r="BP343" t="s">
        <v>370</v>
      </c>
      <c r="BR343" t="s">
        <v>454</v>
      </c>
      <c r="BS343" t="s">
        <v>1398</v>
      </c>
      <c r="BW343" t="s">
        <v>1157</v>
      </c>
      <c r="BX343" t="s">
        <v>1158</v>
      </c>
      <c r="BY343" t="s">
        <v>123</v>
      </c>
      <c r="BZ343" t="s">
        <v>124</v>
      </c>
    </row>
    <row r="344" spans="1:78" x14ac:dyDescent="0.3">
      <c r="A344" t="s">
        <v>11</v>
      </c>
      <c r="B344" t="s">
        <v>92</v>
      </c>
      <c r="C344" t="s">
        <v>93</v>
      </c>
      <c r="D344" t="s">
        <v>94</v>
      </c>
      <c r="E344" t="s">
        <v>95</v>
      </c>
      <c r="F344" t="s">
        <v>1385</v>
      </c>
      <c r="G344">
        <v>520100</v>
      </c>
      <c r="H344">
        <v>467100</v>
      </c>
      <c r="AA344" t="s">
        <v>1386</v>
      </c>
      <c r="AB344" t="s">
        <v>1387</v>
      </c>
      <c r="AC344" t="s">
        <v>1388</v>
      </c>
      <c r="AD344" t="s">
        <v>365</v>
      </c>
      <c r="AE344" t="s">
        <v>1389</v>
      </c>
      <c r="AF344" t="s">
        <v>1390</v>
      </c>
      <c r="AG344" t="s">
        <v>102</v>
      </c>
      <c r="AH344" t="s">
        <v>634</v>
      </c>
      <c r="AI344">
        <v>46092</v>
      </c>
      <c r="AJ344">
        <v>46092</v>
      </c>
      <c r="AK344" t="s">
        <v>137</v>
      </c>
      <c r="AL344" t="s">
        <v>146</v>
      </c>
      <c r="AM344" t="s">
        <v>1399</v>
      </c>
      <c r="AN344" t="s">
        <v>107</v>
      </c>
      <c r="AO344" t="s">
        <v>107</v>
      </c>
      <c r="AP344">
        <v>15000</v>
      </c>
      <c r="AQ344">
        <v>15000</v>
      </c>
      <c r="AR344">
        <v>0</v>
      </c>
      <c r="AS344" t="s">
        <v>107</v>
      </c>
      <c r="AT344" t="s">
        <v>161</v>
      </c>
      <c r="AU344" t="s">
        <v>162</v>
      </c>
      <c r="AV344" t="s">
        <v>163</v>
      </c>
      <c r="AW344" t="s">
        <v>111</v>
      </c>
      <c r="AY344" t="s">
        <v>1400</v>
      </c>
      <c r="AZ344" t="s">
        <v>113</v>
      </c>
      <c r="BB344" t="s">
        <v>114</v>
      </c>
      <c r="BC344" t="s">
        <v>115</v>
      </c>
      <c r="BN344" t="s">
        <v>116</v>
      </c>
      <c r="BO344" t="s">
        <v>1392</v>
      </c>
      <c r="BP344" t="s">
        <v>370</v>
      </c>
      <c r="BR344" t="s">
        <v>454</v>
      </c>
      <c r="BS344" t="s">
        <v>1401</v>
      </c>
      <c r="BW344" t="s">
        <v>1157</v>
      </c>
      <c r="BX344" t="s">
        <v>1158</v>
      </c>
      <c r="BY344" t="s">
        <v>123</v>
      </c>
      <c r="BZ344" t="s">
        <v>124</v>
      </c>
    </row>
    <row r="345" spans="1:78" x14ac:dyDescent="0.3">
      <c r="A345" t="s">
        <v>11</v>
      </c>
      <c r="B345" t="s">
        <v>92</v>
      </c>
      <c r="C345" t="s">
        <v>93</v>
      </c>
      <c r="D345" t="s">
        <v>94</v>
      </c>
      <c r="E345" t="s">
        <v>95</v>
      </c>
      <c r="F345" t="s">
        <v>1385</v>
      </c>
      <c r="G345">
        <v>520100</v>
      </c>
      <c r="H345">
        <v>467100</v>
      </c>
      <c r="AA345" t="s">
        <v>1386</v>
      </c>
      <c r="AB345" t="s">
        <v>1387</v>
      </c>
      <c r="AC345" t="s">
        <v>1388</v>
      </c>
      <c r="AD345" t="s">
        <v>365</v>
      </c>
      <c r="AE345" t="s">
        <v>1389</v>
      </c>
      <c r="AF345" t="s">
        <v>1390</v>
      </c>
      <c r="AG345" t="s">
        <v>102</v>
      </c>
      <c r="AH345" t="s">
        <v>634</v>
      </c>
      <c r="AI345">
        <v>46095</v>
      </c>
      <c r="AJ345">
        <v>46095</v>
      </c>
      <c r="AK345" t="s">
        <v>137</v>
      </c>
      <c r="AL345" t="s">
        <v>152</v>
      </c>
      <c r="AM345" t="s">
        <v>1399</v>
      </c>
      <c r="AN345" t="s">
        <v>107</v>
      </c>
      <c r="AO345" t="s">
        <v>107</v>
      </c>
      <c r="AP345">
        <v>15000</v>
      </c>
      <c r="AQ345">
        <v>15000</v>
      </c>
      <c r="AR345">
        <v>0</v>
      </c>
      <c r="AS345" t="s">
        <v>107</v>
      </c>
      <c r="AT345" t="s">
        <v>161</v>
      </c>
      <c r="AU345" t="s">
        <v>162</v>
      </c>
      <c r="AV345" t="s">
        <v>163</v>
      </c>
      <c r="AW345" t="s">
        <v>111</v>
      </c>
      <c r="AY345" t="s">
        <v>1402</v>
      </c>
      <c r="AZ345" t="s">
        <v>113</v>
      </c>
      <c r="BB345" t="s">
        <v>114</v>
      </c>
      <c r="BC345" t="s">
        <v>115</v>
      </c>
      <c r="BN345" t="s">
        <v>116</v>
      </c>
      <c r="BO345" t="s">
        <v>1392</v>
      </c>
      <c r="BP345" t="s">
        <v>370</v>
      </c>
      <c r="BR345" t="s">
        <v>454</v>
      </c>
      <c r="BS345" t="s">
        <v>1403</v>
      </c>
      <c r="BW345" t="s">
        <v>1157</v>
      </c>
      <c r="BX345" t="s">
        <v>1158</v>
      </c>
      <c r="BY345" t="s">
        <v>123</v>
      </c>
      <c r="BZ345" t="s">
        <v>124</v>
      </c>
    </row>
    <row r="346" spans="1:78" x14ac:dyDescent="0.3">
      <c r="A346" t="s">
        <v>11</v>
      </c>
      <c r="B346" t="s">
        <v>92</v>
      </c>
      <c r="C346" t="s">
        <v>93</v>
      </c>
      <c r="D346" t="s">
        <v>94</v>
      </c>
      <c r="E346" t="s">
        <v>95</v>
      </c>
      <c r="F346" t="s">
        <v>1385</v>
      </c>
      <c r="G346">
        <v>520100</v>
      </c>
      <c r="H346">
        <v>467100</v>
      </c>
      <c r="AA346" t="s">
        <v>1386</v>
      </c>
      <c r="AB346" t="s">
        <v>1387</v>
      </c>
      <c r="AC346" t="s">
        <v>1388</v>
      </c>
      <c r="AD346" t="s">
        <v>365</v>
      </c>
      <c r="AE346" t="s">
        <v>1389</v>
      </c>
      <c r="AF346" t="s">
        <v>1390</v>
      </c>
      <c r="AG346" t="s">
        <v>102</v>
      </c>
      <c r="AH346" t="s">
        <v>634</v>
      </c>
      <c r="AI346">
        <v>46125</v>
      </c>
      <c r="AJ346">
        <v>46125</v>
      </c>
      <c r="AK346" t="s">
        <v>137</v>
      </c>
      <c r="AL346" t="s">
        <v>584</v>
      </c>
      <c r="AM346" t="s">
        <v>1404</v>
      </c>
      <c r="AN346" t="s">
        <v>107</v>
      </c>
      <c r="AO346" t="s">
        <v>107</v>
      </c>
      <c r="AP346">
        <v>9900</v>
      </c>
      <c r="AQ346">
        <v>9900</v>
      </c>
      <c r="AR346">
        <v>0</v>
      </c>
      <c r="AS346" t="s">
        <v>107</v>
      </c>
      <c r="AT346" t="s">
        <v>161</v>
      </c>
      <c r="AU346" t="s">
        <v>162</v>
      </c>
      <c r="AV346" t="s">
        <v>163</v>
      </c>
      <c r="AW346" t="s">
        <v>111</v>
      </c>
      <c r="AY346" t="s">
        <v>1405</v>
      </c>
      <c r="AZ346" t="s">
        <v>113</v>
      </c>
      <c r="BB346" t="s">
        <v>114</v>
      </c>
      <c r="BC346" t="s">
        <v>115</v>
      </c>
      <c r="BN346" t="s">
        <v>116</v>
      </c>
      <c r="BO346" t="s">
        <v>1392</v>
      </c>
      <c r="BP346" t="s">
        <v>370</v>
      </c>
      <c r="BR346" t="s">
        <v>454</v>
      </c>
      <c r="BS346" t="s">
        <v>1406</v>
      </c>
      <c r="BW346" t="s">
        <v>1157</v>
      </c>
      <c r="BX346" t="s">
        <v>1158</v>
      </c>
      <c r="BY346" t="s">
        <v>123</v>
      </c>
      <c r="BZ346" t="s">
        <v>124</v>
      </c>
    </row>
    <row r="347" spans="1:78" x14ac:dyDescent="0.3">
      <c r="A347" t="s">
        <v>11</v>
      </c>
      <c r="B347" t="s">
        <v>92</v>
      </c>
      <c r="C347" t="s">
        <v>93</v>
      </c>
      <c r="D347" t="s">
        <v>94</v>
      </c>
      <c r="E347" t="s">
        <v>95</v>
      </c>
      <c r="F347" t="s">
        <v>1385</v>
      </c>
      <c r="G347">
        <v>520100</v>
      </c>
      <c r="H347">
        <v>467100</v>
      </c>
      <c r="AA347" t="s">
        <v>1386</v>
      </c>
      <c r="AB347" t="s">
        <v>1387</v>
      </c>
      <c r="AC347" t="s">
        <v>1388</v>
      </c>
      <c r="AD347" t="s">
        <v>365</v>
      </c>
      <c r="AE347" t="s">
        <v>1389</v>
      </c>
      <c r="AF347" t="s">
        <v>1390</v>
      </c>
      <c r="AG347" t="s">
        <v>102</v>
      </c>
      <c r="AH347" t="s">
        <v>634</v>
      </c>
      <c r="AI347">
        <v>46129</v>
      </c>
      <c r="AJ347">
        <v>46129</v>
      </c>
      <c r="AK347" t="s">
        <v>137</v>
      </c>
      <c r="AL347" t="s">
        <v>397</v>
      </c>
      <c r="AM347" t="s">
        <v>1407</v>
      </c>
      <c r="AN347" t="s">
        <v>107</v>
      </c>
      <c r="AO347" t="s">
        <v>107</v>
      </c>
      <c r="AP347">
        <v>10100</v>
      </c>
      <c r="AQ347">
        <v>10100</v>
      </c>
      <c r="AR347">
        <v>0</v>
      </c>
      <c r="AS347" t="s">
        <v>107</v>
      </c>
      <c r="AT347" t="s">
        <v>161</v>
      </c>
      <c r="AU347" t="s">
        <v>162</v>
      </c>
      <c r="AV347" t="s">
        <v>163</v>
      </c>
      <c r="AW347" t="s">
        <v>111</v>
      </c>
      <c r="AY347" t="s">
        <v>1408</v>
      </c>
      <c r="AZ347" t="s">
        <v>113</v>
      </c>
      <c r="BB347" t="s">
        <v>114</v>
      </c>
      <c r="BC347" t="s">
        <v>115</v>
      </c>
      <c r="BN347" t="s">
        <v>116</v>
      </c>
      <c r="BO347" t="s">
        <v>1392</v>
      </c>
      <c r="BP347" t="s">
        <v>370</v>
      </c>
      <c r="BR347" t="s">
        <v>454</v>
      </c>
      <c r="BS347" t="s">
        <v>1409</v>
      </c>
      <c r="BW347" t="s">
        <v>1157</v>
      </c>
      <c r="BX347" t="s">
        <v>1158</v>
      </c>
      <c r="BY347" t="s">
        <v>123</v>
      </c>
      <c r="BZ347" t="s">
        <v>124</v>
      </c>
    </row>
    <row r="348" spans="1:78" x14ac:dyDescent="0.3">
      <c r="A348" t="s">
        <v>11</v>
      </c>
      <c r="B348" t="s">
        <v>92</v>
      </c>
      <c r="C348" t="s">
        <v>93</v>
      </c>
      <c r="D348" t="s">
        <v>94</v>
      </c>
      <c r="E348" t="s">
        <v>95</v>
      </c>
      <c r="F348" t="s">
        <v>1385</v>
      </c>
      <c r="G348">
        <v>520100</v>
      </c>
      <c r="H348">
        <v>467100</v>
      </c>
      <c r="AA348" t="s">
        <v>1386</v>
      </c>
      <c r="AB348" t="s">
        <v>1387</v>
      </c>
      <c r="AC348" t="s">
        <v>1388</v>
      </c>
      <c r="AD348" t="s">
        <v>365</v>
      </c>
      <c r="AE348" t="s">
        <v>1389</v>
      </c>
      <c r="AF348" t="s">
        <v>1390</v>
      </c>
      <c r="AG348" t="s">
        <v>102</v>
      </c>
      <c r="AH348" t="s">
        <v>634</v>
      </c>
      <c r="AI348">
        <v>46136</v>
      </c>
      <c r="AJ348">
        <v>46136</v>
      </c>
      <c r="AK348" t="s">
        <v>137</v>
      </c>
      <c r="AL348" t="s">
        <v>588</v>
      </c>
      <c r="AM348" t="s">
        <v>398</v>
      </c>
      <c r="AN348" t="s">
        <v>107</v>
      </c>
      <c r="AO348" t="s">
        <v>107</v>
      </c>
      <c r="AP348">
        <v>10000</v>
      </c>
      <c r="AQ348">
        <v>10000</v>
      </c>
      <c r="AR348">
        <v>0</v>
      </c>
      <c r="AS348" t="s">
        <v>107</v>
      </c>
      <c r="AT348" t="s">
        <v>161</v>
      </c>
      <c r="AU348" t="s">
        <v>162</v>
      </c>
      <c r="AV348" t="s">
        <v>163</v>
      </c>
      <c r="AW348" t="s">
        <v>111</v>
      </c>
      <c r="AY348" t="s">
        <v>1410</v>
      </c>
      <c r="AZ348" t="s">
        <v>113</v>
      </c>
      <c r="BB348" t="s">
        <v>114</v>
      </c>
      <c r="BC348" t="s">
        <v>115</v>
      </c>
      <c r="BN348" t="s">
        <v>116</v>
      </c>
      <c r="BO348" t="s">
        <v>1392</v>
      </c>
      <c r="BP348" t="s">
        <v>370</v>
      </c>
      <c r="BR348" t="s">
        <v>454</v>
      </c>
      <c r="BS348" t="s">
        <v>1411</v>
      </c>
      <c r="BW348" t="s">
        <v>1157</v>
      </c>
      <c r="BX348" t="s">
        <v>1158</v>
      </c>
      <c r="BY348" t="s">
        <v>123</v>
      </c>
      <c r="BZ348" t="s">
        <v>124</v>
      </c>
    </row>
    <row r="349" spans="1:78" x14ac:dyDescent="0.3">
      <c r="A349" t="s">
        <v>11</v>
      </c>
      <c r="B349" t="s">
        <v>92</v>
      </c>
      <c r="C349" t="s">
        <v>93</v>
      </c>
      <c r="D349" t="s">
        <v>94</v>
      </c>
      <c r="E349" t="s">
        <v>95</v>
      </c>
      <c r="F349" t="s">
        <v>1385</v>
      </c>
      <c r="G349">
        <v>520100</v>
      </c>
      <c r="H349">
        <v>467100</v>
      </c>
      <c r="AA349" t="s">
        <v>1386</v>
      </c>
      <c r="AB349" t="s">
        <v>1387</v>
      </c>
      <c r="AC349" t="s">
        <v>1388</v>
      </c>
      <c r="AD349" t="s">
        <v>365</v>
      </c>
      <c r="AE349" t="s">
        <v>1389</v>
      </c>
      <c r="AF349" t="s">
        <v>1390</v>
      </c>
      <c r="AG349" t="s">
        <v>102</v>
      </c>
      <c r="AH349" t="s">
        <v>634</v>
      </c>
      <c r="AI349">
        <v>46142</v>
      </c>
      <c r="AJ349">
        <v>46149</v>
      </c>
      <c r="AK349" t="s">
        <v>218</v>
      </c>
      <c r="AL349" t="s">
        <v>105</v>
      </c>
      <c r="AM349" t="s">
        <v>398</v>
      </c>
      <c r="AN349" t="s">
        <v>107</v>
      </c>
      <c r="AO349" t="s">
        <v>107</v>
      </c>
      <c r="AP349">
        <v>10000</v>
      </c>
      <c r="AQ349">
        <v>10000</v>
      </c>
      <c r="AR349">
        <v>0</v>
      </c>
      <c r="AS349" t="s">
        <v>107</v>
      </c>
      <c r="AT349" t="s">
        <v>161</v>
      </c>
      <c r="AU349" t="s">
        <v>162</v>
      </c>
      <c r="AV349" t="s">
        <v>163</v>
      </c>
      <c r="AW349" t="s">
        <v>111</v>
      </c>
      <c r="AY349" t="s">
        <v>1412</v>
      </c>
      <c r="AZ349" t="s">
        <v>113</v>
      </c>
      <c r="BB349" t="s">
        <v>114</v>
      </c>
      <c r="BC349" t="s">
        <v>115</v>
      </c>
      <c r="BN349" t="s">
        <v>116</v>
      </c>
      <c r="BO349" t="s">
        <v>1392</v>
      </c>
      <c r="BP349" t="s">
        <v>370</v>
      </c>
      <c r="BR349" t="s">
        <v>454</v>
      </c>
      <c r="BS349" t="s">
        <v>1411</v>
      </c>
      <c r="BW349" t="s">
        <v>1157</v>
      </c>
      <c r="BX349" t="s">
        <v>1158</v>
      </c>
      <c r="BY349" t="s">
        <v>123</v>
      </c>
      <c r="BZ349" t="s">
        <v>124</v>
      </c>
    </row>
    <row r="350" spans="1:78" x14ac:dyDescent="0.3">
      <c r="A350" t="s">
        <v>11</v>
      </c>
      <c r="B350" t="s">
        <v>92</v>
      </c>
      <c r="C350" t="s">
        <v>93</v>
      </c>
      <c r="D350" t="s">
        <v>94</v>
      </c>
      <c r="E350" t="s">
        <v>95</v>
      </c>
      <c r="F350" t="s">
        <v>1385</v>
      </c>
      <c r="G350">
        <v>520100</v>
      </c>
      <c r="H350">
        <v>467100</v>
      </c>
      <c r="AA350" t="s">
        <v>1386</v>
      </c>
      <c r="AB350" t="s">
        <v>1387</v>
      </c>
      <c r="AC350" t="s">
        <v>1388</v>
      </c>
      <c r="AD350" t="s">
        <v>365</v>
      </c>
      <c r="AE350" t="s">
        <v>1389</v>
      </c>
      <c r="AF350" t="s">
        <v>1390</v>
      </c>
      <c r="AG350" t="s">
        <v>102</v>
      </c>
      <c r="AH350" t="s">
        <v>634</v>
      </c>
      <c r="AI350">
        <v>46172</v>
      </c>
      <c r="AJ350">
        <v>46182</v>
      </c>
      <c r="AK350" t="s">
        <v>218</v>
      </c>
      <c r="AL350" t="s">
        <v>142</v>
      </c>
      <c r="AM350" t="s">
        <v>398</v>
      </c>
      <c r="AN350" t="s">
        <v>107</v>
      </c>
      <c r="AO350" t="s">
        <v>107</v>
      </c>
      <c r="AP350">
        <v>10000</v>
      </c>
      <c r="AQ350">
        <v>10000</v>
      </c>
      <c r="AR350">
        <v>0</v>
      </c>
      <c r="AS350" t="s">
        <v>107</v>
      </c>
      <c r="AT350" t="s">
        <v>161</v>
      </c>
      <c r="AU350" t="s">
        <v>162</v>
      </c>
      <c r="AV350" t="s">
        <v>163</v>
      </c>
      <c r="AW350" t="s">
        <v>111</v>
      </c>
      <c r="AY350" t="s">
        <v>1413</v>
      </c>
      <c r="AZ350" t="s">
        <v>113</v>
      </c>
      <c r="BB350" t="s">
        <v>114</v>
      </c>
      <c r="BC350" t="s">
        <v>115</v>
      </c>
      <c r="BN350" t="s">
        <v>116</v>
      </c>
      <c r="BO350" t="s">
        <v>1392</v>
      </c>
      <c r="BP350" t="s">
        <v>370</v>
      </c>
      <c r="BR350" t="s">
        <v>454</v>
      </c>
      <c r="BS350" t="s">
        <v>1414</v>
      </c>
      <c r="BW350" t="s">
        <v>1157</v>
      </c>
      <c r="BX350" t="s">
        <v>1158</v>
      </c>
      <c r="BY350" t="s">
        <v>123</v>
      </c>
      <c r="BZ350" t="s">
        <v>124</v>
      </c>
    </row>
    <row r="351" spans="1:78" x14ac:dyDescent="0.3">
      <c r="A351" t="s">
        <v>11</v>
      </c>
      <c r="B351" t="s">
        <v>92</v>
      </c>
      <c r="C351" t="s">
        <v>93</v>
      </c>
      <c r="D351" t="s">
        <v>94</v>
      </c>
      <c r="E351" t="s">
        <v>95</v>
      </c>
      <c r="F351" t="s">
        <v>1385</v>
      </c>
      <c r="G351">
        <v>520100</v>
      </c>
      <c r="H351">
        <v>467100</v>
      </c>
      <c r="AA351" t="s">
        <v>1386</v>
      </c>
      <c r="AB351" t="s">
        <v>1387</v>
      </c>
      <c r="AC351" t="s">
        <v>1388</v>
      </c>
      <c r="AD351" t="s">
        <v>365</v>
      </c>
      <c r="AE351" t="s">
        <v>1389</v>
      </c>
      <c r="AF351" t="s">
        <v>1390</v>
      </c>
      <c r="AG351" t="s">
        <v>102</v>
      </c>
      <c r="AH351" t="s">
        <v>634</v>
      </c>
      <c r="AI351">
        <v>46203</v>
      </c>
      <c r="AK351" t="s">
        <v>218</v>
      </c>
      <c r="AL351" t="s">
        <v>146</v>
      </c>
      <c r="AM351" t="s">
        <v>398</v>
      </c>
      <c r="AN351" t="s">
        <v>107</v>
      </c>
      <c r="AO351" t="s">
        <v>107</v>
      </c>
      <c r="AP351">
        <v>10000</v>
      </c>
      <c r="AQ351">
        <v>0</v>
      </c>
      <c r="AR351">
        <v>10000</v>
      </c>
      <c r="AT351" t="s">
        <v>161</v>
      </c>
      <c r="AZ351" t="s">
        <v>113</v>
      </c>
      <c r="BC351" t="s">
        <v>543</v>
      </c>
      <c r="BN351" t="s">
        <v>113</v>
      </c>
      <c r="BO351" t="s">
        <v>1392</v>
      </c>
      <c r="BP351" t="s">
        <v>370</v>
      </c>
      <c r="BR351" t="s">
        <v>454</v>
      </c>
      <c r="BW351" t="s">
        <v>1157</v>
      </c>
      <c r="BX351" t="s">
        <v>1158</v>
      </c>
      <c r="BY351" t="s">
        <v>123</v>
      </c>
      <c r="BZ351" t="s">
        <v>124</v>
      </c>
    </row>
    <row r="352" spans="1:78" x14ac:dyDescent="0.3">
      <c r="A352" t="s">
        <v>11</v>
      </c>
      <c r="B352" t="s">
        <v>92</v>
      </c>
      <c r="C352" t="s">
        <v>93</v>
      </c>
      <c r="D352" t="s">
        <v>94</v>
      </c>
      <c r="E352" t="s">
        <v>95</v>
      </c>
      <c r="F352" t="s">
        <v>1385</v>
      </c>
      <c r="G352">
        <v>520100</v>
      </c>
      <c r="H352">
        <v>467100</v>
      </c>
      <c r="AA352" t="s">
        <v>1386</v>
      </c>
      <c r="AB352" t="s">
        <v>1387</v>
      </c>
      <c r="AC352" t="s">
        <v>1388</v>
      </c>
      <c r="AD352" t="s">
        <v>365</v>
      </c>
      <c r="AE352" t="s">
        <v>1389</v>
      </c>
      <c r="AF352" t="s">
        <v>1390</v>
      </c>
      <c r="AG352" t="s">
        <v>102</v>
      </c>
      <c r="AH352" t="s">
        <v>634</v>
      </c>
      <c r="AI352">
        <v>46233</v>
      </c>
      <c r="AK352" t="s">
        <v>218</v>
      </c>
      <c r="AL352" t="s">
        <v>152</v>
      </c>
      <c r="AM352" t="s">
        <v>398</v>
      </c>
      <c r="AN352" t="s">
        <v>107</v>
      </c>
      <c r="AO352" t="s">
        <v>107</v>
      </c>
      <c r="AP352">
        <v>10000</v>
      </c>
      <c r="AQ352">
        <v>0</v>
      </c>
      <c r="AR352">
        <v>10000</v>
      </c>
      <c r="AT352" t="s">
        <v>161</v>
      </c>
      <c r="AZ352" t="s">
        <v>113</v>
      </c>
      <c r="BC352" t="s">
        <v>1160</v>
      </c>
      <c r="BN352" t="s">
        <v>113</v>
      </c>
      <c r="BO352" t="s">
        <v>1392</v>
      </c>
      <c r="BP352" t="s">
        <v>370</v>
      </c>
      <c r="BR352" t="s">
        <v>454</v>
      </c>
      <c r="BW352" t="s">
        <v>1157</v>
      </c>
      <c r="BX352" t="s">
        <v>1158</v>
      </c>
      <c r="BY352" t="s">
        <v>123</v>
      </c>
      <c r="BZ352" t="s">
        <v>124</v>
      </c>
    </row>
    <row r="353" spans="1:78" x14ac:dyDescent="0.3">
      <c r="A353" t="s">
        <v>11</v>
      </c>
      <c r="B353" t="s">
        <v>92</v>
      </c>
      <c r="C353" t="s">
        <v>93</v>
      </c>
      <c r="D353" t="s">
        <v>94</v>
      </c>
      <c r="E353" t="s">
        <v>95</v>
      </c>
      <c r="F353" t="s">
        <v>1385</v>
      </c>
      <c r="G353">
        <v>520100</v>
      </c>
      <c r="H353">
        <v>467100</v>
      </c>
      <c r="AA353" t="s">
        <v>1386</v>
      </c>
      <c r="AB353" t="s">
        <v>1387</v>
      </c>
      <c r="AC353" t="s">
        <v>1388</v>
      </c>
      <c r="AD353" t="s">
        <v>365</v>
      </c>
      <c r="AE353" t="s">
        <v>1389</v>
      </c>
      <c r="AF353" t="s">
        <v>1390</v>
      </c>
      <c r="AG353" t="s">
        <v>102</v>
      </c>
      <c r="AH353" t="s">
        <v>634</v>
      </c>
      <c r="AI353">
        <v>46264</v>
      </c>
      <c r="AK353" t="s">
        <v>218</v>
      </c>
      <c r="AL353" t="s">
        <v>584</v>
      </c>
      <c r="AM353" t="s">
        <v>398</v>
      </c>
      <c r="AN353" t="s">
        <v>107</v>
      </c>
      <c r="AO353" t="s">
        <v>107</v>
      </c>
      <c r="AP353">
        <v>10000</v>
      </c>
      <c r="AQ353">
        <v>0</v>
      </c>
      <c r="AR353">
        <v>10000</v>
      </c>
      <c r="AT353" t="s">
        <v>161</v>
      </c>
      <c r="AZ353" t="s">
        <v>113</v>
      </c>
      <c r="BC353" t="s">
        <v>1160</v>
      </c>
      <c r="BN353" t="s">
        <v>113</v>
      </c>
      <c r="BO353" t="s">
        <v>1392</v>
      </c>
      <c r="BP353" t="s">
        <v>370</v>
      </c>
      <c r="BR353" t="s">
        <v>454</v>
      </c>
      <c r="BW353" t="s">
        <v>1157</v>
      </c>
      <c r="BX353" t="s">
        <v>1158</v>
      </c>
      <c r="BY353" t="s">
        <v>123</v>
      </c>
      <c r="BZ353" t="s">
        <v>124</v>
      </c>
    </row>
    <row r="354" spans="1:78" x14ac:dyDescent="0.3">
      <c r="A354" t="s">
        <v>11</v>
      </c>
      <c r="B354" t="s">
        <v>92</v>
      </c>
      <c r="C354" t="s">
        <v>93</v>
      </c>
      <c r="D354" t="s">
        <v>94</v>
      </c>
      <c r="E354" t="s">
        <v>95</v>
      </c>
      <c r="F354" t="s">
        <v>1385</v>
      </c>
      <c r="G354">
        <v>520100</v>
      </c>
      <c r="H354">
        <v>467100</v>
      </c>
      <c r="AA354" t="s">
        <v>1386</v>
      </c>
      <c r="AB354" t="s">
        <v>1387</v>
      </c>
      <c r="AC354" t="s">
        <v>1388</v>
      </c>
      <c r="AD354" t="s">
        <v>365</v>
      </c>
      <c r="AE354" t="s">
        <v>1389</v>
      </c>
      <c r="AF354" t="s">
        <v>1390</v>
      </c>
      <c r="AG354" t="s">
        <v>102</v>
      </c>
      <c r="AH354" t="s">
        <v>634</v>
      </c>
      <c r="AI354">
        <v>46295</v>
      </c>
      <c r="AK354" t="s">
        <v>218</v>
      </c>
      <c r="AL354" t="s">
        <v>397</v>
      </c>
      <c r="AM354" t="s">
        <v>398</v>
      </c>
      <c r="AN354" t="s">
        <v>107</v>
      </c>
      <c r="AO354" t="s">
        <v>107</v>
      </c>
      <c r="AP354">
        <v>10000</v>
      </c>
      <c r="AQ354">
        <v>0</v>
      </c>
      <c r="AR354">
        <v>10000</v>
      </c>
      <c r="AT354" t="s">
        <v>161</v>
      </c>
      <c r="AZ354" t="s">
        <v>113</v>
      </c>
      <c r="BC354" t="s">
        <v>1160</v>
      </c>
      <c r="BN354" t="s">
        <v>113</v>
      </c>
      <c r="BO354" t="s">
        <v>1392</v>
      </c>
      <c r="BP354" t="s">
        <v>370</v>
      </c>
      <c r="BR354" t="s">
        <v>454</v>
      </c>
      <c r="BW354" t="s">
        <v>1157</v>
      </c>
      <c r="BX354" t="s">
        <v>1158</v>
      </c>
      <c r="BY354" t="s">
        <v>123</v>
      </c>
      <c r="BZ354" t="s">
        <v>124</v>
      </c>
    </row>
    <row r="355" spans="1:78" x14ac:dyDescent="0.3">
      <c r="A355" t="s">
        <v>11</v>
      </c>
      <c r="B355" t="s">
        <v>92</v>
      </c>
      <c r="C355" t="s">
        <v>93</v>
      </c>
      <c r="D355" t="s">
        <v>94</v>
      </c>
      <c r="E355" t="s">
        <v>95</v>
      </c>
      <c r="F355" t="s">
        <v>1385</v>
      </c>
      <c r="G355">
        <v>520100</v>
      </c>
      <c r="H355">
        <v>467100</v>
      </c>
      <c r="AA355" t="s">
        <v>1386</v>
      </c>
      <c r="AB355" t="s">
        <v>1387</v>
      </c>
      <c r="AC355" t="s">
        <v>1388</v>
      </c>
      <c r="AD355" t="s">
        <v>365</v>
      </c>
      <c r="AE355" t="s">
        <v>1389</v>
      </c>
      <c r="AF355" t="s">
        <v>1390</v>
      </c>
      <c r="AG355" t="s">
        <v>102</v>
      </c>
      <c r="AH355" t="s">
        <v>634</v>
      </c>
      <c r="AI355">
        <v>46325</v>
      </c>
      <c r="AK355" t="s">
        <v>218</v>
      </c>
      <c r="AL355" t="s">
        <v>588</v>
      </c>
      <c r="AM355" t="s">
        <v>398</v>
      </c>
      <c r="AN355" t="s">
        <v>107</v>
      </c>
      <c r="AO355" t="s">
        <v>107</v>
      </c>
      <c r="AP355">
        <v>10000</v>
      </c>
      <c r="AQ355">
        <v>0</v>
      </c>
      <c r="AR355">
        <v>10000</v>
      </c>
      <c r="AT355" t="s">
        <v>161</v>
      </c>
      <c r="AZ355" t="s">
        <v>113</v>
      </c>
      <c r="BC355" t="s">
        <v>1160</v>
      </c>
      <c r="BN355" t="s">
        <v>113</v>
      </c>
      <c r="BO355" t="s">
        <v>1392</v>
      </c>
      <c r="BP355" t="s">
        <v>370</v>
      </c>
      <c r="BR355" t="s">
        <v>454</v>
      </c>
      <c r="BW355" t="s">
        <v>1157</v>
      </c>
      <c r="BX355" t="s">
        <v>1158</v>
      </c>
      <c r="BY355" t="s">
        <v>123</v>
      </c>
      <c r="BZ355" t="s">
        <v>124</v>
      </c>
    </row>
    <row r="356" spans="1:78" x14ac:dyDescent="0.3">
      <c r="A356" t="s">
        <v>11</v>
      </c>
      <c r="B356" t="s">
        <v>92</v>
      </c>
      <c r="C356" t="s">
        <v>93</v>
      </c>
      <c r="D356" t="s">
        <v>94</v>
      </c>
      <c r="E356" t="s">
        <v>95</v>
      </c>
      <c r="F356" t="s">
        <v>1385</v>
      </c>
      <c r="G356">
        <v>520100</v>
      </c>
      <c r="H356">
        <v>467100</v>
      </c>
      <c r="AA356" t="s">
        <v>1386</v>
      </c>
      <c r="AB356" t="s">
        <v>1387</v>
      </c>
      <c r="AC356" t="s">
        <v>1388</v>
      </c>
      <c r="AD356" t="s">
        <v>365</v>
      </c>
      <c r="AE356" t="s">
        <v>1389</v>
      </c>
      <c r="AF356" t="s">
        <v>1390</v>
      </c>
      <c r="AG356" t="s">
        <v>102</v>
      </c>
      <c r="AH356" t="s">
        <v>634</v>
      </c>
      <c r="AI356">
        <v>46356</v>
      </c>
      <c r="AK356" t="s">
        <v>218</v>
      </c>
      <c r="AL356" t="s">
        <v>591</v>
      </c>
      <c r="AM356" t="s">
        <v>398</v>
      </c>
      <c r="AN356" t="s">
        <v>107</v>
      </c>
      <c r="AO356" t="s">
        <v>107</v>
      </c>
      <c r="AP356">
        <v>10000</v>
      </c>
      <c r="AQ356">
        <v>0</v>
      </c>
      <c r="AR356">
        <v>10000</v>
      </c>
      <c r="AT356" t="s">
        <v>161</v>
      </c>
      <c r="AZ356" t="s">
        <v>113</v>
      </c>
      <c r="BC356" t="s">
        <v>1160</v>
      </c>
      <c r="BN356" t="s">
        <v>113</v>
      </c>
      <c r="BO356" t="s">
        <v>1392</v>
      </c>
      <c r="BP356" t="s">
        <v>370</v>
      </c>
      <c r="BR356" t="s">
        <v>454</v>
      </c>
      <c r="BW356" t="s">
        <v>1157</v>
      </c>
      <c r="BX356" t="s">
        <v>1158</v>
      </c>
      <c r="BY356" t="s">
        <v>123</v>
      </c>
      <c r="BZ356" t="s">
        <v>124</v>
      </c>
    </row>
    <row r="357" spans="1:78" x14ac:dyDescent="0.3">
      <c r="A357" t="s">
        <v>11</v>
      </c>
      <c r="B357" t="s">
        <v>92</v>
      </c>
      <c r="C357" t="s">
        <v>93</v>
      </c>
      <c r="D357" t="s">
        <v>94</v>
      </c>
      <c r="E357" t="s">
        <v>95</v>
      </c>
      <c r="F357" t="s">
        <v>1385</v>
      </c>
      <c r="G357">
        <v>520100</v>
      </c>
      <c r="H357">
        <v>467100</v>
      </c>
      <c r="AA357" t="s">
        <v>1386</v>
      </c>
      <c r="AB357" t="s">
        <v>1387</v>
      </c>
      <c r="AC357" t="s">
        <v>1388</v>
      </c>
      <c r="AD357" t="s">
        <v>365</v>
      </c>
      <c r="AE357" t="s">
        <v>1389</v>
      </c>
      <c r="AF357" t="s">
        <v>1390</v>
      </c>
      <c r="AG357" t="s">
        <v>102</v>
      </c>
      <c r="AH357" t="s">
        <v>634</v>
      </c>
      <c r="AI357">
        <v>46386</v>
      </c>
      <c r="AK357" t="s">
        <v>218</v>
      </c>
      <c r="AL357" t="s">
        <v>594</v>
      </c>
      <c r="AM357" t="s">
        <v>398</v>
      </c>
      <c r="AN357" t="s">
        <v>107</v>
      </c>
      <c r="AO357" t="s">
        <v>107</v>
      </c>
      <c r="AP357">
        <v>10000</v>
      </c>
      <c r="AQ357">
        <v>0</v>
      </c>
      <c r="AR357">
        <v>10000</v>
      </c>
      <c r="AT357" t="s">
        <v>161</v>
      </c>
      <c r="AZ357" t="s">
        <v>113</v>
      </c>
      <c r="BC357" t="s">
        <v>1160</v>
      </c>
      <c r="BN357" t="s">
        <v>113</v>
      </c>
      <c r="BO357" t="s">
        <v>1392</v>
      </c>
      <c r="BP357" t="s">
        <v>370</v>
      </c>
      <c r="BR357" t="s">
        <v>454</v>
      </c>
      <c r="BW357" t="s">
        <v>1157</v>
      </c>
      <c r="BX357" t="s">
        <v>1158</v>
      </c>
      <c r="BY357" t="s">
        <v>123</v>
      </c>
      <c r="BZ357" t="s">
        <v>124</v>
      </c>
    </row>
    <row r="358" spans="1:78" x14ac:dyDescent="0.3">
      <c r="A358" t="s">
        <v>11</v>
      </c>
      <c r="B358" t="s">
        <v>92</v>
      </c>
      <c r="C358" t="s">
        <v>93</v>
      </c>
      <c r="D358" t="s">
        <v>94</v>
      </c>
      <c r="E358" t="s">
        <v>95</v>
      </c>
      <c r="F358" t="s">
        <v>258</v>
      </c>
      <c r="G358">
        <v>518500</v>
      </c>
      <c r="H358">
        <v>469500</v>
      </c>
      <c r="I358" t="s">
        <v>93</v>
      </c>
      <c r="J358" t="s">
        <v>94</v>
      </c>
      <c r="K358" t="s">
        <v>202</v>
      </c>
      <c r="L358" t="s">
        <v>699</v>
      </c>
      <c r="M358">
        <v>55000</v>
      </c>
      <c r="N358">
        <v>55000</v>
      </c>
      <c r="AA358" t="s">
        <v>700</v>
      </c>
      <c r="AB358" t="s">
        <v>701</v>
      </c>
      <c r="AC358" t="s">
        <v>702</v>
      </c>
      <c r="AD358" t="s">
        <v>365</v>
      </c>
      <c r="AE358" t="s">
        <v>703</v>
      </c>
      <c r="AF358" t="s">
        <v>704</v>
      </c>
      <c r="AG358" t="s">
        <v>102</v>
      </c>
      <c r="AH358" t="s">
        <v>160</v>
      </c>
      <c r="AI358">
        <v>46157</v>
      </c>
      <c r="AK358" t="s">
        <v>137</v>
      </c>
      <c r="AL358" t="s">
        <v>142</v>
      </c>
      <c r="AM358" t="s">
        <v>709</v>
      </c>
      <c r="AN358" t="s">
        <v>107</v>
      </c>
      <c r="AO358" t="s">
        <v>107</v>
      </c>
      <c r="AP358">
        <v>50950</v>
      </c>
      <c r="AQ358">
        <v>0</v>
      </c>
      <c r="AR358">
        <v>50950</v>
      </c>
      <c r="AT358" t="s">
        <v>243</v>
      </c>
      <c r="AZ358" t="s">
        <v>113</v>
      </c>
      <c r="BC358" t="s">
        <v>543</v>
      </c>
      <c r="BN358" t="s">
        <v>113</v>
      </c>
      <c r="BO358" t="s">
        <v>706</v>
      </c>
      <c r="BP358" t="s">
        <v>370</v>
      </c>
      <c r="BR358" t="s">
        <v>707</v>
      </c>
      <c r="BW358" t="s">
        <v>1157</v>
      </c>
      <c r="BX358" t="s">
        <v>1158</v>
      </c>
      <c r="BY358" t="s">
        <v>123</v>
      </c>
      <c r="BZ358" t="s">
        <v>124</v>
      </c>
    </row>
    <row r="359" spans="1:78" x14ac:dyDescent="0.3">
      <c r="A359" t="s">
        <v>11</v>
      </c>
      <c r="B359" t="s">
        <v>92</v>
      </c>
      <c r="C359" t="s">
        <v>93</v>
      </c>
      <c r="D359" t="s">
        <v>94</v>
      </c>
      <c r="E359" t="s">
        <v>95</v>
      </c>
      <c r="F359" t="s">
        <v>258</v>
      </c>
      <c r="G359">
        <v>518500</v>
      </c>
      <c r="H359">
        <v>469500</v>
      </c>
      <c r="I359" t="s">
        <v>93</v>
      </c>
      <c r="J359" t="s">
        <v>94</v>
      </c>
      <c r="K359" t="s">
        <v>202</v>
      </c>
      <c r="L359" t="s">
        <v>699</v>
      </c>
      <c r="M359">
        <v>55000</v>
      </c>
      <c r="N359">
        <v>55000</v>
      </c>
      <c r="AA359" t="s">
        <v>700</v>
      </c>
      <c r="AB359" t="s">
        <v>701</v>
      </c>
      <c r="AC359" t="s">
        <v>702</v>
      </c>
      <c r="AD359" t="s">
        <v>365</v>
      </c>
      <c r="AE359" t="s">
        <v>703</v>
      </c>
      <c r="AF359" t="s">
        <v>704</v>
      </c>
      <c r="AG359" t="s">
        <v>102</v>
      </c>
      <c r="AH359" t="s">
        <v>160</v>
      </c>
      <c r="AI359">
        <v>46234</v>
      </c>
      <c r="AK359" t="s">
        <v>218</v>
      </c>
      <c r="AL359" t="s">
        <v>105</v>
      </c>
      <c r="AM359" t="s">
        <v>1415</v>
      </c>
      <c r="AN359" t="s">
        <v>107</v>
      </c>
      <c r="AO359" t="s">
        <v>107</v>
      </c>
      <c r="AP359">
        <v>419600</v>
      </c>
      <c r="AQ359">
        <v>0</v>
      </c>
      <c r="AR359">
        <v>419600</v>
      </c>
      <c r="AT359" t="s">
        <v>243</v>
      </c>
      <c r="AZ359" t="s">
        <v>113</v>
      </c>
      <c r="BC359" t="s">
        <v>1160</v>
      </c>
      <c r="BN359" t="s">
        <v>113</v>
      </c>
      <c r="BO359" t="s">
        <v>706</v>
      </c>
      <c r="BP359" t="s">
        <v>370</v>
      </c>
      <c r="BR359" t="s">
        <v>707</v>
      </c>
      <c r="BW359" t="s">
        <v>1157</v>
      </c>
      <c r="BX359" t="s">
        <v>1158</v>
      </c>
      <c r="BY359" t="s">
        <v>123</v>
      </c>
      <c r="BZ359" t="s">
        <v>124</v>
      </c>
    </row>
    <row r="360" spans="1:78" x14ac:dyDescent="0.3">
      <c r="A360" t="s">
        <v>2</v>
      </c>
      <c r="B360" t="s">
        <v>92</v>
      </c>
      <c r="C360" t="s">
        <v>93</v>
      </c>
      <c r="D360" t="s">
        <v>94</v>
      </c>
      <c r="E360" t="s">
        <v>95</v>
      </c>
      <c r="F360" t="s">
        <v>1127</v>
      </c>
      <c r="G360">
        <v>500000</v>
      </c>
      <c r="H360">
        <v>500000</v>
      </c>
      <c r="AA360" t="s">
        <v>1416</v>
      </c>
      <c r="AB360" t="s">
        <v>1417</v>
      </c>
      <c r="AC360" t="s">
        <v>1418</v>
      </c>
      <c r="AE360" t="s">
        <v>1419</v>
      </c>
      <c r="AF360" t="s">
        <v>1420</v>
      </c>
      <c r="AG360" t="s">
        <v>102</v>
      </c>
      <c r="AH360" t="s">
        <v>813</v>
      </c>
      <c r="AI360">
        <v>46059</v>
      </c>
      <c r="AJ360">
        <v>46059</v>
      </c>
      <c r="AK360" t="s">
        <v>104</v>
      </c>
      <c r="AL360" t="s">
        <v>105</v>
      </c>
      <c r="AM360" t="s">
        <v>106</v>
      </c>
      <c r="AN360" t="s">
        <v>107</v>
      </c>
      <c r="AO360" t="s">
        <v>107</v>
      </c>
      <c r="AP360">
        <v>3000</v>
      </c>
      <c r="AQ360">
        <v>3000</v>
      </c>
      <c r="AR360">
        <v>0</v>
      </c>
      <c r="AS360" t="s">
        <v>107</v>
      </c>
      <c r="AT360" t="s">
        <v>108</v>
      </c>
      <c r="AU360" t="s">
        <v>109</v>
      </c>
      <c r="AV360" t="s">
        <v>110</v>
      </c>
      <c r="AW360" t="s">
        <v>209</v>
      </c>
      <c r="AX360" t="s">
        <v>1417</v>
      </c>
      <c r="AY360" t="s">
        <v>1421</v>
      </c>
      <c r="AZ360" t="s">
        <v>113</v>
      </c>
      <c r="BA360" t="s">
        <v>133</v>
      </c>
      <c r="BB360" t="s">
        <v>211</v>
      </c>
      <c r="BC360" t="s">
        <v>115</v>
      </c>
      <c r="BN360" t="s">
        <v>116</v>
      </c>
      <c r="BO360" t="s">
        <v>1422</v>
      </c>
      <c r="BP360" t="s">
        <v>166</v>
      </c>
      <c r="BR360" t="s">
        <v>688</v>
      </c>
      <c r="BS360" t="s">
        <v>214</v>
      </c>
      <c r="BW360" t="s">
        <v>1157</v>
      </c>
      <c r="BX360" t="s">
        <v>1158</v>
      </c>
      <c r="BY360" t="s">
        <v>123</v>
      </c>
      <c r="BZ360" t="s">
        <v>124</v>
      </c>
    </row>
    <row r="361" spans="1:78" x14ac:dyDescent="0.3">
      <c r="A361" t="s">
        <v>2</v>
      </c>
      <c r="B361" t="s">
        <v>92</v>
      </c>
      <c r="C361" t="s">
        <v>93</v>
      </c>
      <c r="D361" t="s">
        <v>94</v>
      </c>
      <c r="E361" t="s">
        <v>95</v>
      </c>
      <c r="F361" t="s">
        <v>1127</v>
      </c>
      <c r="G361">
        <v>500000</v>
      </c>
      <c r="H361">
        <v>500000</v>
      </c>
      <c r="AA361" t="s">
        <v>1416</v>
      </c>
      <c r="AB361" t="s">
        <v>1417</v>
      </c>
      <c r="AC361" t="s">
        <v>1418</v>
      </c>
      <c r="AE361" t="s">
        <v>1419</v>
      </c>
      <c r="AF361" t="s">
        <v>1420</v>
      </c>
      <c r="AG361" t="s">
        <v>102</v>
      </c>
      <c r="AH361" t="s">
        <v>813</v>
      </c>
      <c r="AI361">
        <v>46074</v>
      </c>
      <c r="AJ361">
        <v>46076</v>
      </c>
      <c r="AK361" t="s">
        <v>137</v>
      </c>
      <c r="AL361" t="s">
        <v>142</v>
      </c>
      <c r="AM361" t="s">
        <v>1423</v>
      </c>
      <c r="AN361" t="s">
        <v>107</v>
      </c>
      <c r="AO361" t="s">
        <v>107</v>
      </c>
      <c r="AP361">
        <v>97000</v>
      </c>
      <c r="AQ361">
        <v>97000</v>
      </c>
      <c r="AR361">
        <v>0</v>
      </c>
      <c r="AS361" t="s">
        <v>107</v>
      </c>
      <c r="AT361" t="s">
        <v>108</v>
      </c>
      <c r="AU361" t="s">
        <v>109</v>
      </c>
      <c r="AV361" t="s">
        <v>110</v>
      </c>
      <c r="AW361" t="s">
        <v>288</v>
      </c>
      <c r="AX361" t="s">
        <v>1417</v>
      </c>
      <c r="AY361" t="s">
        <v>1424</v>
      </c>
      <c r="AZ361" t="s">
        <v>113</v>
      </c>
      <c r="BA361" t="s">
        <v>133</v>
      </c>
      <c r="BB361" t="s">
        <v>211</v>
      </c>
      <c r="BC361" t="s">
        <v>115</v>
      </c>
      <c r="BN361" t="s">
        <v>116</v>
      </c>
      <c r="BO361" t="s">
        <v>1422</v>
      </c>
      <c r="BP361" t="s">
        <v>166</v>
      </c>
      <c r="BR361" t="s">
        <v>688</v>
      </c>
      <c r="BS361" t="s">
        <v>214</v>
      </c>
      <c r="BW361" t="s">
        <v>1157</v>
      </c>
      <c r="BX361" t="s">
        <v>1158</v>
      </c>
      <c r="BY361" t="s">
        <v>123</v>
      </c>
      <c r="BZ361" t="s">
        <v>124</v>
      </c>
    </row>
    <row r="362" spans="1:78" x14ac:dyDescent="0.3">
      <c r="A362" t="s">
        <v>2</v>
      </c>
      <c r="B362" t="s">
        <v>92</v>
      </c>
      <c r="C362" t="s">
        <v>93</v>
      </c>
      <c r="D362" t="s">
        <v>94</v>
      </c>
      <c r="E362" t="s">
        <v>95</v>
      </c>
      <c r="F362" t="s">
        <v>1127</v>
      </c>
      <c r="G362">
        <v>500000</v>
      </c>
      <c r="H362">
        <v>500000</v>
      </c>
      <c r="AA362" t="s">
        <v>1416</v>
      </c>
      <c r="AB362" t="s">
        <v>1417</v>
      </c>
      <c r="AC362" t="s">
        <v>1418</v>
      </c>
      <c r="AE362" t="s">
        <v>1419</v>
      </c>
      <c r="AF362" t="s">
        <v>1420</v>
      </c>
      <c r="AG362" t="s">
        <v>102</v>
      </c>
      <c r="AH362" t="s">
        <v>813</v>
      </c>
      <c r="AI362">
        <v>46081</v>
      </c>
      <c r="AJ362">
        <v>46112</v>
      </c>
      <c r="AK362" t="s">
        <v>218</v>
      </c>
      <c r="AL362" t="s">
        <v>146</v>
      </c>
      <c r="AM362" t="s">
        <v>1425</v>
      </c>
      <c r="AN362" t="s">
        <v>107</v>
      </c>
      <c r="AO362" t="s">
        <v>107</v>
      </c>
      <c r="AP362">
        <v>400000</v>
      </c>
      <c r="AQ362">
        <v>400000</v>
      </c>
      <c r="AR362">
        <v>0</v>
      </c>
      <c r="AS362" t="s">
        <v>107</v>
      </c>
      <c r="AT362" t="s">
        <v>108</v>
      </c>
      <c r="AU362" t="s">
        <v>109</v>
      </c>
      <c r="AV362" t="s">
        <v>110</v>
      </c>
      <c r="AW362" t="s">
        <v>111</v>
      </c>
      <c r="AX362" t="s">
        <v>1417</v>
      </c>
      <c r="AY362" t="s">
        <v>1426</v>
      </c>
      <c r="AZ362" t="s">
        <v>113</v>
      </c>
      <c r="BA362" t="s">
        <v>133</v>
      </c>
      <c r="BB362" t="s">
        <v>211</v>
      </c>
      <c r="BC362" t="s">
        <v>115</v>
      </c>
      <c r="BN362" t="s">
        <v>116</v>
      </c>
      <c r="BO362" t="s">
        <v>1422</v>
      </c>
      <c r="BP362" t="s">
        <v>166</v>
      </c>
      <c r="BR362" t="s">
        <v>688</v>
      </c>
      <c r="BS362" t="s">
        <v>214</v>
      </c>
      <c r="BW362" t="s">
        <v>1157</v>
      </c>
      <c r="BX362" t="s">
        <v>1158</v>
      </c>
      <c r="BY362" t="s">
        <v>123</v>
      </c>
      <c r="BZ362" t="s">
        <v>124</v>
      </c>
    </row>
    <row r="363" spans="1:78" x14ac:dyDescent="0.3">
      <c r="A363" t="s">
        <v>2</v>
      </c>
      <c r="B363" t="s">
        <v>92</v>
      </c>
      <c r="C363" t="s">
        <v>93</v>
      </c>
      <c r="D363" t="s">
        <v>94</v>
      </c>
      <c r="E363" t="s">
        <v>95</v>
      </c>
      <c r="F363" t="s">
        <v>710</v>
      </c>
      <c r="G363">
        <v>420000</v>
      </c>
      <c r="H363">
        <v>420000</v>
      </c>
      <c r="AA363" t="s">
        <v>711</v>
      </c>
      <c r="AB363" t="s">
        <v>712</v>
      </c>
      <c r="AC363" t="s">
        <v>713</v>
      </c>
      <c r="AD363" t="s">
        <v>714</v>
      </c>
      <c r="AE363" t="s">
        <v>714</v>
      </c>
      <c r="AF363" t="s">
        <v>715</v>
      </c>
      <c r="AG363" t="s">
        <v>102</v>
      </c>
      <c r="AH363" t="s">
        <v>131</v>
      </c>
      <c r="AI363">
        <v>46081</v>
      </c>
      <c r="AJ363">
        <v>46077</v>
      </c>
      <c r="AK363" t="s">
        <v>137</v>
      </c>
      <c r="AL363" t="s">
        <v>142</v>
      </c>
      <c r="AM363" t="s">
        <v>1427</v>
      </c>
      <c r="AN363" t="s">
        <v>107</v>
      </c>
      <c r="AO363" t="s">
        <v>107</v>
      </c>
      <c r="AP363">
        <v>23514</v>
      </c>
      <c r="AQ363">
        <v>23514</v>
      </c>
      <c r="AR363">
        <v>0</v>
      </c>
      <c r="AS363" t="s">
        <v>107</v>
      </c>
      <c r="AT363" t="s">
        <v>108</v>
      </c>
      <c r="AU363" t="s">
        <v>109</v>
      </c>
      <c r="AV363" t="s">
        <v>110</v>
      </c>
      <c r="AW363" t="s">
        <v>111</v>
      </c>
      <c r="AX363" t="s">
        <v>712</v>
      </c>
      <c r="AY363" t="s">
        <v>592</v>
      </c>
      <c r="AZ363" t="s">
        <v>113</v>
      </c>
      <c r="BA363" t="s">
        <v>133</v>
      </c>
      <c r="BB363" t="s">
        <v>114</v>
      </c>
      <c r="BC363" t="s">
        <v>115</v>
      </c>
      <c r="BN363" t="s">
        <v>116</v>
      </c>
      <c r="BO363" t="s">
        <v>717</v>
      </c>
      <c r="BP363" t="s">
        <v>118</v>
      </c>
      <c r="BR363" t="s">
        <v>718</v>
      </c>
      <c r="BS363" t="s">
        <v>1428</v>
      </c>
      <c r="BW363" t="s">
        <v>1157</v>
      </c>
      <c r="BX363" t="s">
        <v>1158</v>
      </c>
      <c r="BY363" t="s">
        <v>123</v>
      </c>
      <c r="BZ363" t="s">
        <v>124</v>
      </c>
    </row>
    <row r="364" spans="1:78" x14ac:dyDescent="0.3">
      <c r="A364" t="s">
        <v>2</v>
      </c>
      <c r="B364" t="s">
        <v>92</v>
      </c>
      <c r="C364" t="s">
        <v>93</v>
      </c>
      <c r="D364" t="s">
        <v>94</v>
      </c>
      <c r="E364" t="s">
        <v>95</v>
      </c>
      <c r="F364" t="s">
        <v>710</v>
      </c>
      <c r="G364">
        <v>420000</v>
      </c>
      <c r="H364">
        <v>420000</v>
      </c>
      <c r="AA364" t="s">
        <v>711</v>
      </c>
      <c r="AB364" t="s">
        <v>712</v>
      </c>
      <c r="AC364" t="s">
        <v>713</v>
      </c>
      <c r="AD364" t="s">
        <v>714</v>
      </c>
      <c r="AE364" t="s">
        <v>714</v>
      </c>
      <c r="AF364" t="s">
        <v>715</v>
      </c>
      <c r="AG364" t="s">
        <v>102</v>
      </c>
      <c r="AH364" t="s">
        <v>131</v>
      </c>
      <c r="AI364">
        <v>46111</v>
      </c>
      <c r="AJ364">
        <v>46178</v>
      </c>
      <c r="AK364" t="s">
        <v>137</v>
      </c>
      <c r="AL364" t="s">
        <v>146</v>
      </c>
      <c r="AM364" t="s">
        <v>1429</v>
      </c>
      <c r="AN364" t="s">
        <v>107</v>
      </c>
      <c r="AO364" t="s">
        <v>107</v>
      </c>
      <c r="AP364">
        <v>12086</v>
      </c>
      <c r="AQ364">
        <v>4210.3</v>
      </c>
      <c r="AR364">
        <v>0</v>
      </c>
      <c r="AS364" t="s">
        <v>107</v>
      </c>
      <c r="AT364" t="s">
        <v>108</v>
      </c>
      <c r="AU364" t="s">
        <v>109</v>
      </c>
      <c r="AV364" t="s">
        <v>110</v>
      </c>
      <c r="AW364" t="s">
        <v>111</v>
      </c>
      <c r="AX364" t="s">
        <v>712</v>
      </c>
      <c r="AY364" t="s">
        <v>1430</v>
      </c>
      <c r="AZ364" t="s">
        <v>113</v>
      </c>
      <c r="BA364" t="s">
        <v>133</v>
      </c>
      <c r="BB364" t="s">
        <v>114</v>
      </c>
      <c r="BC364" t="s">
        <v>115</v>
      </c>
      <c r="BN364" t="s">
        <v>116</v>
      </c>
      <c r="BO364" t="s">
        <v>717</v>
      </c>
      <c r="BP364" t="s">
        <v>118</v>
      </c>
      <c r="BR364" t="s">
        <v>718</v>
      </c>
      <c r="BS364" t="s">
        <v>1431</v>
      </c>
      <c r="BW364" t="s">
        <v>1157</v>
      </c>
      <c r="BX364" t="s">
        <v>1158</v>
      </c>
      <c r="BY364" t="s">
        <v>123</v>
      </c>
      <c r="BZ364" t="s">
        <v>124</v>
      </c>
    </row>
    <row r="365" spans="1:78" x14ac:dyDescent="0.3">
      <c r="A365" t="s">
        <v>2</v>
      </c>
      <c r="B365" t="s">
        <v>92</v>
      </c>
      <c r="C365" t="s">
        <v>93</v>
      </c>
      <c r="D365" t="s">
        <v>94</v>
      </c>
      <c r="E365" t="s">
        <v>95</v>
      </c>
      <c r="F365" t="s">
        <v>710</v>
      </c>
      <c r="G365">
        <v>420000</v>
      </c>
      <c r="H365">
        <v>420000</v>
      </c>
      <c r="AA365" t="s">
        <v>711</v>
      </c>
      <c r="AB365" t="s">
        <v>712</v>
      </c>
      <c r="AC365" t="s">
        <v>713</v>
      </c>
      <c r="AD365" t="s">
        <v>714</v>
      </c>
      <c r="AE365" t="s">
        <v>714</v>
      </c>
      <c r="AF365" t="s">
        <v>715</v>
      </c>
      <c r="AG365" t="s">
        <v>102</v>
      </c>
      <c r="AH365" t="s">
        <v>131</v>
      </c>
      <c r="AI365">
        <v>46111</v>
      </c>
      <c r="AJ365">
        <v>46086</v>
      </c>
      <c r="AK365" t="s">
        <v>137</v>
      </c>
      <c r="AL365" t="s">
        <v>146</v>
      </c>
      <c r="AM365" t="s">
        <v>107</v>
      </c>
      <c r="AN365" t="s">
        <v>107</v>
      </c>
      <c r="AO365" t="s">
        <v>107</v>
      </c>
      <c r="AP365">
        <v>0</v>
      </c>
      <c r="AQ365">
        <v>7875.7</v>
      </c>
      <c r="AR365">
        <v>0</v>
      </c>
      <c r="AS365" t="s">
        <v>107</v>
      </c>
      <c r="AT365" t="s">
        <v>108</v>
      </c>
      <c r="AU365" t="s">
        <v>109</v>
      </c>
      <c r="AV365" t="s">
        <v>110</v>
      </c>
      <c r="AW365" t="s">
        <v>111</v>
      </c>
      <c r="AY365" t="s">
        <v>1432</v>
      </c>
      <c r="AZ365" t="s">
        <v>113</v>
      </c>
      <c r="BB365" t="s">
        <v>114</v>
      </c>
      <c r="BC365" t="s">
        <v>115</v>
      </c>
      <c r="BN365" t="s">
        <v>116</v>
      </c>
      <c r="BO365" t="s">
        <v>717</v>
      </c>
      <c r="BP365" t="s">
        <v>118</v>
      </c>
      <c r="BR365" t="s">
        <v>718</v>
      </c>
      <c r="BS365" t="s">
        <v>1433</v>
      </c>
      <c r="BW365" t="s">
        <v>1157</v>
      </c>
      <c r="BX365" t="s">
        <v>1158</v>
      </c>
      <c r="BY365" t="s">
        <v>123</v>
      </c>
      <c r="BZ365" t="s">
        <v>124</v>
      </c>
    </row>
    <row r="366" spans="1:78" x14ac:dyDescent="0.3">
      <c r="A366" t="s">
        <v>2</v>
      </c>
      <c r="B366" t="s">
        <v>92</v>
      </c>
      <c r="C366" t="s">
        <v>93</v>
      </c>
      <c r="D366" t="s">
        <v>94</v>
      </c>
      <c r="E366" t="s">
        <v>95</v>
      </c>
      <c r="F366" t="s">
        <v>710</v>
      </c>
      <c r="G366">
        <v>420000</v>
      </c>
      <c r="H366">
        <v>420000</v>
      </c>
      <c r="AA366" t="s">
        <v>711</v>
      </c>
      <c r="AB366" t="s">
        <v>712</v>
      </c>
      <c r="AC366" t="s">
        <v>713</v>
      </c>
      <c r="AD366" t="s">
        <v>714</v>
      </c>
      <c r="AE366" t="s">
        <v>714</v>
      </c>
      <c r="AF366" t="s">
        <v>715</v>
      </c>
      <c r="AG366" t="s">
        <v>102</v>
      </c>
      <c r="AH366" t="s">
        <v>131</v>
      </c>
      <c r="AI366">
        <v>46111</v>
      </c>
      <c r="AJ366">
        <v>46112</v>
      </c>
      <c r="AK366" t="s">
        <v>218</v>
      </c>
      <c r="AL366" t="s">
        <v>105</v>
      </c>
      <c r="AM366" t="s">
        <v>1434</v>
      </c>
      <c r="AN366" t="s">
        <v>107</v>
      </c>
      <c r="AO366" t="s">
        <v>107</v>
      </c>
      <c r="AP366">
        <v>372000</v>
      </c>
      <c r="AQ366">
        <v>372000</v>
      </c>
      <c r="AR366">
        <v>0</v>
      </c>
      <c r="AS366" t="s">
        <v>107</v>
      </c>
      <c r="AT366" t="s">
        <v>108</v>
      </c>
      <c r="AU366" t="s">
        <v>109</v>
      </c>
      <c r="AV366" t="s">
        <v>110</v>
      </c>
      <c r="AW366" t="s">
        <v>111</v>
      </c>
      <c r="AY366" t="s">
        <v>256</v>
      </c>
      <c r="AZ366" t="s">
        <v>113</v>
      </c>
      <c r="BB366" t="s">
        <v>114</v>
      </c>
      <c r="BC366" t="s">
        <v>115</v>
      </c>
      <c r="BN366" t="s">
        <v>116</v>
      </c>
      <c r="BO366" t="s">
        <v>717</v>
      </c>
      <c r="BP366" t="s">
        <v>118</v>
      </c>
      <c r="BR366" t="s">
        <v>718</v>
      </c>
      <c r="BS366" t="s">
        <v>1433</v>
      </c>
      <c r="BW366" t="s">
        <v>1157</v>
      </c>
      <c r="BX366" t="s">
        <v>1158</v>
      </c>
      <c r="BY366" t="s">
        <v>123</v>
      </c>
      <c r="BZ366" t="s">
        <v>124</v>
      </c>
    </row>
    <row r="367" spans="1:78" x14ac:dyDescent="0.3">
      <c r="A367" t="s">
        <v>2</v>
      </c>
      <c r="B367" t="s">
        <v>92</v>
      </c>
      <c r="C367" t="s">
        <v>93</v>
      </c>
      <c r="D367" t="s">
        <v>94</v>
      </c>
      <c r="E367" t="s">
        <v>95</v>
      </c>
      <c r="F367" t="s">
        <v>201</v>
      </c>
      <c r="G367">
        <v>654000</v>
      </c>
      <c r="H367">
        <v>654000</v>
      </c>
      <c r="I367" t="s">
        <v>93</v>
      </c>
      <c r="J367" t="s">
        <v>94</v>
      </c>
      <c r="K367" t="s">
        <v>202</v>
      </c>
      <c r="L367" t="s">
        <v>203</v>
      </c>
      <c r="M367">
        <v>56300</v>
      </c>
      <c r="N367">
        <v>56300</v>
      </c>
      <c r="AA367" t="s">
        <v>204</v>
      </c>
      <c r="AB367" t="s">
        <v>205</v>
      </c>
      <c r="AC367" t="s">
        <v>206</v>
      </c>
      <c r="AE367" t="s">
        <v>207</v>
      </c>
      <c r="AF367" t="s">
        <v>208</v>
      </c>
      <c r="AG367" t="s">
        <v>102</v>
      </c>
      <c r="AH367" t="s">
        <v>187</v>
      </c>
      <c r="AI367">
        <v>46264.756944444453</v>
      </c>
      <c r="AJ367">
        <v>45831</v>
      </c>
      <c r="AK367" t="s">
        <v>218</v>
      </c>
      <c r="AL367" t="s">
        <v>584</v>
      </c>
      <c r="AM367" t="s">
        <v>1435</v>
      </c>
      <c r="AN367" t="s">
        <v>107</v>
      </c>
      <c r="AO367" t="s">
        <v>107</v>
      </c>
      <c r="AP367">
        <v>106545</v>
      </c>
      <c r="AQ367">
        <v>35515</v>
      </c>
      <c r="AR367">
        <v>0</v>
      </c>
      <c r="AS367" t="s">
        <v>107</v>
      </c>
      <c r="AT367" t="s">
        <v>161</v>
      </c>
      <c r="AU367" t="s">
        <v>109</v>
      </c>
      <c r="AV367" t="s">
        <v>110</v>
      </c>
      <c r="AW367" t="s">
        <v>111</v>
      </c>
      <c r="AY367" t="s">
        <v>1436</v>
      </c>
      <c r="AZ367" t="s">
        <v>113</v>
      </c>
      <c r="BB367" t="s">
        <v>114</v>
      </c>
      <c r="BC367" t="s">
        <v>115</v>
      </c>
      <c r="BN367" t="s">
        <v>116</v>
      </c>
      <c r="BO367" t="s">
        <v>212</v>
      </c>
      <c r="BP367" t="s">
        <v>166</v>
      </c>
      <c r="BR367" t="s">
        <v>213</v>
      </c>
      <c r="BS367" t="s">
        <v>1437</v>
      </c>
      <c r="BW367" t="s">
        <v>1157</v>
      </c>
      <c r="BX367" t="s">
        <v>1158</v>
      </c>
      <c r="BY367" t="s">
        <v>123</v>
      </c>
      <c r="BZ367" t="s">
        <v>124</v>
      </c>
    </row>
    <row r="368" spans="1:78" x14ac:dyDescent="0.3">
      <c r="A368" t="s">
        <v>2</v>
      </c>
      <c r="B368" t="s">
        <v>92</v>
      </c>
      <c r="C368" t="s">
        <v>93</v>
      </c>
      <c r="D368" t="s">
        <v>94</v>
      </c>
      <c r="E368" t="s">
        <v>95</v>
      </c>
      <c r="F368" t="s">
        <v>201</v>
      </c>
      <c r="G368">
        <v>654000</v>
      </c>
      <c r="H368">
        <v>654000</v>
      </c>
      <c r="I368" t="s">
        <v>93</v>
      </c>
      <c r="J368" t="s">
        <v>94</v>
      </c>
      <c r="K368" t="s">
        <v>202</v>
      </c>
      <c r="L368" t="s">
        <v>203</v>
      </c>
      <c r="M368">
        <v>56300</v>
      </c>
      <c r="N368">
        <v>56300</v>
      </c>
      <c r="AA368" t="s">
        <v>204</v>
      </c>
      <c r="AB368" t="s">
        <v>205</v>
      </c>
      <c r="AC368" t="s">
        <v>206</v>
      </c>
      <c r="AE368" t="s">
        <v>207</v>
      </c>
      <c r="AF368" t="s">
        <v>208</v>
      </c>
      <c r="AG368" t="s">
        <v>102</v>
      </c>
      <c r="AH368" t="s">
        <v>187</v>
      </c>
      <c r="AI368">
        <v>46264.756944444453</v>
      </c>
      <c r="AJ368">
        <v>45858</v>
      </c>
      <c r="AK368" t="s">
        <v>218</v>
      </c>
      <c r="AL368" t="s">
        <v>584</v>
      </c>
      <c r="AM368" t="s">
        <v>107</v>
      </c>
      <c r="AN368" t="s">
        <v>107</v>
      </c>
      <c r="AO368" t="s">
        <v>107</v>
      </c>
      <c r="AP368">
        <v>0</v>
      </c>
      <c r="AQ368">
        <v>35515</v>
      </c>
      <c r="AR368">
        <v>0</v>
      </c>
      <c r="AS368" t="s">
        <v>107</v>
      </c>
      <c r="AT368" t="s">
        <v>161</v>
      </c>
      <c r="AU368" t="s">
        <v>109</v>
      </c>
      <c r="AV368" t="s">
        <v>110</v>
      </c>
      <c r="AW368" t="s">
        <v>111</v>
      </c>
      <c r="AY368" t="s">
        <v>1438</v>
      </c>
      <c r="AZ368" t="s">
        <v>113</v>
      </c>
      <c r="BB368" t="s">
        <v>114</v>
      </c>
      <c r="BC368" t="s">
        <v>115</v>
      </c>
      <c r="BN368" t="s">
        <v>116</v>
      </c>
      <c r="BO368" t="s">
        <v>212</v>
      </c>
      <c r="BP368" t="s">
        <v>166</v>
      </c>
      <c r="BR368" t="s">
        <v>213</v>
      </c>
      <c r="BS368" t="s">
        <v>1439</v>
      </c>
      <c r="BW368" t="s">
        <v>1157</v>
      </c>
      <c r="BX368" t="s">
        <v>1158</v>
      </c>
      <c r="BY368" t="s">
        <v>123</v>
      </c>
      <c r="BZ368" t="s">
        <v>124</v>
      </c>
    </row>
    <row r="369" spans="1:78" x14ac:dyDescent="0.3">
      <c r="A369" t="s">
        <v>2</v>
      </c>
      <c r="B369" t="s">
        <v>92</v>
      </c>
      <c r="C369" t="s">
        <v>93</v>
      </c>
      <c r="D369" t="s">
        <v>94</v>
      </c>
      <c r="E369" t="s">
        <v>95</v>
      </c>
      <c r="F369" t="s">
        <v>201</v>
      </c>
      <c r="G369">
        <v>654000</v>
      </c>
      <c r="H369">
        <v>654000</v>
      </c>
      <c r="I369" t="s">
        <v>93</v>
      </c>
      <c r="J369" t="s">
        <v>94</v>
      </c>
      <c r="K369" t="s">
        <v>202</v>
      </c>
      <c r="L369" t="s">
        <v>203</v>
      </c>
      <c r="M369">
        <v>56300</v>
      </c>
      <c r="N369">
        <v>56300</v>
      </c>
      <c r="AA369" t="s">
        <v>204</v>
      </c>
      <c r="AB369" t="s">
        <v>205</v>
      </c>
      <c r="AC369" t="s">
        <v>206</v>
      </c>
      <c r="AE369" t="s">
        <v>207</v>
      </c>
      <c r="AF369" t="s">
        <v>208</v>
      </c>
      <c r="AG369" t="s">
        <v>102</v>
      </c>
      <c r="AH369" t="s">
        <v>187</v>
      </c>
      <c r="AI369">
        <v>46264.756944444453</v>
      </c>
      <c r="AJ369">
        <v>45894</v>
      </c>
      <c r="AK369" t="s">
        <v>218</v>
      </c>
      <c r="AL369" t="s">
        <v>584</v>
      </c>
      <c r="AM369" t="s">
        <v>107</v>
      </c>
      <c r="AN369" t="s">
        <v>107</v>
      </c>
      <c r="AO369" t="s">
        <v>107</v>
      </c>
      <c r="AP369">
        <v>0</v>
      </c>
      <c r="AQ369">
        <v>35515</v>
      </c>
      <c r="AR369">
        <v>0</v>
      </c>
      <c r="AS369" t="s">
        <v>107</v>
      </c>
      <c r="AT369" t="s">
        <v>161</v>
      </c>
      <c r="AU369" t="s">
        <v>109</v>
      </c>
      <c r="AV369" t="s">
        <v>110</v>
      </c>
      <c r="AW369" t="s">
        <v>111</v>
      </c>
      <c r="AY369" t="s">
        <v>1440</v>
      </c>
      <c r="AZ369" t="s">
        <v>113</v>
      </c>
      <c r="BB369" t="s">
        <v>114</v>
      </c>
      <c r="BC369" t="s">
        <v>115</v>
      </c>
      <c r="BN369" t="s">
        <v>116</v>
      </c>
      <c r="BO369" t="s">
        <v>212</v>
      </c>
      <c r="BP369" t="s">
        <v>166</v>
      </c>
      <c r="BR369" t="s">
        <v>213</v>
      </c>
      <c r="BS369" t="s">
        <v>1441</v>
      </c>
      <c r="BW369" t="s">
        <v>1157</v>
      </c>
      <c r="BX369" t="s">
        <v>1158</v>
      </c>
      <c r="BY369" t="s">
        <v>123</v>
      </c>
      <c r="BZ369" t="s">
        <v>124</v>
      </c>
    </row>
    <row r="370" spans="1:78" x14ac:dyDescent="0.3">
      <c r="A370" t="s">
        <v>11</v>
      </c>
      <c r="B370" t="s">
        <v>92</v>
      </c>
      <c r="C370" t="s">
        <v>93</v>
      </c>
      <c r="D370" t="s">
        <v>94</v>
      </c>
      <c r="E370" t="s">
        <v>95</v>
      </c>
      <c r="F370" t="s">
        <v>1442</v>
      </c>
      <c r="G370">
        <v>430000</v>
      </c>
      <c r="H370">
        <v>400000</v>
      </c>
      <c r="I370" t="s">
        <v>93</v>
      </c>
      <c r="J370" t="s">
        <v>94</v>
      </c>
      <c r="K370" t="s">
        <v>202</v>
      </c>
      <c r="L370" t="s">
        <v>1443</v>
      </c>
      <c r="M370">
        <v>48500</v>
      </c>
      <c r="N370">
        <v>48500</v>
      </c>
      <c r="AA370" t="s">
        <v>1444</v>
      </c>
      <c r="AB370" t="s">
        <v>1445</v>
      </c>
      <c r="AC370" t="s">
        <v>1446</v>
      </c>
      <c r="AD370" t="s">
        <v>365</v>
      </c>
      <c r="AE370" t="s">
        <v>1447</v>
      </c>
      <c r="AF370" t="s">
        <v>1448</v>
      </c>
      <c r="AG370" t="s">
        <v>102</v>
      </c>
      <c r="AH370" t="s">
        <v>187</v>
      </c>
      <c r="AI370">
        <v>46096</v>
      </c>
      <c r="AJ370">
        <v>46096</v>
      </c>
      <c r="AK370" t="s">
        <v>104</v>
      </c>
      <c r="AL370" t="s">
        <v>105</v>
      </c>
      <c r="AM370" t="s">
        <v>106</v>
      </c>
      <c r="AN370" t="s">
        <v>107</v>
      </c>
      <c r="AO370" t="s">
        <v>107</v>
      </c>
      <c r="AP370">
        <v>3000</v>
      </c>
      <c r="AQ370">
        <v>3000</v>
      </c>
      <c r="AR370">
        <v>0</v>
      </c>
      <c r="AS370" t="s">
        <v>107</v>
      </c>
      <c r="AT370" t="s">
        <v>243</v>
      </c>
      <c r="AU370" t="s">
        <v>162</v>
      </c>
      <c r="AV370" t="s">
        <v>163</v>
      </c>
      <c r="AW370" t="s">
        <v>111</v>
      </c>
      <c r="AY370" t="s">
        <v>1449</v>
      </c>
      <c r="AZ370" t="s">
        <v>113</v>
      </c>
      <c r="BB370" t="s">
        <v>114</v>
      </c>
      <c r="BC370" t="s">
        <v>115</v>
      </c>
      <c r="BN370" t="s">
        <v>113</v>
      </c>
      <c r="BO370" t="s">
        <v>1450</v>
      </c>
      <c r="BP370" t="s">
        <v>370</v>
      </c>
      <c r="BR370" t="s">
        <v>1451</v>
      </c>
      <c r="BS370" t="s">
        <v>1452</v>
      </c>
      <c r="BW370" t="s">
        <v>1157</v>
      </c>
      <c r="BX370" t="s">
        <v>1158</v>
      </c>
      <c r="BY370" t="s">
        <v>123</v>
      </c>
      <c r="BZ370" t="s">
        <v>124</v>
      </c>
    </row>
    <row r="371" spans="1:78" x14ac:dyDescent="0.3">
      <c r="A371" t="s">
        <v>11</v>
      </c>
      <c r="B371" t="s">
        <v>92</v>
      </c>
      <c r="C371" t="s">
        <v>93</v>
      </c>
      <c r="D371" t="s">
        <v>94</v>
      </c>
      <c r="E371" t="s">
        <v>95</v>
      </c>
      <c r="F371" t="s">
        <v>1442</v>
      </c>
      <c r="G371">
        <v>430000</v>
      </c>
      <c r="H371">
        <v>400000</v>
      </c>
      <c r="I371" t="s">
        <v>93</v>
      </c>
      <c r="J371" t="s">
        <v>94</v>
      </c>
      <c r="K371" t="s">
        <v>202</v>
      </c>
      <c r="L371" t="s">
        <v>1443</v>
      </c>
      <c r="M371">
        <v>48500</v>
      </c>
      <c r="N371">
        <v>48500</v>
      </c>
      <c r="AA371" t="s">
        <v>1444</v>
      </c>
      <c r="AB371" t="s">
        <v>1445</v>
      </c>
      <c r="AC371" t="s">
        <v>1446</v>
      </c>
      <c r="AD371" t="s">
        <v>365</v>
      </c>
      <c r="AE371" t="s">
        <v>1447</v>
      </c>
      <c r="AF371" t="s">
        <v>1448</v>
      </c>
      <c r="AG371" t="s">
        <v>102</v>
      </c>
      <c r="AH371" t="s">
        <v>187</v>
      </c>
      <c r="AI371">
        <v>46112</v>
      </c>
      <c r="AK371" t="s">
        <v>137</v>
      </c>
      <c r="AL371" t="s">
        <v>105</v>
      </c>
      <c r="AM371" t="s">
        <v>138</v>
      </c>
      <c r="AN371" t="s">
        <v>107</v>
      </c>
      <c r="AO371" t="s">
        <v>107</v>
      </c>
      <c r="AP371">
        <v>20000</v>
      </c>
      <c r="AQ371">
        <v>0</v>
      </c>
      <c r="AR371">
        <v>20000</v>
      </c>
      <c r="AT371" t="s">
        <v>243</v>
      </c>
      <c r="AZ371" t="s">
        <v>113</v>
      </c>
      <c r="BC371" t="s">
        <v>543</v>
      </c>
      <c r="BN371" t="s">
        <v>113</v>
      </c>
      <c r="BO371" t="s">
        <v>1450</v>
      </c>
      <c r="BP371" t="s">
        <v>370</v>
      </c>
      <c r="BR371" t="s">
        <v>1451</v>
      </c>
      <c r="BW371" t="s">
        <v>1157</v>
      </c>
      <c r="BX371" t="s">
        <v>1158</v>
      </c>
      <c r="BY371" t="s">
        <v>123</v>
      </c>
      <c r="BZ371" t="s">
        <v>124</v>
      </c>
    </row>
    <row r="372" spans="1:78" x14ac:dyDescent="0.3">
      <c r="A372" t="s">
        <v>11</v>
      </c>
      <c r="B372" t="s">
        <v>92</v>
      </c>
      <c r="C372" t="s">
        <v>93</v>
      </c>
      <c r="D372" t="s">
        <v>94</v>
      </c>
      <c r="E372" t="s">
        <v>95</v>
      </c>
      <c r="F372" t="s">
        <v>1442</v>
      </c>
      <c r="G372">
        <v>430000</v>
      </c>
      <c r="H372">
        <v>400000</v>
      </c>
      <c r="I372" t="s">
        <v>93</v>
      </c>
      <c r="J372" t="s">
        <v>94</v>
      </c>
      <c r="K372" t="s">
        <v>202</v>
      </c>
      <c r="L372" t="s">
        <v>1443</v>
      </c>
      <c r="M372">
        <v>48500</v>
      </c>
      <c r="N372">
        <v>48500</v>
      </c>
      <c r="AA372" t="s">
        <v>1444</v>
      </c>
      <c r="AB372" t="s">
        <v>1445</v>
      </c>
      <c r="AC372" t="s">
        <v>1446</v>
      </c>
      <c r="AD372" t="s">
        <v>365</v>
      </c>
      <c r="AE372" t="s">
        <v>1447</v>
      </c>
      <c r="AF372" t="s">
        <v>1448</v>
      </c>
      <c r="AG372" t="s">
        <v>102</v>
      </c>
      <c r="AH372" t="s">
        <v>187</v>
      </c>
      <c r="AI372">
        <v>46142</v>
      </c>
      <c r="AK372" t="s">
        <v>137</v>
      </c>
      <c r="AL372" t="s">
        <v>142</v>
      </c>
      <c r="AM372" t="s">
        <v>398</v>
      </c>
      <c r="AN372" t="s">
        <v>107</v>
      </c>
      <c r="AO372" t="s">
        <v>107</v>
      </c>
      <c r="AP372">
        <v>10000</v>
      </c>
      <c r="AQ372">
        <v>0</v>
      </c>
      <c r="AR372">
        <v>10000</v>
      </c>
      <c r="AT372" t="s">
        <v>243</v>
      </c>
      <c r="AZ372" t="s">
        <v>113</v>
      </c>
      <c r="BC372" t="s">
        <v>543</v>
      </c>
      <c r="BN372" t="s">
        <v>113</v>
      </c>
      <c r="BO372" t="s">
        <v>1450</v>
      </c>
      <c r="BP372" t="s">
        <v>370</v>
      </c>
      <c r="BR372" t="s">
        <v>1451</v>
      </c>
      <c r="BW372" t="s">
        <v>1157</v>
      </c>
      <c r="BX372" t="s">
        <v>1158</v>
      </c>
      <c r="BY372" t="s">
        <v>123</v>
      </c>
      <c r="BZ372" t="s">
        <v>124</v>
      </c>
    </row>
    <row r="373" spans="1:78" x14ac:dyDescent="0.3">
      <c r="A373" t="s">
        <v>11</v>
      </c>
      <c r="B373" t="s">
        <v>92</v>
      </c>
      <c r="C373" t="s">
        <v>93</v>
      </c>
      <c r="D373" t="s">
        <v>94</v>
      </c>
      <c r="E373" t="s">
        <v>95</v>
      </c>
      <c r="F373" t="s">
        <v>1442</v>
      </c>
      <c r="G373">
        <v>430000</v>
      </c>
      <c r="H373">
        <v>400000</v>
      </c>
      <c r="I373" t="s">
        <v>93</v>
      </c>
      <c r="J373" t="s">
        <v>94</v>
      </c>
      <c r="K373" t="s">
        <v>202</v>
      </c>
      <c r="L373" t="s">
        <v>1443</v>
      </c>
      <c r="M373">
        <v>48500</v>
      </c>
      <c r="N373">
        <v>48500</v>
      </c>
      <c r="AA373" t="s">
        <v>1444</v>
      </c>
      <c r="AB373" t="s">
        <v>1445</v>
      </c>
      <c r="AC373" t="s">
        <v>1446</v>
      </c>
      <c r="AD373" t="s">
        <v>365</v>
      </c>
      <c r="AE373" t="s">
        <v>1447</v>
      </c>
      <c r="AF373" t="s">
        <v>1448</v>
      </c>
      <c r="AG373" t="s">
        <v>102</v>
      </c>
      <c r="AH373" t="s">
        <v>187</v>
      </c>
      <c r="AI373">
        <v>46265</v>
      </c>
      <c r="AK373" t="s">
        <v>137</v>
      </c>
      <c r="AL373" t="s">
        <v>146</v>
      </c>
      <c r="AM373" t="s">
        <v>542</v>
      </c>
      <c r="AN373" t="s">
        <v>107</v>
      </c>
      <c r="AO373" t="s">
        <v>107</v>
      </c>
      <c r="AP373">
        <v>17000</v>
      </c>
      <c r="AQ373">
        <v>0</v>
      </c>
      <c r="AR373">
        <v>17000</v>
      </c>
      <c r="AT373" t="s">
        <v>243</v>
      </c>
      <c r="AZ373" t="s">
        <v>113</v>
      </c>
      <c r="BC373" t="s">
        <v>1160</v>
      </c>
      <c r="BN373" t="s">
        <v>113</v>
      </c>
      <c r="BO373" t="s">
        <v>1450</v>
      </c>
      <c r="BP373" t="s">
        <v>370</v>
      </c>
      <c r="BR373" t="s">
        <v>1451</v>
      </c>
      <c r="BW373" t="s">
        <v>1157</v>
      </c>
      <c r="BX373" t="s">
        <v>1158</v>
      </c>
      <c r="BY373" t="s">
        <v>123</v>
      </c>
      <c r="BZ373" t="s">
        <v>124</v>
      </c>
    </row>
    <row r="374" spans="1:78" x14ac:dyDescent="0.3">
      <c r="A374" t="s">
        <v>11</v>
      </c>
      <c r="B374" t="s">
        <v>92</v>
      </c>
      <c r="C374" t="s">
        <v>93</v>
      </c>
      <c r="D374" t="s">
        <v>94</v>
      </c>
      <c r="E374" t="s">
        <v>95</v>
      </c>
      <c r="F374" t="s">
        <v>1442</v>
      </c>
      <c r="G374">
        <v>430000</v>
      </c>
      <c r="H374">
        <v>400000</v>
      </c>
      <c r="I374" t="s">
        <v>93</v>
      </c>
      <c r="J374" t="s">
        <v>94</v>
      </c>
      <c r="K374" t="s">
        <v>202</v>
      </c>
      <c r="L374" t="s">
        <v>1443</v>
      </c>
      <c r="M374">
        <v>48500</v>
      </c>
      <c r="N374">
        <v>48500</v>
      </c>
      <c r="AA374" t="s">
        <v>1444</v>
      </c>
      <c r="AB374" t="s">
        <v>1445</v>
      </c>
      <c r="AC374" t="s">
        <v>1446</v>
      </c>
      <c r="AD374" t="s">
        <v>365</v>
      </c>
      <c r="AE374" t="s">
        <v>1447</v>
      </c>
      <c r="AF374" t="s">
        <v>1448</v>
      </c>
      <c r="AG374" t="s">
        <v>102</v>
      </c>
      <c r="AH374" t="s">
        <v>187</v>
      </c>
      <c r="AI374">
        <v>46386</v>
      </c>
      <c r="AK374" t="s">
        <v>137</v>
      </c>
      <c r="AL374" t="s">
        <v>152</v>
      </c>
      <c r="AM374" t="s">
        <v>869</v>
      </c>
      <c r="AN374" t="s">
        <v>107</v>
      </c>
      <c r="AO374" t="s">
        <v>107</v>
      </c>
      <c r="AP374">
        <v>5000</v>
      </c>
      <c r="AQ374">
        <v>0</v>
      </c>
      <c r="AR374">
        <v>5000</v>
      </c>
      <c r="AT374" t="s">
        <v>243</v>
      </c>
      <c r="AZ374" t="s">
        <v>113</v>
      </c>
      <c r="BC374" t="s">
        <v>1160</v>
      </c>
      <c r="BN374" t="s">
        <v>113</v>
      </c>
      <c r="BO374" t="s">
        <v>1450</v>
      </c>
      <c r="BP374" t="s">
        <v>370</v>
      </c>
      <c r="BR374" t="s">
        <v>1451</v>
      </c>
      <c r="BW374" t="s">
        <v>1157</v>
      </c>
      <c r="BX374" t="s">
        <v>1158</v>
      </c>
      <c r="BY374" t="s">
        <v>123</v>
      </c>
      <c r="BZ374" t="s">
        <v>124</v>
      </c>
    </row>
    <row r="375" spans="1:78" x14ac:dyDescent="0.3">
      <c r="A375" t="s">
        <v>11</v>
      </c>
      <c r="B375" t="s">
        <v>92</v>
      </c>
      <c r="C375" t="s">
        <v>93</v>
      </c>
      <c r="D375" t="s">
        <v>94</v>
      </c>
      <c r="E375" t="s">
        <v>95</v>
      </c>
      <c r="F375" t="s">
        <v>1442</v>
      </c>
      <c r="G375">
        <v>430000</v>
      </c>
      <c r="H375">
        <v>400000</v>
      </c>
      <c r="I375" t="s">
        <v>93</v>
      </c>
      <c r="J375" t="s">
        <v>94</v>
      </c>
      <c r="K375" t="s">
        <v>202</v>
      </c>
      <c r="L375" t="s">
        <v>1443</v>
      </c>
      <c r="M375">
        <v>48500</v>
      </c>
      <c r="N375">
        <v>48500</v>
      </c>
      <c r="AA375" t="s">
        <v>1444</v>
      </c>
      <c r="AB375" t="s">
        <v>1445</v>
      </c>
      <c r="AC375" t="s">
        <v>1446</v>
      </c>
      <c r="AD375" t="s">
        <v>365</v>
      </c>
      <c r="AE375" t="s">
        <v>1447</v>
      </c>
      <c r="AF375" t="s">
        <v>1448</v>
      </c>
      <c r="AG375" t="s">
        <v>102</v>
      </c>
      <c r="AH375" t="s">
        <v>187</v>
      </c>
      <c r="AI375">
        <v>46280</v>
      </c>
      <c r="AK375" t="s">
        <v>218</v>
      </c>
      <c r="AL375" t="s">
        <v>105</v>
      </c>
      <c r="AM375" t="s">
        <v>1453</v>
      </c>
      <c r="AN375" t="s">
        <v>107</v>
      </c>
      <c r="AO375" t="s">
        <v>107</v>
      </c>
      <c r="AP375">
        <v>98375</v>
      </c>
      <c r="AQ375">
        <v>0</v>
      </c>
      <c r="AR375">
        <v>98375</v>
      </c>
      <c r="AT375" t="s">
        <v>243</v>
      </c>
      <c r="AZ375" t="s">
        <v>113</v>
      </c>
      <c r="BC375" t="s">
        <v>1160</v>
      </c>
      <c r="BN375" t="s">
        <v>113</v>
      </c>
      <c r="BO375" t="s">
        <v>1450</v>
      </c>
      <c r="BP375" t="s">
        <v>370</v>
      </c>
      <c r="BR375" t="s">
        <v>1451</v>
      </c>
      <c r="BW375" t="s">
        <v>1157</v>
      </c>
      <c r="BX375" t="s">
        <v>1158</v>
      </c>
      <c r="BY375" t="s">
        <v>123</v>
      </c>
      <c r="BZ375" t="s">
        <v>124</v>
      </c>
    </row>
    <row r="376" spans="1:78" x14ac:dyDescent="0.3">
      <c r="A376" t="s">
        <v>12</v>
      </c>
      <c r="B376" t="s">
        <v>92</v>
      </c>
      <c r="C376" t="s">
        <v>93</v>
      </c>
      <c r="D376" t="s">
        <v>94</v>
      </c>
      <c r="E376" t="s">
        <v>95</v>
      </c>
      <c r="F376" t="s">
        <v>733</v>
      </c>
      <c r="G376">
        <v>438000</v>
      </c>
      <c r="H376">
        <v>438000</v>
      </c>
      <c r="I376" t="s">
        <v>93</v>
      </c>
      <c r="J376" t="s">
        <v>94</v>
      </c>
      <c r="K376" t="s">
        <v>202</v>
      </c>
      <c r="L376" t="s">
        <v>734</v>
      </c>
      <c r="M376">
        <v>43000</v>
      </c>
      <c r="N376">
        <v>43000</v>
      </c>
      <c r="AA376" t="s">
        <v>735</v>
      </c>
      <c r="AB376" t="s">
        <v>736</v>
      </c>
      <c r="AC376" t="s">
        <v>737</v>
      </c>
      <c r="AD376" t="s">
        <v>365</v>
      </c>
      <c r="AE376" t="s">
        <v>738</v>
      </c>
      <c r="AF376" t="s">
        <v>739</v>
      </c>
      <c r="AG376" t="s">
        <v>102</v>
      </c>
      <c r="AH376" t="s">
        <v>160</v>
      </c>
      <c r="AI376">
        <v>46203</v>
      </c>
      <c r="AK376" t="s">
        <v>218</v>
      </c>
      <c r="AL376" t="s">
        <v>105</v>
      </c>
      <c r="AM376" t="s">
        <v>1454</v>
      </c>
      <c r="AN376" t="s">
        <v>107</v>
      </c>
      <c r="AO376" t="s">
        <v>107</v>
      </c>
      <c r="AP376">
        <v>331000</v>
      </c>
      <c r="AQ376">
        <v>0</v>
      </c>
      <c r="AR376">
        <v>331000</v>
      </c>
      <c r="AT376" t="s">
        <v>108</v>
      </c>
      <c r="AZ376" t="s">
        <v>113</v>
      </c>
      <c r="BC376" t="s">
        <v>543</v>
      </c>
      <c r="BN376" t="s">
        <v>113</v>
      </c>
      <c r="BO376" t="s">
        <v>741</v>
      </c>
      <c r="BP376" t="s">
        <v>370</v>
      </c>
      <c r="BR376" t="s">
        <v>246</v>
      </c>
      <c r="BW376" t="s">
        <v>1157</v>
      </c>
      <c r="BX376" t="s">
        <v>1158</v>
      </c>
      <c r="BY376" t="s">
        <v>123</v>
      </c>
      <c r="BZ376" t="s">
        <v>124</v>
      </c>
    </row>
    <row r="377" spans="1:78" x14ac:dyDescent="0.3">
      <c r="A377" t="s">
        <v>2</v>
      </c>
      <c r="B377" t="s">
        <v>92</v>
      </c>
      <c r="C377" t="s">
        <v>93</v>
      </c>
      <c r="D377" t="s">
        <v>94</v>
      </c>
      <c r="E377" t="s">
        <v>95</v>
      </c>
      <c r="F377" t="s">
        <v>733</v>
      </c>
      <c r="G377">
        <v>480000</v>
      </c>
      <c r="H377">
        <v>428700</v>
      </c>
      <c r="I377" t="s">
        <v>93</v>
      </c>
      <c r="J377" t="s">
        <v>94</v>
      </c>
      <c r="K377" t="s">
        <v>202</v>
      </c>
      <c r="L377" t="s">
        <v>1455</v>
      </c>
      <c r="M377">
        <v>57800</v>
      </c>
      <c r="N377">
        <v>57800</v>
      </c>
      <c r="AA377" t="s">
        <v>1456</v>
      </c>
      <c r="AB377" t="s">
        <v>1457</v>
      </c>
      <c r="AC377" t="s">
        <v>1458</v>
      </c>
      <c r="AD377" t="s">
        <v>1459</v>
      </c>
      <c r="AE377" t="s">
        <v>1459</v>
      </c>
      <c r="AF377" t="s">
        <v>1460</v>
      </c>
      <c r="AG377" t="s">
        <v>102</v>
      </c>
      <c r="AH377" t="s">
        <v>1317</v>
      </c>
      <c r="AI377">
        <v>46171</v>
      </c>
      <c r="AJ377">
        <v>46171</v>
      </c>
      <c r="AK377" t="s">
        <v>104</v>
      </c>
      <c r="AL377" t="s">
        <v>105</v>
      </c>
      <c r="AM377" t="s">
        <v>106</v>
      </c>
      <c r="AN377" t="s">
        <v>107</v>
      </c>
      <c r="AO377" t="s">
        <v>107</v>
      </c>
      <c r="AP377">
        <v>3000</v>
      </c>
      <c r="AQ377">
        <v>3000</v>
      </c>
      <c r="AR377">
        <v>0</v>
      </c>
      <c r="AS377" t="s">
        <v>107</v>
      </c>
      <c r="AT377" t="s">
        <v>108</v>
      </c>
      <c r="AU377" t="s">
        <v>109</v>
      </c>
      <c r="AV377" t="s">
        <v>110</v>
      </c>
      <c r="AW377" t="s">
        <v>111</v>
      </c>
      <c r="AY377" t="s">
        <v>1461</v>
      </c>
      <c r="AZ377" t="s">
        <v>113</v>
      </c>
      <c r="BB377" t="s">
        <v>114</v>
      </c>
      <c r="BC377" t="s">
        <v>115</v>
      </c>
      <c r="BN377" t="s">
        <v>116</v>
      </c>
      <c r="BO377" t="s">
        <v>1462</v>
      </c>
      <c r="BP377" t="s">
        <v>370</v>
      </c>
      <c r="BR377" t="s">
        <v>1463</v>
      </c>
      <c r="BS377" t="s">
        <v>1464</v>
      </c>
      <c r="BW377" t="s">
        <v>1157</v>
      </c>
      <c r="BX377" t="s">
        <v>1158</v>
      </c>
      <c r="BY377" t="s">
        <v>123</v>
      </c>
      <c r="BZ377" t="s">
        <v>124</v>
      </c>
    </row>
    <row r="378" spans="1:78" x14ac:dyDescent="0.3">
      <c r="A378" t="s">
        <v>2</v>
      </c>
      <c r="B378" t="s">
        <v>92</v>
      </c>
      <c r="C378" t="s">
        <v>93</v>
      </c>
      <c r="D378" t="s">
        <v>94</v>
      </c>
      <c r="E378" t="s">
        <v>95</v>
      </c>
      <c r="F378" t="s">
        <v>733</v>
      </c>
      <c r="G378">
        <v>480000</v>
      </c>
      <c r="H378">
        <v>428700</v>
      </c>
      <c r="I378" t="s">
        <v>93</v>
      </c>
      <c r="J378" t="s">
        <v>94</v>
      </c>
      <c r="K378" t="s">
        <v>202</v>
      </c>
      <c r="L378" t="s">
        <v>1455</v>
      </c>
      <c r="M378">
        <v>57800</v>
      </c>
      <c r="N378">
        <v>57800</v>
      </c>
      <c r="AA378" t="s">
        <v>1456</v>
      </c>
      <c r="AB378" t="s">
        <v>1457</v>
      </c>
      <c r="AC378" t="s">
        <v>1458</v>
      </c>
      <c r="AD378" t="s">
        <v>1459</v>
      </c>
      <c r="AE378" t="s">
        <v>1459</v>
      </c>
      <c r="AF378" t="s">
        <v>1460</v>
      </c>
      <c r="AG378" t="s">
        <v>102</v>
      </c>
      <c r="AH378" t="s">
        <v>1317</v>
      </c>
      <c r="AI378">
        <v>46191</v>
      </c>
      <c r="AJ378">
        <v>46191</v>
      </c>
      <c r="AK378" t="s">
        <v>137</v>
      </c>
      <c r="AL378" t="s">
        <v>105</v>
      </c>
      <c r="AM378" t="s">
        <v>287</v>
      </c>
      <c r="AN378" t="s">
        <v>107</v>
      </c>
      <c r="AO378" t="s">
        <v>107</v>
      </c>
      <c r="AP378">
        <v>30000</v>
      </c>
      <c r="AQ378">
        <v>30000</v>
      </c>
      <c r="AR378">
        <v>0</v>
      </c>
      <c r="AS378" t="s">
        <v>107</v>
      </c>
      <c r="AT378" t="s">
        <v>108</v>
      </c>
      <c r="AU378" t="s">
        <v>109</v>
      </c>
      <c r="AV378" t="s">
        <v>110</v>
      </c>
      <c r="AW378" t="s">
        <v>111</v>
      </c>
      <c r="AX378" t="s">
        <v>1457</v>
      </c>
      <c r="AY378" t="s">
        <v>1465</v>
      </c>
      <c r="AZ378" t="s">
        <v>113</v>
      </c>
      <c r="BA378" t="s">
        <v>133</v>
      </c>
      <c r="BB378" t="s">
        <v>114</v>
      </c>
      <c r="BC378" t="s">
        <v>115</v>
      </c>
      <c r="BN378" t="s">
        <v>116</v>
      </c>
      <c r="BO378" t="s">
        <v>1462</v>
      </c>
      <c r="BP378" t="s">
        <v>370</v>
      </c>
      <c r="BR378" t="s">
        <v>1463</v>
      </c>
      <c r="BS378" t="s">
        <v>1466</v>
      </c>
      <c r="BW378" t="s">
        <v>1157</v>
      </c>
      <c r="BX378" t="s">
        <v>1158</v>
      </c>
      <c r="BY378" t="s">
        <v>123</v>
      </c>
      <c r="BZ378" t="s">
        <v>124</v>
      </c>
    </row>
    <row r="379" spans="1:78" x14ac:dyDescent="0.3">
      <c r="A379" t="s">
        <v>2</v>
      </c>
      <c r="B379" t="s">
        <v>92</v>
      </c>
      <c r="C379" t="s">
        <v>93</v>
      </c>
      <c r="D379" t="s">
        <v>94</v>
      </c>
      <c r="E379" t="s">
        <v>95</v>
      </c>
      <c r="F379" t="s">
        <v>733</v>
      </c>
      <c r="G379">
        <v>480000</v>
      </c>
      <c r="H379">
        <v>428700</v>
      </c>
      <c r="I379" t="s">
        <v>93</v>
      </c>
      <c r="J379" t="s">
        <v>94</v>
      </c>
      <c r="K379" t="s">
        <v>202</v>
      </c>
      <c r="L379" t="s">
        <v>1455</v>
      </c>
      <c r="M379">
        <v>57800</v>
      </c>
      <c r="N379">
        <v>57800</v>
      </c>
      <c r="AA379" t="s">
        <v>1456</v>
      </c>
      <c r="AB379" t="s">
        <v>1457</v>
      </c>
      <c r="AC379" t="s">
        <v>1458</v>
      </c>
      <c r="AD379" t="s">
        <v>1459</v>
      </c>
      <c r="AE379" t="s">
        <v>1459</v>
      </c>
      <c r="AF379" t="s">
        <v>1460</v>
      </c>
      <c r="AG379" t="s">
        <v>102</v>
      </c>
      <c r="AH379" t="s">
        <v>1317</v>
      </c>
      <c r="AI379">
        <v>46191</v>
      </c>
      <c r="AJ379">
        <v>46191</v>
      </c>
      <c r="AK379" t="s">
        <v>137</v>
      </c>
      <c r="AL379" t="s">
        <v>142</v>
      </c>
      <c r="AM379" t="s">
        <v>1467</v>
      </c>
      <c r="AN379" t="s">
        <v>107</v>
      </c>
      <c r="AO379" t="s">
        <v>107</v>
      </c>
      <c r="AP379">
        <v>15650</v>
      </c>
      <c r="AQ379">
        <v>15650</v>
      </c>
      <c r="AR379">
        <v>0</v>
      </c>
      <c r="AS379" t="s">
        <v>107</v>
      </c>
      <c r="AT379" t="s">
        <v>108</v>
      </c>
      <c r="AU379" t="s">
        <v>109</v>
      </c>
      <c r="AV379" t="s">
        <v>110</v>
      </c>
      <c r="AW379" t="s">
        <v>111</v>
      </c>
      <c r="AX379" t="s">
        <v>1457</v>
      </c>
      <c r="AY379" t="s">
        <v>1468</v>
      </c>
      <c r="AZ379" t="s">
        <v>113</v>
      </c>
      <c r="BA379" t="s">
        <v>133</v>
      </c>
      <c r="BB379" t="s">
        <v>114</v>
      </c>
      <c r="BC379" t="s">
        <v>115</v>
      </c>
      <c r="BN379" t="s">
        <v>116</v>
      </c>
      <c r="BO379" t="s">
        <v>1462</v>
      </c>
      <c r="BP379" t="s">
        <v>370</v>
      </c>
      <c r="BR379" t="s">
        <v>1463</v>
      </c>
      <c r="BS379" t="s">
        <v>1469</v>
      </c>
      <c r="BW379" t="s">
        <v>1157</v>
      </c>
      <c r="BX379" t="s">
        <v>1158</v>
      </c>
      <c r="BY379" t="s">
        <v>123</v>
      </c>
      <c r="BZ379" t="s">
        <v>124</v>
      </c>
    </row>
    <row r="380" spans="1:78" x14ac:dyDescent="0.3">
      <c r="A380" t="s">
        <v>2</v>
      </c>
      <c r="B380" t="s">
        <v>92</v>
      </c>
      <c r="C380" t="s">
        <v>93</v>
      </c>
      <c r="D380" t="s">
        <v>94</v>
      </c>
      <c r="E380" t="s">
        <v>95</v>
      </c>
      <c r="F380" t="s">
        <v>733</v>
      </c>
      <c r="G380">
        <v>480000</v>
      </c>
      <c r="H380">
        <v>428700</v>
      </c>
      <c r="I380" t="s">
        <v>93</v>
      </c>
      <c r="J380" t="s">
        <v>94</v>
      </c>
      <c r="K380" t="s">
        <v>202</v>
      </c>
      <c r="L380" t="s">
        <v>1455</v>
      </c>
      <c r="M380">
        <v>57800</v>
      </c>
      <c r="N380">
        <v>57800</v>
      </c>
      <c r="AA380" t="s">
        <v>1456</v>
      </c>
      <c r="AB380" t="s">
        <v>1457</v>
      </c>
      <c r="AC380" t="s">
        <v>1458</v>
      </c>
      <c r="AD380" t="s">
        <v>1459</v>
      </c>
      <c r="AE380" t="s">
        <v>1459</v>
      </c>
      <c r="AF380" t="s">
        <v>1460</v>
      </c>
      <c r="AG380" t="s">
        <v>102</v>
      </c>
      <c r="AH380" t="s">
        <v>1317</v>
      </c>
      <c r="AI380">
        <v>46218</v>
      </c>
      <c r="AK380" t="s">
        <v>137</v>
      </c>
      <c r="AL380" t="s">
        <v>146</v>
      </c>
      <c r="AM380" t="s">
        <v>1470</v>
      </c>
      <c r="AN380" t="s">
        <v>107</v>
      </c>
      <c r="AO380" t="s">
        <v>107</v>
      </c>
      <c r="AP380">
        <v>99850</v>
      </c>
      <c r="AQ380">
        <v>0</v>
      </c>
      <c r="AR380">
        <v>99850</v>
      </c>
      <c r="AT380" t="s">
        <v>108</v>
      </c>
      <c r="AZ380" t="s">
        <v>113</v>
      </c>
      <c r="BC380" t="s">
        <v>1160</v>
      </c>
      <c r="BN380" t="s">
        <v>113</v>
      </c>
      <c r="BO380" t="s">
        <v>1462</v>
      </c>
      <c r="BP380" t="s">
        <v>370</v>
      </c>
      <c r="BR380" t="s">
        <v>1463</v>
      </c>
      <c r="BW380" t="s">
        <v>1157</v>
      </c>
      <c r="BX380" t="s">
        <v>1158</v>
      </c>
      <c r="BY380" t="s">
        <v>123</v>
      </c>
      <c r="BZ380" t="s">
        <v>124</v>
      </c>
    </row>
    <row r="381" spans="1:78" x14ac:dyDescent="0.3">
      <c r="A381" t="s">
        <v>2</v>
      </c>
      <c r="B381" t="s">
        <v>92</v>
      </c>
      <c r="C381" t="s">
        <v>93</v>
      </c>
      <c r="D381" t="s">
        <v>94</v>
      </c>
      <c r="E381" t="s">
        <v>95</v>
      </c>
      <c r="F381" t="s">
        <v>733</v>
      </c>
      <c r="G381">
        <v>480000</v>
      </c>
      <c r="H381">
        <v>428700</v>
      </c>
      <c r="I381" t="s">
        <v>93</v>
      </c>
      <c r="J381" t="s">
        <v>94</v>
      </c>
      <c r="K381" t="s">
        <v>202</v>
      </c>
      <c r="L381" t="s">
        <v>1455</v>
      </c>
      <c r="M381">
        <v>57800</v>
      </c>
      <c r="N381">
        <v>57800</v>
      </c>
      <c r="AA381" t="s">
        <v>1456</v>
      </c>
      <c r="AB381" t="s">
        <v>1457</v>
      </c>
      <c r="AC381" t="s">
        <v>1458</v>
      </c>
      <c r="AD381" t="s">
        <v>1459</v>
      </c>
      <c r="AE381" t="s">
        <v>1459</v>
      </c>
      <c r="AF381" t="s">
        <v>1460</v>
      </c>
      <c r="AG381" t="s">
        <v>102</v>
      </c>
      <c r="AH381" t="s">
        <v>1317</v>
      </c>
      <c r="AI381">
        <v>46254.446527777778</v>
      </c>
      <c r="AK381" t="s">
        <v>218</v>
      </c>
      <c r="AL381" t="s">
        <v>105</v>
      </c>
      <c r="AM381" t="s">
        <v>1471</v>
      </c>
      <c r="AN381" t="s">
        <v>107</v>
      </c>
      <c r="AO381" t="s">
        <v>107</v>
      </c>
      <c r="AP381">
        <v>338000</v>
      </c>
      <c r="AQ381">
        <v>0</v>
      </c>
      <c r="AR381">
        <v>338000</v>
      </c>
      <c r="AT381" t="s">
        <v>108</v>
      </c>
      <c r="AZ381" t="s">
        <v>113</v>
      </c>
      <c r="BC381" t="s">
        <v>1160</v>
      </c>
      <c r="BN381" t="s">
        <v>113</v>
      </c>
      <c r="BO381" t="s">
        <v>1462</v>
      </c>
      <c r="BP381" t="s">
        <v>370</v>
      </c>
      <c r="BR381" t="s">
        <v>1463</v>
      </c>
      <c r="BW381" t="s">
        <v>1157</v>
      </c>
      <c r="BX381" t="s">
        <v>1158</v>
      </c>
      <c r="BY381" t="s">
        <v>123</v>
      </c>
      <c r="BZ381" t="s">
        <v>124</v>
      </c>
    </row>
    <row r="382" spans="1:78" x14ac:dyDescent="0.3">
      <c r="A382" t="s">
        <v>2</v>
      </c>
      <c r="B382" t="s">
        <v>92</v>
      </c>
      <c r="C382" t="s">
        <v>93</v>
      </c>
      <c r="D382" t="s">
        <v>94</v>
      </c>
      <c r="E382" t="s">
        <v>95</v>
      </c>
      <c r="F382" t="s">
        <v>748</v>
      </c>
      <c r="G382">
        <v>630000</v>
      </c>
      <c r="H382">
        <v>630000</v>
      </c>
      <c r="AA382" t="s">
        <v>749</v>
      </c>
      <c r="AB382" t="s">
        <v>750</v>
      </c>
      <c r="AC382" t="s">
        <v>751</v>
      </c>
      <c r="AD382" t="s">
        <v>365</v>
      </c>
      <c r="AE382" t="s">
        <v>752</v>
      </c>
      <c r="AF382" t="s">
        <v>753</v>
      </c>
      <c r="AG382" t="s">
        <v>102</v>
      </c>
      <c r="AH382" t="s">
        <v>131</v>
      </c>
      <c r="AI382">
        <v>46053</v>
      </c>
      <c r="AJ382">
        <v>45955</v>
      </c>
      <c r="AK382" t="s">
        <v>218</v>
      </c>
      <c r="AL382" t="s">
        <v>152</v>
      </c>
      <c r="AM382" t="s">
        <v>107</v>
      </c>
      <c r="AN382" t="s">
        <v>107</v>
      </c>
      <c r="AO382" t="s">
        <v>107</v>
      </c>
      <c r="AP382">
        <v>73333.33</v>
      </c>
      <c r="AQ382">
        <v>55000.01</v>
      </c>
      <c r="AR382">
        <v>0</v>
      </c>
      <c r="AS382" t="s">
        <v>107</v>
      </c>
      <c r="AT382" t="s">
        <v>161</v>
      </c>
      <c r="AU382" t="s">
        <v>109</v>
      </c>
      <c r="AV382" t="s">
        <v>110</v>
      </c>
      <c r="AW382" t="s">
        <v>111</v>
      </c>
      <c r="AY382" t="s">
        <v>763</v>
      </c>
      <c r="AZ382" t="s">
        <v>113</v>
      </c>
      <c r="BB382" t="s">
        <v>114</v>
      </c>
      <c r="BC382" t="s">
        <v>115</v>
      </c>
      <c r="BN382" t="s">
        <v>116</v>
      </c>
      <c r="BO382" t="s">
        <v>755</v>
      </c>
      <c r="BP382" t="s">
        <v>118</v>
      </c>
      <c r="BR382" t="s">
        <v>167</v>
      </c>
      <c r="BS382" t="s">
        <v>764</v>
      </c>
      <c r="BW382" t="s">
        <v>1157</v>
      </c>
      <c r="BX382" t="s">
        <v>1158</v>
      </c>
      <c r="BY382" t="s">
        <v>123</v>
      </c>
      <c r="BZ382" t="s">
        <v>124</v>
      </c>
    </row>
    <row r="383" spans="1:78" x14ac:dyDescent="0.3">
      <c r="A383" t="s">
        <v>2</v>
      </c>
      <c r="B383" t="s">
        <v>92</v>
      </c>
      <c r="C383" t="s">
        <v>93</v>
      </c>
      <c r="D383" t="s">
        <v>94</v>
      </c>
      <c r="E383" t="s">
        <v>95</v>
      </c>
      <c r="F383" t="s">
        <v>748</v>
      </c>
      <c r="G383">
        <v>630000</v>
      </c>
      <c r="H383">
        <v>630000</v>
      </c>
      <c r="AA383" t="s">
        <v>749</v>
      </c>
      <c r="AB383" t="s">
        <v>750</v>
      </c>
      <c r="AC383" t="s">
        <v>751</v>
      </c>
      <c r="AD383" t="s">
        <v>365</v>
      </c>
      <c r="AE383" t="s">
        <v>752</v>
      </c>
      <c r="AF383" t="s">
        <v>753</v>
      </c>
      <c r="AG383" t="s">
        <v>102</v>
      </c>
      <c r="AH383" t="s">
        <v>131</v>
      </c>
      <c r="AI383">
        <v>46053</v>
      </c>
      <c r="AJ383">
        <v>46017</v>
      </c>
      <c r="AK383" t="s">
        <v>218</v>
      </c>
      <c r="AL383" t="s">
        <v>152</v>
      </c>
      <c r="AM383" t="s">
        <v>107</v>
      </c>
      <c r="AN383" t="s">
        <v>107</v>
      </c>
      <c r="AO383" t="s">
        <v>107</v>
      </c>
      <c r="AP383">
        <v>0</v>
      </c>
      <c r="AQ383">
        <v>12000</v>
      </c>
      <c r="AR383">
        <v>0</v>
      </c>
      <c r="AS383" t="s">
        <v>107</v>
      </c>
      <c r="AT383" t="s">
        <v>161</v>
      </c>
      <c r="AU383" t="s">
        <v>109</v>
      </c>
      <c r="AV383" t="s">
        <v>110</v>
      </c>
      <c r="AW383" t="s">
        <v>111</v>
      </c>
      <c r="AY383" t="s">
        <v>1472</v>
      </c>
      <c r="AZ383" t="s">
        <v>113</v>
      </c>
      <c r="BB383" t="s">
        <v>114</v>
      </c>
      <c r="BC383" t="s">
        <v>115</v>
      </c>
      <c r="BN383" t="s">
        <v>116</v>
      </c>
      <c r="BO383" t="s">
        <v>755</v>
      </c>
      <c r="BP383" t="s">
        <v>118</v>
      </c>
      <c r="BR383" t="s">
        <v>167</v>
      </c>
      <c r="BS383" t="s">
        <v>1473</v>
      </c>
      <c r="BW383" t="s">
        <v>1157</v>
      </c>
      <c r="BX383" t="s">
        <v>1158</v>
      </c>
      <c r="BY383" t="s">
        <v>123</v>
      </c>
      <c r="BZ383" t="s">
        <v>124</v>
      </c>
    </row>
    <row r="384" spans="1:78" x14ac:dyDescent="0.3">
      <c r="A384" t="s">
        <v>2</v>
      </c>
      <c r="B384" t="s">
        <v>92</v>
      </c>
      <c r="C384" t="s">
        <v>93</v>
      </c>
      <c r="D384" t="s">
        <v>94</v>
      </c>
      <c r="E384" t="s">
        <v>95</v>
      </c>
      <c r="F384" t="s">
        <v>748</v>
      </c>
      <c r="G384">
        <v>630000</v>
      </c>
      <c r="H384">
        <v>630000</v>
      </c>
      <c r="AA384" t="s">
        <v>749</v>
      </c>
      <c r="AB384" t="s">
        <v>750</v>
      </c>
      <c r="AC384" t="s">
        <v>751</v>
      </c>
      <c r="AD384" t="s">
        <v>365</v>
      </c>
      <c r="AE384" t="s">
        <v>752</v>
      </c>
      <c r="AF384" t="s">
        <v>753</v>
      </c>
      <c r="AG384" t="s">
        <v>102</v>
      </c>
      <c r="AH384" t="s">
        <v>131</v>
      </c>
      <c r="AI384">
        <v>46053</v>
      </c>
      <c r="AJ384">
        <v>46017</v>
      </c>
      <c r="AK384" t="s">
        <v>218</v>
      </c>
      <c r="AL384" t="s">
        <v>152</v>
      </c>
      <c r="AM384" t="s">
        <v>760</v>
      </c>
      <c r="AN384" t="s">
        <v>107</v>
      </c>
      <c r="AO384" t="s">
        <v>107</v>
      </c>
      <c r="AP384">
        <v>0</v>
      </c>
      <c r="AQ384">
        <v>6333.32</v>
      </c>
      <c r="AR384">
        <v>0</v>
      </c>
      <c r="AS384" t="s">
        <v>107</v>
      </c>
      <c r="AT384" t="s">
        <v>161</v>
      </c>
      <c r="AU384" t="s">
        <v>109</v>
      </c>
      <c r="AV384" t="s">
        <v>110</v>
      </c>
      <c r="AW384" t="s">
        <v>111</v>
      </c>
      <c r="AY384" t="s">
        <v>1474</v>
      </c>
      <c r="AZ384" t="s">
        <v>113</v>
      </c>
      <c r="BB384" t="s">
        <v>114</v>
      </c>
      <c r="BC384" t="s">
        <v>115</v>
      </c>
      <c r="BN384" t="s">
        <v>116</v>
      </c>
      <c r="BO384" t="s">
        <v>755</v>
      </c>
      <c r="BP384" t="s">
        <v>118</v>
      </c>
      <c r="BR384" t="s">
        <v>167</v>
      </c>
      <c r="BS384" t="s">
        <v>1475</v>
      </c>
      <c r="BW384" t="s">
        <v>1157</v>
      </c>
      <c r="BX384" t="s">
        <v>1158</v>
      </c>
      <c r="BY384" t="s">
        <v>123</v>
      </c>
      <c r="BZ384" t="s">
        <v>124</v>
      </c>
    </row>
    <row r="385" spans="1:78" x14ac:dyDescent="0.3">
      <c r="A385" t="s">
        <v>2</v>
      </c>
      <c r="B385" t="s">
        <v>92</v>
      </c>
      <c r="C385" t="s">
        <v>93</v>
      </c>
      <c r="D385" t="s">
        <v>94</v>
      </c>
      <c r="E385" t="s">
        <v>95</v>
      </c>
      <c r="F385" t="s">
        <v>748</v>
      </c>
      <c r="G385">
        <v>630000</v>
      </c>
      <c r="H385">
        <v>630000</v>
      </c>
      <c r="AA385" t="s">
        <v>749</v>
      </c>
      <c r="AB385" t="s">
        <v>750</v>
      </c>
      <c r="AC385" t="s">
        <v>751</v>
      </c>
      <c r="AD385" t="s">
        <v>365</v>
      </c>
      <c r="AE385" t="s">
        <v>752</v>
      </c>
      <c r="AF385" t="s">
        <v>753</v>
      </c>
      <c r="AG385" t="s">
        <v>102</v>
      </c>
      <c r="AH385" t="s">
        <v>131</v>
      </c>
      <c r="AI385">
        <v>46203</v>
      </c>
      <c r="AJ385">
        <v>46017</v>
      </c>
      <c r="AK385" t="s">
        <v>218</v>
      </c>
      <c r="AL385" t="s">
        <v>584</v>
      </c>
      <c r="AM385" t="s">
        <v>107</v>
      </c>
      <c r="AN385" t="s">
        <v>107</v>
      </c>
      <c r="AO385" t="s">
        <v>107</v>
      </c>
      <c r="AP385">
        <v>73333.33</v>
      </c>
      <c r="AQ385">
        <v>11666.68</v>
      </c>
      <c r="AR385">
        <v>0</v>
      </c>
      <c r="AS385" t="s">
        <v>107</v>
      </c>
      <c r="AT385" t="s">
        <v>161</v>
      </c>
      <c r="AU385" t="s">
        <v>109</v>
      </c>
      <c r="AV385" t="s">
        <v>110</v>
      </c>
      <c r="AW385" t="s">
        <v>111</v>
      </c>
      <c r="AY385" t="s">
        <v>1474</v>
      </c>
      <c r="AZ385" t="s">
        <v>113</v>
      </c>
      <c r="BB385" t="s">
        <v>114</v>
      </c>
      <c r="BC385" t="s">
        <v>115</v>
      </c>
      <c r="BN385" t="s">
        <v>116</v>
      </c>
      <c r="BO385" t="s">
        <v>755</v>
      </c>
      <c r="BP385" t="s">
        <v>118</v>
      </c>
      <c r="BR385" t="s">
        <v>167</v>
      </c>
      <c r="BS385" t="s">
        <v>1475</v>
      </c>
      <c r="BW385" t="s">
        <v>1157</v>
      </c>
      <c r="BX385" t="s">
        <v>1158</v>
      </c>
      <c r="BY385" t="s">
        <v>123</v>
      </c>
      <c r="BZ385" t="s">
        <v>124</v>
      </c>
    </row>
    <row r="386" spans="1:78" x14ac:dyDescent="0.3">
      <c r="A386" t="s">
        <v>2</v>
      </c>
      <c r="B386" t="s">
        <v>92</v>
      </c>
      <c r="C386" t="s">
        <v>93</v>
      </c>
      <c r="D386" t="s">
        <v>94</v>
      </c>
      <c r="E386" t="s">
        <v>95</v>
      </c>
      <c r="F386" t="s">
        <v>748</v>
      </c>
      <c r="G386">
        <v>630000</v>
      </c>
      <c r="H386">
        <v>630000</v>
      </c>
      <c r="AA386" t="s">
        <v>749</v>
      </c>
      <c r="AB386" t="s">
        <v>750</v>
      </c>
      <c r="AC386" t="s">
        <v>751</v>
      </c>
      <c r="AD386" t="s">
        <v>365</v>
      </c>
      <c r="AE386" t="s">
        <v>752</v>
      </c>
      <c r="AF386" t="s">
        <v>753</v>
      </c>
      <c r="AG386" t="s">
        <v>102</v>
      </c>
      <c r="AH386" t="s">
        <v>131</v>
      </c>
      <c r="AI386">
        <v>46203</v>
      </c>
      <c r="AJ386">
        <v>46185</v>
      </c>
      <c r="AK386" t="s">
        <v>218</v>
      </c>
      <c r="AL386" t="s">
        <v>584</v>
      </c>
      <c r="AM386" t="s">
        <v>107</v>
      </c>
      <c r="AN386" t="s">
        <v>107</v>
      </c>
      <c r="AO386" t="s">
        <v>107</v>
      </c>
      <c r="AP386">
        <v>0</v>
      </c>
      <c r="AQ386">
        <v>50000</v>
      </c>
      <c r="AR386">
        <v>0</v>
      </c>
      <c r="AS386" t="s">
        <v>107</v>
      </c>
      <c r="AT386" t="s">
        <v>161</v>
      </c>
      <c r="AU386" t="s">
        <v>109</v>
      </c>
      <c r="AV386" t="s">
        <v>110</v>
      </c>
      <c r="AW386" t="s">
        <v>111</v>
      </c>
      <c r="AY386" t="s">
        <v>1476</v>
      </c>
      <c r="AZ386" t="s">
        <v>113</v>
      </c>
      <c r="BB386" t="s">
        <v>114</v>
      </c>
      <c r="BC386" t="s">
        <v>115</v>
      </c>
      <c r="BN386" t="s">
        <v>116</v>
      </c>
      <c r="BO386" t="s">
        <v>755</v>
      </c>
      <c r="BP386" t="s">
        <v>118</v>
      </c>
      <c r="BR386" t="s">
        <v>167</v>
      </c>
      <c r="BS386" t="s">
        <v>1475</v>
      </c>
      <c r="BW386" t="s">
        <v>1157</v>
      </c>
      <c r="BX386" t="s">
        <v>1158</v>
      </c>
      <c r="BY386" t="s">
        <v>123</v>
      </c>
      <c r="BZ386" t="s">
        <v>124</v>
      </c>
    </row>
    <row r="387" spans="1:78" x14ac:dyDescent="0.3">
      <c r="A387" t="s">
        <v>2</v>
      </c>
      <c r="B387" t="s">
        <v>92</v>
      </c>
      <c r="C387" t="s">
        <v>93</v>
      </c>
      <c r="D387" t="s">
        <v>94</v>
      </c>
      <c r="E387" t="s">
        <v>95</v>
      </c>
      <c r="F387" t="s">
        <v>748</v>
      </c>
      <c r="G387">
        <v>630000</v>
      </c>
      <c r="H387">
        <v>630000</v>
      </c>
      <c r="AA387" t="s">
        <v>749</v>
      </c>
      <c r="AB387" t="s">
        <v>750</v>
      </c>
      <c r="AC387" t="s">
        <v>751</v>
      </c>
      <c r="AD387" t="s">
        <v>365</v>
      </c>
      <c r="AE387" t="s">
        <v>752</v>
      </c>
      <c r="AF387" t="s">
        <v>753</v>
      </c>
      <c r="AG387" t="s">
        <v>102</v>
      </c>
      <c r="AH387" t="s">
        <v>131</v>
      </c>
      <c r="AI387">
        <v>46203</v>
      </c>
      <c r="AJ387">
        <v>46197</v>
      </c>
      <c r="AK387" t="s">
        <v>218</v>
      </c>
      <c r="AL387" t="s">
        <v>584</v>
      </c>
      <c r="AM387" t="s">
        <v>760</v>
      </c>
      <c r="AN387" t="s">
        <v>107</v>
      </c>
      <c r="AO387" t="s">
        <v>107</v>
      </c>
      <c r="AP387">
        <v>0</v>
      </c>
      <c r="AQ387">
        <v>11666.65</v>
      </c>
      <c r="AR387">
        <v>0</v>
      </c>
      <c r="AS387" t="s">
        <v>107</v>
      </c>
      <c r="AT387" t="s">
        <v>161</v>
      </c>
      <c r="AU387" t="s">
        <v>109</v>
      </c>
      <c r="AV387" t="s">
        <v>110</v>
      </c>
      <c r="AW387" t="s">
        <v>111</v>
      </c>
      <c r="AY387" t="s">
        <v>1477</v>
      </c>
      <c r="AZ387" t="s">
        <v>113</v>
      </c>
      <c r="BB387" t="s">
        <v>114</v>
      </c>
      <c r="BC387" t="s">
        <v>115</v>
      </c>
      <c r="BN387" t="s">
        <v>116</v>
      </c>
      <c r="BO387" t="s">
        <v>755</v>
      </c>
      <c r="BP387" t="s">
        <v>118</v>
      </c>
      <c r="BR387" t="s">
        <v>167</v>
      </c>
      <c r="BS387" t="s">
        <v>1478</v>
      </c>
      <c r="BW387" t="s">
        <v>1157</v>
      </c>
      <c r="BX387" t="s">
        <v>1158</v>
      </c>
      <c r="BY387" t="s">
        <v>123</v>
      </c>
      <c r="BZ387" t="s">
        <v>124</v>
      </c>
    </row>
    <row r="388" spans="1:78" x14ac:dyDescent="0.3">
      <c r="A388" t="s">
        <v>2</v>
      </c>
      <c r="B388" t="s">
        <v>92</v>
      </c>
      <c r="C388" t="s">
        <v>93</v>
      </c>
      <c r="D388" t="s">
        <v>94</v>
      </c>
      <c r="E388" t="s">
        <v>95</v>
      </c>
      <c r="F388" t="s">
        <v>748</v>
      </c>
      <c r="G388">
        <v>630000</v>
      </c>
      <c r="H388">
        <v>630000</v>
      </c>
      <c r="AA388" t="s">
        <v>749</v>
      </c>
      <c r="AB388" t="s">
        <v>750</v>
      </c>
      <c r="AC388" t="s">
        <v>751</v>
      </c>
      <c r="AD388" t="s">
        <v>365</v>
      </c>
      <c r="AE388" t="s">
        <v>752</v>
      </c>
      <c r="AF388" t="s">
        <v>753</v>
      </c>
      <c r="AG388" t="s">
        <v>102</v>
      </c>
      <c r="AH388" t="s">
        <v>131</v>
      </c>
      <c r="AI388">
        <v>46234</v>
      </c>
      <c r="AJ388">
        <v>46197</v>
      </c>
      <c r="AK388" t="s">
        <v>218</v>
      </c>
      <c r="AL388" t="s">
        <v>397</v>
      </c>
      <c r="AM388" t="s">
        <v>1479</v>
      </c>
      <c r="AN388" t="s">
        <v>107</v>
      </c>
      <c r="AO388" t="s">
        <v>107</v>
      </c>
      <c r="AP388">
        <v>73333.350000000006</v>
      </c>
      <c r="AQ388">
        <v>73333.350000000006</v>
      </c>
      <c r="AR388">
        <v>0</v>
      </c>
      <c r="AS388" t="s">
        <v>107</v>
      </c>
      <c r="AT388" t="s">
        <v>161</v>
      </c>
      <c r="AU388" t="s">
        <v>109</v>
      </c>
      <c r="AV388" t="s">
        <v>110</v>
      </c>
      <c r="AW388" t="s">
        <v>111</v>
      </c>
      <c r="AY388" t="s">
        <v>1477</v>
      </c>
      <c r="AZ388" t="s">
        <v>113</v>
      </c>
      <c r="BB388" t="s">
        <v>114</v>
      </c>
      <c r="BC388" t="s">
        <v>115</v>
      </c>
      <c r="BN388" t="s">
        <v>116</v>
      </c>
      <c r="BO388" t="s">
        <v>755</v>
      </c>
      <c r="BP388" t="s">
        <v>118</v>
      </c>
      <c r="BR388" t="s">
        <v>167</v>
      </c>
      <c r="BS388" t="s">
        <v>1478</v>
      </c>
      <c r="BW388" t="s">
        <v>1157</v>
      </c>
      <c r="BX388" t="s">
        <v>1158</v>
      </c>
      <c r="BY388" t="s">
        <v>123</v>
      </c>
      <c r="BZ388" t="s">
        <v>124</v>
      </c>
    </row>
    <row r="389" spans="1:78" x14ac:dyDescent="0.3">
      <c r="A389" t="s">
        <v>11</v>
      </c>
      <c r="B389" t="s">
        <v>92</v>
      </c>
      <c r="C389" t="s">
        <v>93</v>
      </c>
      <c r="D389" t="s">
        <v>94</v>
      </c>
      <c r="E389" t="s">
        <v>95</v>
      </c>
      <c r="F389" t="s">
        <v>765</v>
      </c>
      <c r="G389">
        <v>532100</v>
      </c>
      <c r="H389">
        <v>532100</v>
      </c>
      <c r="AA389" t="s">
        <v>766</v>
      </c>
      <c r="AB389" t="s">
        <v>767</v>
      </c>
      <c r="AC389" t="s">
        <v>768</v>
      </c>
      <c r="AD389" t="s">
        <v>365</v>
      </c>
      <c r="AE389" t="s">
        <v>769</v>
      </c>
      <c r="AF389" t="s">
        <v>770</v>
      </c>
      <c r="AG389" t="s">
        <v>102</v>
      </c>
      <c r="AH389" t="s">
        <v>771</v>
      </c>
      <c r="AI389">
        <v>46039</v>
      </c>
      <c r="AK389" t="s">
        <v>137</v>
      </c>
      <c r="AL389" t="s">
        <v>105</v>
      </c>
      <c r="AM389" t="s">
        <v>287</v>
      </c>
      <c r="AN389" t="s">
        <v>107</v>
      </c>
      <c r="AO389" t="s">
        <v>107</v>
      </c>
      <c r="AP389">
        <v>30000</v>
      </c>
      <c r="AQ389">
        <v>0</v>
      </c>
      <c r="AR389">
        <v>30000</v>
      </c>
      <c r="AT389" t="s">
        <v>108</v>
      </c>
      <c r="AZ389" t="s">
        <v>113</v>
      </c>
      <c r="BC389" t="s">
        <v>543</v>
      </c>
      <c r="BN389" t="s">
        <v>113</v>
      </c>
      <c r="BO389" t="s">
        <v>773</v>
      </c>
      <c r="BP389" t="s">
        <v>370</v>
      </c>
      <c r="BR389" t="s">
        <v>774</v>
      </c>
      <c r="BW389" t="s">
        <v>1157</v>
      </c>
      <c r="BX389" t="s">
        <v>1158</v>
      </c>
      <c r="BY389" t="s">
        <v>123</v>
      </c>
      <c r="BZ389" t="s">
        <v>124</v>
      </c>
    </row>
    <row r="390" spans="1:78" x14ac:dyDescent="0.3">
      <c r="A390" t="s">
        <v>11</v>
      </c>
      <c r="B390" t="s">
        <v>92</v>
      </c>
      <c r="C390" t="s">
        <v>93</v>
      </c>
      <c r="D390" t="s">
        <v>94</v>
      </c>
      <c r="E390" t="s">
        <v>95</v>
      </c>
      <c r="F390" t="s">
        <v>765</v>
      </c>
      <c r="G390">
        <v>532100</v>
      </c>
      <c r="H390">
        <v>532100</v>
      </c>
      <c r="AA390" t="s">
        <v>766</v>
      </c>
      <c r="AB390" t="s">
        <v>767</v>
      </c>
      <c r="AC390" t="s">
        <v>768</v>
      </c>
      <c r="AD390" t="s">
        <v>365</v>
      </c>
      <c r="AE390" t="s">
        <v>769</v>
      </c>
      <c r="AF390" t="s">
        <v>770</v>
      </c>
      <c r="AG390" t="s">
        <v>102</v>
      </c>
      <c r="AH390" t="s">
        <v>771</v>
      </c>
      <c r="AI390">
        <v>46039</v>
      </c>
      <c r="AK390" t="s">
        <v>137</v>
      </c>
      <c r="AL390" t="s">
        <v>142</v>
      </c>
      <c r="AM390" t="s">
        <v>1480</v>
      </c>
      <c r="AN390" t="s">
        <v>107</v>
      </c>
      <c r="AO390" t="s">
        <v>107</v>
      </c>
      <c r="AP390">
        <v>20210</v>
      </c>
      <c r="AQ390">
        <v>0</v>
      </c>
      <c r="AR390">
        <v>20210</v>
      </c>
      <c r="AT390" t="s">
        <v>108</v>
      </c>
      <c r="AZ390" t="s">
        <v>113</v>
      </c>
      <c r="BC390" t="s">
        <v>543</v>
      </c>
      <c r="BN390" t="s">
        <v>113</v>
      </c>
      <c r="BO390" t="s">
        <v>773</v>
      </c>
      <c r="BP390" t="s">
        <v>370</v>
      </c>
      <c r="BR390" t="s">
        <v>774</v>
      </c>
      <c r="BW390" t="s">
        <v>1157</v>
      </c>
      <c r="BX390" t="s">
        <v>1158</v>
      </c>
      <c r="BY390" t="s">
        <v>123</v>
      </c>
      <c r="BZ390" t="s">
        <v>124</v>
      </c>
    </row>
    <row r="391" spans="1:78" x14ac:dyDescent="0.3">
      <c r="A391" t="s">
        <v>11</v>
      </c>
      <c r="B391" t="s">
        <v>92</v>
      </c>
      <c r="C391" t="s">
        <v>93</v>
      </c>
      <c r="D391" t="s">
        <v>94</v>
      </c>
      <c r="E391" t="s">
        <v>95</v>
      </c>
      <c r="F391" t="s">
        <v>765</v>
      </c>
      <c r="G391">
        <v>532100</v>
      </c>
      <c r="H391">
        <v>532100</v>
      </c>
      <c r="AA391" t="s">
        <v>766</v>
      </c>
      <c r="AB391" t="s">
        <v>767</v>
      </c>
      <c r="AC391" t="s">
        <v>768</v>
      </c>
      <c r="AD391" t="s">
        <v>365</v>
      </c>
      <c r="AE391" t="s">
        <v>769</v>
      </c>
      <c r="AF391" t="s">
        <v>770</v>
      </c>
      <c r="AG391" t="s">
        <v>102</v>
      </c>
      <c r="AH391" t="s">
        <v>771</v>
      </c>
      <c r="AI391">
        <v>46172</v>
      </c>
      <c r="AK391" t="s">
        <v>218</v>
      </c>
      <c r="AL391" t="s">
        <v>105</v>
      </c>
      <c r="AM391" t="s">
        <v>1481</v>
      </c>
      <c r="AN391" t="s">
        <v>107</v>
      </c>
      <c r="AO391" t="s">
        <v>107</v>
      </c>
      <c r="AP391">
        <v>478890</v>
      </c>
      <c r="AQ391">
        <v>0</v>
      </c>
      <c r="AR391">
        <v>478890</v>
      </c>
      <c r="AT391" t="s">
        <v>108</v>
      </c>
      <c r="AZ391" t="s">
        <v>113</v>
      </c>
      <c r="BC391" t="s">
        <v>543</v>
      </c>
      <c r="BN391" t="s">
        <v>113</v>
      </c>
      <c r="BO391" t="s">
        <v>773</v>
      </c>
      <c r="BP391" t="s">
        <v>370</v>
      </c>
      <c r="BR391" t="s">
        <v>774</v>
      </c>
      <c r="BW391" t="s">
        <v>1157</v>
      </c>
      <c r="BX391" t="s">
        <v>1158</v>
      </c>
      <c r="BY391" t="s">
        <v>123</v>
      </c>
      <c r="BZ391" t="s">
        <v>124</v>
      </c>
    </row>
    <row r="392" spans="1:78" x14ac:dyDescent="0.3">
      <c r="A392" t="s">
        <v>2</v>
      </c>
      <c r="B392" t="s">
        <v>92</v>
      </c>
      <c r="C392" t="s">
        <v>93</v>
      </c>
      <c r="D392" t="s">
        <v>94</v>
      </c>
      <c r="E392" t="s">
        <v>95</v>
      </c>
      <c r="F392" t="s">
        <v>1482</v>
      </c>
      <c r="G392">
        <v>457000</v>
      </c>
      <c r="H392">
        <v>457000</v>
      </c>
      <c r="AA392" t="s">
        <v>1483</v>
      </c>
      <c r="AB392" t="s">
        <v>1484</v>
      </c>
      <c r="AC392" t="s">
        <v>1485</v>
      </c>
      <c r="AD392" t="s">
        <v>1486</v>
      </c>
      <c r="AE392" t="s">
        <v>1486</v>
      </c>
      <c r="AF392" t="s">
        <v>1487</v>
      </c>
      <c r="AG392" t="s">
        <v>102</v>
      </c>
      <c r="AH392" t="s">
        <v>1488</v>
      </c>
      <c r="AI392">
        <v>46085</v>
      </c>
      <c r="AJ392">
        <v>46085</v>
      </c>
      <c r="AK392" t="s">
        <v>104</v>
      </c>
      <c r="AL392" t="s">
        <v>105</v>
      </c>
      <c r="AM392" t="s">
        <v>106</v>
      </c>
      <c r="AN392" t="s">
        <v>107</v>
      </c>
      <c r="AO392" t="s">
        <v>107</v>
      </c>
      <c r="AP392">
        <v>3000</v>
      </c>
      <c r="AQ392">
        <v>3000</v>
      </c>
      <c r="AR392">
        <v>0</v>
      </c>
      <c r="AS392" t="s">
        <v>107</v>
      </c>
      <c r="AT392" t="s">
        <v>108</v>
      </c>
      <c r="AU392" t="s">
        <v>109</v>
      </c>
      <c r="AV392" t="s">
        <v>110</v>
      </c>
      <c r="AW392" t="s">
        <v>209</v>
      </c>
      <c r="AX392" t="s">
        <v>1484</v>
      </c>
      <c r="AY392" t="s">
        <v>1489</v>
      </c>
      <c r="AZ392" t="s">
        <v>113</v>
      </c>
      <c r="BA392" t="s">
        <v>133</v>
      </c>
      <c r="BB392" t="s">
        <v>114</v>
      </c>
      <c r="BC392" t="s">
        <v>115</v>
      </c>
      <c r="BN392" t="s">
        <v>116</v>
      </c>
      <c r="BO392" t="s">
        <v>1490</v>
      </c>
      <c r="BP392" t="s">
        <v>118</v>
      </c>
      <c r="BR392" t="s">
        <v>1491</v>
      </c>
      <c r="BS392" t="s">
        <v>1492</v>
      </c>
      <c r="BW392" t="s">
        <v>1157</v>
      </c>
      <c r="BX392" t="s">
        <v>1158</v>
      </c>
      <c r="BY392" t="s">
        <v>123</v>
      </c>
      <c r="BZ392" t="s">
        <v>124</v>
      </c>
    </row>
    <row r="393" spans="1:78" x14ac:dyDescent="0.3">
      <c r="A393" t="s">
        <v>2</v>
      </c>
      <c r="B393" t="s">
        <v>92</v>
      </c>
      <c r="C393" t="s">
        <v>93</v>
      </c>
      <c r="D393" t="s">
        <v>94</v>
      </c>
      <c r="E393" t="s">
        <v>95</v>
      </c>
      <c r="F393" t="s">
        <v>1482</v>
      </c>
      <c r="G393">
        <v>457000</v>
      </c>
      <c r="H393">
        <v>457000</v>
      </c>
      <c r="AA393" t="s">
        <v>1483</v>
      </c>
      <c r="AB393" t="s">
        <v>1484</v>
      </c>
      <c r="AC393" t="s">
        <v>1485</v>
      </c>
      <c r="AD393" t="s">
        <v>1486</v>
      </c>
      <c r="AE393" t="s">
        <v>1486</v>
      </c>
      <c r="AF393" t="s">
        <v>1487</v>
      </c>
      <c r="AG393" t="s">
        <v>102</v>
      </c>
      <c r="AH393" t="s">
        <v>1488</v>
      </c>
      <c r="AI393">
        <v>46191</v>
      </c>
      <c r="AJ393">
        <v>46134</v>
      </c>
      <c r="AK393" t="s">
        <v>137</v>
      </c>
      <c r="AL393" t="s">
        <v>105</v>
      </c>
      <c r="AM393" t="s">
        <v>1493</v>
      </c>
      <c r="AN393" t="s">
        <v>107</v>
      </c>
      <c r="AO393" t="s">
        <v>107</v>
      </c>
      <c r="AP393">
        <v>21350</v>
      </c>
      <c r="AQ393">
        <v>21350</v>
      </c>
      <c r="AR393">
        <v>0</v>
      </c>
      <c r="AS393" t="s">
        <v>107</v>
      </c>
      <c r="AT393" t="s">
        <v>108</v>
      </c>
      <c r="AU393" t="s">
        <v>109</v>
      </c>
      <c r="AV393" t="s">
        <v>110</v>
      </c>
      <c r="AW393" t="s">
        <v>111</v>
      </c>
      <c r="AX393" t="s">
        <v>1484</v>
      </c>
      <c r="AY393" t="s">
        <v>1494</v>
      </c>
      <c r="AZ393" t="s">
        <v>113</v>
      </c>
      <c r="BA393" t="s">
        <v>133</v>
      </c>
      <c r="BB393" t="s">
        <v>114</v>
      </c>
      <c r="BC393" t="s">
        <v>115</v>
      </c>
      <c r="BN393" t="s">
        <v>116</v>
      </c>
      <c r="BO393" t="s">
        <v>1490</v>
      </c>
      <c r="BP393" t="s">
        <v>118</v>
      </c>
      <c r="BR393" t="s">
        <v>1491</v>
      </c>
      <c r="BS393" t="s">
        <v>1495</v>
      </c>
      <c r="BW393" t="s">
        <v>1157</v>
      </c>
      <c r="BX393" t="s">
        <v>1158</v>
      </c>
      <c r="BY393" t="s">
        <v>123</v>
      </c>
      <c r="BZ393" t="s">
        <v>124</v>
      </c>
    </row>
    <row r="394" spans="1:78" x14ac:dyDescent="0.3">
      <c r="A394" t="s">
        <v>2</v>
      </c>
      <c r="B394" t="s">
        <v>92</v>
      </c>
      <c r="C394" t="s">
        <v>93</v>
      </c>
      <c r="D394" t="s">
        <v>94</v>
      </c>
      <c r="E394" t="s">
        <v>95</v>
      </c>
      <c r="F394" t="s">
        <v>1482</v>
      </c>
      <c r="G394">
        <v>457000</v>
      </c>
      <c r="H394">
        <v>457000</v>
      </c>
      <c r="AA394" t="s">
        <v>1483</v>
      </c>
      <c r="AB394" t="s">
        <v>1484</v>
      </c>
      <c r="AC394" t="s">
        <v>1485</v>
      </c>
      <c r="AD394" t="s">
        <v>1486</v>
      </c>
      <c r="AE394" t="s">
        <v>1486</v>
      </c>
      <c r="AF394" t="s">
        <v>1487</v>
      </c>
      <c r="AG394" t="s">
        <v>102</v>
      </c>
      <c r="AH394" t="s">
        <v>1488</v>
      </c>
      <c r="AI394">
        <v>46221</v>
      </c>
      <c r="AJ394">
        <v>46137</v>
      </c>
      <c r="AK394" t="s">
        <v>137</v>
      </c>
      <c r="AL394" t="s">
        <v>142</v>
      </c>
      <c r="AM394" t="s">
        <v>1493</v>
      </c>
      <c r="AN394" t="s">
        <v>107</v>
      </c>
      <c r="AO394" t="s">
        <v>107</v>
      </c>
      <c r="AP394">
        <v>21350</v>
      </c>
      <c r="AQ394">
        <v>21350</v>
      </c>
      <c r="AR394">
        <v>0</v>
      </c>
      <c r="AS394" t="s">
        <v>107</v>
      </c>
      <c r="AT394" t="s">
        <v>108</v>
      </c>
      <c r="AU394" t="s">
        <v>109</v>
      </c>
      <c r="AV394" t="s">
        <v>110</v>
      </c>
      <c r="AW394" t="s">
        <v>111</v>
      </c>
      <c r="AX394" t="s">
        <v>1484</v>
      </c>
      <c r="AY394" t="s">
        <v>1496</v>
      </c>
      <c r="AZ394" t="s">
        <v>113</v>
      </c>
      <c r="BA394" t="s">
        <v>133</v>
      </c>
      <c r="BB394" t="s">
        <v>114</v>
      </c>
      <c r="BC394" t="s">
        <v>115</v>
      </c>
      <c r="BN394" t="s">
        <v>116</v>
      </c>
      <c r="BO394" t="s">
        <v>1490</v>
      </c>
      <c r="BP394" t="s">
        <v>118</v>
      </c>
      <c r="BR394" t="s">
        <v>1491</v>
      </c>
      <c r="BS394" t="s">
        <v>1497</v>
      </c>
      <c r="BW394" t="s">
        <v>1157</v>
      </c>
      <c r="BX394" t="s">
        <v>1158</v>
      </c>
      <c r="BY394" t="s">
        <v>123</v>
      </c>
      <c r="BZ394" t="s">
        <v>124</v>
      </c>
    </row>
    <row r="395" spans="1:78" x14ac:dyDescent="0.3">
      <c r="A395" t="s">
        <v>2</v>
      </c>
      <c r="B395" t="s">
        <v>92</v>
      </c>
      <c r="C395" t="s">
        <v>93</v>
      </c>
      <c r="D395" t="s">
        <v>94</v>
      </c>
      <c r="E395" t="s">
        <v>95</v>
      </c>
      <c r="F395" t="s">
        <v>1482</v>
      </c>
      <c r="G395">
        <v>457000</v>
      </c>
      <c r="H395">
        <v>457000</v>
      </c>
      <c r="AA395" t="s">
        <v>1483</v>
      </c>
      <c r="AB395" t="s">
        <v>1484</v>
      </c>
      <c r="AC395" t="s">
        <v>1485</v>
      </c>
      <c r="AD395" t="s">
        <v>1486</v>
      </c>
      <c r="AE395" t="s">
        <v>1486</v>
      </c>
      <c r="AF395" t="s">
        <v>1487</v>
      </c>
      <c r="AG395" t="s">
        <v>102</v>
      </c>
      <c r="AH395" t="s">
        <v>1488</v>
      </c>
      <c r="AI395">
        <v>46203</v>
      </c>
      <c r="AJ395">
        <v>46171</v>
      </c>
      <c r="AK395" t="s">
        <v>218</v>
      </c>
      <c r="AL395" t="s">
        <v>105</v>
      </c>
      <c r="AM395" t="s">
        <v>1498</v>
      </c>
      <c r="AN395" t="s">
        <v>107</v>
      </c>
      <c r="AO395" t="s">
        <v>107</v>
      </c>
      <c r="AP395">
        <v>411300</v>
      </c>
      <c r="AQ395">
        <v>411300</v>
      </c>
      <c r="AR395">
        <v>0</v>
      </c>
      <c r="AS395" t="s">
        <v>107</v>
      </c>
      <c r="AT395" t="s">
        <v>108</v>
      </c>
      <c r="AU395" t="s">
        <v>109</v>
      </c>
      <c r="AV395" t="s">
        <v>110</v>
      </c>
      <c r="AW395" t="s">
        <v>111</v>
      </c>
      <c r="AY395" t="s">
        <v>1499</v>
      </c>
      <c r="AZ395" t="s">
        <v>113</v>
      </c>
      <c r="BB395" t="s">
        <v>114</v>
      </c>
      <c r="BC395" t="s">
        <v>115</v>
      </c>
      <c r="BN395" t="s">
        <v>116</v>
      </c>
      <c r="BO395" t="s">
        <v>1490</v>
      </c>
      <c r="BP395" t="s">
        <v>118</v>
      </c>
      <c r="BR395" t="s">
        <v>1491</v>
      </c>
      <c r="BS395" t="s">
        <v>1500</v>
      </c>
      <c r="BW395" t="s">
        <v>1157</v>
      </c>
      <c r="BX395" t="s">
        <v>1158</v>
      </c>
      <c r="BY395" t="s">
        <v>123</v>
      </c>
      <c r="BZ395" t="s">
        <v>124</v>
      </c>
    </row>
    <row r="396" spans="1:78" x14ac:dyDescent="0.3">
      <c r="A396" t="s">
        <v>12</v>
      </c>
      <c r="B396" t="s">
        <v>92</v>
      </c>
      <c r="C396" t="s">
        <v>93</v>
      </c>
      <c r="D396" t="s">
        <v>94</v>
      </c>
      <c r="E396" t="s">
        <v>95</v>
      </c>
      <c r="F396" t="s">
        <v>333</v>
      </c>
      <c r="G396">
        <v>561000</v>
      </c>
      <c r="H396">
        <v>561000</v>
      </c>
      <c r="AA396" t="s">
        <v>1501</v>
      </c>
      <c r="AB396" t="s">
        <v>1502</v>
      </c>
      <c r="AC396" t="s">
        <v>1503</v>
      </c>
      <c r="AD396" t="s">
        <v>365</v>
      </c>
      <c r="AE396" t="s">
        <v>1504</v>
      </c>
      <c r="AF396" t="s">
        <v>1505</v>
      </c>
      <c r="AG396" t="s">
        <v>102</v>
      </c>
      <c r="AH396" t="s">
        <v>175</v>
      </c>
      <c r="AI396">
        <v>46039</v>
      </c>
      <c r="AJ396">
        <v>46039</v>
      </c>
      <c r="AK396" t="s">
        <v>104</v>
      </c>
      <c r="AL396" t="s">
        <v>105</v>
      </c>
      <c r="AM396" t="s">
        <v>106</v>
      </c>
      <c r="AN396" t="s">
        <v>107</v>
      </c>
      <c r="AO396" t="s">
        <v>107</v>
      </c>
      <c r="AP396">
        <v>3000</v>
      </c>
      <c r="AQ396">
        <v>3000</v>
      </c>
      <c r="AR396">
        <v>0</v>
      </c>
      <c r="AS396" t="s">
        <v>107</v>
      </c>
      <c r="AT396" t="s">
        <v>243</v>
      </c>
      <c r="AU396" t="s">
        <v>109</v>
      </c>
      <c r="AV396" t="s">
        <v>451</v>
      </c>
      <c r="AW396" t="s">
        <v>111</v>
      </c>
      <c r="AY396" t="s">
        <v>1506</v>
      </c>
      <c r="AZ396" t="s">
        <v>113</v>
      </c>
      <c r="BB396" t="s">
        <v>114</v>
      </c>
      <c r="BC396" t="s">
        <v>115</v>
      </c>
      <c r="BN396" t="s">
        <v>113</v>
      </c>
      <c r="BO396" t="s">
        <v>1507</v>
      </c>
      <c r="BP396" t="s">
        <v>370</v>
      </c>
      <c r="BR396" t="s">
        <v>1340</v>
      </c>
      <c r="BS396" t="s">
        <v>1508</v>
      </c>
      <c r="BW396" t="s">
        <v>1157</v>
      </c>
      <c r="BX396" t="s">
        <v>1158</v>
      </c>
      <c r="BY396" t="s">
        <v>123</v>
      </c>
      <c r="BZ396" t="s">
        <v>124</v>
      </c>
    </row>
    <row r="397" spans="1:78" x14ac:dyDescent="0.3">
      <c r="A397" t="s">
        <v>12</v>
      </c>
      <c r="B397" t="s">
        <v>92</v>
      </c>
      <c r="C397" t="s">
        <v>93</v>
      </c>
      <c r="D397" t="s">
        <v>94</v>
      </c>
      <c r="E397" t="s">
        <v>95</v>
      </c>
      <c r="F397" t="s">
        <v>333</v>
      </c>
      <c r="G397">
        <v>561000</v>
      </c>
      <c r="H397">
        <v>561000</v>
      </c>
      <c r="AA397" t="s">
        <v>1501</v>
      </c>
      <c r="AB397" t="s">
        <v>1502</v>
      </c>
      <c r="AC397" t="s">
        <v>1503</v>
      </c>
      <c r="AD397" t="s">
        <v>365</v>
      </c>
      <c r="AE397" t="s">
        <v>1504</v>
      </c>
      <c r="AF397" t="s">
        <v>1505</v>
      </c>
      <c r="AG397" t="s">
        <v>102</v>
      </c>
      <c r="AH397" t="s">
        <v>175</v>
      </c>
      <c r="AI397">
        <v>46051</v>
      </c>
      <c r="AJ397">
        <v>46051</v>
      </c>
      <c r="AK397" t="s">
        <v>137</v>
      </c>
      <c r="AL397" t="s">
        <v>105</v>
      </c>
      <c r="AM397" t="s">
        <v>1509</v>
      </c>
      <c r="AN397" t="s">
        <v>107</v>
      </c>
      <c r="AO397" t="s">
        <v>107</v>
      </c>
      <c r="AP397">
        <v>18900</v>
      </c>
      <c r="AQ397">
        <v>18900</v>
      </c>
      <c r="AR397">
        <v>0</v>
      </c>
      <c r="AS397" t="s">
        <v>107</v>
      </c>
      <c r="AT397" t="s">
        <v>243</v>
      </c>
      <c r="AU397" t="s">
        <v>109</v>
      </c>
      <c r="AV397" t="s">
        <v>451</v>
      </c>
      <c r="AW397" t="s">
        <v>111</v>
      </c>
      <c r="AY397" t="s">
        <v>1510</v>
      </c>
      <c r="AZ397" t="s">
        <v>113</v>
      </c>
      <c r="BB397" t="s">
        <v>114</v>
      </c>
      <c r="BC397" t="s">
        <v>115</v>
      </c>
      <c r="BN397" t="s">
        <v>113</v>
      </c>
      <c r="BO397" t="s">
        <v>1507</v>
      </c>
      <c r="BP397" t="s">
        <v>370</v>
      </c>
      <c r="BR397" t="s">
        <v>1340</v>
      </c>
      <c r="BS397" t="s">
        <v>1511</v>
      </c>
      <c r="BW397" t="s">
        <v>1157</v>
      </c>
      <c r="BX397" t="s">
        <v>1158</v>
      </c>
      <c r="BY397" t="s">
        <v>123</v>
      </c>
      <c r="BZ397" t="s">
        <v>124</v>
      </c>
    </row>
    <row r="398" spans="1:78" x14ac:dyDescent="0.3">
      <c r="A398" t="s">
        <v>12</v>
      </c>
      <c r="B398" t="s">
        <v>92</v>
      </c>
      <c r="C398" t="s">
        <v>93</v>
      </c>
      <c r="D398" t="s">
        <v>94</v>
      </c>
      <c r="E398" t="s">
        <v>95</v>
      </c>
      <c r="F398" t="s">
        <v>333</v>
      </c>
      <c r="G398">
        <v>561000</v>
      </c>
      <c r="H398">
        <v>561000</v>
      </c>
      <c r="AA398" t="s">
        <v>1501</v>
      </c>
      <c r="AB398" t="s">
        <v>1502</v>
      </c>
      <c r="AC398" t="s">
        <v>1503</v>
      </c>
      <c r="AD398" t="s">
        <v>365</v>
      </c>
      <c r="AE398" t="s">
        <v>1504</v>
      </c>
      <c r="AF398" t="s">
        <v>1505</v>
      </c>
      <c r="AG398" t="s">
        <v>102</v>
      </c>
      <c r="AH398" t="s">
        <v>175</v>
      </c>
      <c r="AI398">
        <v>46234</v>
      </c>
      <c r="AK398" t="s">
        <v>1122</v>
      </c>
      <c r="AL398" t="s">
        <v>142</v>
      </c>
      <c r="AM398" t="s">
        <v>1512</v>
      </c>
      <c r="AN398" t="s">
        <v>107</v>
      </c>
      <c r="AO398" t="s">
        <v>107</v>
      </c>
      <c r="AP398">
        <v>34200</v>
      </c>
      <c r="AQ398">
        <v>0</v>
      </c>
      <c r="AR398">
        <v>34200</v>
      </c>
      <c r="AT398" t="s">
        <v>243</v>
      </c>
      <c r="AZ398" t="s">
        <v>113</v>
      </c>
      <c r="BC398" t="s">
        <v>1160</v>
      </c>
      <c r="BN398" t="s">
        <v>113</v>
      </c>
      <c r="BO398" t="s">
        <v>1507</v>
      </c>
      <c r="BP398" t="s">
        <v>370</v>
      </c>
      <c r="BR398" t="s">
        <v>1340</v>
      </c>
      <c r="BW398" t="s">
        <v>1157</v>
      </c>
      <c r="BX398" t="s">
        <v>1158</v>
      </c>
      <c r="BY398" t="s">
        <v>123</v>
      </c>
      <c r="BZ398" t="s">
        <v>124</v>
      </c>
    </row>
    <row r="399" spans="1:78" x14ac:dyDescent="0.3">
      <c r="A399" t="s">
        <v>12</v>
      </c>
      <c r="B399" t="s">
        <v>92</v>
      </c>
      <c r="C399" t="s">
        <v>93</v>
      </c>
      <c r="D399" t="s">
        <v>94</v>
      </c>
      <c r="E399" t="s">
        <v>95</v>
      </c>
      <c r="F399" t="s">
        <v>333</v>
      </c>
      <c r="G399">
        <v>561000</v>
      </c>
      <c r="H399">
        <v>561000</v>
      </c>
      <c r="AA399" t="s">
        <v>1501</v>
      </c>
      <c r="AB399" t="s">
        <v>1502</v>
      </c>
      <c r="AC399" t="s">
        <v>1503</v>
      </c>
      <c r="AD399" t="s">
        <v>365</v>
      </c>
      <c r="AE399" t="s">
        <v>1504</v>
      </c>
      <c r="AF399" t="s">
        <v>1505</v>
      </c>
      <c r="AG399" t="s">
        <v>102</v>
      </c>
      <c r="AH399" t="s">
        <v>175</v>
      </c>
      <c r="AI399">
        <v>46295</v>
      </c>
      <c r="AK399" t="s">
        <v>218</v>
      </c>
      <c r="AL399" t="s">
        <v>105</v>
      </c>
      <c r="AM399" t="s">
        <v>1513</v>
      </c>
      <c r="AN399" t="s">
        <v>107</v>
      </c>
      <c r="AO399" t="s">
        <v>107</v>
      </c>
      <c r="AP399">
        <v>504900</v>
      </c>
      <c r="AQ399">
        <v>0</v>
      </c>
      <c r="AR399">
        <v>504900</v>
      </c>
      <c r="AT399" t="s">
        <v>243</v>
      </c>
      <c r="AZ399" t="s">
        <v>113</v>
      </c>
      <c r="BC399" t="s">
        <v>1160</v>
      </c>
      <c r="BN399" t="s">
        <v>113</v>
      </c>
      <c r="BO399" t="s">
        <v>1507</v>
      </c>
      <c r="BP399" t="s">
        <v>370</v>
      </c>
      <c r="BR399" t="s">
        <v>1340</v>
      </c>
      <c r="BW399" t="s">
        <v>1157</v>
      </c>
      <c r="BX399" t="s">
        <v>1158</v>
      </c>
      <c r="BY399" t="s">
        <v>123</v>
      </c>
      <c r="BZ399" t="s">
        <v>124</v>
      </c>
    </row>
    <row r="400" spans="1:78" x14ac:dyDescent="0.3">
      <c r="A400" t="s">
        <v>12</v>
      </c>
      <c r="B400" t="s">
        <v>92</v>
      </c>
      <c r="C400" t="s">
        <v>93</v>
      </c>
      <c r="D400" t="s">
        <v>94</v>
      </c>
      <c r="E400" t="s">
        <v>95</v>
      </c>
      <c r="F400" t="s">
        <v>765</v>
      </c>
      <c r="G400">
        <v>442000</v>
      </c>
      <c r="H400">
        <v>415000</v>
      </c>
      <c r="AA400" t="s">
        <v>1514</v>
      </c>
      <c r="AB400" t="s">
        <v>1515</v>
      </c>
      <c r="AC400" t="s">
        <v>1516</v>
      </c>
      <c r="AD400" t="s">
        <v>1517</v>
      </c>
      <c r="AE400" t="s">
        <v>1517</v>
      </c>
      <c r="AF400" t="s">
        <v>1518</v>
      </c>
      <c r="AG400" t="s">
        <v>102</v>
      </c>
      <c r="AH400" t="s">
        <v>781</v>
      </c>
      <c r="AI400">
        <v>46159</v>
      </c>
      <c r="AJ400">
        <v>46159</v>
      </c>
      <c r="AK400" t="s">
        <v>104</v>
      </c>
      <c r="AL400" t="s">
        <v>105</v>
      </c>
      <c r="AM400" t="s">
        <v>106</v>
      </c>
      <c r="AN400" t="s">
        <v>107</v>
      </c>
      <c r="AO400" t="s">
        <v>107</v>
      </c>
      <c r="AP400">
        <v>3000</v>
      </c>
      <c r="AQ400">
        <v>3000</v>
      </c>
      <c r="AR400">
        <v>0</v>
      </c>
      <c r="AS400" t="s">
        <v>107</v>
      </c>
      <c r="AT400" t="s">
        <v>108</v>
      </c>
      <c r="AU400" t="s">
        <v>109</v>
      </c>
      <c r="AV400" t="s">
        <v>451</v>
      </c>
      <c r="AW400" t="s">
        <v>209</v>
      </c>
      <c r="AY400" t="s">
        <v>1519</v>
      </c>
      <c r="AZ400" t="s">
        <v>116</v>
      </c>
      <c r="BB400" t="s">
        <v>114</v>
      </c>
      <c r="BC400" t="s">
        <v>115</v>
      </c>
      <c r="BN400" t="s">
        <v>116</v>
      </c>
      <c r="BO400" t="s">
        <v>1520</v>
      </c>
      <c r="BP400" t="s">
        <v>1521</v>
      </c>
      <c r="BR400" t="s">
        <v>945</v>
      </c>
      <c r="BS400" t="s">
        <v>1522</v>
      </c>
      <c r="BW400" t="s">
        <v>1157</v>
      </c>
      <c r="BX400" t="s">
        <v>1158</v>
      </c>
      <c r="BY400" t="s">
        <v>123</v>
      </c>
      <c r="BZ400" t="s">
        <v>124</v>
      </c>
    </row>
    <row r="401" spans="1:78" x14ac:dyDescent="0.3">
      <c r="A401" t="s">
        <v>12</v>
      </c>
      <c r="B401" t="s">
        <v>92</v>
      </c>
      <c r="C401" t="s">
        <v>93</v>
      </c>
      <c r="D401" t="s">
        <v>94</v>
      </c>
      <c r="E401" t="s">
        <v>95</v>
      </c>
      <c r="F401" t="s">
        <v>765</v>
      </c>
      <c r="G401">
        <v>442000</v>
      </c>
      <c r="H401">
        <v>415000</v>
      </c>
      <c r="AA401" t="s">
        <v>1514</v>
      </c>
      <c r="AB401" t="s">
        <v>1515</v>
      </c>
      <c r="AC401" t="s">
        <v>1516</v>
      </c>
      <c r="AD401" t="s">
        <v>1517</v>
      </c>
      <c r="AE401" t="s">
        <v>1517</v>
      </c>
      <c r="AF401" t="s">
        <v>1518</v>
      </c>
      <c r="AG401" t="s">
        <v>102</v>
      </c>
      <c r="AH401" t="s">
        <v>781</v>
      </c>
      <c r="AI401">
        <v>46171</v>
      </c>
      <c r="AJ401">
        <v>46168</v>
      </c>
      <c r="AK401" t="s">
        <v>137</v>
      </c>
      <c r="AL401" t="s">
        <v>105</v>
      </c>
      <c r="AM401" t="s">
        <v>287</v>
      </c>
      <c r="AN401" t="s">
        <v>107</v>
      </c>
      <c r="AO401" t="s">
        <v>107</v>
      </c>
      <c r="AP401">
        <v>30000</v>
      </c>
      <c r="AQ401">
        <v>30000</v>
      </c>
      <c r="AR401">
        <v>0</v>
      </c>
      <c r="AS401" t="s">
        <v>107</v>
      </c>
      <c r="AT401" t="s">
        <v>108</v>
      </c>
      <c r="AU401" t="s">
        <v>109</v>
      </c>
      <c r="AV401" t="s">
        <v>451</v>
      </c>
      <c r="AW401" t="s">
        <v>111</v>
      </c>
      <c r="AY401" t="s">
        <v>1523</v>
      </c>
      <c r="AZ401" t="s">
        <v>116</v>
      </c>
      <c r="BB401" t="s">
        <v>114</v>
      </c>
      <c r="BC401" t="s">
        <v>115</v>
      </c>
      <c r="BN401" t="s">
        <v>113</v>
      </c>
      <c r="BO401" t="s">
        <v>1520</v>
      </c>
      <c r="BP401" t="s">
        <v>1521</v>
      </c>
      <c r="BR401" t="s">
        <v>945</v>
      </c>
      <c r="BS401" t="s">
        <v>1524</v>
      </c>
      <c r="BW401" t="s">
        <v>1157</v>
      </c>
      <c r="BX401" t="s">
        <v>1158</v>
      </c>
      <c r="BY401" t="s">
        <v>123</v>
      </c>
      <c r="BZ401" t="s">
        <v>124</v>
      </c>
    </row>
    <row r="402" spans="1:78" x14ac:dyDescent="0.3">
      <c r="A402" t="s">
        <v>12</v>
      </c>
      <c r="B402" t="s">
        <v>92</v>
      </c>
      <c r="C402" t="s">
        <v>93</v>
      </c>
      <c r="D402" t="s">
        <v>94</v>
      </c>
      <c r="E402" t="s">
        <v>95</v>
      </c>
      <c r="F402" t="s">
        <v>765</v>
      </c>
      <c r="G402">
        <v>442000</v>
      </c>
      <c r="H402">
        <v>415000</v>
      </c>
      <c r="AA402" t="s">
        <v>1514</v>
      </c>
      <c r="AB402" t="s">
        <v>1515</v>
      </c>
      <c r="AC402" t="s">
        <v>1516</v>
      </c>
      <c r="AD402" t="s">
        <v>1517</v>
      </c>
      <c r="AE402" t="s">
        <v>1517</v>
      </c>
      <c r="AF402" t="s">
        <v>1518</v>
      </c>
      <c r="AG402" t="s">
        <v>102</v>
      </c>
      <c r="AH402" t="s">
        <v>781</v>
      </c>
      <c r="AI402">
        <v>46171</v>
      </c>
      <c r="AJ402">
        <v>46168</v>
      </c>
      <c r="AK402" t="s">
        <v>137</v>
      </c>
      <c r="AL402" t="s">
        <v>142</v>
      </c>
      <c r="AM402" t="s">
        <v>287</v>
      </c>
      <c r="AN402" t="s">
        <v>107</v>
      </c>
      <c r="AO402" t="s">
        <v>107</v>
      </c>
      <c r="AP402">
        <v>30000</v>
      </c>
      <c r="AQ402">
        <v>30000</v>
      </c>
      <c r="AR402">
        <v>0</v>
      </c>
      <c r="AS402" t="s">
        <v>107</v>
      </c>
      <c r="AT402" t="s">
        <v>108</v>
      </c>
      <c r="AU402" t="s">
        <v>109</v>
      </c>
      <c r="AV402" t="s">
        <v>451</v>
      </c>
      <c r="AW402" t="s">
        <v>111</v>
      </c>
      <c r="AY402" t="s">
        <v>1525</v>
      </c>
      <c r="AZ402" t="s">
        <v>116</v>
      </c>
      <c r="BA402" t="s">
        <v>1526</v>
      </c>
      <c r="BB402" t="s">
        <v>114</v>
      </c>
      <c r="BC402" t="s">
        <v>115</v>
      </c>
      <c r="BN402" t="s">
        <v>113</v>
      </c>
      <c r="BO402" t="s">
        <v>1520</v>
      </c>
      <c r="BP402" t="s">
        <v>1521</v>
      </c>
      <c r="BR402" t="s">
        <v>945</v>
      </c>
      <c r="BS402" t="s">
        <v>1527</v>
      </c>
      <c r="BW402" t="s">
        <v>1157</v>
      </c>
      <c r="BX402" t="s">
        <v>1158</v>
      </c>
      <c r="BY402" t="s">
        <v>123</v>
      </c>
      <c r="BZ402" t="s">
        <v>124</v>
      </c>
    </row>
    <row r="403" spans="1:78" x14ac:dyDescent="0.3">
      <c r="A403" t="s">
        <v>12</v>
      </c>
      <c r="B403" t="s">
        <v>92</v>
      </c>
      <c r="C403" t="s">
        <v>93</v>
      </c>
      <c r="D403" t="s">
        <v>94</v>
      </c>
      <c r="E403" t="s">
        <v>95</v>
      </c>
      <c r="F403" t="s">
        <v>765</v>
      </c>
      <c r="G403">
        <v>442000</v>
      </c>
      <c r="H403">
        <v>415000</v>
      </c>
      <c r="AA403" t="s">
        <v>1514</v>
      </c>
      <c r="AB403" t="s">
        <v>1515</v>
      </c>
      <c r="AC403" t="s">
        <v>1516</v>
      </c>
      <c r="AD403" t="s">
        <v>1517</v>
      </c>
      <c r="AE403" t="s">
        <v>1517</v>
      </c>
      <c r="AF403" t="s">
        <v>1518</v>
      </c>
      <c r="AG403" t="s">
        <v>102</v>
      </c>
      <c r="AH403" t="s">
        <v>781</v>
      </c>
      <c r="AI403">
        <v>46171</v>
      </c>
      <c r="AJ403">
        <v>46168</v>
      </c>
      <c r="AK403" t="s">
        <v>137</v>
      </c>
      <c r="AL403" t="s">
        <v>146</v>
      </c>
      <c r="AM403" t="s">
        <v>138</v>
      </c>
      <c r="AN403" t="s">
        <v>107</v>
      </c>
      <c r="AO403" t="s">
        <v>107</v>
      </c>
      <c r="AP403">
        <v>20000</v>
      </c>
      <c r="AQ403">
        <v>20000</v>
      </c>
      <c r="AR403">
        <v>0</v>
      </c>
      <c r="AS403" t="s">
        <v>107</v>
      </c>
      <c r="AT403" t="s">
        <v>108</v>
      </c>
      <c r="AU403" t="s">
        <v>109</v>
      </c>
      <c r="AV403" t="s">
        <v>451</v>
      </c>
      <c r="AW403" t="s">
        <v>111</v>
      </c>
      <c r="AY403" t="s">
        <v>1523</v>
      </c>
      <c r="AZ403" t="s">
        <v>116</v>
      </c>
      <c r="BB403" t="s">
        <v>114</v>
      </c>
      <c r="BC403" t="s">
        <v>115</v>
      </c>
      <c r="BN403" t="s">
        <v>113</v>
      </c>
      <c r="BO403" t="s">
        <v>1520</v>
      </c>
      <c r="BP403" t="s">
        <v>1521</v>
      </c>
      <c r="BR403" t="s">
        <v>945</v>
      </c>
      <c r="BS403" t="s">
        <v>1528</v>
      </c>
      <c r="BW403" t="s">
        <v>1157</v>
      </c>
      <c r="BX403" t="s">
        <v>1158</v>
      </c>
      <c r="BY403" t="s">
        <v>123</v>
      </c>
      <c r="BZ403" t="s">
        <v>124</v>
      </c>
    </row>
    <row r="404" spans="1:78" x14ac:dyDescent="0.3">
      <c r="A404" t="s">
        <v>12</v>
      </c>
      <c r="B404" t="s">
        <v>92</v>
      </c>
      <c r="C404" t="s">
        <v>93</v>
      </c>
      <c r="D404" t="s">
        <v>94</v>
      </c>
      <c r="E404" t="s">
        <v>95</v>
      </c>
      <c r="F404" t="s">
        <v>765</v>
      </c>
      <c r="G404">
        <v>442000</v>
      </c>
      <c r="H404">
        <v>415000</v>
      </c>
      <c r="AA404" t="s">
        <v>1514</v>
      </c>
      <c r="AB404" t="s">
        <v>1515</v>
      </c>
      <c r="AC404" t="s">
        <v>1516</v>
      </c>
      <c r="AD404" t="s">
        <v>1517</v>
      </c>
      <c r="AE404" t="s">
        <v>1517</v>
      </c>
      <c r="AF404" t="s">
        <v>1518</v>
      </c>
      <c r="AG404" t="s">
        <v>102</v>
      </c>
      <c r="AH404" t="s">
        <v>781</v>
      </c>
      <c r="AI404">
        <v>46199</v>
      </c>
      <c r="AJ404">
        <v>46195</v>
      </c>
      <c r="AK404" t="s">
        <v>137</v>
      </c>
      <c r="AL404" t="s">
        <v>152</v>
      </c>
      <c r="AM404" t="s">
        <v>1529</v>
      </c>
      <c r="AN404" t="s">
        <v>107</v>
      </c>
      <c r="AO404" t="s">
        <v>107</v>
      </c>
      <c r="AP404">
        <v>24000</v>
      </c>
      <c r="AQ404">
        <v>24000</v>
      </c>
      <c r="AR404">
        <v>0</v>
      </c>
      <c r="AS404" t="s">
        <v>107</v>
      </c>
      <c r="AT404" t="s">
        <v>108</v>
      </c>
      <c r="AU404" t="s">
        <v>109</v>
      </c>
      <c r="AV404" t="s">
        <v>451</v>
      </c>
      <c r="AW404" t="s">
        <v>111</v>
      </c>
      <c r="AY404" t="s">
        <v>1530</v>
      </c>
      <c r="AZ404" t="s">
        <v>116</v>
      </c>
      <c r="BB404" t="s">
        <v>114</v>
      </c>
      <c r="BC404" t="s">
        <v>115</v>
      </c>
      <c r="BN404" t="s">
        <v>113</v>
      </c>
      <c r="BO404" t="s">
        <v>1520</v>
      </c>
      <c r="BP404" t="s">
        <v>1521</v>
      </c>
      <c r="BR404" t="s">
        <v>945</v>
      </c>
      <c r="BS404" t="s">
        <v>1531</v>
      </c>
      <c r="BW404" t="s">
        <v>1157</v>
      </c>
      <c r="BX404" t="s">
        <v>1158</v>
      </c>
      <c r="BY404" t="s">
        <v>123</v>
      </c>
      <c r="BZ404" t="s">
        <v>124</v>
      </c>
    </row>
    <row r="405" spans="1:78" x14ac:dyDescent="0.3">
      <c r="A405" t="s">
        <v>12</v>
      </c>
      <c r="B405" t="s">
        <v>92</v>
      </c>
      <c r="C405" t="s">
        <v>93</v>
      </c>
      <c r="D405" t="s">
        <v>94</v>
      </c>
      <c r="E405" t="s">
        <v>95</v>
      </c>
      <c r="F405" t="s">
        <v>765</v>
      </c>
      <c r="G405">
        <v>442000</v>
      </c>
      <c r="H405">
        <v>415000</v>
      </c>
      <c r="AA405" t="s">
        <v>1514</v>
      </c>
      <c r="AB405" t="s">
        <v>1515</v>
      </c>
      <c r="AC405" t="s">
        <v>1516</v>
      </c>
      <c r="AD405" t="s">
        <v>1517</v>
      </c>
      <c r="AE405" t="s">
        <v>1517</v>
      </c>
      <c r="AF405" t="s">
        <v>1518</v>
      </c>
      <c r="AG405" t="s">
        <v>102</v>
      </c>
      <c r="AH405" t="s">
        <v>781</v>
      </c>
      <c r="AI405">
        <v>46199</v>
      </c>
      <c r="AJ405">
        <v>46195</v>
      </c>
      <c r="AK405" t="s">
        <v>137</v>
      </c>
      <c r="AL405" t="s">
        <v>584</v>
      </c>
      <c r="AM405" t="s">
        <v>1532</v>
      </c>
      <c r="AN405" t="s">
        <v>107</v>
      </c>
      <c r="AO405" t="s">
        <v>107</v>
      </c>
      <c r="AP405">
        <v>17500</v>
      </c>
      <c r="AQ405">
        <v>17500</v>
      </c>
      <c r="AR405">
        <v>0</v>
      </c>
      <c r="AS405" t="s">
        <v>107</v>
      </c>
      <c r="AT405" t="s">
        <v>108</v>
      </c>
      <c r="AU405" t="s">
        <v>109</v>
      </c>
      <c r="AV405" t="s">
        <v>451</v>
      </c>
      <c r="AW405" t="s">
        <v>111</v>
      </c>
      <c r="AY405" t="s">
        <v>1533</v>
      </c>
      <c r="AZ405" t="s">
        <v>116</v>
      </c>
      <c r="BB405" t="s">
        <v>114</v>
      </c>
      <c r="BC405" t="s">
        <v>115</v>
      </c>
      <c r="BN405" t="s">
        <v>113</v>
      </c>
      <c r="BO405" t="s">
        <v>1520</v>
      </c>
      <c r="BP405" t="s">
        <v>1521</v>
      </c>
      <c r="BR405" t="s">
        <v>945</v>
      </c>
      <c r="BS405" t="s">
        <v>1534</v>
      </c>
      <c r="BW405" t="s">
        <v>1157</v>
      </c>
      <c r="BX405" t="s">
        <v>1158</v>
      </c>
      <c r="BY405" t="s">
        <v>123</v>
      </c>
      <c r="BZ405" t="s">
        <v>124</v>
      </c>
    </row>
    <row r="406" spans="1:78" x14ac:dyDescent="0.3">
      <c r="A406" t="s">
        <v>12</v>
      </c>
      <c r="B406" t="s">
        <v>92</v>
      </c>
      <c r="C406" t="s">
        <v>93</v>
      </c>
      <c r="D406" t="s">
        <v>94</v>
      </c>
      <c r="E406" t="s">
        <v>95</v>
      </c>
      <c r="F406" t="s">
        <v>765</v>
      </c>
      <c r="G406">
        <v>442000</v>
      </c>
      <c r="H406">
        <v>415000</v>
      </c>
      <c r="AA406" t="s">
        <v>1514</v>
      </c>
      <c r="AB406" t="s">
        <v>1515</v>
      </c>
      <c r="AC406" t="s">
        <v>1516</v>
      </c>
      <c r="AD406" t="s">
        <v>1517</v>
      </c>
      <c r="AE406" t="s">
        <v>1517</v>
      </c>
      <c r="AF406" t="s">
        <v>1518</v>
      </c>
      <c r="AG406" t="s">
        <v>102</v>
      </c>
      <c r="AH406" t="s">
        <v>781</v>
      </c>
      <c r="AI406">
        <v>46203</v>
      </c>
      <c r="AK406" t="s">
        <v>218</v>
      </c>
      <c r="AL406" t="s">
        <v>105</v>
      </c>
      <c r="AM406" t="s">
        <v>1535</v>
      </c>
      <c r="AN406" t="s">
        <v>107</v>
      </c>
      <c r="AO406" t="s">
        <v>107</v>
      </c>
      <c r="AP406">
        <v>290500</v>
      </c>
      <c r="AQ406">
        <v>0</v>
      </c>
      <c r="AR406">
        <v>290500</v>
      </c>
      <c r="AT406" t="s">
        <v>108</v>
      </c>
      <c r="AZ406" t="s">
        <v>113</v>
      </c>
      <c r="BC406" t="s">
        <v>543</v>
      </c>
      <c r="BN406" t="s">
        <v>113</v>
      </c>
      <c r="BO406" t="s">
        <v>1520</v>
      </c>
      <c r="BP406" t="s">
        <v>1521</v>
      </c>
      <c r="BR406" t="s">
        <v>945</v>
      </c>
      <c r="BW406" t="s">
        <v>1157</v>
      </c>
      <c r="BX406" t="s">
        <v>1158</v>
      </c>
      <c r="BY406" t="s">
        <v>123</v>
      </c>
      <c r="BZ406" t="s">
        <v>124</v>
      </c>
    </row>
    <row r="407" spans="1:78" x14ac:dyDescent="0.3">
      <c r="A407" t="s">
        <v>11</v>
      </c>
      <c r="B407" t="s">
        <v>92</v>
      </c>
      <c r="C407" t="s">
        <v>93</v>
      </c>
      <c r="D407" t="s">
        <v>94</v>
      </c>
      <c r="E407" t="s">
        <v>95</v>
      </c>
      <c r="F407" t="s">
        <v>1536</v>
      </c>
      <c r="G407">
        <v>531100</v>
      </c>
      <c r="H407">
        <v>483000</v>
      </c>
      <c r="AA407" t="s">
        <v>1537</v>
      </c>
      <c r="AB407" t="s">
        <v>1538</v>
      </c>
      <c r="AC407" t="s">
        <v>1539</v>
      </c>
      <c r="AD407" t="s">
        <v>365</v>
      </c>
      <c r="AE407" t="s">
        <v>1540</v>
      </c>
      <c r="AF407" t="s">
        <v>1541</v>
      </c>
      <c r="AG407" t="s">
        <v>102</v>
      </c>
      <c r="AH407" t="s">
        <v>326</v>
      </c>
      <c r="AI407">
        <v>46165</v>
      </c>
      <c r="AJ407">
        <v>46165</v>
      </c>
      <c r="AK407" t="s">
        <v>104</v>
      </c>
      <c r="AL407" t="s">
        <v>105</v>
      </c>
      <c r="AM407" t="s">
        <v>106</v>
      </c>
      <c r="AN407" t="s">
        <v>107</v>
      </c>
      <c r="AO407" t="s">
        <v>107</v>
      </c>
      <c r="AP407">
        <v>3000</v>
      </c>
      <c r="AQ407">
        <v>3000</v>
      </c>
      <c r="AR407">
        <v>0</v>
      </c>
      <c r="AS407" t="s">
        <v>107</v>
      </c>
      <c r="AT407" t="s">
        <v>108</v>
      </c>
      <c r="AU407" t="s">
        <v>162</v>
      </c>
      <c r="AV407" t="s">
        <v>163</v>
      </c>
      <c r="AW407" t="s">
        <v>111</v>
      </c>
      <c r="AY407" t="s">
        <v>1542</v>
      </c>
      <c r="AZ407" t="s">
        <v>113</v>
      </c>
      <c r="BB407" t="s">
        <v>114</v>
      </c>
      <c r="BC407" t="s">
        <v>115</v>
      </c>
      <c r="BN407" t="s">
        <v>116</v>
      </c>
      <c r="BO407" t="s">
        <v>1543</v>
      </c>
      <c r="BP407" t="s">
        <v>166</v>
      </c>
      <c r="BR407" t="s">
        <v>1544</v>
      </c>
      <c r="BS407" t="s">
        <v>1545</v>
      </c>
      <c r="BW407" t="s">
        <v>1157</v>
      </c>
      <c r="BX407" t="s">
        <v>1158</v>
      </c>
      <c r="BY407" t="s">
        <v>123</v>
      </c>
      <c r="BZ407" t="s">
        <v>124</v>
      </c>
    </row>
    <row r="408" spans="1:78" x14ac:dyDescent="0.3">
      <c r="A408" t="s">
        <v>11</v>
      </c>
      <c r="B408" t="s">
        <v>92</v>
      </c>
      <c r="C408" t="s">
        <v>93</v>
      </c>
      <c r="D408" t="s">
        <v>94</v>
      </c>
      <c r="E408" t="s">
        <v>95</v>
      </c>
      <c r="F408" t="s">
        <v>1536</v>
      </c>
      <c r="G408">
        <v>531100</v>
      </c>
      <c r="H408">
        <v>483000</v>
      </c>
      <c r="AA408" t="s">
        <v>1537</v>
      </c>
      <c r="AB408" t="s">
        <v>1538</v>
      </c>
      <c r="AC408" t="s">
        <v>1539</v>
      </c>
      <c r="AD408" t="s">
        <v>365</v>
      </c>
      <c r="AE408" t="s">
        <v>1540</v>
      </c>
      <c r="AF408" t="s">
        <v>1541</v>
      </c>
      <c r="AG408" t="s">
        <v>102</v>
      </c>
      <c r="AH408" t="s">
        <v>326</v>
      </c>
      <c r="AI408">
        <v>46172</v>
      </c>
      <c r="AJ408">
        <v>46172</v>
      </c>
      <c r="AK408" t="s">
        <v>137</v>
      </c>
      <c r="AL408" t="s">
        <v>105</v>
      </c>
      <c r="AM408" t="s">
        <v>410</v>
      </c>
      <c r="AN408" t="s">
        <v>107</v>
      </c>
      <c r="AO408" t="s">
        <v>107</v>
      </c>
      <c r="AP408">
        <v>7000</v>
      </c>
      <c r="AQ408">
        <v>7000</v>
      </c>
      <c r="AR408">
        <v>0</v>
      </c>
      <c r="AS408" t="s">
        <v>107</v>
      </c>
      <c r="AT408" t="s">
        <v>108</v>
      </c>
      <c r="AU408" t="s">
        <v>162</v>
      </c>
      <c r="AV408" t="s">
        <v>163</v>
      </c>
      <c r="AW408" t="s">
        <v>111</v>
      </c>
      <c r="AY408" t="s">
        <v>1546</v>
      </c>
      <c r="AZ408" t="s">
        <v>113</v>
      </c>
      <c r="BB408" t="s">
        <v>114</v>
      </c>
      <c r="BC408" t="s">
        <v>115</v>
      </c>
      <c r="BN408" t="s">
        <v>116</v>
      </c>
      <c r="BO408" t="s">
        <v>1543</v>
      </c>
      <c r="BP408" t="s">
        <v>166</v>
      </c>
      <c r="BR408" t="s">
        <v>1544</v>
      </c>
      <c r="BS408" t="s">
        <v>1547</v>
      </c>
      <c r="BW408" t="s">
        <v>1157</v>
      </c>
      <c r="BX408" t="s">
        <v>1158</v>
      </c>
      <c r="BY408" t="s">
        <v>123</v>
      </c>
      <c r="BZ408" t="s">
        <v>124</v>
      </c>
    </row>
    <row r="409" spans="1:78" x14ac:dyDescent="0.3">
      <c r="A409" t="s">
        <v>11</v>
      </c>
      <c r="B409" t="s">
        <v>92</v>
      </c>
      <c r="C409" t="s">
        <v>93</v>
      </c>
      <c r="D409" t="s">
        <v>94</v>
      </c>
      <c r="E409" t="s">
        <v>95</v>
      </c>
      <c r="F409" t="s">
        <v>1536</v>
      </c>
      <c r="G409">
        <v>531100</v>
      </c>
      <c r="H409">
        <v>483000</v>
      </c>
      <c r="AA409" t="s">
        <v>1537</v>
      </c>
      <c r="AB409" t="s">
        <v>1538</v>
      </c>
      <c r="AC409" t="s">
        <v>1539</v>
      </c>
      <c r="AD409" t="s">
        <v>365</v>
      </c>
      <c r="AE409" t="s">
        <v>1540</v>
      </c>
      <c r="AF409" t="s">
        <v>1541</v>
      </c>
      <c r="AG409" t="s">
        <v>102</v>
      </c>
      <c r="AH409" t="s">
        <v>326</v>
      </c>
      <c r="AI409">
        <v>46203</v>
      </c>
      <c r="AK409" t="s">
        <v>137</v>
      </c>
      <c r="AL409" t="s">
        <v>142</v>
      </c>
      <c r="AM409" t="s">
        <v>1548</v>
      </c>
      <c r="AN409" t="s">
        <v>107</v>
      </c>
      <c r="AO409" t="s">
        <v>107</v>
      </c>
      <c r="AP409">
        <v>55000</v>
      </c>
      <c r="AQ409">
        <v>0</v>
      </c>
      <c r="AR409">
        <v>55000</v>
      </c>
      <c r="AT409" t="s">
        <v>108</v>
      </c>
      <c r="AZ409" t="s">
        <v>113</v>
      </c>
      <c r="BC409" t="s">
        <v>543</v>
      </c>
      <c r="BN409" t="s">
        <v>113</v>
      </c>
      <c r="BO409" t="s">
        <v>1543</v>
      </c>
      <c r="BP409" t="s">
        <v>166</v>
      </c>
      <c r="BR409" t="s">
        <v>1544</v>
      </c>
      <c r="BW409" t="s">
        <v>1157</v>
      </c>
      <c r="BX409" t="s">
        <v>1158</v>
      </c>
      <c r="BY409" t="s">
        <v>123</v>
      </c>
      <c r="BZ409" t="s">
        <v>124</v>
      </c>
    </row>
    <row r="410" spans="1:78" x14ac:dyDescent="0.3">
      <c r="A410" t="s">
        <v>11</v>
      </c>
      <c r="B410" t="s">
        <v>92</v>
      </c>
      <c r="C410" t="s">
        <v>93</v>
      </c>
      <c r="D410" t="s">
        <v>94</v>
      </c>
      <c r="E410" t="s">
        <v>95</v>
      </c>
      <c r="F410" t="s">
        <v>1536</v>
      </c>
      <c r="G410">
        <v>531100</v>
      </c>
      <c r="H410">
        <v>483000</v>
      </c>
      <c r="AA410" t="s">
        <v>1537</v>
      </c>
      <c r="AB410" t="s">
        <v>1538</v>
      </c>
      <c r="AC410" t="s">
        <v>1539</v>
      </c>
      <c r="AD410" t="s">
        <v>365</v>
      </c>
      <c r="AE410" t="s">
        <v>1540</v>
      </c>
      <c r="AF410" t="s">
        <v>1541</v>
      </c>
      <c r="AG410" t="s">
        <v>102</v>
      </c>
      <c r="AH410" t="s">
        <v>326</v>
      </c>
      <c r="AI410">
        <v>46386</v>
      </c>
      <c r="AK410" t="s">
        <v>1122</v>
      </c>
      <c r="AL410" t="s">
        <v>146</v>
      </c>
      <c r="AM410" t="s">
        <v>1548</v>
      </c>
      <c r="AN410" t="s">
        <v>107</v>
      </c>
      <c r="AO410" t="s">
        <v>107</v>
      </c>
      <c r="AP410">
        <v>55000</v>
      </c>
      <c r="AQ410">
        <v>0</v>
      </c>
      <c r="AR410">
        <v>55000</v>
      </c>
      <c r="AT410" t="s">
        <v>108</v>
      </c>
      <c r="AZ410" t="s">
        <v>113</v>
      </c>
      <c r="BC410" t="s">
        <v>1160</v>
      </c>
      <c r="BN410" t="s">
        <v>113</v>
      </c>
      <c r="BO410" t="s">
        <v>1543</v>
      </c>
      <c r="BP410" t="s">
        <v>166</v>
      </c>
      <c r="BR410" t="s">
        <v>1544</v>
      </c>
      <c r="BW410" t="s">
        <v>1157</v>
      </c>
      <c r="BX410" t="s">
        <v>1158</v>
      </c>
      <c r="BY410" t="s">
        <v>123</v>
      </c>
      <c r="BZ410" t="s">
        <v>124</v>
      </c>
    </row>
    <row r="411" spans="1:78" x14ac:dyDescent="0.3">
      <c r="A411" t="s">
        <v>11</v>
      </c>
      <c r="B411" t="s">
        <v>92</v>
      </c>
      <c r="C411" t="s">
        <v>93</v>
      </c>
      <c r="D411" t="s">
        <v>94</v>
      </c>
      <c r="E411" t="s">
        <v>95</v>
      </c>
      <c r="F411" t="s">
        <v>710</v>
      </c>
      <c r="G411">
        <v>430000</v>
      </c>
      <c r="H411">
        <v>400000</v>
      </c>
      <c r="I411" t="s">
        <v>93</v>
      </c>
      <c r="J411" t="s">
        <v>94</v>
      </c>
      <c r="K411" t="s">
        <v>202</v>
      </c>
      <c r="L411" t="s">
        <v>1549</v>
      </c>
      <c r="M411">
        <v>50000</v>
      </c>
      <c r="N411">
        <v>50000</v>
      </c>
      <c r="AA411" t="s">
        <v>1550</v>
      </c>
      <c r="AB411" t="s">
        <v>1551</v>
      </c>
      <c r="AC411" t="s">
        <v>1552</v>
      </c>
      <c r="AD411" t="s">
        <v>365</v>
      </c>
      <c r="AE411" t="s">
        <v>1553</v>
      </c>
      <c r="AF411" t="s">
        <v>1554</v>
      </c>
      <c r="AG411" t="s">
        <v>102</v>
      </c>
      <c r="AH411" t="s">
        <v>131</v>
      </c>
      <c r="AI411">
        <v>46155</v>
      </c>
      <c r="AJ411">
        <v>46155</v>
      </c>
      <c r="AK411" t="s">
        <v>104</v>
      </c>
      <c r="AL411" t="s">
        <v>105</v>
      </c>
      <c r="AM411" t="s">
        <v>106</v>
      </c>
      <c r="AN411" t="s">
        <v>107</v>
      </c>
      <c r="AO411" t="s">
        <v>107</v>
      </c>
      <c r="AP411">
        <v>3000</v>
      </c>
      <c r="AQ411">
        <v>3000</v>
      </c>
      <c r="AR411">
        <v>0</v>
      </c>
      <c r="AS411" t="s">
        <v>107</v>
      </c>
      <c r="AT411" t="s">
        <v>243</v>
      </c>
      <c r="AU411" t="s">
        <v>162</v>
      </c>
      <c r="AV411" t="s">
        <v>163</v>
      </c>
      <c r="AW411" t="s">
        <v>288</v>
      </c>
      <c r="AY411" t="s">
        <v>1555</v>
      </c>
      <c r="AZ411" t="s">
        <v>113</v>
      </c>
      <c r="BB411" t="s">
        <v>114</v>
      </c>
      <c r="BC411" t="s">
        <v>115</v>
      </c>
      <c r="BN411" t="s">
        <v>113</v>
      </c>
      <c r="BO411" t="s">
        <v>1556</v>
      </c>
      <c r="BP411" t="s">
        <v>166</v>
      </c>
      <c r="BR411" t="s">
        <v>837</v>
      </c>
      <c r="BS411" t="s">
        <v>1557</v>
      </c>
      <c r="BW411" t="s">
        <v>1157</v>
      </c>
      <c r="BX411" t="s">
        <v>1158</v>
      </c>
      <c r="BY411" t="s">
        <v>123</v>
      </c>
      <c r="BZ411" t="s">
        <v>124</v>
      </c>
    </row>
    <row r="412" spans="1:78" x14ac:dyDescent="0.3">
      <c r="A412" t="s">
        <v>11</v>
      </c>
      <c r="B412" t="s">
        <v>92</v>
      </c>
      <c r="C412" t="s">
        <v>93</v>
      </c>
      <c r="D412" t="s">
        <v>94</v>
      </c>
      <c r="E412" t="s">
        <v>95</v>
      </c>
      <c r="F412" t="s">
        <v>710</v>
      </c>
      <c r="G412">
        <v>430000</v>
      </c>
      <c r="H412">
        <v>400000</v>
      </c>
      <c r="I412" t="s">
        <v>93</v>
      </c>
      <c r="J412" t="s">
        <v>94</v>
      </c>
      <c r="K412" t="s">
        <v>202</v>
      </c>
      <c r="L412" t="s">
        <v>1549</v>
      </c>
      <c r="M412">
        <v>50000</v>
      </c>
      <c r="N412">
        <v>50000</v>
      </c>
      <c r="AA412" t="s">
        <v>1550</v>
      </c>
      <c r="AB412" t="s">
        <v>1551</v>
      </c>
      <c r="AC412" t="s">
        <v>1552</v>
      </c>
      <c r="AD412" t="s">
        <v>365</v>
      </c>
      <c r="AE412" t="s">
        <v>1553</v>
      </c>
      <c r="AF412" t="s">
        <v>1554</v>
      </c>
      <c r="AG412" t="s">
        <v>102</v>
      </c>
      <c r="AH412" t="s">
        <v>131</v>
      </c>
      <c r="AI412">
        <v>46172</v>
      </c>
      <c r="AJ412">
        <v>46172</v>
      </c>
      <c r="AK412" t="s">
        <v>137</v>
      </c>
      <c r="AL412" t="s">
        <v>105</v>
      </c>
      <c r="AM412" t="s">
        <v>287</v>
      </c>
      <c r="AN412" t="s">
        <v>107</v>
      </c>
      <c r="AO412" t="s">
        <v>107</v>
      </c>
      <c r="AP412">
        <v>30000</v>
      </c>
      <c r="AQ412">
        <v>30000</v>
      </c>
      <c r="AR412">
        <v>0</v>
      </c>
      <c r="AS412" t="s">
        <v>107</v>
      </c>
      <c r="AT412" t="s">
        <v>243</v>
      </c>
      <c r="AU412" t="s">
        <v>162</v>
      </c>
      <c r="AV412" t="s">
        <v>163</v>
      </c>
      <c r="AW412" t="s">
        <v>111</v>
      </c>
      <c r="AY412" t="s">
        <v>1558</v>
      </c>
      <c r="AZ412" t="s">
        <v>113</v>
      </c>
      <c r="BB412" t="s">
        <v>114</v>
      </c>
      <c r="BC412" t="s">
        <v>115</v>
      </c>
      <c r="BN412" t="s">
        <v>113</v>
      </c>
      <c r="BO412" t="s">
        <v>1556</v>
      </c>
      <c r="BP412" t="s">
        <v>166</v>
      </c>
      <c r="BR412" t="s">
        <v>837</v>
      </c>
      <c r="BS412" t="s">
        <v>1559</v>
      </c>
      <c r="BW412" t="s">
        <v>1157</v>
      </c>
      <c r="BX412" t="s">
        <v>1158</v>
      </c>
      <c r="BY412" t="s">
        <v>123</v>
      </c>
      <c r="BZ412" t="s">
        <v>124</v>
      </c>
    </row>
    <row r="413" spans="1:78" x14ac:dyDescent="0.3">
      <c r="A413" t="s">
        <v>11</v>
      </c>
      <c r="B413" t="s">
        <v>92</v>
      </c>
      <c r="C413" t="s">
        <v>93</v>
      </c>
      <c r="D413" t="s">
        <v>94</v>
      </c>
      <c r="E413" t="s">
        <v>95</v>
      </c>
      <c r="F413" t="s">
        <v>710</v>
      </c>
      <c r="G413">
        <v>430000</v>
      </c>
      <c r="H413">
        <v>400000</v>
      </c>
      <c r="I413" t="s">
        <v>93</v>
      </c>
      <c r="J413" t="s">
        <v>94</v>
      </c>
      <c r="K413" t="s">
        <v>202</v>
      </c>
      <c r="L413" t="s">
        <v>1549</v>
      </c>
      <c r="M413">
        <v>50000</v>
      </c>
      <c r="N413">
        <v>50000</v>
      </c>
      <c r="AA413" t="s">
        <v>1550</v>
      </c>
      <c r="AB413" t="s">
        <v>1551</v>
      </c>
      <c r="AC413" t="s">
        <v>1552</v>
      </c>
      <c r="AD413" t="s">
        <v>365</v>
      </c>
      <c r="AE413" t="s">
        <v>1553</v>
      </c>
      <c r="AF413" t="s">
        <v>1554</v>
      </c>
      <c r="AG413" t="s">
        <v>102</v>
      </c>
      <c r="AH413" t="s">
        <v>131</v>
      </c>
      <c r="AI413">
        <v>46325</v>
      </c>
      <c r="AK413" t="s">
        <v>137</v>
      </c>
      <c r="AL413" t="s">
        <v>142</v>
      </c>
      <c r="AM413" t="s">
        <v>1560</v>
      </c>
      <c r="AN413" t="s">
        <v>107</v>
      </c>
      <c r="AO413" t="s">
        <v>107</v>
      </c>
      <c r="AP413">
        <v>57000</v>
      </c>
      <c r="AQ413">
        <v>0</v>
      </c>
      <c r="AR413">
        <v>57000</v>
      </c>
      <c r="AT413" t="s">
        <v>243</v>
      </c>
      <c r="AZ413" t="s">
        <v>113</v>
      </c>
      <c r="BC413" t="s">
        <v>1160</v>
      </c>
      <c r="BN413" t="s">
        <v>113</v>
      </c>
      <c r="BO413" t="s">
        <v>1556</v>
      </c>
      <c r="BP413" t="s">
        <v>166</v>
      </c>
      <c r="BR413" t="s">
        <v>837</v>
      </c>
      <c r="BW413" t="s">
        <v>1157</v>
      </c>
      <c r="BX413" t="s">
        <v>1158</v>
      </c>
      <c r="BY413" t="s">
        <v>123</v>
      </c>
      <c r="BZ413" t="s">
        <v>124</v>
      </c>
    </row>
    <row r="414" spans="1:78" x14ac:dyDescent="0.3">
      <c r="A414" t="s">
        <v>11</v>
      </c>
      <c r="B414" t="s">
        <v>92</v>
      </c>
      <c r="C414" t="s">
        <v>93</v>
      </c>
      <c r="D414" t="s">
        <v>94</v>
      </c>
      <c r="E414" t="s">
        <v>95</v>
      </c>
      <c r="F414" t="s">
        <v>710</v>
      </c>
      <c r="G414">
        <v>430000</v>
      </c>
      <c r="H414">
        <v>400000</v>
      </c>
      <c r="I414" t="s">
        <v>93</v>
      </c>
      <c r="J414" t="s">
        <v>94</v>
      </c>
      <c r="K414" t="s">
        <v>202</v>
      </c>
      <c r="L414" t="s">
        <v>1549</v>
      </c>
      <c r="M414">
        <v>50000</v>
      </c>
      <c r="N414">
        <v>50000</v>
      </c>
      <c r="AA414" t="s">
        <v>1550</v>
      </c>
      <c r="AB414" t="s">
        <v>1551</v>
      </c>
      <c r="AC414" t="s">
        <v>1552</v>
      </c>
      <c r="AD414" t="s">
        <v>365</v>
      </c>
      <c r="AE414" t="s">
        <v>1553</v>
      </c>
      <c r="AF414" t="s">
        <v>1554</v>
      </c>
      <c r="AG414" t="s">
        <v>102</v>
      </c>
      <c r="AH414" t="s">
        <v>131</v>
      </c>
      <c r="AI414">
        <v>46386</v>
      </c>
      <c r="AK414" t="s">
        <v>218</v>
      </c>
      <c r="AL414" t="s">
        <v>105</v>
      </c>
      <c r="AM414" t="s">
        <v>1561</v>
      </c>
      <c r="AN414" t="s">
        <v>107</v>
      </c>
      <c r="AO414" t="s">
        <v>107</v>
      </c>
      <c r="AP414">
        <v>360000</v>
      </c>
      <c r="AQ414">
        <v>0</v>
      </c>
      <c r="AR414">
        <v>360000</v>
      </c>
      <c r="AT414" t="s">
        <v>243</v>
      </c>
      <c r="AZ414" t="s">
        <v>113</v>
      </c>
      <c r="BC414" t="s">
        <v>1160</v>
      </c>
      <c r="BN414" t="s">
        <v>113</v>
      </c>
      <c r="BO414" t="s">
        <v>1556</v>
      </c>
      <c r="BP414" t="s">
        <v>166</v>
      </c>
      <c r="BR414" t="s">
        <v>837</v>
      </c>
      <c r="BW414" t="s">
        <v>1157</v>
      </c>
      <c r="BX414" t="s">
        <v>1158</v>
      </c>
      <c r="BY414" t="s">
        <v>123</v>
      </c>
      <c r="BZ414" t="s">
        <v>124</v>
      </c>
    </row>
    <row r="415" spans="1:78" x14ac:dyDescent="0.3">
      <c r="A415" t="s">
        <v>11</v>
      </c>
      <c r="B415" t="s">
        <v>92</v>
      </c>
      <c r="C415" t="s">
        <v>93</v>
      </c>
      <c r="D415" t="s">
        <v>94</v>
      </c>
      <c r="E415" t="s">
        <v>95</v>
      </c>
      <c r="F415" t="s">
        <v>482</v>
      </c>
      <c r="G415">
        <v>498000</v>
      </c>
      <c r="H415">
        <v>450000</v>
      </c>
      <c r="AA415" t="s">
        <v>776</v>
      </c>
      <c r="AB415" t="s">
        <v>777</v>
      </c>
      <c r="AC415" t="s">
        <v>778</v>
      </c>
      <c r="AD415" t="s">
        <v>365</v>
      </c>
      <c r="AE415" t="s">
        <v>779</v>
      </c>
      <c r="AF415" t="s">
        <v>780</v>
      </c>
      <c r="AG415" t="s">
        <v>102</v>
      </c>
      <c r="AH415" t="s">
        <v>781</v>
      </c>
      <c r="AI415">
        <v>46081</v>
      </c>
      <c r="AJ415">
        <v>46051</v>
      </c>
      <c r="AK415" t="s">
        <v>137</v>
      </c>
      <c r="AL415" t="s">
        <v>142</v>
      </c>
      <c r="AM415" t="s">
        <v>1008</v>
      </c>
      <c r="AN415" t="s">
        <v>107</v>
      </c>
      <c r="AO415" t="s">
        <v>107</v>
      </c>
      <c r="AP415">
        <v>7500</v>
      </c>
      <c r="AQ415">
        <v>7500</v>
      </c>
      <c r="AR415">
        <v>0</v>
      </c>
      <c r="AS415" t="s">
        <v>107</v>
      </c>
      <c r="AT415" t="s">
        <v>108</v>
      </c>
      <c r="AU415" t="s">
        <v>162</v>
      </c>
      <c r="AV415" t="s">
        <v>163</v>
      </c>
      <c r="AW415" t="s">
        <v>111</v>
      </c>
      <c r="AX415" t="s">
        <v>777</v>
      </c>
      <c r="AY415" t="s">
        <v>1562</v>
      </c>
      <c r="AZ415" t="s">
        <v>113</v>
      </c>
      <c r="BA415" t="s">
        <v>133</v>
      </c>
      <c r="BB415" t="s">
        <v>114</v>
      </c>
      <c r="BC415" t="s">
        <v>115</v>
      </c>
      <c r="BN415" t="s">
        <v>116</v>
      </c>
      <c r="BO415" t="s">
        <v>783</v>
      </c>
      <c r="BP415" t="s">
        <v>166</v>
      </c>
      <c r="BR415" t="s">
        <v>342</v>
      </c>
      <c r="BS415" t="s">
        <v>787</v>
      </c>
      <c r="BW415" t="s">
        <v>1157</v>
      </c>
      <c r="BX415" t="s">
        <v>1158</v>
      </c>
      <c r="BY415" t="s">
        <v>123</v>
      </c>
      <c r="BZ415" t="s">
        <v>124</v>
      </c>
    </row>
    <row r="416" spans="1:78" x14ac:dyDescent="0.3">
      <c r="A416" t="s">
        <v>11</v>
      </c>
      <c r="B416" t="s">
        <v>92</v>
      </c>
      <c r="C416" t="s">
        <v>93</v>
      </c>
      <c r="D416" t="s">
        <v>94</v>
      </c>
      <c r="E416" t="s">
        <v>95</v>
      </c>
      <c r="F416" t="s">
        <v>482</v>
      </c>
      <c r="G416">
        <v>498000</v>
      </c>
      <c r="H416">
        <v>450000</v>
      </c>
      <c r="AA416" t="s">
        <v>776</v>
      </c>
      <c r="AB416" t="s">
        <v>777</v>
      </c>
      <c r="AC416" t="s">
        <v>778</v>
      </c>
      <c r="AD416" t="s">
        <v>365</v>
      </c>
      <c r="AE416" t="s">
        <v>779</v>
      </c>
      <c r="AF416" t="s">
        <v>780</v>
      </c>
      <c r="AG416" t="s">
        <v>102</v>
      </c>
      <c r="AH416" t="s">
        <v>781</v>
      </c>
      <c r="AI416">
        <v>46142</v>
      </c>
      <c r="AJ416">
        <v>46119</v>
      </c>
      <c r="AK416" t="s">
        <v>137</v>
      </c>
      <c r="AL416" t="s">
        <v>146</v>
      </c>
      <c r="AM416" t="s">
        <v>1399</v>
      </c>
      <c r="AN416" t="s">
        <v>107</v>
      </c>
      <c r="AO416" t="s">
        <v>107</v>
      </c>
      <c r="AP416">
        <v>15000</v>
      </c>
      <c r="AQ416">
        <v>15000</v>
      </c>
      <c r="AR416">
        <v>0</v>
      </c>
      <c r="AS416" t="s">
        <v>107</v>
      </c>
      <c r="AT416" t="s">
        <v>108</v>
      </c>
      <c r="AU416" t="s">
        <v>162</v>
      </c>
      <c r="AV416" t="s">
        <v>163</v>
      </c>
      <c r="AW416" t="s">
        <v>111</v>
      </c>
      <c r="AX416" t="s">
        <v>777</v>
      </c>
      <c r="AY416" t="s">
        <v>1563</v>
      </c>
      <c r="AZ416" t="s">
        <v>113</v>
      </c>
      <c r="BA416" t="s">
        <v>133</v>
      </c>
      <c r="BB416" t="s">
        <v>114</v>
      </c>
      <c r="BC416" t="s">
        <v>115</v>
      </c>
      <c r="BN416" t="s">
        <v>116</v>
      </c>
      <c r="BO416" t="s">
        <v>783</v>
      </c>
      <c r="BP416" t="s">
        <v>166</v>
      </c>
      <c r="BR416" t="s">
        <v>342</v>
      </c>
      <c r="BS416" t="s">
        <v>1564</v>
      </c>
      <c r="BW416" t="s">
        <v>1157</v>
      </c>
      <c r="BX416" t="s">
        <v>1158</v>
      </c>
      <c r="BY416" t="s">
        <v>123</v>
      </c>
      <c r="BZ416" t="s">
        <v>124</v>
      </c>
    </row>
    <row r="417" spans="1:78" x14ac:dyDescent="0.3">
      <c r="A417" t="s">
        <v>11</v>
      </c>
      <c r="B417" t="s">
        <v>92</v>
      </c>
      <c r="C417" t="s">
        <v>93</v>
      </c>
      <c r="D417" t="s">
        <v>94</v>
      </c>
      <c r="E417" t="s">
        <v>95</v>
      </c>
      <c r="F417" t="s">
        <v>482</v>
      </c>
      <c r="G417">
        <v>498000</v>
      </c>
      <c r="H417">
        <v>450000</v>
      </c>
      <c r="AA417" t="s">
        <v>776</v>
      </c>
      <c r="AB417" t="s">
        <v>777</v>
      </c>
      <c r="AC417" t="s">
        <v>778</v>
      </c>
      <c r="AD417" t="s">
        <v>365</v>
      </c>
      <c r="AE417" t="s">
        <v>779</v>
      </c>
      <c r="AF417" t="s">
        <v>780</v>
      </c>
      <c r="AG417" t="s">
        <v>102</v>
      </c>
      <c r="AH417" t="s">
        <v>781</v>
      </c>
      <c r="AI417">
        <v>46203</v>
      </c>
      <c r="AK417" t="s">
        <v>218</v>
      </c>
      <c r="AL417" t="s">
        <v>105</v>
      </c>
      <c r="AM417" t="s">
        <v>1565</v>
      </c>
      <c r="AN417" t="s">
        <v>107</v>
      </c>
      <c r="AO417" t="s">
        <v>107</v>
      </c>
      <c r="AP417">
        <v>405000</v>
      </c>
      <c r="AQ417">
        <v>0</v>
      </c>
      <c r="AR417">
        <v>405000</v>
      </c>
      <c r="AT417" t="s">
        <v>108</v>
      </c>
      <c r="AZ417" t="s">
        <v>113</v>
      </c>
      <c r="BC417" t="s">
        <v>543</v>
      </c>
      <c r="BN417" t="s">
        <v>113</v>
      </c>
      <c r="BO417" t="s">
        <v>783</v>
      </c>
      <c r="BP417" t="s">
        <v>166</v>
      </c>
      <c r="BR417" t="s">
        <v>342</v>
      </c>
      <c r="BW417" t="s">
        <v>1157</v>
      </c>
      <c r="BX417" t="s">
        <v>1158</v>
      </c>
      <c r="BY417" t="s">
        <v>123</v>
      </c>
      <c r="BZ417" t="s">
        <v>124</v>
      </c>
    </row>
    <row r="418" spans="1:78" x14ac:dyDescent="0.3">
      <c r="A418" t="s">
        <v>11</v>
      </c>
      <c r="B418" t="s">
        <v>92</v>
      </c>
      <c r="C418" t="s">
        <v>93</v>
      </c>
      <c r="D418" t="s">
        <v>94</v>
      </c>
      <c r="E418" t="s">
        <v>95</v>
      </c>
      <c r="F418" t="s">
        <v>1566</v>
      </c>
      <c r="G418">
        <v>504700</v>
      </c>
      <c r="H418">
        <v>453700</v>
      </c>
      <c r="I418" t="s">
        <v>93</v>
      </c>
      <c r="J418" t="s">
        <v>94</v>
      </c>
      <c r="K418" t="s">
        <v>202</v>
      </c>
      <c r="L418" t="s">
        <v>1567</v>
      </c>
      <c r="M418">
        <v>50000</v>
      </c>
      <c r="N418">
        <v>50000</v>
      </c>
      <c r="AA418" t="s">
        <v>1568</v>
      </c>
      <c r="AB418" t="s">
        <v>1569</v>
      </c>
      <c r="AC418" t="s">
        <v>1570</v>
      </c>
      <c r="AD418" t="s">
        <v>365</v>
      </c>
      <c r="AE418" t="s">
        <v>1571</v>
      </c>
      <c r="AF418" t="s">
        <v>1572</v>
      </c>
      <c r="AG418" t="s">
        <v>102</v>
      </c>
      <c r="AH418" t="s">
        <v>131</v>
      </c>
      <c r="AI418">
        <v>46164</v>
      </c>
      <c r="AJ418">
        <v>46164</v>
      </c>
      <c r="AK418" t="s">
        <v>104</v>
      </c>
      <c r="AL418" t="s">
        <v>105</v>
      </c>
      <c r="AM418" t="s">
        <v>106</v>
      </c>
      <c r="AN418" t="s">
        <v>107</v>
      </c>
      <c r="AO418" t="s">
        <v>107</v>
      </c>
      <c r="AP418">
        <v>3000</v>
      </c>
      <c r="AQ418">
        <v>3000</v>
      </c>
      <c r="AR418">
        <v>0</v>
      </c>
      <c r="AS418" t="s">
        <v>107</v>
      </c>
      <c r="AT418" t="s">
        <v>243</v>
      </c>
      <c r="AU418" t="s">
        <v>162</v>
      </c>
      <c r="AV418" t="s">
        <v>163</v>
      </c>
      <c r="AW418" t="s">
        <v>209</v>
      </c>
      <c r="AY418" t="s">
        <v>1573</v>
      </c>
      <c r="AZ418" t="s">
        <v>116</v>
      </c>
      <c r="BB418" t="s">
        <v>114</v>
      </c>
      <c r="BC418" t="s">
        <v>115</v>
      </c>
      <c r="BN418" t="s">
        <v>113</v>
      </c>
      <c r="BO418" t="s">
        <v>1574</v>
      </c>
      <c r="BP418" t="s">
        <v>118</v>
      </c>
      <c r="BR418" t="s">
        <v>907</v>
      </c>
      <c r="BS418" t="s">
        <v>1575</v>
      </c>
      <c r="BW418" t="s">
        <v>1157</v>
      </c>
      <c r="BX418" t="s">
        <v>1158</v>
      </c>
      <c r="BY418" t="s">
        <v>123</v>
      </c>
      <c r="BZ418" t="s">
        <v>124</v>
      </c>
    </row>
    <row r="419" spans="1:78" x14ac:dyDescent="0.3">
      <c r="A419" t="s">
        <v>11</v>
      </c>
      <c r="B419" t="s">
        <v>92</v>
      </c>
      <c r="C419" t="s">
        <v>93</v>
      </c>
      <c r="D419" t="s">
        <v>94</v>
      </c>
      <c r="E419" t="s">
        <v>95</v>
      </c>
      <c r="F419" t="s">
        <v>1566</v>
      </c>
      <c r="G419">
        <v>504700</v>
      </c>
      <c r="H419">
        <v>453700</v>
      </c>
      <c r="I419" t="s">
        <v>93</v>
      </c>
      <c r="J419" t="s">
        <v>94</v>
      </c>
      <c r="K419" t="s">
        <v>202</v>
      </c>
      <c r="L419" t="s">
        <v>1567</v>
      </c>
      <c r="M419">
        <v>50000</v>
      </c>
      <c r="N419">
        <v>50000</v>
      </c>
      <c r="AA419" t="s">
        <v>1568</v>
      </c>
      <c r="AB419" t="s">
        <v>1569</v>
      </c>
      <c r="AC419" t="s">
        <v>1570</v>
      </c>
      <c r="AD419" t="s">
        <v>365</v>
      </c>
      <c r="AE419" t="s">
        <v>1571</v>
      </c>
      <c r="AF419" t="s">
        <v>1572</v>
      </c>
      <c r="AG419" t="s">
        <v>102</v>
      </c>
      <c r="AH419" t="s">
        <v>131</v>
      </c>
      <c r="AI419">
        <v>46205.709722222222</v>
      </c>
      <c r="AJ419">
        <v>46170</v>
      </c>
      <c r="AK419" t="s">
        <v>137</v>
      </c>
      <c r="AL419" t="s">
        <v>105</v>
      </c>
      <c r="AM419" t="s">
        <v>1576</v>
      </c>
      <c r="AN419" t="s">
        <v>107</v>
      </c>
      <c r="AO419" t="s">
        <v>107</v>
      </c>
      <c r="AP419">
        <v>47670</v>
      </c>
      <c r="AQ419">
        <v>22185</v>
      </c>
      <c r="AR419">
        <v>25485</v>
      </c>
      <c r="AS419" t="s">
        <v>107</v>
      </c>
      <c r="AT419" t="s">
        <v>243</v>
      </c>
      <c r="AU419" t="s">
        <v>162</v>
      </c>
      <c r="AV419" t="s">
        <v>163</v>
      </c>
      <c r="AW419" t="s">
        <v>111</v>
      </c>
      <c r="AY419" t="s">
        <v>1577</v>
      </c>
      <c r="AZ419" t="s">
        <v>116</v>
      </c>
      <c r="BB419" t="s">
        <v>114</v>
      </c>
      <c r="BC419" t="s">
        <v>1160</v>
      </c>
      <c r="BN419" t="s">
        <v>113</v>
      </c>
      <c r="BO419" t="s">
        <v>1574</v>
      </c>
      <c r="BP419" t="s">
        <v>118</v>
      </c>
      <c r="BR419" t="s">
        <v>907</v>
      </c>
      <c r="BS419" t="s">
        <v>1578</v>
      </c>
      <c r="BW419" t="s">
        <v>1157</v>
      </c>
      <c r="BX419" t="s">
        <v>1158</v>
      </c>
      <c r="BY419" t="s">
        <v>123</v>
      </c>
      <c r="BZ419" t="s">
        <v>124</v>
      </c>
    </row>
    <row r="420" spans="1:78" x14ac:dyDescent="0.3">
      <c r="A420" t="s">
        <v>11</v>
      </c>
      <c r="B420" t="s">
        <v>92</v>
      </c>
      <c r="C420" t="s">
        <v>93</v>
      </c>
      <c r="D420" t="s">
        <v>94</v>
      </c>
      <c r="E420" t="s">
        <v>95</v>
      </c>
      <c r="F420" t="s">
        <v>1566</v>
      </c>
      <c r="G420">
        <v>504700</v>
      </c>
      <c r="H420">
        <v>453700</v>
      </c>
      <c r="I420" t="s">
        <v>93</v>
      </c>
      <c r="J420" t="s">
        <v>94</v>
      </c>
      <c r="K420" t="s">
        <v>202</v>
      </c>
      <c r="L420" t="s">
        <v>1567</v>
      </c>
      <c r="M420">
        <v>50000</v>
      </c>
      <c r="N420">
        <v>50000</v>
      </c>
      <c r="AA420" t="s">
        <v>1568</v>
      </c>
      <c r="AB420" t="s">
        <v>1569</v>
      </c>
      <c r="AC420" t="s">
        <v>1570</v>
      </c>
      <c r="AD420" t="s">
        <v>365</v>
      </c>
      <c r="AE420" t="s">
        <v>1571</v>
      </c>
      <c r="AF420" t="s">
        <v>1572</v>
      </c>
      <c r="AG420" t="s">
        <v>102</v>
      </c>
      <c r="AH420" t="s">
        <v>131</v>
      </c>
      <c r="AI420">
        <v>46236.709722222222</v>
      </c>
      <c r="AK420" t="s">
        <v>218</v>
      </c>
      <c r="AL420" t="s">
        <v>105</v>
      </c>
      <c r="AM420" t="s">
        <v>1579</v>
      </c>
      <c r="AN420" t="s">
        <v>107</v>
      </c>
      <c r="AO420" t="s">
        <v>107</v>
      </c>
      <c r="AP420">
        <v>453030</v>
      </c>
      <c r="AQ420">
        <v>0</v>
      </c>
      <c r="AR420">
        <v>453030</v>
      </c>
      <c r="AT420" t="s">
        <v>243</v>
      </c>
      <c r="AZ420" t="s">
        <v>113</v>
      </c>
      <c r="BC420" t="s">
        <v>1160</v>
      </c>
      <c r="BN420" t="s">
        <v>113</v>
      </c>
      <c r="BO420" t="s">
        <v>1574</v>
      </c>
      <c r="BP420" t="s">
        <v>118</v>
      </c>
      <c r="BR420" t="s">
        <v>907</v>
      </c>
      <c r="BW420" t="s">
        <v>1157</v>
      </c>
      <c r="BX420" t="s">
        <v>1158</v>
      </c>
      <c r="BY420" t="s">
        <v>123</v>
      </c>
      <c r="BZ420" t="s">
        <v>124</v>
      </c>
    </row>
    <row r="421" spans="1:78" x14ac:dyDescent="0.3">
      <c r="A421" t="s">
        <v>11</v>
      </c>
      <c r="B421" t="s">
        <v>92</v>
      </c>
      <c r="C421" t="s">
        <v>93</v>
      </c>
      <c r="D421" t="s">
        <v>94</v>
      </c>
      <c r="E421" t="s">
        <v>95</v>
      </c>
      <c r="F421" t="s">
        <v>503</v>
      </c>
      <c r="G421">
        <v>518500</v>
      </c>
      <c r="H421">
        <v>470000</v>
      </c>
      <c r="I421" t="s">
        <v>93</v>
      </c>
      <c r="J421" t="s">
        <v>94</v>
      </c>
      <c r="K421" t="s">
        <v>202</v>
      </c>
      <c r="L421" t="s">
        <v>788</v>
      </c>
      <c r="M421">
        <v>54500</v>
      </c>
      <c r="N421">
        <v>54500</v>
      </c>
      <c r="AA421" t="s">
        <v>789</v>
      </c>
      <c r="AB421" t="s">
        <v>790</v>
      </c>
      <c r="AC421" t="s">
        <v>791</v>
      </c>
      <c r="AD421" t="s">
        <v>365</v>
      </c>
      <c r="AE421" t="s">
        <v>792</v>
      </c>
      <c r="AF421" t="s">
        <v>793</v>
      </c>
      <c r="AG421" t="s">
        <v>102</v>
      </c>
      <c r="AH421" t="s">
        <v>393</v>
      </c>
      <c r="AI421">
        <v>46052</v>
      </c>
      <c r="AK421" t="s">
        <v>1580</v>
      </c>
      <c r="AL421" t="s">
        <v>142</v>
      </c>
      <c r="AM421" t="s">
        <v>402</v>
      </c>
      <c r="AN421" t="s">
        <v>107</v>
      </c>
      <c r="AO421" t="s">
        <v>107</v>
      </c>
      <c r="AP421">
        <v>44000</v>
      </c>
      <c r="AQ421">
        <v>0</v>
      </c>
      <c r="AR421">
        <v>44000</v>
      </c>
      <c r="AT421" t="s">
        <v>108</v>
      </c>
      <c r="AZ421" t="s">
        <v>113</v>
      </c>
      <c r="BC421" t="s">
        <v>543</v>
      </c>
      <c r="BN421" t="s">
        <v>113</v>
      </c>
      <c r="BO421" t="s">
        <v>795</v>
      </c>
      <c r="BP421" t="s">
        <v>370</v>
      </c>
      <c r="BR421" t="s">
        <v>319</v>
      </c>
      <c r="BW421" t="s">
        <v>1157</v>
      </c>
      <c r="BX421" t="s">
        <v>1158</v>
      </c>
      <c r="BY421" t="s">
        <v>123</v>
      </c>
      <c r="BZ421" t="s">
        <v>124</v>
      </c>
    </row>
    <row r="422" spans="1:78" x14ac:dyDescent="0.3">
      <c r="A422" t="s">
        <v>11</v>
      </c>
      <c r="B422" t="s">
        <v>92</v>
      </c>
      <c r="C422" t="s">
        <v>93</v>
      </c>
      <c r="D422" t="s">
        <v>94</v>
      </c>
      <c r="E422" t="s">
        <v>95</v>
      </c>
      <c r="F422" t="s">
        <v>503</v>
      </c>
      <c r="G422">
        <v>518500</v>
      </c>
      <c r="H422">
        <v>470000</v>
      </c>
      <c r="I422" t="s">
        <v>93</v>
      </c>
      <c r="J422" t="s">
        <v>94</v>
      </c>
      <c r="K422" t="s">
        <v>202</v>
      </c>
      <c r="L422" t="s">
        <v>788</v>
      </c>
      <c r="M422">
        <v>54500</v>
      </c>
      <c r="N422">
        <v>54500</v>
      </c>
      <c r="AA422" t="s">
        <v>789</v>
      </c>
      <c r="AB422" t="s">
        <v>790</v>
      </c>
      <c r="AC422" t="s">
        <v>791</v>
      </c>
      <c r="AD422" t="s">
        <v>365</v>
      </c>
      <c r="AE422" t="s">
        <v>792</v>
      </c>
      <c r="AF422" t="s">
        <v>793</v>
      </c>
      <c r="AG422" t="s">
        <v>102</v>
      </c>
      <c r="AH422" t="s">
        <v>393</v>
      </c>
      <c r="AI422">
        <v>46052</v>
      </c>
      <c r="AK422" t="s">
        <v>218</v>
      </c>
      <c r="AL422" t="s">
        <v>105</v>
      </c>
      <c r="AM422" t="s">
        <v>1581</v>
      </c>
      <c r="AN422" t="s">
        <v>107</v>
      </c>
      <c r="AO422" t="s">
        <v>107</v>
      </c>
      <c r="AP422">
        <v>36269.230000000003</v>
      </c>
      <c r="AQ422">
        <v>0</v>
      </c>
      <c r="AR422">
        <v>36269.230000000003</v>
      </c>
      <c r="AT422" t="s">
        <v>108</v>
      </c>
      <c r="AZ422" t="s">
        <v>113</v>
      </c>
      <c r="BC422" t="s">
        <v>543</v>
      </c>
      <c r="BN422" t="s">
        <v>113</v>
      </c>
      <c r="BO422" t="s">
        <v>795</v>
      </c>
      <c r="BP422" t="s">
        <v>370</v>
      </c>
      <c r="BR422" t="s">
        <v>319</v>
      </c>
      <c r="BW422" t="s">
        <v>1157</v>
      </c>
      <c r="BX422" t="s">
        <v>1158</v>
      </c>
      <c r="BY422" t="s">
        <v>123</v>
      </c>
      <c r="BZ422" t="s">
        <v>124</v>
      </c>
    </row>
    <row r="423" spans="1:78" x14ac:dyDescent="0.3">
      <c r="A423" t="s">
        <v>11</v>
      </c>
      <c r="B423" t="s">
        <v>92</v>
      </c>
      <c r="C423" t="s">
        <v>93</v>
      </c>
      <c r="D423" t="s">
        <v>94</v>
      </c>
      <c r="E423" t="s">
        <v>95</v>
      </c>
      <c r="F423" t="s">
        <v>503</v>
      </c>
      <c r="G423">
        <v>518500</v>
      </c>
      <c r="H423">
        <v>470000</v>
      </c>
      <c r="I423" t="s">
        <v>93</v>
      </c>
      <c r="J423" t="s">
        <v>94</v>
      </c>
      <c r="K423" t="s">
        <v>202</v>
      </c>
      <c r="L423" t="s">
        <v>788</v>
      </c>
      <c r="M423">
        <v>54500</v>
      </c>
      <c r="N423">
        <v>54500</v>
      </c>
      <c r="AA423" t="s">
        <v>789</v>
      </c>
      <c r="AB423" t="s">
        <v>790</v>
      </c>
      <c r="AC423" t="s">
        <v>791</v>
      </c>
      <c r="AD423" t="s">
        <v>365</v>
      </c>
      <c r="AE423" t="s">
        <v>792</v>
      </c>
      <c r="AF423" t="s">
        <v>793</v>
      </c>
      <c r="AG423" t="s">
        <v>102</v>
      </c>
      <c r="AH423" t="s">
        <v>393</v>
      </c>
      <c r="AI423">
        <v>46233</v>
      </c>
      <c r="AK423" t="s">
        <v>218</v>
      </c>
      <c r="AL423" t="s">
        <v>142</v>
      </c>
      <c r="AM423" t="s">
        <v>1581</v>
      </c>
      <c r="AN423" t="s">
        <v>107</v>
      </c>
      <c r="AO423" t="s">
        <v>107</v>
      </c>
      <c r="AP423">
        <v>36269.230000000003</v>
      </c>
      <c r="AQ423">
        <v>0</v>
      </c>
      <c r="AR423">
        <v>36269.230000000003</v>
      </c>
      <c r="AT423" t="s">
        <v>108</v>
      </c>
      <c r="AZ423" t="s">
        <v>113</v>
      </c>
      <c r="BC423" t="s">
        <v>1160</v>
      </c>
      <c r="BN423" t="s">
        <v>113</v>
      </c>
      <c r="BO423" t="s">
        <v>795</v>
      </c>
      <c r="BP423" t="s">
        <v>370</v>
      </c>
      <c r="BR423" t="s">
        <v>319</v>
      </c>
      <c r="BW423" t="s">
        <v>1157</v>
      </c>
      <c r="BX423" t="s">
        <v>1158</v>
      </c>
      <c r="BY423" t="s">
        <v>123</v>
      </c>
      <c r="BZ423" t="s">
        <v>124</v>
      </c>
    </row>
    <row r="424" spans="1:78" x14ac:dyDescent="0.3">
      <c r="A424" t="s">
        <v>11</v>
      </c>
      <c r="B424" t="s">
        <v>92</v>
      </c>
      <c r="C424" t="s">
        <v>93</v>
      </c>
      <c r="D424" t="s">
        <v>94</v>
      </c>
      <c r="E424" t="s">
        <v>95</v>
      </c>
      <c r="F424" t="s">
        <v>503</v>
      </c>
      <c r="G424">
        <v>518500</v>
      </c>
      <c r="H424">
        <v>470000</v>
      </c>
      <c r="I424" t="s">
        <v>93</v>
      </c>
      <c r="J424" t="s">
        <v>94</v>
      </c>
      <c r="K424" t="s">
        <v>202</v>
      </c>
      <c r="L424" t="s">
        <v>788</v>
      </c>
      <c r="M424">
        <v>54500</v>
      </c>
      <c r="N424">
        <v>54500</v>
      </c>
      <c r="AA424" t="s">
        <v>789</v>
      </c>
      <c r="AB424" t="s">
        <v>790</v>
      </c>
      <c r="AC424" t="s">
        <v>791</v>
      </c>
      <c r="AD424" t="s">
        <v>365</v>
      </c>
      <c r="AE424" t="s">
        <v>792</v>
      </c>
      <c r="AF424" t="s">
        <v>793</v>
      </c>
      <c r="AG424" t="s">
        <v>102</v>
      </c>
      <c r="AH424" t="s">
        <v>393</v>
      </c>
      <c r="AI424">
        <v>46264</v>
      </c>
      <c r="AK424" t="s">
        <v>218</v>
      </c>
      <c r="AL424" t="s">
        <v>146</v>
      </c>
      <c r="AM424" t="s">
        <v>1581</v>
      </c>
      <c r="AN424" t="s">
        <v>107</v>
      </c>
      <c r="AO424" t="s">
        <v>107</v>
      </c>
      <c r="AP424">
        <v>36269.230000000003</v>
      </c>
      <c r="AQ424">
        <v>0</v>
      </c>
      <c r="AR424">
        <v>36269.230000000003</v>
      </c>
      <c r="AT424" t="s">
        <v>108</v>
      </c>
      <c r="AZ424" t="s">
        <v>113</v>
      </c>
      <c r="BC424" t="s">
        <v>1160</v>
      </c>
      <c r="BN424" t="s">
        <v>113</v>
      </c>
      <c r="BO424" t="s">
        <v>795</v>
      </c>
      <c r="BP424" t="s">
        <v>370</v>
      </c>
      <c r="BR424" t="s">
        <v>319</v>
      </c>
      <c r="BW424" t="s">
        <v>1157</v>
      </c>
      <c r="BX424" t="s">
        <v>1158</v>
      </c>
      <c r="BY424" t="s">
        <v>123</v>
      </c>
      <c r="BZ424" t="s">
        <v>124</v>
      </c>
    </row>
    <row r="425" spans="1:78" x14ac:dyDescent="0.3">
      <c r="A425" t="s">
        <v>11</v>
      </c>
      <c r="B425" t="s">
        <v>92</v>
      </c>
      <c r="C425" t="s">
        <v>93</v>
      </c>
      <c r="D425" t="s">
        <v>94</v>
      </c>
      <c r="E425" t="s">
        <v>95</v>
      </c>
      <c r="F425" t="s">
        <v>503</v>
      </c>
      <c r="G425">
        <v>518500</v>
      </c>
      <c r="H425">
        <v>470000</v>
      </c>
      <c r="I425" t="s">
        <v>93</v>
      </c>
      <c r="J425" t="s">
        <v>94</v>
      </c>
      <c r="K425" t="s">
        <v>202</v>
      </c>
      <c r="L425" t="s">
        <v>788</v>
      </c>
      <c r="M425">
        <v>54500</v>
      </c>
      <c r="N425">
        <v>54500</v>
      </c>
      <c r="AA425" t="s">
        <v>789</v>
      </c>
      <c r="AB425" t="s">
        <v>790</v>
      </c>
      <c r="AC425" t="s">
        <v>791</v>
      </c>
      <c r="AD425" t="s">
        <v>365</v>
      </c>
      <c r="AE425" t="s">
        <v>792</v>
      </c>
      <c r="AF425" t="s">
        <v>793</v>
      </c>
      <c r="AG425" t="s">
        <v>102</v>
      </c>
      <c r="AH425" t="s">
        <v>393</v>
      </c>
      <c r="AI425">
        <v>46295</v>
      </c>
      <c r="AK425" t="s">
        <v>218</v>
      </c>
      <c r="AL425" t="s">
        <v>152</v>
      </c>
      <c r="AM425" t="s">
        <v>1581</v>
      </c>
      <c r="AN425" t="s">
        <v>107</v>
      </c>
      <c r="AO425" t="s">
        <v>107</v>
      </c>
      <c r="AP425">
        <v>36269.230000000003</v>
      </c>
      <c r="AQ425">
        <v>0</v>
      </c>
      <c r="AR425">
        <v>36269.230000000003</v>
      </c>
      <c r="AT425" t="s">
        <v>108</v>
      </c>
      <c r="AZ425" t="s">
        <v>113</v>
      </c>
      <c r="BC425" t="s">
        <v>1160</v>
      </c>
      <c r="BN425" t="s">
        <v>113</v>
      </c>
      <c r="BO425" t="s">
        <v>795</v>
      </c>
      <c r="BP425" t="s">
        <v>370</v>
      </c>
      <c r="BR425" t="s">
        <v>319</v>
      </c>
      <c r="BW425" t="s">
        <v>1157</v>
      </c>
      <c r="BX425" t="s">
        <v>1158</v>
      </c>
      <c r="BY425" t="s">
        <v>123</v>
      </c>
      <c r="BZ425" t="s">
        <v>124</v>
      </c>
    </row>
    <row r="426" spans="1:78" x14ac:dyDescent="0.3">
      <c r="A426" t="s">
        <v>11</v>
      </c>
      <c r="B426" t="s">
        <v>92</v>
      </c>
      <c r="C426" t="s">
        <v>93</v>
      </c>
      <c r="D426" t="s">
        <v>94</v>
      </c>
      <c r="E426" t="s">
        <v>95</v>
      </c>
      <c r="F426" t="s">
        <v>503</v>
      </c>
      <c r="G426">
        <v>518500</v>
      </c>
      <c r="H426">
        <v>470000</v>
      </c>
      <c r="I426" t="s">
        <v>93</v>
      </c>
      <c r="J426" t="s">
        <v>94</v>
      </c>
      <c r="K426" t="s">
        <v>202</v>
      </c>
      <c r="L426" t="s">
        <v>788</v>
      </c>
      <c r="M426">
        <v>54500</v>
      </c>
      <c r="N426">
        <v>54500</v>
      </c>
      <c r="AA426" t="s">
        <v>789</v>
      </c>
      <c r="AB426" t="s">
        <v>790</v>
      </c>
      <c r="AC426" t="s">
        <v>791</v>
      </c>
      <c r="AD426" t="s">
        <v>365</v>
      </c>
      <c r="AE426" t="s">
        <v>792</v>
      </c>
      <c r="AF426" t="s">
        <v>793</v>
      </c>
      <c r="AG426" t="s">
        <v>102</v>
      </c>
      <c r="AH426" t="s">
        <v>393</v>
      </c>
      <c r="AI426">
        <v>46325</v>
      </c>
      <c r="AK426" t="s">
        <v>218</v>
      </c>
      <c r="AL426" t="s">
        <v>584</v>
      </c>
      <c r="AM426" t="s">
        <v>1581</v>
      </c>
      <c r="AN426" t="s">
        <v>107</v>
      </c>
      <c r="AO426" t="s">
        <v>107</v>
      </c>
      <c r="AP426">
        <v>36269.230000000003</v>
      </c>
      <c r="AQ426">
        <v>0</v>
      </c>
      <c r="AR426">
        <v>36269.230000000003</v>
      </c>
      <c r="AT426" t="s">
        <v>108</v>
      </c>
      <c r="AZ426" t="s">
        <v>113</v>
      </c>
      <c r="BC426" t="s">
        <v>1160</v>
      </c>
      <c r="BN426" t="s">
        <v>113</v>
      </c>
      <c r="BO426" t="s">
        <v>795</v>
      </c>
      <c r="BP426" t="s">
        <v>370</v>
      </c>
      <c r="BR426" t="s">
        <v>319</v>
      </c>
      <c r="BW426" t="s">
        <v>1157</v>
      </c>
      <c r="BX426" t="s">
        <v>1158</v>
      </c>
      <c r="BY426" t="s">
        <v>123</v>
      </c>
      <c r="BZ426" t="s">
        <v>124</v>
      </c>
    </row>
    <row r="427" spans="1:78" x14ac:dyDescent="0.3">
      <c r="A427" t="s">
        <v>11</v>
      </c>
      <c r="B427" t="s">
        <v>92</v>
      </c>
      <c r="C427" t="s">
        <v>93</v>
      </c>
      <c r="D427" t="s">
        <v>94</v>
      </c>
      <c r="E427" t="s">
        <v>95</v>
      </c>
      <c r="F427" t="s">
        <v>503</v>
      </c>
      <c r="G427">
        <v>518500</v>
      </c>
      <c r="H427">
        <v>470000</v>
      </c>
      <c r="I427" t="s">
        <v>93</v>
      </c>
      <c r="J427" t="s">
        <v>94</v>
      </c>
      <c r="K427" t="s">
        <v>202</v>
      </c>
      <c r="L427" t="s">
        <v>788</v>
      </c>
      <c r="M427">
        <v>54500</v>
      </c>
      <c r="N427">
        <v>54500</v>
      </c>
      <c r="AA427" t="s">
        <v>789</v>
      </c>
      <c r="AB427" t="s">
        <v>790</v>
      </c>
      <c r="AC427" t="s">
        <v>791</v>
      </c>
      <c r="AD427" t="s">
        <v>365</v>
      </c>
      <c r="AE427" t="s">
        <v>792</v>
      </c>
      <c r="AF427" t="s">
        <v>793</v>
      </c>
      <c r="AG427" t="s">
        <v>102</v>
      </c>
      <c r="AH427" t="s">
        <v>393</v>
      </c>
      <c r="AI427">
        <v>46356</v>
      </c>
      <c r="AK427" t="s">
        <v>218</v>
      </c>
      <c r="AL427" t="s">
        <v>397</v>
      </c>
      <c r="AM427" t="s">
        <v>1581</v>
      </c>
      <c r="AN427" t="s">
        <v>107</v>
      </c>
      <c r="AO427" t="s">
        <v>107</v>
      </c>
      <c r="AP427">
        <v>36269.230000000003</v>
      </c>
      <c r="AQ427">
        <v>0</v>
      </c>
      <c r="AR427">
        <v>36269.230000000003</v>
      </c>
      <c r="AT427" t="s">
        <v>108</v>
      </c>
      <c r="AZ427" t="s">
        <v>113</v>
      </c>
      <c r="BC427" t="s">
        <v>1160</v>
      </c>
      <c r="BN427" t="s">
        <v>113</v>
      </c>
      <c r="BO427" t="s">
        <v>795</v>
      </c>
      <c r="BP427" t="s">
        <v>370</v>
      </c>
      <c r="BR427" t="s">
        <v>319</v>
      </c>
      <c r="BW427" t="s">
        <v>1157</v>
      </c>
      <c r="BX427" t="s">
        <v>1158</v>
      </c>
      <c r="BY427" t="s">
        <v>123</v>
      </c>
      <c r="BZ427" t="s">
        <v>124</v>
      </c>
    </row>
    <row r="428" spans="1:78" x14ac:dyDescent="0.3">
      <c r="A428" t="s">
        <v>11</v>
      </c>
      <c r="B428" t="s">
        <v>92</v>
      </c>
      <c r="C428" t="s">
        <v>93</v>
      </c>
      <c r="D428" t="s">
        <v>94</v>
      </c>
      <c r="E428" t="s">
        <v>95</v>
      </c>
      <c r="F428" t="s">
        <v>503</v>
      </c>
      <c r="G428">
        <v>518500</v>
      </c>
      <c r="H428">
        <v>470000</v>
      </c>
      <c r="I428" t="s">
        <v>93</v>
      </c>
      <c r="J428" t="s">
        <v>94</v>
      </c>
      <c r="K428" t="s">
        <v>202</v>
      </c>
      <c r="L428" t="s">
        <v>788</v>
      </c>
      <c r="M428">
        <v>54500</v>
      </c>
      <c r="N428">
        <v>54500</v>
      </c>
      <c r="AA428" t="s">
        <v>789</v>
      </c>
      <c r="AB428" t="s">
        <v>790</v>
      </c>
      <c r="AC428" t="s">
        <v>791</v>
      </c>
      <c r="AD428" t="s">
        <v>365</v>
      </c>
      <c r="AE428" t="s">
        <v>792</v>
      </c>
      <c r="AF428" t="s">
        <v>793</v>
      </c>
      <c r="AG428" t="s">
        <v>102</v>
      </c>
      <c r="AH428" t="s">
        <v>393</v>
      </c>
      <c r="AI428">
        <v>46386</v>
      </c>
      <c r="AK428" t="s">
        <v>218</v>
      </c>
      <c r="AL428" t="s">
        <v>588</v>
      </c>
      <c r="AM428" t="s">
        <v>1581</v>
      </c>
      <c r="AN428" t="s">
        <v>107</v>
      </c>
      <c r="AO428" t="s">
        <v>107</v>
      </c>
      <c r="AP428">
        <v>36269.230000000003</v>
      </c>
      <c r="AQ428">
        <v>0</v>
      </c>
      <c r="AR428">
        <v>36269.230000000003</v>
      </c>
      <c r="AT428" t="s">
        <v>108</v>
      </c>
      <c r="AZ428" t="s">
        <v>113</v>
      </c>
      <c r="BC428" t="s">
        <v>1160</v>
      </c>
      <c r="BN428" t="s">
        <v>113</v>
      </c>
      <c r="BO428" t="s">
        <v>795</v>
      </c>
      <c r="BP428" t="s">
        <v>370</v>
      </c>
      <c r="BR428" t="s">
        <v>319</v>
      </c>
      <c r="BW428" t="s">
        <v>1157</v>
      </c>
      <c r="BX428" t="s">
        <v>1158</v>
      </c>
      <c r="BY428" t="s">
        <v>123</v>
      </c>
      <c r="BZ428" t="s">
        <v>124</v>
      </c>
    </row>
    <row r="429" spans="1:78" x14ac:dyDescent="0.3">
      <c r="A429" t="s">
        <v>11</v>
      </c>
      <c r="B429" t="s">
        <v>92</v>
      </c>
      <c r="C429" t="s">
        <v>93</v>
      </c>
      <c r="D429" t="s">
        <v>94</v>
      </c>
      <c r="E429" t="s">
        <v>95</v>
      </c>
      <c r="F429" t="s">
        <v>1051</v>
      </c>
      <c r="G429">
        <v>532100</v>
      </c>
      <c r="H429">
        <v>501100</v>
      </c>
      <c r="AA429" t="s">
        <v>1582</v>
      </c>
      <c r="AB429" t="s">
        <v>1583</v>
      </c>
      <c r="AC429" t="s">
        <v>1584</v>
      </c>
      <c r="AD429" t="s">
        <v>365</v>
      </c>
      <c r="AE429" t="s">
        <v>1585</v>
      </c>
      <c r="AF429" t="s">
        <v>1586</v>
      </c>
      <c r="AG429" t="s">
        <v>102</v>
      </c>
      <c r="AH429" t="s">
        <v>175</v>
      </c>
      <c r="AI429">
        <v>46159</v>
      </c>
      <c r="AJ429">
        <v>46159</v>
      </c>
      <c r="AK429" t="s">
        <v>104</v>
      </c>
      <c r="AL429" t="s">
        <v>105</v>
      </c>
      <c r="AM429" t="s">
        <v>106</v>
      </c>
      <c r="AN429" t="s">
        <v>107</v>
      </c>
      <c r="AO429" t="s">
        <v>107</v>
      </c>
      <c r="AP429">
        <v>3000</v>
      </c>
      <c r="AQ429">
        <v>3000</v>
      </c>
      <c r="AR429">
        <v>0</v>
      </c>
      <c r="AS429" t="s">
        <v>107</v>
      </c>
      <c r="AT429" t="s">
        <v>243</v>
      </c>
      <c r="AU429" t="s">
        <v>162</v>
      </c>
      <c r="AV429" t="s">
        <v>163</v>
      </c>
      <c r="AW429" t="s">
        <v>209</v>
      </c>
      <c r="AY429" t="s">
        <v>1587</v>
      </c>
      <c r="AZ429" t="s">
        <v>116</v>
      </c>
      <c r="BB429" t="s">
        <v>114</v>
      </c>
      <c r="BC429" t="s">
        <v>115</v>
      </c>
      <c r="BN429" t="s">
        <v>113</v>
      </c>
      <c r="BO429" t="s">
        <v>1588</v>
      </c>
      <c r="BP429" t="s">
        <v>1521</v>
      </c>
      <c r="BR429" t="s">
        <v>396</v>
      </c>
      <c r="BS429" t="s">
        <v>1589</v>
      </c>
      <c r="BW429" t="s">
        <v>1157</v>
      </c>
      <c r="BX429" t="s">
        <v>1158</v>
      </c>
      <c r="BY429" t="s">
        <v>123</v>
      </c>
      <c r="BZ429" t="s">
        <v>124</v>
      </c>
    </row>
    <row r="430" spans="1:78" x14ac:dyDescent="0.3">
      <c r="A430" t="s">
        <v>11</v>
      </c>
      <c r="B430" t="s">
        <v>92</v>
      </c>
      <c r="C430" t="s">
        <v>93</v>
      </c>
      <c r="D430" t="s">
        <v>94</v>
      </c>
      <c r="E430" t="s">
        <v>95</v>
      </c>
      <c r="F430" t="s">
        <v>1051</v>
      </c>
      <c r="G430">
        <v>532100</v>
      </c>
      <c r="H430">
        <v>501100</v>
      </c>
      <c r="AA430" t="s">
        <v>1582</v>
      </c>
      <c r="AB430" t="s">
        <v>1583</v>
      </c>
      <c r="AC430" t="s">
        <v>1584</v>
      </c>
      <c r="AD430" t="s">
        <v>365</v>
      </c>
      <c r="AE430" t="s">
        <v>1585</v>
      </c>
      <c r="AF430" t="s">
        <v>1586</v>
      </c>
      <c r="AG430" t="s">
        <v>102</v>
      </c>
      <c r="AH430" t="s">
        <v>175</v>
      </c>
      <c r="AI430">
        <v>46163</v>
      </c>
      <c r="AJ430">
        <v>46164</v>
      </c>
      <c r="AK430" t="s">
        <v>137</v>
      </c>
      <c r="AL430" t="s">
        <v>105</v>
      </c>
      <c r="AM430" t="s">
        <v>1590</v>
      </c>
      <c r="AN430" t="s">
        <v>107</v>
      </c>
      <c r="AO430" t="s">
        <v>107</v>
      </c>
      <c r="AP430">
        <v>22055</v>
      </c>
      <c r="AQ430">
        <v>22055</v>
      </c>
      <c r="AR430">
        <v>0</v>
      </c>
      <c r="AS430" t="s">
        <v>107</v>
      </c>
      <c r="AT430" t="s">
        <v>243</v>
      </c>
      <c r="AU430" t="s">
        <v>162</v>
      </c>
      <c r="AV430" t="s">
        <v>163</v>
      </c>
      <c r="AW430" t="s">
        <v>111</v>
      </c>
      <c r="AY430" t="s">
        <v>1591</v>
      </c>
      <c r="AZ430" t="s">
        <v>116</v>
      </c>
      <c r="BB430" t="s">
        <v>114</v>
      </c>
      <c r="BC430" t="s">
        <v>115</v>
      </c>
      <c r="BN430" t="s">
        <v>113</v>
      </c>
      <c r="BO430" t="s">
        <v>1588</v>
      </c>
      <c r="BP430" t="s">
        <v>1521</v>
      </c>
      <c r="BR430" t="s">
        <v>396</v>
      </c>
      <c r="BS430" t="s">
        <v>1592</v>
      </c>
      <c r="BW430" t="s">
        <v>1157</v>
      </c>
      <c r="BX430" t="s">
        <v>1158</v>
      </c>
      <c r="BY430" t="s">
        <v>123</v>
      </c>
      <c r="BZ430" t="s">
        <v>124</v>
      </c>
    </row>
    <row r="431" spans="1:78" x14ac:dyDescent="0.3">
      <c r="A431" t="s">
        <v>11</v>
      </c>
      <c r="B431" t="s">
        <v>92</v>
      </c>
      <c r="C431" t="s">
        <v>93</v>
      </c>
      <c r="D431" t="s">
        <v>94</v>
      </c>
      <c r="E431" t="s">
        <v>95</v>
      </c>
      <c r="F431" t="s">
        <v>902</v>
      </c>
      <c r="G431">
        <v>510000</v>
      </c>
      <c r="H431">
        <v>476700</v>
      </c>
      <c r="I431" t="s">
        <v>93</v>
      </c>
      <c r="J431" t="s">
        <v>94</v>
      </c>
      <c r="K431" t="s">
        <v>202</v>
      </c>
      <c r="L431" t="s">
        <v>1593</v>
      </c>
      <c r="M431">
        <v>48600</v>
      </c>
      <c r="N431">
        <v>48600</v>
      </c>
      <c r="AA431" t="s">
        <v>1594</v>
      </c>
      <c r="AB431" t="s">
        <v>1595</v>
      </c>
      <c r="AC431" t="s">
        <v>1596</v>
      </c>
      <c r="AD431" t="s">
        <v>365</v>
      </c>
      <c r="AE431" t="s">
        <v>1597</v>
      </c>
      <c r="AF431" t="s">
        <v>1596</v>
      </c>
      <c r="AG431" t="s">
        <v>102</v>
      </c>
      <c r="AH431" t="s">
        <v>393</v>
      </c>
      <c r="AI431">
        <v>46095</v>
      </c>
      <c r="AJ431">
        <v>46095</v>
      </c>
      <c r="AK431" t="s">
        <v>104</v>
      </c>
      <c r="AL431" t="s">
        <v>105</v>
      </c>
      <c r="AM431" t="s">
        <v>106</v>
      </c>
      <c r="AN431" t="s">
        <v>107</v>
      </c>
      <c r="AO431" t="s">
        <v>107</v>
      </c>
      <c r="AP431">
        <v>3000</v>
      </c>
      <c r="AQ431">
        <v>3000</v>
      </c>
      <c r="AR431">
        <v>0</v>
      </c>
      <c r="AS431" t="s">
        <v>107</v>
      </c>
      <c r="AT431" t="s">
        <v>161</v>
      </c>
      <c r="AU431" t="s">
        <v>162</v>
      </c>
      <c r="AV431" t="s">
        <v>163</v>
      </c>
      <c r="AW431" t="s">
        <v>111</v>
      </c>
      <c r="AY431" t="s">
        <v>1598</v>
      </c>
      <c r="AZ431" t="s">
        <v>113</v>
      </c>
      <c r="BB431" t="s">
        <v>114</v>
      </c>
      <c r="BC431" t="s">
        <v>115</v>
      </c>
      <c r="BN431" t="s">
        <v>113</v>
      </c>
      <c r="BO431" t="s">
        <v>1599</v>
      </c>
      <c r="BP431" t="s">
        <v>370</v>
      </c>
      <c r="BR431" t="s">
        <v>1600</v>
      </c>
      <c r="BS431" t="s">
        <v>1601</v>
      </c>
      <c r="BW431" t="s">
        <v>1157</v>
      </c>
      <c r="BX431" t="s">
        <v>1158</v>
      </c>
      <c r="BY431" t="s">
        <v>123</v>
      </c>
      <c r="BZ431" t="s">
        <v>124</v>
      </c>
    </row>
    <row r="432" spans="1:78" x14ac:dyDescent="0.3">
      <c r="A432" t="s">
        <v>11</v>
      </c>
      <c r="B432" t="s">
        <v>92</v>
      </c>
      <c r="C432" t="s">
        <v>93</v>
      </c>
      <c r="D432" t="s">
        <v>94</v>
      </c>
      <c r="E432" t="s">
        <v>95</v>
      </c>
      <c r="F432" t="s">
        <v>902</v>
      </c>
      <c r="G432">
        <v>510000</v>
      </c>
      <c r="H432">
        <v>476700</v>
      </c>
      <c r="I432" t="s">
        <v>93</v>
      </c>
      <c r="J432" t="s">
        <v>94</v>
      </c>
      <c r="K432" t="s">
        <v>202</v>
      </c>
      <c r="L432" t="s">
        <v>1593</v>
      </c>
      <c r="M432">
        <v>48600</v>
      </c>
      <c r="N432">
        <v>48600</v>
      </c>
      <c r="AA432" t="s">
        <v>1594</v>
      </c>
      <c r="AB432" t="s">
        <v>1595</v>
      </c>
      <c r="AC432" t="s">
        <v>1596</v>
      </c>
      <c r="AD432" t="s">
        <v>365</v>
      </c>
      <c r="AE432" t="s">
        <v>1597</v>
      </c>
      <c r="AF432" t="s">
        <v>1596</v>
      </c>
      <c r="AG432" t="s">
        <v>102</v>
      </c>
      <c r="AH432" t="s">
        <v>393</v>
      </c>
      <c r="AI432">
        <v>46111</v>
      </c>
      <c r="AJ432">
        <v>46111</v>
      </c>
      <c r="AK432" t="s">
        <v>137</v>
      </c>
      <c r="AL432" t="s">
        <v>105</v>
      </c>
      <c r="AM432" t="s">
        <v>1602</v>
      </c>
      <c r="AN432" t="s">
        <v>107</v>
      </c>
      <c r="AO432" t="s">
        <v>107</v>
      </c>
      <c r="AP432">
        <v>154590</v>
      </c>
      <c r="AQ432">
        <v>154590</v>
      </c>
      <c r="AR432">
        <v>0</v>
      </c>
      <c r="AS432" t="s">
        <v>107</v>
      </c>
      <c r="AT432" t="s">
        <v>161</v>
      </c>
      <c r="AU432" t="s">
        <v>162</v>
      </c>
      <c r="AV432" t="s">
        <v>163</v>
      </c>
      <c r="AW432" t="s">
        <v>111</v>
      </c>
      <c r="AY432" t="s">
        <v>1603</v>
      </c>
      <c r="AZ432" t="s">
        <v>113</v>
      </c>
      <c r="BB432" t="s">
        <v>114</v>
      </c>
      <c r="BC432" t="s">
        <v>115</v>
      </c>
      <c r="BN432" t="s">
        <v>113</v>
      </c>
      <c r="BO432" t="s">
        <v>1599</v>
      </c>
      <c r="BP432" t="s">
        <v>370</v>
      </c>
      <c r="BR432" t="s">
        <v>1600</v>
      </c>
      <c r="BS432" t="s">
        <v>1604</v>
      </c>
      <c r="BW432" t="s">
        <v>1157</v>
      </c>
      <c r="BX432" t="s">
        <v>1158</v>
      </c>
      <c r="BY432" t="s">
        <v>123</v>
      </c>
      <c r="BZ432" t="s">
        <v>124</v>
      </c>
    </row>
    <row r="433" spans="1:78" x14ac:dyDescent="0.3">
      <c r="A433" t="s">
        <v>11</v>
      </c>
      <c r="B433" t="s">
        <v>92</v>
      </c>
      <c r="C433" t="s">
        <v>93</v>
      </c>
      <c r="D433" t="s">
        <v>94</v>
      </c>
      <c r="E433" t="s">
        <v>95</v>
      </c>
      <c r="F433" t="s">
        <v>902</v>
      </c>
      <c r="G433">
        <v>510000</v>
      </c>
      <c r="H433">
        <v>476700</v>
      </c>
      <c r="I433" t="s">
        <v>93</v>
      </c>
      <c r="J433" t="s">
        <v>94</v>
      </c>
      <c r="K433" t="s">
        <v>202</v>
      </c>
      <c r="L433" t="s">
        <v>1593</v>
      </c>
      <c r="M433">
        <v>48600</v>
      </c>
      <c r="N433">
        <v>48600</v>
      </c>
      <c r="AA433" t="s">
        <v>1594</v>
      </c>
      <c r="AB433" t="s">
        <v>1595</v>
      </c>
      <c r="AC433" t="s">
        <v>1596</v>
      </c>
      <c r="AD433" t="s">
        <v>365</v>
      </c>
      <c r="AE433" t="s">
        <v>1597</v>
      </c>
      <c r="AF433" t="s">
        <v>1596</v>
      </c>
      <c r="AG433" t="s">
        <v>102</v>
      </c>
      <c r="AH433" t="s">
        <v>393</v>
      </c>
      <c r="AI433">
        <v>46386</v>
      </c>
      <c r="AK433" t="s">
        <v>218</v>
      </c>
      <c r="AL433" t="s">
        <v>105</v>
      </c>
      <c r="AM433" t="s">
        <v>1605</v>
      </c>
      <c r="AN433" t="s">
        <v>107</v>
      </c>
      <c r="AO433" t="s">
        <v>107</v>
      </c>
      <c r="AP433">
        <v>105060</v>
      </c>
      <c r="AQ433">
        <v>0</v>
      </c>
      <c r="AR433">
        <v>105060</v>
      </c>
      <c r="AT433" t="s">
        <v>161</v>
      </c>
      <c r="AZ433" t="s">
        <v>113</v>
      </c>
      <c r="BC433" t="s">
        <v>1160</v>
      </c>
      <c r="BN433" t="s">
        <v>113</v>
      </c>
      <c r="BO433" t="s">
        <v>1599</v>
      </c>
      <c r="BP433" t="s">
        <v>370</v>
      </c>
      <c r="BR433" t="s">
        <v>1600</v>
      </c>
      <c r="BW433" t="s">
        <v>1157</v>
      </c>
      <c r="BX433" t="s">
        <v>1158</v>
      </c>
      <c r="BY433" t="s">
        <v>123</v>
      </c>
      <c r="BZ433" t="s">
        <v>124</v>
      </c>
    </row>
    <row r="434" spans="1:78" x14ac:dyDescent="0.3">
      <c r="A434" t="s">
        <v>12</v>
      </c>
      <c r="B434" t="s">
        <v>92</v>
      </c>
      <c r="C434" t="s">
        <v>93</v>
      </c>
      <c r="D434" t="s">
        <v>94</v>
      </c>
      <c r="E434" t="s">
        <v>95</v>
      </c>
      <c r="F434" t="s">
        <v>416</v>
      </c>
      <c r="G434">
        <v>428000</v>
      </c>
      <c r="H434">
        <v>428000</v>
      </c>
      <c r="AA434" t="s">
        <v>798</v>
      </c>
      <c r="AB434" t="s">
        <v>799</v>
      </c>
      <c r="AC434" t="s">
        <v>800</v>
      </c>
      <c r="AD434" t="s">
        <v>365</v>
      </c>
      <c r="AE434" t="s">
        <v>801</v>
      </c>
      <c r="AF434" t="s">
        <v>802</v>
      </c>
      <c r="AG434" t="s">
        <v>102</v>
      </c>
      <c r="AH434" t="s">
        <v>131</v>
      </c>
      <c r="AI434">
        <v>46049</v>
      </c>
      <c r="AJ434">
        <v>46049</v>
      </c>
      <c r="AK434" t="s">
        <v>137</v>
      </c>
      <c r="AL434" t="s">
        <v>105</v>
      </c>
      <c r="AM434" t="s">
        <v>1606</v>
      </c>
      <c r="AN434" t="s">
        <v>107</v>
      </c>
      <c r="AO434" t="s">
        <v>107</v>
      </c>
      <c r="AP434">
        <v>18680</v>
      </c>
      <c r="AQ434">
        <v>18680</v>
      </c>
      <c r="AR434">
        <v>0</v>
      </c>
      <c r="AS434" t="s">
        <v>107</v>
      </c>
      <c r="AT434" t="s">
        <v>108</v>
      </c>
      <c r="AU434" t="s">
        <v>109</v>
      </c>
      <c r="AV434" t="s">
        <v>451</v>
      </c>
      <c r="AW434" t="s">
        <v>111</v>
      </c>
      <c r="AY434" t="s">
        <v>1607</v>
      </c>
      <c r="AZ434" t="s">
        <v>113</v>
      </c>
      <c r="BB434" t="s">
        <v>114</v>
      </c>
      <c r="BC434" t="s">
        <v>115</v>
      </c>
      <c r="BN434" t="s">
        <v>113</v>
      </c>
      <c r="BO434" t="s">
        <v>804</v>
      </c>
      <c r="BP434" t="s">
        <v>370</v>
      </c>
      <c r="BR434" t="s">
        <v>805</v>
      </c>
      <c r="BS434" t="s">
        <v>1608</v>
      </c>
      <c r="BW434" t="s">
        <v>1157</v>
      </c>
      <c r="BX434" t="s">
        <v>1158</v>
      </c>
      <c r="BY434" t="s">
        <v>123</v>
      </c>
      <c r="BZ434" t="s">
        <v>124</v>
      </c>
    </row>
    <row r="435" spans="1:78" x14ac:dyDescent="0.3">
      <c r="A435" t="s">
        <v>12</v>
      </c>
      <c r="B435" t="s">
        <v>92</v>
      </c>
      <c r="C435" t="s">
        <v>93</v>
      </c>
      <c r="D435" t="s">
        <v>94</v>
      </c>
      <c r="E435" t="s">
        <v>95</v>
      </c>
      <c r="F435" t="s">
        <v>416</v>
      </c>
      <c r="G435">
        <v>428000</v>
      </c>
      <c r="H435">
        <v>428000</v>
      </c>
      <c r="AA435" t="s">
        <v>798</v>
      </c>
      <c r="AB435" t="s">
        <v>799</v>
      </c>
      <c r="AC435" t="s">
        <v>800</v>
      </c>
      <c r="AD435" t="s">
        <v>365</v>
      </c>
      <c r="AE435" t="s">
        <v>801</v>
      </c>
      <c r="AF435" t="s">
        <v>802</v>
      </c>
      <c r="AG435" t="s">
        <v>102</v>
      </c>
      <c r="AH435" t="s">
        <v>131</v>
      </c>
      <c r="AI435">
        <v>46107</v>
      </c>
      <c r="AJ435">
        <v>46107</v>
      </c>
      <c r="AK435" t="s">
        <v>137</v>
      </c>
      <c r="AL435" t="s">
        <v>142</v>
      </c>
      <c r="AM435" t="s">
        <v>1609</v>
      </c>
      <c r="AN435" t="s">
        <v>107</v>
      </c>
      <c r="AO435" t="s">
        <v>107</v>
      </c>
      <c r="AP435">
        <v>20520</v>
      </c>
      <c r="AQ435">
        <v>20520</v>
      </c>
      <c r="AR435">
        <v>0</v>
      </c>
      <c r="AS435" t="s">
        <v>107</v>
      </c>
      <c r="AT435" t="s">
        <v>108</v>
      </c>
      <c r="AU435" t="s">
        <v>109</v>
      </c>
      <c r="AV435" t="s">
        <v>451</v>
      </c>
      <c r="AW435" t="s">
        <v>111</v>
      </c>
      <c r="AY435" t="s">
        <v>1610</v>
      </c>
      <c r="AZ435" t="s">
        <v>113</v>
      </c>
      <c r="BB435" t="s">
        <v>114</v>
      </c>
      <c r="BC435" t="s">
        <v>115</v>
      </c>
      <c r="BN435" t="s">
        <v>113</v>
      </c>
      <c r="BO435" t="s">
        <v>804</v>
      </c>
      <c r="BP435" t="s">
        <v>370</v>
      </c>
      <c r="BR435" t="s">
        <v>805</v>
      </c>
      <c r="BS435" t="s">
        <v>1608</v>
      </c>
      <c r="BW435" t="s">
        <v>1157</v>
      </c>
      <c r="BX435" t="s">
        <v>1158</v>
      </c>
      <c r="BY435" t="s">
        <v>123</v>
      </c>
      <c r="BZ435" t="s">
        <v>124</v>
      </c>
    </row>
    <row r="436" spans="1:78" x14ac:dyDescent="0.3">
      <c r="A436" t="s">
        <v>12</v>
      </c>
      <c r="B436" t="s">
        <v>92</v>
      </c>
      <c r="C436" t="s">
        <v>93</v>
      </c>
      <c r="D436" t="s">
        <v>94</v>
      </c>
      <c r="E436" t="s">
        <v>95</v>
      </c>
      <c r="F436" t="s">
        <v>416</v>
      </c>
      <c r="G436">
        <v>428000</v>
      </c>
      <c r="H436">
        <v>428000</v>
      </c>
      <c r="AA436" t="s">
        <v>798</v>
      </c>
      <c r="AB436" t="s">
        <v>799</v>
      </c>
      <c r="AC436" t="s">
        <v>800</v>
      </c>
      <c r="AD436" t="s">
        <v>365</v>
      </c>
      <c r="AE436" t="s">
        <v>801</v>
      </c>
      <c r="AF436" t="s">
        <v>802</v>
      </c>
      <c r="AG436" t="s">
        <v>102</v>
      </c>
      <c r="AH436" t="s">
        <v>131</v>
      </c>
      <c r="AI436">
        <v>46232.386805555558</v>
      </c>
      <c r="AK436" t="s">
        <v>218</v>
      </c>
      <c r="AL436" t="s">
        <v>105</v>
      </c>
      <c r="AM436" t="s">
        <v>1611</v>
      </c>
      <c r="AN436" t="s">
        <v>107</v>
      </c>
      <c r="AO436" t="s">
        <v>107</v>
      </c>
      <c r="AP436">
        <v>385800</v>
      </c>
      <c r="AQ436">
        <v>0</v>
      </c>
      <c r="AR436">
        <v>385800</v>
      </c>
      <c r="AT436" t="s">
        <v>108</v>
      </c>
      <c r="AZ436" t="s">
        <v>113</v>
      </c>
      <c r="BC436" t="s">
        <v>1160</v>
      </c>
      <c r="BN436" t="s">
        <v>113</v>
      </c>
      <c r="BO436" t="s">
        <v>804</v>
      </c>
      <c r="BP436" t="s">
        <v>370</v>
      </c>
      <c r="BR436" t="s">
        <v>805</v>
      </c>
      <c r="BW436" t="s">
        <v>1157</v>
      </c>
      <c r="BX436" t="s">
        <v>1158</v>
      </c>
      <c r="BY436" t="s">
        <v>123</v>
      </c>
      <c r="BZ436" t="s">
        <v>124</v>
      </c>
    </row>
    <row r="437" spans="1:78" x14ac:dyDescent="0.3">
      <c r="A437" t="s">
        <v>12</v>
      </c>
      <c r="B437" t="s">
        <v>92</v>
      </c>
      <c r="C437" t="s">
        <v>93</v>
      </c>
      <c r="D437" t="s">
        <v>94</v>
      </c>
      <c r="E437" t="s">
        <v>202</v>
      </c>
      <c r="F437" t="s">
        <v>1612</v>
      </c>
      <c r="G437">
        <v>54000</v>
      </c>
      <c r="H437">
        <v>54000</v>
      </c>
      <c r="AA437" t="s">
        <v>1613</v>
      </c>
      <c r="AB437" t="s">
        <v>799</v>
      </c>
      <c r="AC437" t="s">
        <v>800</v>
      </c>
      <c r="AD437" t="s">
        <v>365</v>
      </c>
      <c r="AE437" t="s">
        <v>801</v>
      </c>
      <c r="AF437" t="s">
        <v>802</v>
      </c>
      <c r="AG437" t="s">
        <v>102</v>
      </c>
      <c r="AH437" t="s">
        <v>131</v>
      </c>
      <c r="AI437">
        <v>46079</v>
      </c>
      <c r="AJ437">
        <v>46079</v>
      </c>
      <c r="AK437" t="s">
        <v>104</v>
      </c>
      <c r="AL437" t="s">
        <v>105</v>
      </c>
      <c r="AM437" t="s">
        <v>106</v>
      </c>
      <c r="AN437" t="s">
        <v>107</v>
      </c>
      <c r="AO437" t="s">
        <v>107</v>
      </c>
      <c r="AP437">
        <v>3000</v>
      </c>
      <c r="AQ437">
        <v>3000</v>
      </c>
      <c r="AR437">
        <v>0</v>
      </c>
      <c r="AS437" t="s">
        <v>107</v>
      </c>
      <c r="AT437" t="s">
        <v>161</v>
      </c>
      <c r="AU437" t="s">
        <v>109</v>
      </c>
      <c r="AV437" t="s">
        <v>451</v>
      </c>
      <c r="AW437" t="s">
        <v>111</v>
      </c>
      <c r="AY437" t="s">
        <v>1614</v>
      </c>
      <c r="AZ437" t="s">
        <v>113</v>
      </c>
      <c r="BB437" t="s">
        <v>114</v>
      </c>
      <c r="BC437" t="s">
        <v>115</v>
      </c>
      <c r="BN437" t="s">
        <v>113</v>
      </c>
      <c r="BO437" t="s">
        <v>1615</v>
      </c>
      <c r="BP437" t="s">
        <v>370</v>
      </c>
      <c r="BR437" t="s">
        <v>774</v>
      </c>
      <c r="BS437" t="s">
        <v>1616</v>
      </c>
      <c r="BW437" t="s">
        <v>1157</v>
      </c>
      <c r="BX437" t="s">
        <v>1158</v>
      </c>
      <c r="BY437" t="s">
        <v>123</v>
      </c>
      <c r="BZ437" t="s">
        <v>124</v>
      </c>
    </row>
    <row r="438" spans="1:78" x14ac:dyDescent="0.3">
      <c r="A438" t="s">
        <v>12</v>
      </c>
      <c r="B438" t="s">
        <v>92</v>
      </c>
      <c r="C438" t="s">
        <v>93</v>
      </c>
      <c r="D438" t="s">
        <v>94</v>
      </c>
      <c r="E438" t="s">
        <v>202</v>
      </c>
      <c r="F438" t="s">
        <v>1612</v>
      </c>
      <c r="G438">
        <v>54000</v>
      </c>
      <c r="H438">
        <v>54000</v>
      </c>
      <c r="AA438" t="s">
        <v>1613</v>
      </c>
      <c r="AB438" t="s">
        <v>799</v>
      </c>
      <c r="AC438" t="s">
        <v>800</v>
      </c>
      <c r="AD438" t="s">
        <v>365</v>
      </c>
      <c r="AE438" t="s">
        <v>801</v>
      </c>
      <c r="AF438" t="s">
        <v>802</v>
      </c>
      <c r="AG438" t="s">
        <v>102</v>
      </c>
      <c r="AH438" t="s">
        <v>131</v>
      </c>
      <c r="AI438">
        <v>46079</v>
      </c>
      <c r="AJ438">
        <v>46079</v>
      </c>
      <c r="AK438" t="s">
        <v>137</v>
      </c>
      <c r="AL438" t="s">
        <v>105</v>
      </c>
      <c r="AM438" t="s">
        <v>410</v>
      </c>
      <c r="AN438" t="s">
        <v>107</v>
      </c>
      <c r="AO438" t="s">
        <v>107</v>
      </c>
      <c r="AP438">
        <v>7000</v>
      </c>
      <c r="AQ438">
        <v>7000</v>
      </c>
      <c r="AR438">
        <v>0</v>
      </c>
      <c r="AS438" t="s">
        <v>107</v>
      </c>
      <c r="AT438" t="s">
        <v>161</v>
      </c>
      <c r="AU438" t="s">
        <v>109</v>
      </c>
      <c r="AV438" t="s">
        <v>451</v>
      </c>
      <c r="AW438" t="s">
        <v>111</v>
      </c>
      <c r="AY438" t="s">
        <v>1617</v>
      </c>
      <c r="AZ438" t="s">
        <v>113</v>
      </c>
      <c r="BB438" t="s">
        <v>114</v>
      </c>
      <c r="BC438" t="s">
        <v>115</v>
      </c>
      <c r="BN438" t="s">
        <v>116</v>
      </c>
      <c r="BO438" t="s">
        <v>1615</v>
      </c>
      <c r="BP438" t="s">
        <v>370</v>
      </c>
      <c r="BR438" t="s">
        <v>774</v>
      </c>
      <c r="BS438" t="s">
        <v>1618</v>
      </c>
      <c r="BW438" t="s">
        <v>1157</v>
      </c>
      <c r="BX438" t="s">
        <v>1158</v>
      </c>
      <c r="BY438" t="s">
        <v>123</v>
      </c>
      <c r="BZ438" t="s">
        <v>124</v>
      </c>
    </row>
    <row r="439" spans="1:78" x14ac:dyDescent="0.3">
      <c r="A439" t="s">
        <v>12</v>
      </c>
      <c r="B439" t="s">
        <v>92</v>
      </c>
      <c r="C439" t="s">
        <v>93</v>
      </c>
      <c r="D439" t="s">
        <v>94</v>
      </c>
      <c r="E439" t="s">
        <v>202</v>
      </c>
      <c r="F439" t="s">
        <v>1612</v>
      </c>
      <c r="G439">
        <v>54000</v>
      </c>
      <c r="H439">
        <v>54000</v>
      </c>
      <c r="AA439" t="s">
        <v>1613</v>
      </c>
      <c r="AB439" t="s">
        <v>799</v>
      </c>
      <c r="AC439" t="s">
        <v>800</v>
      </c>
      <c r="AD439" t="s">
        <v>365</v>
      </c>
      <c r="AE439" t="s">
        <v>801</v>
      </c>
      <c r="AF439" t="s">
        <v>802</v>
      </c>
      <c r="AG439" t="s">
        <v>102</v>
      </c>
      <c r="AH439" t="s">
        <v>131</v>
      </c>
      <c r="AI439">
        <v>46203</v>
      </c>
      <c r="AJ439">
        <v>46197</v>
      </c>
      <c r="AK439" t="s">
        <v>218</v>
      </c>
      <c r="AL439" t="s">
        <v>105</v>
      </c>
      <c r="AM439" t="s">
        <v>1619</v>
      </c>
      <c r="AN439" t="s">
        <v>107</v>
      </c>
      <c r="AO439" t="s">
        <v>107</v>
      </c>
      <c r="AP439">
        <v>3666.67</v>
      </c>
      <c r="AQ439">
        <v>3666.67</v>
      </c>
      <c r="AR439">
        <v>0</v>
      </c>
      <c r="AS439" t="s">
        <v>107</v>
      </c>
      <c r="AT439" t="s">
        <v>161</v>
      </c>
      <c r="AU439" t="s">
        <v>109</v>
      </c>
      <c r="AV439" t="s">
        <v>451</v>
      </c>
      <c r="AW439" t="s">
        <v>111</v>
      </c>
      <c r="AY439" t="s">
        <v>1620</v>
      </c>
      <c r="AZ439" t="s">
        <v>113</v>
      </c>
      <c r="BB439" t="s">
        <v>114</v>
      </c>
      <c r="BC439" t="s">
        <v>115</v>
      </c>
      <c r="BN439" t="s">
        <v>116</v>
      </c>
      <c r="BO439" t="s">
        <v>1615</v>
      </c>
      <c r="BP439" t="s">
        <v>370</v>
      </c>
      <c r="BR439" t="s">
        <v>774</v>
      </c>
      <c r="BS439" t="s">
        <v>1621</v>
      </c>
      <c r="BW439" t="s">
        <v>1157</v>
      </c>
      <c r="BX439" t="s">
        <v>1158</v>
      </c>
      <c r="BY439" t="s">
        <v>123</v>
      </c>
      <c r="BZ439" t="s">
        <v>124</v>
      </c>
    </row>
    <row r="440" spans="1:78" x14ac:dyDescent="0.3">
      <c r="A440" t="s">
        <v>12</v>
      </c>
      <c r="B440" t="s">
        <v>92</v>
      </c>
      <c r="C440" t="s">
        <v>93</v>
      </c>
      <c r="D440" t="s">
        <v>94</v>
      </c>
      <c r="E440" t="s">
        <v>202</v>
      </c>
      <c r="F440" t="s">
        <v>1612</v>
      </c>
      <c r="G440">
        <v>54000</v>
      </c>
      <c r="H440">
        <v>54000</v>
      </c>
      <c r="AA440" t="s">
        <v>1613</v>
      </c>
      <c r="AB440" t="s">
        <v>799</v>
      </c>
      <c r="AC440" t="s">
        <v>800</v>
      </c>
      <c r="AD440" t="s">
        <v>365</v>
      </c>
      <c r="AE440" t="s">
        <v>801</v>
      </c>
      <c r="AF440" t="s">
        <v>802</v>
      </c>
      <c r="AG440" t="s">
        <v>102</v>
      </c>
      <c r="AH440" t="s">
        <v>131</v>
      </c>
      <c r="AI440">
        <v>46233</v>
      </c>
      <c r="AJ440">
        <v>46197</v>
      </c>
      <c r="AK440" t="s">
        <v>218</v>
      </c>
      <c r="AL440" t="s">
        <v>142</v>
      </c>
      <c r="AM440" t="s">
        <v>1619</v>
      </c>
      <c r="AN440" t="s">
        <v>107</v>
      </c>
      <c r="AO440" t="s">
        <v>107</v>
      </c>
      <c r="AP440">
        <v>3666.67</v>
      </c>
      <c r="AQ440">
        <v>3666.67</v>
      </c>
      <c r="AR440">
        <v>0</v>
      </c>
      <c r="AS440" t="s">
        <v>107</v>
      </c>
      <c r="AT440" t="s">
        <v>161</v>
      </c>
      <c r="AU440" t="s">
        <v>109</v>
      </c>
      <c r="AV440" t="s">
        <v>451</v>
      </c>
      <c r="AW440" t="s">
        <v>111</v>
      </c>
      <c r="AY440" t="s">
        <v>1622</v>
      </c>
      <c r="AZ440" t="s">
        <v>113</v>
      </c>
      <c r="BB440" t="s">
        <v>114</v>
      </c>
      <c r="BC440" t="s">
        <v>115</v>
      </c>
      <c r="BN440" t="s">
        <v>116</v>
      </c>
      <c r="BO440" t="s">
        <v>1615</v>
      </c>
      <c r="BP440" t="s">
        <v>370</v>
      </c>
      <c r="BR440" t="s">
        <v>774</v>
      </c>
      <c r="BS440" t="s">
        <v>1623</v>
      </c>
      <c r="BW440" t="s">
        <v>1157</v>
      </c>
      <c r="BX440" t="s">
        <v>1158</v>
      </c>
      <c r="BY440" t="s">
        <v>123</v>
      </c>
      <c r="BZ440" t="s">
        <v>124</v>
      </c>
    </row>
    <row r="441" spans="1:78" x14ac:dyDescent="0.3">
      <c r="A441" t="s">
        <v>12</v>
      </c>
      <c r="B441" t="s">
        <v>92</v>
      </c>
      <c r="C441" t="s">
        <v>93</v>
      </c>
      <c r="D441" t="s">
        <v>94</v>
      </c>
      <c r="E441" t="s">
        <v>202</v>
      </c>
      <c r="F441" t="s">
        <v>1612</v>
      </c>
      <c r="G441">
        <v>54000</v>
      </c>
      <c r="H441">
        <v>54000</v>
      </c>
      <c r="AA441" t="s">
        <v>1613</v>
      </c>
      <c r="AB441" t="s">
        <v>799</v>
      </c>
      <c r="AC441" t="s">
        <v>800</v>
      </c>
      <c r="AD441" t="s">
        <v>365</v>
      </c>
      <c r="AE441" t="s">
        <v>801</v>
      </c>
      <c r="AF441" t="s">
        <v>802</v>
      </c>
      <c r="AG441" t="s">
        <v>102</v>
      </c>
      <c r="AH441" t="s">
        <v>131</v>
      </c>
      <c r="AI441">
        <v>46264</v>
      </c>
      <c r="AK441" t="s">
        <v>218</v>
      </c>
      <c r="AL441" t="s">
        <v>146</v>
      </c>
      <c r="AM441" t="s">
        <v>1619</v>
      </c>
      <c r="AN441" t="s">
        <v>107</v>
      </c>
      <c r="AO441" t="s">
        <v>107</v>
      </c>
      <c r="AP441">
        <v>3666.67</v>
      </c>
      <c r="AQ441">
        <v>0</v>
      </c>
      <c r="AR441">
        <v>3666.67</v>
      </c>
      <c r="AT441" t="s">
        <v>161</v>
      </c>
      <c r="AZ441" t="s">
        <v>113</v>
      </c>
      <c r="BC441" t="s">
        <v>1160</v>
      </c>
      <c r="BN441" t="s">
        <v>113</v>
      </c>
      <c r="BO441" t="s">
        <v>1615</v>
      </c>
      <c r="BP441" t="s">
        <v>370</v>
      </c>
      <c r="BR441" t="s">
        <v>774</v>
      </c>
      <c r="BW441" t="s">
        <v>1157</v>
      </c>
      <c r="BX441" t="s">
        <v>1158</v>
      </c>
      <c r="BY441" t="s">
        <v>123</v>
      </c>
      <c r="BZ441" t="s">
        <v>124</v>
      </c>
    </row>
    <row r="442" spans="1:78" x14ac:dyDescent="0.3">
      <c r="A442" t="s">
        <v>12</v>
      </c>
      <c r="B442" t="s">
        <v>92</v>
      </c>
      <c r="C442" t="s">
        <v>93</v>
      </c>
      <c r="D442" t="s">
        <v>94</v>
      </c>
      <c r="E442" t="s">
        <v>202</v>
      </c>
      <c r="F442" t="s">
        <v>1612</v>
      </c>
      <c r="G442">
        <v>54000</v>
      </c>
      <c r="H442">
        <v>54000</v>
      </c>
      <c r="AA442" t="s">
        <v>1613</v>
      </c>
      <c r="AB442" t="s">
        <v>799</v>
      </c>
      <c r="AC442" t="s">
        <v>800</v>
      </c>
      <c r="AD442" t="s">
        <v>365</v>
      </c>
      <c r="AE442" t="s">
        <v>801</v>
      </c>
      <c r="AF442" t="s">
        <v>802</v>
      </c>
      <c r="AG442" t="s">
        <v>102</v>
      </c>
      <c r="AH442" t="s">
        <v>131</v>
      </c>
      <c r="AI442">
        <v>46295</v>
      </c>
      <c r="AK442" t="s">
        <v>218</v>
      </c>
      <c r="AL442" t="s">
        <v>152</v>
      </c>
      <c r="AM442" t="s">
        <v>1619</v>
      </c>
      <c r="AN442" t="s">
        <v>107</v>
      </c>
      <c r="AO442" t="s">
        <v>107</v>
      </c>
      <c r="AP442">
        <v>3666.67</v>
      </c>
      <c r="AQ442">
        <v>0</v>
      </c>
      <c r="AR442">
        <v>3666.67</v>
      </c>
      <c r="AT442" t="s">
        <v>161</v>
      </c>
      <c r="AZ442" t="s">
        <v>113</v>
      </c>
      <c r="BC442" t="s">
        <v>1160</v>
      </c>
      <c r="BN442" t="s">
        <v>113</v>
      </c>
      <c r="BO442" t="s">
        <v>1615</v>
      </c>
      <c r="BP442" t="s">
        <v>370</v>
      </c>
      <c r="BR442" t="s">
        <v>774</v>
      </c>
      <c r="BW442" t="s">
        <v>1157</v>
      </c>
      <c r="BX442" t="s">
        <v>1158</v>
      </c>
      <c r="BY442" t="s">
        <v>123</v>
      </c>
      <c r="BZ442" t="s">
        <v>124</v>
      </c>
    </row>
    <row r="443" spans="1:78" x14ac:dyDescent="0.3">
      <c r="A443" t="s">
        <v>12</v>
      </c>
      <c r="B443" t="s">
        <v>92</v>
      </c>
      <c r="C443" t="s">
        <v>93</v>
      </c>
      <c r="D443" t="s">
        <v>94</v>
      </c>
      <c r="E443" t="s">
        <v>202</v>
      </c>
      <c r="F443" t="s">
        <v>1612</v>
      </c>
      <c r="G443">
        <v>54000</v>
      </c>
      <c r="H443">
        <v>54000</v>
      </c>
      <c r="AA443" t="s">
        <v>1613</v>
      </c>
      <c r="AB443" t="s">
        <v>799</v>
      </c>
      <c r="AC443" t="s">
        <v>800</v>
      </c>
      <c r="AD443" t="s">
        <v>365</v>
      </c>
      <c r="AE443" t="s">
        <v>801</v>
      </c>
      <c r="AF443" t="s">
        <v>802</v>
      </c>
      <c r="AG443" t="s">
        <v>102</v>
      </c>
      <c r="AH443" t="s">
        <v>131</v>
      </c>
      <c r="AI443">
        <v>46325</v>
      </c>
      <c r="AK443" t="s">
        <v>218</v>
      </c>
      <c r="AL443" t="s">
        <v>584</v>
      </c>
      <c r="AM443" t="s">
        <v>1619</v>
      </c>
      <c r="AN443" t="s">
        <v>107</v>
      </c>
      <c r="AO443" t="s">
        <v>107</v>
      </c>
      <c r="AP443">
        <v>3666.67</v>
      </c>
      <c r="AQ443">
        <v>0</v>
      </c>
      <c r="AR443">
        <v>3666.67</v>
      </c>
      <c r="AT443" t="s">
        <v>161</v>
      </c>
      <c r="AZ443" t="s">
        <v>113</v>
      </c>
      <c r="BC443" t="s">
        <v>1160</v>
      </c>
      <c r="BN443" t="s">
        <v>113</v>
      </c>
      <c r="BO443" t="s">
        <v>1615</v>
      </c>
      <c r="BP443" t="s">
        <v>370</v>
      </c>
      <c r="BR443" t="s">
        <v>774</v>
      </c>
      <c r="BW443" t="s">
        <v>1157</v>
      </c>
      <c r="BX443" t="s">
        <v>1158</v>
      </c>
      <c r="BY443" t="s">
        <v>123</v>
      </c>
      <c r="BZ443" t="s">
        <v>124</v>
      </c>
    </row>
    <row r="444" spans="1:78" x14ac:dyDescent="0.3">
      <c r="A444" t="s">
        <v>12</v>
      </c>
      <c r="B444" t="s">
        <v>92</v>
      </c>
      <c r="C444" t="s">
        <v>93</v>
      </c>
      <c r="D444" t="s">
        <v>94</v>
      </c>
      <c r="E444" t="s">
        <v>202</v>
      </c>
      <c r="F444" t="s">
        <v>1612</v>
      </c>
      <c r="G444">
        <v>54000</v>
      </c>
      <c r="H444">
        <v>54000</v>
      </c>
      <c r="AA444" t="s">
        <v>1613</v>
      </c>
      <c r="AB444" t="s">
        <v>799</v>
      </c>
      <c r="AC444" t="s">
        <v>800</v>
      </c>
      <c r="AD444" t="s">
        <v>365</v>
      </c>
      <c r="AE444" t="s">
        <v>801</v>
      </c>
      <c r="AF444" t="s">
        <v>802</v>
      </c>
      <c r="AG444" t="s">
        <v>102</v>
      </c>
      <c r="AH444" t="s">
        <v>131</v>
      </c>
      <c r="AI444">
        <v>46356</v>
      </c>
      <c r="AK444" t="s">
        <v>218</v>
      </c>
      <c r="AL444" t="s">
        <v>397</v>
      </c>
      <c r="AM444" t="s">
        <v>1619</v>
      </c>
      <c r="AN444" t="s">
        <v>107</v>
      </c>
      <c r="AO444" t="s">
        <v>107</v>
      </c>
      <c r="AP444">
        <v>3666.67</v>
      </c>
      <c r="AQ444">
        <v>0</v>
      </c>
      <c r="AR444">
        <v>3666.67</v>
      </c>
      <c r="AT444" t="s">
        <v>161</v>
      </c>
      <c r="AZ444" t="s">
        <v>113</v>
      </c>
      <c r="BC444" t="s">
        <v>1160</v>
      </c>
      <c r="BN444" t="s">
        <v>113</v>
      </c>
      <c r="BO444" t="s">
        <v>1615</v>
      </c>
      <c r="BP444" t="s">
        <v>370</v>
      </c>
      <c r="BR444" t="s">
        <v>774</v>
      </c>
      <c r="BW444" t="s">
        <v>1157</v>
      </c>
      <c r="BX444" t="s">
        <v>1158</v>
      </c>
      <c r="BY444" t="s">
        <v>123</v>
      </c>
      <c r="BZ444" t="s">
        <v>124</v>
      </c>
    </row>
    <row r="445" spans="1:78" x14ac:dyDescent="0.3">
      <c r="A445" t="s">
        <v>12</v>
      </c>
      <c r="B445" t="s">
        <v>92</v>
      </c>
      <c r="C445" t="s">
        <v>93</v>
      </c>
      <c r="D445" t="s">
        <v>94</v>
      </c>
      <c r="E445" t="s">
        <v>202</v>
      </c>
      <c r="F445" t="s">
        <v>1612</v>
      </c>
      <c r="G445">
        <v>54000</v>
      </c>
      <c r="H445">
        <v>54000</v>
      </c>
      <c r="AA445" t="s">
        <v>1613</v>
      </c>
      <c r="AB445" t="s">
        <v>799</v>
      </c>
      <c r="AC445" t="s">
        <v>800</v>
      </c>
      <c r="AD445" t="s">
        <v>365</v>
      </c>
      <c r="AE445" t="s">
        <v>801</v>
      </c>
      <c r="AF445" t="s">
        <v>802</v>
      </c>
      <c r="AG445" t="s">
        <v>102</v>
      </c>
      <c r="AH445" t="s">
        <v>131</v>
      </c>
      <c r="AI445">
        <v>46386</v>
      </c>
      <c r="AK445" t="s">
        <v>218</v>
      </c>
      <c r="AL445" t="s">
        <v>588</v>
      </c>
      <c r="AM445" t="s">
        <v>1619</v>
      </c>
      <c r="AN445" t="s">
        <v>107</v>
      </c>
      <c r="AO445" t="s">
        <v>107</v>
      </c>
      <c r="AP445">
        <v>3666.67</v>
      </c>
      <c r="AQ445">
        <v>0</v>
      </c>
      <c r="AR445">
        <v>3666.67</v>
      </c>
      <c r="AT445" t="s">
        <v>161</v>
      </c>
      <c r="AZ445" t="s">
        <v>113</v>
      </c>
      <c r="BC445" t="s">
        <v>1160</v>
      </c>
      <c r="BN445" t="s">
        <v>113</v>
      </c>
      <c r="BO445" t="s">
        <v>1615</v>
      </c>
      <c r="BP445" t="s">
        <v>370</v>
      </c>
      <c r="BR445" t="s">
        <v>774</v>
      </c>
      <c r="BW445" t="s">
        <v>1157</v>
      </c>
      <c r="BX445" t="s">
        <v>1158</v>
      </c>
      <c r="BY445" t="s">
        <v>123</v>
      </c>
      <c r="BZ445" t="s">
        <v>124</v>
      </c>
    </row>
    <row r="446" spans="1:78" x14ac:dyDescent="0.3">
      <c r="A446" t="s">
        <v>2</v>
      </c>
      <c r="B446" t="s">
        <v>92</v>
      </c>
      <c r="C446" t="s">
        <v>93</v>
      </c>
      <c r="D446" t="s">
        <v>94</v>
      </c>
      <c r="E446" t="s">
        <v>95</v>
      </c>
      <c r="F446" t="s">
        <v>807</v>
      </c>
      <c r="G446">
        <v>501000</v>
      </c>
      <c r="H446">
        <v>501000</v>
      </c>
      <c r="I446" t="s">
        <v>93</v>
      </c>
      <c r="J446" t="s">
        <v>94</v>
      </c>
      <c r="K446" t="s">
        <v>202</v>
      </c>
      <c r="L446" t="s">
        <v>808</v>
      </c>
      <c r="M446">
        <v>57300</v>
      </c>
      <c r="N446">
        <v>57300</v>
      </c>
      <c r="AA446" t="s">
        <v>809</v>
      </c>
      <c r="AB446" t="s">
        <v>810</v>
      </c>
      <c r="AC446" t="s">
        <v>353</v>
      </c>
      <c r="AE446" t="s">
        <v>811</v>
      </c>
      <c r="AF446" t="s">
        <v>812</v>
      </c>
      <c r="AG446" t="s">
        <v>102</v>
      </c>
      <c r="AH446" t="s">
        <v>813</v>
      </c>
      <c r="AI446">
        <v>46241.686111111107</v>
      </c>
      <c r="AJ446">
        <v>45709</v>
      </c>
      <c r="AK446" t="s">
        <v>137</v>
      </c>
      <c r="AL446" t="s">
        <v>105</v>
      </c>
      <c r="AM446" t="s">
        <v>1624</v>
      </c>
      <c r="AN446" t="s">
        <v>107</v>
      </c>
      <c r="AO446" t="s">
        <v>107</v>
      </c>
      <c r="AP446">
        <v>52830</v>
      </c>
      <c r="AQ446">
        <v>52830</v>
      </c>
      <c r="AR446">
        <v>0</v>
      </c>
      <c r="AS446" t="s">
        <v>107</v>
      </c>
      <c r="AT446" t="s">
        <v>108</v>
      </c>
      <c r="AU446" t="s">
        <v>109</v>
      </c>
      <c r="AV446" t="s">
        <v>110</v>
      </c>
      <c r="AW446" t="s">
        <v>111</v>
      </c>
      <c r="AY446" t="s">
        <v>1625</v>
      </c>
      <c r="AZ446" t="s">
        <v>113</v>
      </c>
      <c r="BB446" t="s">
        <v>114</v>
      </c>
      <c r="BC446" t="s">
        <v>115</v>
      </c>
      <c r="BN446" t="s">
        <v>116</v>
      </c>
      <c r="BO446" t="s">
        <v>815</v>
      </c>
      <c r="BP446" t="s">
        <v>166</v>
      </c>
      <c r="BR446" t="s">
        <v>805</v>
      </c>
      <c r="BS446" t="s">
        <v>1626</v>
      </c>
      <c r="BW446" t="s">
        <v>1157</v>
      </c>
      <c r="BX446" t="s">
        <v>1158</v>
      </c>
      <c r="BY446" t="s">
        <v>123</v>
      </c>
      <c r="BZ446" t="s">
        <v>124</v>
      </c>
    </row>
    <row r="447" spans="1:78" x14ac:dyDescent="0.3">
      <c r="A447" t="s">
        <v>2</v>
      </c>
      <c r="B447" t="s">
        <v>92</v>
      </c>
      <c r="C447" t="s">
        <v>93</v>
      </c>
      <c r="D447" t="s">
        <v>94</v>
      </c>
      <c r="E447" t="s">
        <v>95</v>
      </c>
      <c r="F447" t="s">
        <v>807</v>
      </c>
      <c r="G447">
        <v>501000</v>
      </c>
      <c r="H447">
        <v>501000</v>
      </c>
      <c r="I447" t="s">
        <v>93</v>
      </c>
      <c r="J447" t="s">
        <v>94</v>
      </c>
      <c r="K447" t="s">
        <v>202</v>
      </c>
      <c r="L447" t="s">
        <v>808</v>
      </c>
      <c r="M447">
        <v>57300</v>
      </c>
      <c r="N447">
        <v>57300</v>
      </c>
      <c r="AA447" t="s">
        <v>809</v>
      </c>
      <c r="AB447" t="s">
        <v>810</v>
      </c>
      <c r="AC447" t="s">
        <v>353</v>
      </c>
      <c r="AE447" t="s">
        <v>811</v>
      </c>
      <c r="AF447" t="s">
        <v>812</v>
      </c>
      <c r="AG447" t="s">
        <v>102</v>
      </c>
      <c r="AH447" t="s">
        <v>813</v>
      </c>
      <c r="AI447">
        <v>46272.686111111107</v>
      </c>
      <c r="AJ447">
        <v>45747</v>
      </c>
      <c r="AK447" t="s">
        <v>218</v>
      </c>
      <c r="AL447" t="s">
        <v>105</v>
      </c>
      <c r="AM447" t="s">
        <v>1627</v>
      </c>
      <c r="AN447" t="s">
        <v>107</v>
      </c>
      <c r="AO447" t="s">
        <v>107</v>
      </c>
      <c r="AP447">
        <v>502470</v>
      </c>
      <c r="AQ447">
        <v>502470</v>
      </c>
      <c r="AR447">
        <v>0</v>
      </c>
      <c r="AS447" t="s">
        <v>107</v>
      </c>
      <c r="AT447" t="s">
        <v>108</v>
      </c>
      <c r="AU447" t="s">
        <v>109</v>
      </c>
      <c r="AV447" t="s">
        <v>110</v>
      </c>
      <c r="AW447" t="s">
        <v>111</v>
      </c>
      <c r="AY447" t="s">
        <v>1196</v>
      </c>
      <c r="AZ447" t="s">
        <v>113</v>
      </c>
      <c r="BB447" t="s">
        <v>114</v>
      </c>
      <c r="BC447" t="s">
        <v>115</v>
      </c>
      <c r="BN447" t="s">
        <v>116</v>
      </c>
      <c r="BO447" t="s">
        <v>815</v>
      </c>
      <c r="BP447" t="s">
        <v>166</v>
      </c>
      <c r="BR447" t="s">
        <v>805</v>
      </c>
      <c r="BS447" t="s">
        <v>1626</v>
      </c>
      <c r="BW447" t="s">
        <v>1157</v>
      </c>
      <c r="BX447" t="s">
        <v>1158</v>
      </c>
      <c r="BY447" t="s">
        <v>123</v>
      </c>
      <c r="BZ447" t="s">
        <v>124</v>
      </c>
    </row>
    <row r="448" spans="1:78" x14ac:dyDescent="0.3">
      <c r="A448" t="s">
        <v>11</v>
      </c>
      <c r="B448" t="s">
        <v>92</v>
      </c>
      <c r="C448" t="s">
        <v>93</v>
      </c>
      <c r="D448" t="s">
        <v>94</v>
      </c>
      <c r="E448" t="s">
        <v>95</v>
      </c>
      <c r="F448" t="s">
        <v>673</v>
      </c>
      <c r="G448">
        <v>498000</v>
      </c>
      <c r="H448">
        <v>460000</v>
      </c>
      <c r="I448" t="s">
        <v>93</v>
      </c>
      <c r="J448" t="s">
        <v>94</v>
      </c>
      <c r="K448" t="s">
        <v>202</v>
      </c>
      <c r="L448" t="s">
        <v>819</v>
      </c>
      <c r="M448">
        <v>51300</v>
      </c>
      <c r="N448">
        <v>51300</v>
      </c>
      <c r="AA448" t="s">
        <v>820</v>
      </c>
      <c r="AB448" t="s">
        <v>821</v>
      </c>
      <c r="AC448" t="s">
        <v>822</v>
      </c>
      <c r="AD448" t="s">
        <v>365</v>
      </c>
      <c r="AE448" t="s">
        <v>823</v>
      </c>
      <c r="AF448" t="s">
        <v>824</v>
      </c>
      <c r="AG448" t="s">
        <v>102</v>
      </c>
      <c r="AH448" t="s">
        <v>160</v>
      </c>
      <c r="AI448">
        <v>46052</v>
      </c>
      <c r="AK448" t="s">
        <v>1122</v>
      </c>
      <c r="AL448" t="s">
        <v>146</v>
      </c>
      <c r="AM448" t="s">
        <v>1628</v>
      </c>
      <c r="AN448" t="s">
        <v>107</v>
      </c>
      <c r="AO448" t="s">
        <v>107</v>
      </c>
      <c r="AP448">
        <v>23000</v>
      </c>
      <c r="AQ448">
        <v>0</v>
      </c>
      <c r="AR448">
        <v>23000</v>
      </c>
      <c r="AT448" t="s">
        <v>243</v>
      </c>
      <c r="AZ448" t="s">
        <v>113</v>
      </c>
      <c r="BC448" t="s">
        <v>543</v>
      </c>
      <c r="BN448" t="s">
        <v>113</v>
      </c>
      <c r="BO448" t="s">
        <v>826</v>
      </c>
      <c r="BP448" t="s">
        <v>370</v>
      </c>
      <c r="BR448" t="s">
        <v>827</v>
      </c>
      <c r="BW448" t="s">
        <v>1157</v>
      </c>
      <c r="BX448" t="s">
        <v>1158</v>
      </c>
      <c r="BY448" t="s">
        <v>123</v>
      </c>
      <c r="BZ448" t="s">
        <v>124</v>
      </c>
    </row>
    <row r="449" spans="1:78" x14ac:dyDescent="0.3">
      <c r="A449" t="s">
        <v>11</v>
      </c>
      <c r="B449" t="s">
        <v>92</v>
      </c>
      <c r="C449" t="s">
        <v>93</v>
      </c>
      <c r="D449" t="s">
        <v>94</v>
      </c>
      <c r="E449" t="s">
        <v>95</v>
      </c>
      <c r="F449" t="s">
        <v>673</v>
      </c>
      <c r="G449">
        <v>498000</v>
      </c>
      <c r="H449">
        <v>460000</v>
      </c>
      <c r="I449" t="s">
        <v>93</v>
      </c>
      <c r="J449" t="s">
        <v>94</v>
      </c>
      <c r="K449" t="s">
        <v>202</v>
      </c>
      <c r="L449" t="s">
        <v>819</v>
      </c>
      <c r="M449">
        <v>51300</v>
      </c>
      <c r="N449">
        <v>51300</v>
      </c>
      <c r="AA449" t="s">
        <v>820</v>
      </c>
      <c r="AB449" t="s">
        <v>821</v>
      </c>
      <c r="AC449" t="s">
        <v>822</v>
      </c>
      <c r="AD449" t="s">
        <v>365</v>
      </c>
      <c r="AE449" t="s">
        <v>823</v>
      </c>
      <c r="AF449" t="s">
        <v>824</v>
      </c>
      <c r="AG449" t="s">
        <v>102</v>
      </c>
      <c r="AH449" t="s">
        <v>160</v>
      </c>
      <c r="AI449">
        <v>46111</v>
      </c>
      <c r="AK449" t="s">
        <v>218</v>
      </c>
      <c r="AL449" t="s">
        <v>105</v>
      </c>
      <c r="AM449" t="s">
        <v>1629</v>
      </c>
      <c r="AN449" t="s">
        <v>107</v>
      </c>
      <c r="AO449" t="s">
        <v>107</v>
      </c>
      <c r="AP449">
        <v>33235.71</v>
      </c>
      <c r="AQ449">
        <v>0</v>
      </c>
      <c r="AR449">
        <v>33235.71</v>
      </c>
      <c r="AT449" t="s">
        <v>243</v>
      </c>
      <c r="AZ449" t="s">
        <v>113</v>
      </c>
      <c r="BC449" t="s">
        <v>543</v>
      </c>
      <c r="BN449" t="s">
        <v>113</v>
      </c>
      <c r="BO449" t="s">
        <v>826</v>
      </c>
      <c r="BP449" t="s">
        <v>370</v>
      </c>
      <c r="BR449" t="s">
        <v>827</v>
      </c>
      <c r="BW449" t="s">
        <v>1157</v>
      </c>
      <c r="BX449" t="s">
        <v>1158</v>
      </c>
      <c r="BY449" t="s">
        <v>123</v>
      </c>
      <c r="BZ449" t="s">
        <v>124</v>
      </c>
    </row>
    <row r="450" spans="1:78" x14ac:dyDescent="0.3">
      <c r="A450" t="s">
        <v>11</v>
      </c>
      <c r="B450" t="s">
        <v>92</v>
      </c>
      <c r="C450" t="s">
        <v>93</v>
      </c>
      <c r="D450" t="s">
        <v>94</v>
      </c>
      <c r="E450" t="s">
        <v>95</v>
      </c>
      <c r="F450" t="s">
        <v>673</v>
      </c>
      <c r="G450">
        <v>498000</v>
      </c>
      <c r="H450">
        <v>460000</v>
      </c>
      <c r="I450" t="s">
        <v>93</v>
      </c>
      <c r="J450" t="s">
        <v>94</v>
      </c>
      <c r="K450" t="s">
        <v>202</v>
      </c>
      <c r="L450" t="s">
        <v>819</v>
      </c>
      <c r="M450">
        <v>51300</v>
      </c>
      <c r="N450">
        <v>51300</v>
      </c>
      <c r="AA450" t="s">
        <v>820</v>
      </c>
      <c r="AB450" t="s">
        <v>821</v>
      </c>
      <c r="AC450" t="s">
        <v>822</v>
      </c>
      <c r="AD450" t="s">
        <v>365</v>
      </c>
      <c r="AE450" t="s">
        <v>823</v>
      </c>
      <c r="AF450" t="s">
        <v>824</v>
      </c>
      <c r="AG450" t="s">
        <v>102</v>
      </c>
      <c r="AH450" t="s">
        <v>160</v>
      </c>
      <c r="AI450">
        <v>46139</v>
      </c>
      <c r="AK450" t="s">
        <v>218</v>
      </c>
      <c r="AL450" t="s">
        <v>142</v>
      </c>
      <c r="AM450" t="s">
        <v>1629</v>
      </c>
      <c r="AN450" t="s">
        <v>107</v>
      </c>
      <c r="AO450" t="s">
        <v>107</v>
      </c>
      <c r="AP450">
        <v>33235.71</v>
      </c>
      <c r="AQ450">
        <v>0</v>
      </c>
      <c r="AR450">
        <v>33235.71</v>
      </c>
      <c r="AT450" t="s">
        <v>243</v>
      </c>
      <c r="AZ450" t="s">
        <v>113</v>
      </c>
      <c r="BC450" t="s">
        <v>543</v>
      </c>
      <c r="BN450" t="s">
        <v>113</v>
      </c>
      <c r="BO450" t="s">
        <v>826</v>
      </c>
      <c r="BP450" t="s">
        <v>370</v>
      </c>
      <c r="BR450" t="s">
        <v>827</v>
      </c>
      <c r="BW450" t="s">
        <v>1157</v>
      </c>
      <c r="BX450" t="s">
        <v>1158</v>
      </c>
      <c r="BY450" t="s">
        <v>123</v>
      </c>
      <c r="BZ450" t="s">
        <v>124</v>
      </c>
    </row>
    <row r="451" spans="1:78" x14ac:dyDescent="0.3">
      <c r="A451" t="s">
        <v>11</v>
      </c>
      <c r="B451" t="s">
        <v>92</v>
      </c>
      <c r="C451" t="s">
        <v>93</v>
      </c>
      <c r="D451" t="s">
        <v>94</v>
      </c>
      <c r="E451" t="s">
        <v>95</v>
      </c>
      <c r="F451" t="s">
        <v>673</v>
      </c>
      <c r="G451">
        <v>498000</v>
      </c>
      <c r="H451">
        <v>460000</v>
      </c>
      <c r="I451" t="s">
        <v>93</v>
      </c>
      <c r="J451" t="s">
        <v>94</v>
      </c>
      <c r="K451" t="s">
        <v>202</v>
      </c>
      <c r="L451" t="s">
        <v>819</v>
      </c>
      <c r="M451">
        <v>51300</v>
      </c>
      <c r="N451">
        <v>51300</v>
      </c>
      <c r="AA451" t="s">
        <v>820</v>
      </c>
      <c r="AB451" t="s">
        <v>821</v>
      </c>
      <c r="AC451" t="s">
        <v>822</v>
      </c>
      <c r="AD451" t="s">
        <v>365</v>
      </c>
      <c r="AE451" t="s">
        <v>823</v>
      </c>
      <c r="AF451" t="s">
        <v>824</v>
      </c>
      <c r="AG451" t="s">
        <v>102</v>
      </c>
      <c r="AH451" t="s">
        <v>160</v>
      </c>
      <c r="AI451">
        <v>46234</v>
      </c>
      <c r="AK451" t="s">
        <v>218</v>
      </c>
      <c r="AL451" t="s">
        <v>146</v>
      </c>
      <c r="AM451" t="s">
        <v>1629</v>
      </c>
      <c r="AN451" t="s">
        <v>107</v>
      </c>
      <c r="AO451" t="s">
        <v>107</v>
      </c>
      <c r="AP451">
        <v>33235.71</v>
      </c>
      <c r="AQ451">
        <v>0</v>
      </c>
      <c r="AR451">
        <v>33235.71</v>
      </c>
      <c r="AT451" t="s">
        <v>243</v>
      </c>
      <c r="AZ451" t="s">
        <v>113</v>
      </c>
      <c r="BC451" t="s">
        <v>1160</v>
      </c>
      <c r="BN451" t="s">
        <v>113</v>
      </c>
      <c r="BO451" t="s">
        <v>826</v>
      </c>
      <c r="BP451" t="s">
        <v>370</v>
      </c>
      <c r="BR451" t="s">
        <v>827</v>
      </c>
      <c r="BW451" t="s">
        <v>1157</v>
      </c>
      <c r="BX451" t="s">
        <v>1158</v>
      </c>
      <c r="BY451" t="s">
        <v>123</v>
      </c>
      <c r="BZ451" t="s">
        <v>124</v>
      </c>
    </row>
    <row r="452" spans="1:78" x14ac:dyDescent="0.3">
      <c r="A452" t="s">
        <v>11</v>
      </c>
      <c r="B452" t="s">
        <v>92</v>
      </c>
      <c r="C452" t="s">
        <v>93</v>
      </c>
      <c r="D452" t="s">
        <v>94</v>
      </c>
      <c r="E452" t="s">
        <v>95</v>
      </c>
      <c r="F452" t="s">
        <v>673</v>
      </c>
      <c r="G452">
        <v>498000</v>
      </c>
      <c r="H452">
        <v>460000</v>
      </c>
      <c r="I452" t="s">
        <v>93</v>
      </c>
      <c r="J452" t="s">
        <v>94</v>
      </c>
      <c r="K452" t="s">
        <v>202</v>
      </c>
      <c r="L452" t="s">
        <v>819</v>
      </c>
      <c r="M452">
        <v>51300</v>
      </c>
      <c r="N452">
        <v>51300</v>
      </c>
      <c r="AA452" t="s">
        <v>820</v>
      </c>
      <c r="AB452" t="s">
        <v>821</v>
      </c>
      <c r="AC452" t="s">
        <v>822</v>
      </c>
      <c r="AD452" t="s">
        <v>365</v>
      </c>
      <c r="AE452" t="s">
        <v>823</v>
      </c>
      <c r="AF452" t="s">
        <v>824</v>
      </c>
      <c r="AG452" t="s">
        <v>102</v>
      </c>
      <c r="AH452" t="s">
        <v>160</v>
      </c>
      <c r="AI452">
        <v>46265</v>
      </c>
      <c r="AK452" t="s">
        <v>218</v>
      </c>
      <c r="AL452" t="s">
        <v>152</v>
      </c>
      <c r="AM452" t="s">
        <v>1629</v>
      </c>
      <c r="AN452" t="s">
        <v>107</v>
      </c>
      <c r="AO452" t="s">
        <v>107</v>
      </c>
      <c r="AP452">
        <v>33235.71</v>
      </c>
      <c r="AQ452">
        <v>0</v>
      </c>
      <c r="AR452">
        <v>33235.71</v>
      </c>
      <c r="AT452" t="s">
        <v>243</v>
      </c>
      <c r="AZ452" t="s">
        <v>113</v>
      </c>
      <c r="BC452" t="s">
        <v>1160</v>
      </c>
      <c r="BN452" t="s">
        <v>113</v>
      </c>
      <c r="BO452" t="s">
        <v>826</v>
      </c>
      <c r="BP452" t="s">
        <v>370</v>
      </c>
      <c r="BR452" t="s">
        <v>827</v>
      </c>
      <c r="BW452" t="s">
        <v>1157</v>
      </c>
      <c r="BX452" t="s">
        <v>1158</v>
      </c>
      <c r="BY452" t="s">
        <v>123</v>
      </c>
      <c r="BZ452" t="s">
        <v>124</v>
      </c>
    </row>
    <row r="453" spans="1:78" x14ac:dyDescent="0.3">
      <c r="A453" t="s">
        <v>11</v>
      </c>
      <c r="B453" t="s">
        <v>92</v>
      </c>
      <c r="C453" t="s">
        <v>93</v>
      </c>
      <c r="D453" t="s">
        <v>94</v>
      </c>
      <c r="E453" t="s">
        <v>95</v>
      </c>
      <c r="F453" t="s">
        <v>673</v>
      </c>
      <c r="G453">
        <v>498000</v>
      </c>
      <c r="H453">
        <v>460000</v>
      </c>
      <c r="I453" t="s">
        <v>93</v>
      </c>
      <c r="J453" t="s">
        <v>94</v>
      </c>
      <c r="K453" t="s">
        <v>202</v>
      </c>
      <c r="L453" t="s">
        <v>819</v>
      </c>
      <c r="M453">
        <v>51300</v>
      </c>
      <c r="N453">
        <v>51300</v>
      </c>
      <c r="AA453" t="s">
        <v>820</v>
      </c>
      <c r="AB453" t="s">
        <v>821</v>
      </c>
      <c r="AC453" t="s">
        <v>822</v>
      </c>
      <c r="AD453" t="s">
        <v>365</v>
      </c>
      <c r="AE453" t="s">
        <v>823</v>
      </c>
      <c r="AF453" t="s">
        <v>824</v>
      </c>
      <c r="AG453" t="s">
        <v>102</v>
      </c>
      <c r="AH453" t="s">
        <v>160</v>
      </c>
      <c r="AI453">
        <v>46295</v>
      </c>
      <c r="AK453" t="s">
        <v>218</v>
      </c>
      <c r="AL453" t="s">
        <v>584</v>
      </c>
      <c r="AM453" t="s">
        <v>1629</v>
      </c>
      <c r="AN453" t="s">
        <v>107</v>
      </c>
      <c r="AO453" t="s">
        <v>107</v>
      </c>
      <c r="AP453">
        <v>33235.71</v>
      </c>
      <c r="AQ453">
        <v>0</v>
      </c>
      <c r="AR453">
        <v>33235.71</v>
      </c>
      <c r="AT453" t="s">
        <v>243</v>
      </c>
      <c r="AZ453" t="s">
        <v>113</v>
      </c>
      <c r="BC453" t="s">
        <v>1160</v>
      </c>
      <c r="BN453" t="s">
        <v>113</v>
      </c>
      <c r="BO453" t="s">
        <v>826</v>
      </c>
      <c r="BP453" t="s">
        <v>370</v>
      </c>
      <c r="BR453" t="s">
        <v>827</v>
      </c>
      <c r="BW453" t="s">
        <v>1157</v>
      </c>
      <c r="BX453" t="s">
        <v>1158</v>
      </c>
      <c r="BY453" t="s">
        <v>123</v>
      </c>
      <c r="BZ453" t="s">
        <v>124</v>
      </c>
    </row>
    <row r="454" spans="1:78" x14ac:dyDescent="0.3">
      <c r="A454" t="s">
        <v>11</v>
      </c>
      <c r="B454" t="s">
        <v>92</v>
      </c>
      <c r="C454" t="s">
        <v>93</v>
      </c>
      <c r="D454" t="s">
        <v>94</v>
      </c>
      <c r="E454" t="s">
        <v>95</v>
      </c>
      <c r="F454" t="s">
        <v>673</v>
      </c>
      <c r="G454">
        <v>498000</v>
      </c>
      <c r="H454">
        <v>460000</v>
      </c>
      <c r="I454" t="s">
        <v>93</v>
      </c>
      <c r="J454" t="s">
        <v>94</v>
      </c>
      <c r="K454" t="s">
        <v>202</v>
      </c>
      <c r="L454" t="s">
        <v>819</v>
      </c>
      <c r="M454">
        <v>51300</v>
      </c>
      <c r="N454">
        <v>51300</v>
      </c>
      <c r="AA454" t="s">
        <v>820</v>
      </c>
      <c r="AB454" t="s">
        <v>821</v>
      </c>
      <c r="AC454" t="s">
        <v>822</v>
      </c>
      <c r="AD454" t="s">
        <v>365</v>
      </c>
      <c r="AE454" t="s">
        <v>823</v>
      </c>
      <c r="AF454" t="s">
        <v>824</v>
      </c>
      <c r="AG454" t="s">
        <v>102</v>
      </c>
      <c r="AH454" t="s">
        <v>160</v>
      </c>
      <c r="AI454">
        <v>46326</v>
      </c>
      <c r="AK454" t="s">
        <v>218</v>
      </c>
      <c r="AL454" t="s">
        <v>397</v>
      </c>
      <c r="AM454" t="s">
        <v>1629</v>
      </c>
      <c r="AN454" t="s">
        <v>107</v>
      </c>
      <c r="AO454" t="s">
        <v>107</v>
      </c>
      <c r="AP454">
        <v>33235.71</v>
      </c>
      <c r="AQ454">
        <v>0</v>
      </c>
      <c r="AR454">
        <v>33235.71</v>
      </c>
      <c r="AT454" t="s">
        <v>243</v>
      </c>
      <c r="AZ454" t="s">
        <v>113</v>
      </c>
      <c r="BC454" t="s">
        <v>1160</v>
      </c>
      <c r="BN454" t="s">
        <v>113</v>
      </c>
      <c r="BO454" t="s">
        <v>826</v>
      </c>
      <c r="BP454" t="s">
        <v>370</v>
      </c>
      <c r="BR454" t="s">
        <v>827</v>
      </c>
      <c r="BW454" t="s">
        <v>1157</v>
      </c>
      <c r="BX454" t="s">
        <v>1158</v>
      </c>
      <c r="BY454" t="s">
        <v>123</v>
      </c>
      <c r="BZ454" t="s">
        <v>124</v>
      </c>
    </row>
    <row r="455" spans="1:78" x14ac:dyDescent="0.3">
      <c r="A455" t="s">
        <v>11</v>
      </c>
      <c r="B455" t="s">
        <v>92</v>
      </c>
      <c r="C455" t="s">
        <v>93</v>
      </c>
      <c r="D455" t="s">
        <v>94</v>
      </c>
      <c r="E455" t="s">
        <v>95</v>
      </c>
      <c r="F455" t="s">
        <v>673</v>
      </c>
      <c r="G455">
        <v>498000</v>
      </c>
      <c r="H455">
        <v>460000</v>
      </c>
      <c r="I455" t="s">
        <v>93</v>
      </c>
      <c r="J455" t="s">
        <v>94</v>
      </c>
      <c r="K455" t="s">
        <v>202</v>
      </c>
      <c r="L455" t="s">
        <v>819</v>
      </c>
      <c r="M455">
        <v>51300</v>
      </c>
      <c r="N455">
        <v>51300</v>
      </c>
      <c r="AA455" t="s">
        <v>820</v>
      </c>
      <c r="AB455" t="s">
        <v>821</v>
      </c>
      <c r="AC455" t="s">
        <v>822</v>
      </c>
      <c r="AD455" t="s">
        <v>365</v>
      </c>
      <c r="AE455" t="s">
        <v>823</v>
      </c>
      <c r="AF455" t="s">
        <v>824</v>
      </c>
      <c r="AG455" t="s">
        <v>102</v>
      </c>
      <c r="AH455" t="s">
        <v>160</v>
      </c>
      <c r="AI455">
        <v>46356</v>
      </c>
      <c r="AK455" t="s">
        <v>218</v>
      </c>
      <c r="AL455" t="s">
        <v>588</v>
      </c>
      <c r="AM455" t="s">
        <v>1629</v>
      </c>
      <c r="AN455" t="s">
        <v>107</v>
      </c>
      <c r="AO455" t="s">
        <v>107</v>
      </c>
      <c r="AP455">
        <v>33235.71</v>
      </c>
      <c r="AQ455">
        <v>0</v>
      </c>
      <c r="AR455">
        <v>33235.71</v>
      </c>
      <c r="AT455" t="s">
        <v>243</v>
      </c>
      <c r="AZ455" t="s">
        <v>113</v>
      </c>
      <c r="BC455" t="s">
        <v>1160</v>
      </c>
      <c r="BN455" t="s">
        <v>113</v>
      </c>
      <c r="BO455" t="s">
        <v>826</v>
      </c>
      <c r="BP455" t="s">
        <v>370</v>
      </c>
      <c r="BR455" t="s">
        <v>827</v>
      </c>
      <c r="BW455" t="s">
        <v>1157</v>
      </c>
      <c r="BX455" t="s">
        <v>1158</v>
      </c>
      <c r="BY455" t="s">
        <v>123</v>
      </c>
      <c r="BZ455" t="s">
        <v>124</v>
      </c>
    </row>
    <row r="456" spans="1:78" x14ac:dyDescent="0.3">
      <c r="A456" t="s">
        <v>11</v>
      </c>
      <c r="B456" t="s">
        <v>92</v>
      </c>
      <c r="C456" t="s">
        <v>93</v>
      </c>
      <c r="D456" t="s">
        <v>94</v>
      </c>
      <c r="E456" t="s">
        <v>95</v>
      </c>
      <c r="F456" t="s">
        <v>673</v>
      </c>
      <c r="G456">
        <v>498000</v>
      </c>
      <c r="H456">
        <v>460000</v>
      </c>
      <c r="I456" t="s">
        <v>93</v>
      </c>
      <c r="J456" t="s">
        <v>94</v>
      </c>
      <c r="K456" t="s">
        <v>202</v>
      </c>
      <c r="L456" t="s">
        <v>819</v>
      </c>
      <c r="M456">
        <v>51300</v>
      </c>
      <c r="N456">
        <v>51300</v>
      </c>
      <c r="AA456" t="s">
        <v>820</v>
      </c>
      <c r="AB456" t="s">
        <v>821</v>
      </c>
      <c r="AC456" t="s">
        <v>822</v>
      </c>
      <c r="AD456" t="s">
        <v>365</v>
      </c>
      <c r="AE456" t="s">
        <v>823</v>
      </c>
      <c r="AF456" t="s">
        <v>824</v>
      </c>
      <c r="AG456" t="s">
        <v>102</v>
      </c>
      <c r="AH456" t="s">
        <v>160</v>
      </c>
      <c r="AI456">
        <v>46387</v>
      </c>
      <c r="AK456" t="s">
        <v>218</v>
      </c>
      <c r="AL456" t="s">
        <v>591</v>
      </c>
      <c r="AM456" t="s">
        <v>1629</v>
      </c>
      <c r="AN456" t="s">
        <v>107</v>
      </c>
      <c r="AO456" t="s">
        <v>107</v>
      </c>
      <c r="AP456">
        <v>33235.71</v>
      </c>
      <c r="AQ456">
        <v>0</v>
      </c>
      <c r="AR456">
        <v>33235.71</v>
      </c>
      <c r="AT456" t="s">
        <v>243</v>
      </c>
      <c r="AZ456" t="s">
        <v>113</v>
      </c>
      <c r="BC456" t="s">
        <v>1160</v>
      </c>
      <c r="BN456" t="s">
        <v>113</v>
      </c>
      <c r="BO456" t="s">
        <v>826</v>
      </c>
      <c r="BP456" t="s">
        <v>370</v>
      </c>
      <c r="BR456" t="s">
        <v>827</v>
      </c>
      <c r="BW456" t="s">
        <v>1157</v>
      </c>
      <c r="BX456" t="s">
        <v>1158</v>
      </c>
      <c r="BY456" t="s">
        <v>123</v>
      </c>
      <c r="BZ456" t="s">
        <v>124</v>
      </c>
    </row>
    <row r="457" spans="1:78" x14ac:dyDescent="0.3">
      <c r="A457" t="s">
        <v>2</v>
      </c>
      <c r="B457" t="s">
        <v>92</v>
      </c>
      <c r="C457" t="s">
        <v>93</v>
      </c>
      <c r="D457" t="s">
        <v>94</v>
      </c>
      <c r="E457" t="s">
        <v>95</v>
      </c>
      <c r="F457" t="s">
        <v>1015</v>
      </c>
      <c r="G457">
        <v>423000</v>
      </c>
      <c r="H457">
        <v>423000</v>
      </c>
      <c r="I457" t="s">
        <v>93</v>
      </c>
      <c r="J457" t="s">
        <v>94</v>
      </c>
      <c r="K457" t="s">
        <v>202</v>
      </c>
      <c r="L457" t="s">
        <v>1630</v>
      </c>
      <c r="M457">
        <v>50000</v>
      </c>
      <c r="N457">
        <v>50000</v>
      </c>
      <c r="AA457" t="s">
        <v>1631</v>
      </c>
      <c r="AB457" t="s">
        <v>1632</v>
      </c>
      <c r="AC457" t="s">
        <v>1633</v>
      </c>
      <c r="AE457" t="s">
        <v>1634</v>
      </c>
      <c r="AF457" t="s">
        <v>1635</v>
      </c>
      <c r="AG457" t="s">
        <v>941</v>
      </c>
      <c r="AH457" t="s">
        <v>942</v>
      </c>
      <c r="AI457">
        <v>46096</v>
      </c>
      <c r="AJ457">
        <v>46096</v>
      </c>
      <c r="AK457" t="s">
        <v>104</v>
      </c>
      <c r="AL457" t="s">
        <v>105</v>
      </c>
      <c r="AM457" t="s">
        <v>106</v>
      </c>
      <c r="AN457" t="s">
        <v>107</v>
      </c>
      <c r="AO457" t="s">
        <v>107</v>
      </c>
      <c r="AP457">
        <v>3000</v>
      </c>
      <c r="AQ457">
        <v>3000</v>
      </c>
      <c r="AR457">
        <v>0</v>
      </c>
      <c r="AS457" t="s">
        <v>107</v>
      </c>
      <c r="AT457" t="s">
        <v>108</v>
      </c>
      <c r="AU457" t="s">
        <v>109</v>
      </c>
      <c r="AV457" t="s">
        <v>110</v>
      </c>
      <c r="AW457" t="s">
        <v>111</v>
      </c>
      <c r="AX457" t="s">
        <v>1632</v>
      </c>
      <c r="AY457" t="s">
        <v>1636</v>
      </c>
      <c r="AZ457" t="s">
        <v>113</v>
      </c>
      <c r="BA457" t="s">
        <v>133</v>
      </c>
      <c r="BB457" t="s">
        <v>114</v>
      </c>
      <c r="BC457" t="s">
        <v>115</v>
      </c>
      <c r="BN457" t="s">
        <v>116</v>
      </c>
      <c r="BO457" t="s">
        <v>1637</v>
      </c>
      <c r="BP457" t="s">
        <v>166</v>
      </c>
      <c r="BR457" t="s">
        <v>973</v>
      </c>
      <c r="BS457" t="s">
        <v>1638</v>
      </c>
      <c r="BW457" t="s">
        <v>1157</v>
      </c>
      <c r="BX457" t="s">
        <v>1158</v>
      </c>
      <c r="BY457" t="s">
        <v>123</v>
      </c>
      <c r="BZ457" t="s">
        <v>124</v>
      </c>
    </row>
    <row r="458" spans="1:78" x14ac:dyDescent="0.3">
      <c r="A458" t="s">
        <v>2</v>
      </c>
      <c r="B458" t="s">
        <v>92</v>
      </c>
      <c r="C458" t="s">
        <v>93</v>
      </c>
      <c r="D458" t="s">
        <v>94</v>
      </c>
      <c r="E458" t="s">
        <v>95</v>
      </c>
      <c r="F458" t="s">
        <v>1015</v>
      </c>
      <c r="G458">
        <v>423000</v>
      </c>
      <c r="H458">
        <v>423000</v>
      </c>
      <c r="I458" t="s">
        <v>93</v>
      </c>
      <c r="J458" t="s">
        <v>94</v>
      </c>
      <c r="K458" t="s">
        <v>202</v>
      </c>
      <c r="L458" t="s">
        <v>1630</v>
      </c>
      <c r="M458">
        <v>50000</v>
      </c>
      <c r="N458">
        <v>50000</v>
      </c>
      <c r="AA458" t="s">
        <v>1631</v>
      </c>
      <c r="AB458" t="s">
        <v>1632</v>
      </c>
      <c r="AC458" t="s">
        <v>1633</v>
      </c>
      <c r="AE458" t="s">
        <v>1634</v>
      </c>
      <c r="AF458" t="s">
        <v>1635</v>
      </c>
      <c r="AG458" t="s">
        <v>941</v>
      </c>
      <c r="AH458" t="s">
        <v>942</v>
      </c>
      <c r="AI458">
        <v>46103</v>
      </c>
      <c r="AJ458">
        <v>46142</v>
      </c>
      <c r="AK458" t="s">
        <v>137</v>
      </c>
      <c r="AL458" t="s">
        <v>142</v>
      </c>
      <c r="AM458" t="s">
        <v>1639</v>
      </c>
      <c r="AN458" t="s">
        <v>107</v>
      </c>
      <c r="AO458" t="s">
        <v>107</v>
      </c>
      <c r="AP458">
        <v>44300</v>
      </c>
      <c r="AQ458">
        <v>44300</v>
      </c>
      <c r="AR458">
        <v>0</v>
      </c>
      <c r="AS458" t="s">
        <v>107</v>
      </c>
      <c r="AT458" t="s">
        <v>108</v>
      </c>
      <c r="AU458" t="s">
        <v>109</v>
      </c>
      <c r="AV458" t="s">
        <v>110</v>
      </c>
      <c r="AW458" t="s">
        <v>111</v>
      </c>
      <c r="AY458" t="s">
        <v>1640</v>
      </c>
      <c r="AZ458" t="s">
        <v>113</v>
      </c>
      <c r="BB458" t="s">
        <v>114</v>
      </c>
      <c r="BC458" t="s">
        <v>115</v>
      </c>
      <c r="BN458" t="s">
        <v>116</v>
      </c>
      <c r="BO458" t="s">
        <v>1637</v>
      </c>
      <c r="BP458" t="s">
        <v>166</v>
      </c>
      <c r="BR458" t="s">
        <v>973</v>
      </c>
      <c r="BS458" t="s">
        <v>1641</v>
      </c>
      <c r="BW458" t="s">
        <v>1157</v>
      </c>
      <c r="BX458" t="s">
        <v>1158</v>
      </c>
      <c r="BY458" t="s">
        <v>123</v>
      </c>
      <c r="BZ458" t="s">
        <v>124</v>
      </c>
    </row>
    <row r="459" spans="1:78" x14ac:dyDescent="0.3">
      <c r="A459" t="s">
        <v>2</v>
      </c>
      <c r="B459" t="s">
        <v>92</v>
      </c>
      <c r="C459" t="s">
        <v>93</v>
      </c>
      <c r="D459" t="s">
        <v>94</v>
      </c>
      <c r="E459" t="s">
        <v>95</v>
      </c>
      <c r="F459" t="s">
        <v>1015</v>
      </c>
      <c r="G459">
        <v>423000</v>
      </c>
      <c r="H459">
        <v>423000</v>
      </c>
      <c r="I459" t="s">
        <v>93</v>
      </c>
      <c r="J459" t="s">
        <v>94</v>
      </c>
      <c r="K459" t="s">
        <v>202</v>
      </c>
      <c r="L459" t="s">
        <v>1630</v>
      </c>
      <c r="M459">
        <v>50000</v>
      </c>
      <c r="N459">
        <v>50000</v>
      </c>
      <c r="AA459" t="s">
        <v>1631</v>
      </c>
      <c r="AB459" t="s">
        <v>1632</v>
      </c>
      <c r="AC459" t="s">
        <v>1633</v>
      </c>
      <c r="AE459" t="s">
        <v>1634</v>
      </c>
      <c r="AF459" t="s">
        <v>1635</v>
      </c>
      <c r="AG459" t="s">
        <v>941</v>
      </c>
      <c r="AH459" t="s">
        <v>942</v>
      </c>
      <c r="AI459">
        <v>46272.67291666667</v>
      </c>
      <c r="AJ459">
        <v>46211</v>
      </c>
      <c r="AK459" t="s">
        <v>218</v>
      </c>
      <c r="AL459" t="s">
        <v>142</v>
      </c>
      <c r="AM459" t="s">
        <v>1642</v>
      </c>
      <c r="AN459" t="s">
        <v>107</v>
      </c>
      <c r="AO459" t="s">
        <v>107</v>
      </c>
      <c r="AP459">
        <v>397000</v>
      </c>
      <c r="AQ459">
        <v>0</v>
      </c>
      <c r="AR459">
        <v>397000</v>
      </c>
      <c r="AS459" t="s">
        <v>107</v>
      </c>
      <c r="AT459" t="s">
        <v>108</v>
      </c>
      <c r="AU459" t="s">
        <v>109</v>
      </c>
      <c r="AV459" t="s">
        <v>110</v>
      </c>
      <c r="AW459" t="s">
        <v>111</v>
      </c>
      <c r="AY459" t="s">
        <v>1643</v>
      </c>
      <c r="AZ459" t="s">
        <v>113</v>
      </c>
      <c r="BB459" t="s">
        <v>114</v>
      </c>
      <c r="BC459" t="s">
        <v>1160</v>
      </c>
      <c r="BN459" t="s">
        <v>116</v>
      </c>
      <c r="BO459" t="s">
        <v>1637</v>
      </c>
      <c r="BP459" t="s">
        <v>166</v>
      </c>
      <c r="BR459" t="s">
        <v>973</v>
      </c>
      <c r="BS459" t="s">
        <v>1644</v>
      </c>
      <c r="BW459" t="s">
        <v>1157</v>
      </c>
      <c r="BX459" t="s">
        <v>1158</v>
      </c>
      <c r="BY459" t="s">
        <v>123</v>
      </c>
      <c r="BZ459" t="s">
        <v>124</v>
      </c>
    </row>
    <row r="460" spans="1:78" x14ac:dyDescent="0.3">
      <c r="A460" t="s">
        <v>2</v>
      </c>
      <c r="B460" t="s">
        <v>92</v>
      </c>
      <c r="C460" t="s">
        <v>93</v>
      </c>
      <c r="D460" t="s">
        <v>94</v>
      </c>
      <c r="E460" t="s">
        <v>95</v>
      </c>
      <c r="F460" t="s">
        <v>1015</v>
      </c>
      <c r="G460">
        <v>423000</v>
      </c>
      <c r="H460">
        <v>423000</v>
      </c>
      <c r="I460" t="s">
        <v>93</v>
      </c>
      <c r="J460" t="s">
        <v>94</v>
      </c>
      <c r="K460" t="s">
        <v>202</v>
      </c>
      <c r="L460" t="s">
        <v>1630</v>
      </c>
      <c r="M460">
        <v>50000</v>
      </c>
      <c r="N460">
        <v>50000</v>
      </c>
      <c r="AA460" t="s">
        <v>1631</v>
      </c>
      <c r="AB460" t="s">
        <v>1632</v>
      </c>
      <c r="AC460" t="s">
        <v>1633</v>
      </c>
      <c r="AE460" t="s">
        <v>1634</v>
      </c>
      <c r="AF460" t="s">
        <v>1635</v>
      </c>
      <c r="AG460" t="s">
        <v>941</v>
      </c>
      <c r="AH460" t="s">
        <v>942</v>
      </c>
      <c r="AI460">
        <v>46142</v>
      </c>
      <c r="AJ460">
        <v>46142</v>
      </c>
      <c r="AK460" t="s">
        <v>218</v>
      </c>
      <c r="AL460" t="s">
        <v>146</v>
      </c>
      <c r="AM460" t="s">
        <v>1645</v>
      </c>
      <c r="AN460" t="s">
        <v>107</v>
      </c>
      <c r="AO460" t="s">
        <v>107</v>
      </c>
      <c r="AP460">
        <v>28700</v>
      </c>
      <c r="AQ460">
        <v>28700</v>
      </c>
      <c r="AR460">
        <v>0</v>
      </c>
      <c r="AS460" t="s">
        <v>107</v>
      </c>
      <c r="AT460" t="s">
        <v>108</v>
      </c>
      <c r="AU460" t="s">
        <v>109</v>
      </c>
      <c r="AV460" t="s">
        <v>110</v>
      </c>
      <c r="AW460" t="s">
        <v>111</v>
      </c>
      <c r="AY460" t="s">
        <v>1640</v>
      </c>
      <c r="AZ460" t="s">
        <v>113</v>
      </c>
      <c r="BB460" t="s">
        <v>114</v>
      </c>
      <c r="BC460" t="s">
        <v>115</v>
      </c>
      <c r="BN460" t="s">
        <v>116</v>
      </c>
      <c r="BO460" t="s">
        <v>1637</v>
      </c>
      <c r="BP460" t="s">
        <v>166</v>
      </c>
      <c r="BR460" t="s">
        <v>973</v>
      </c>
      <c r="BS460" t="s">
        <v>1641</v>
      </c>
      <c r="BW460" t="s">
        <v>1157</v>
      </c>
      <c r="BX460" t="s">
        <v>1158</v>
      </c>
      <c r="BY460" t="s">
        <v>123</v>
      </c>
      <c r="BZ460" t="s">
        <v>124</v>
      </c>
    </row>
    <row r="461" spans="1:78" x14ac:dyDescent="0.3">
      <c r="A461" t="s">
        <v>11</v>
      </c>
      <c r="B461" t="s">
        <v>92</v>
      </c>
      <c r="C461" t="s">
        <v>93</v>
      </c>
      <c r="D461" t="s">
        <v>94</v>
      </c>
      <c r="E461" t="s">
        <v>95</v>
      </c>
      <c r="F461" t="s">
        <v>1646</v>
      </c>
      <c r="G461">
        <v>532100</v>
      </c>
      <c r="H461">
        <v>495000</v>
      </c>
      <c r="AA461" t="s">
        <v>1647</v>
      </c>
      <c r="AB461" t="s">
        <v>1648</v>
      </c>
      <c r="AC461" t="s">
        <v>1649</v>
      </c>
      <c r="AD461" t="s">
        <v>365</v>
      </c>
      <c r="AE461" t="s">
        <v>1650</v>
      </c>
      <c r="AF461" t="s">
        <v>1651</v>
      </c>
      <c r="AG461" t="s">
        <v>102</v>
      </c>
      <c r="AH461" t="s">
        <v>299</v>
      </c>
      <c r="AI461">
        <v>46135</v>
      </c>
      <c r="AJ461">
        <v>46135</v>
      </c>
      <c r="AK461" t="s">
        <v>104</v>
      </c>
      <c r="AL461" t="s">
        <v>105</v>
      </c>
      <c r="AM461" t="s">
        <v>106</v>
      </c>
      <c r="AN461" t="s">
        <v>107</v>
      </c>
      <c r="AO461" t="s">
        <v>107</v>
      </c>
      <c r="AP461">
        <v>3000</v>
      </c>
      <c r="AQ461">
        <v>3000</v>
      </c>
      <c r="AR461">
        <v>0</v>
      </c>
      <c r="AS461" t="s">
        <v>107</v>
      </c>
      <c r="AT461" t="s">
        <v>243</v>
      </c>
      <c r="AU461" t="s">
        <v>162</v>
      </c>
      <c r="AV461" t="s">
        <v>163</v>
      </c>
      <c r="AW461" t="s">
        <v>111</v>
      </c>
      <c r="AY461" t="s">
        <v>1652</v>
      </c>
      <c r="AZ461" t="s">
        <v>113</v>
      </c>
      <c r="BB461" t="s">
        <v>114</v>
      </c>
      <c r="BC461" t="s">
        <v>115</v>
      </c>
      <c r="BN461" t="s">
        <v>113</v>
      </c>
      <c r="BO461" t="s">
        <v>1653</v>
      </c>
      <c r="BP461" t="s">
        <v>370</v>
      </c>
      <c r="BR461" t="s">
        <v>609</v>
      </c>
      <c r="BS461" t="s">
        <v>1654</v>
      </c>
      <c r="BW461" t="s">
        <v>1157</v>
      </c>
      <c r="BX461" t="s">
        <v>1158</v>
      </c>
      <c r="BY461" t="s">
        <v>123</v>
      </c>
      <c r="BZ461" t="s">
        <v>124</v>
      </c>
    </row>
    <row r="462" spans="1:78" x14ac:dyDescent="0.3">
      <c r="A462" t="s">
        <v>11</v>
      </c>
      <c r="B462" t="s">
        <v>92</v>
      </c>
      <c r="C462" t="s">
        <v>93</v>
      </c>
      <c r="D462" t="s">
        <v>94</v>
      </c>
      <c r="E462" t="s">
        <v>95</v>
      </c>
      <c r="F462" t="s">
        <v>1646</v>
      </c>
      <c r="G462">
        <v>532100</v>
      </c>
      <c r="H462">
        <v>495000</v>
      </c>
      <c r="AA462" t="s">
        <v>1647</v>
      </c>
      <c r="AB462" t="s">
        <v>1648</v>
      </c>
      <c r="AC462" t="s">
        <v>1649</v>
      </c>
      <c r="AD462" t="s">
        <v>365</v>
      </c>
      <c r="AE462" t="s">
        <v>1650</v>
      </c>
      <c r="AF462" t="s">
        <v>1651</v>
      </c>
      <c r="AG462" t="s">
        <v>102</v>
      </c>
      <c r="AH462" t="s">
        <v>299</v>
      </c>
      <c r="AI462">
        <v>46172</v>
      </c>
      <c r="AK462" t="s">
        <v>137</v>
      </c>
      <c r="AL462" t="s">
        <v>105</v>
      </c>
      <c r="AM462" t="s">
        <v>1655</v>
      </c>
      <c r="AN462" t="s">
        <v>107</v>
      </c>
      <c r="AO462" t="s">
        <v>107</v>
      </c>
      <c r="AP462">
        <v>45880</v>
      </c>
      <c r="AQ462">
        <v>0</v>
      </c>
      <c r="AR462">
        <v>45880</v>
      </c>
      <c r="AT462" t="s">
        <v>243</v>
      </c>
      <c r="AZ462" t="s">
        <v>113</v>
      </c>
      <c r="BC462" t="s">
        <v>543</v>
      </c>
      <c r="BN462" t="s">
        <v>113</v>
      </c>
      <c r="BO462" t="s">
        <v>1653</v>
      </c>
      <c r="BP462" t="s">
        <v>370</v>
      </c>
      <c r="BR462" t="s">
        <v>609</v>
      </c>
      <c r="BW462" t="s">
        <v>1157</v>
      </c>
      <c r="BX462" t="s">
        <v>1158</v>
      </c>
      <c r="BY462" t="s">
        <v>123</v>
      </c>
      <c r="BZ462" t="s">
        <v>124</v>
      </c>
    </row>
    <row r="463" spans="1:78" x14ac:dyDescent="0.3">
      <c r="A463" t="s">
        <v>11</v>
      </c>
      <c r="B463" t="s">
        <v>92</v>
      </c>
      <c r="C463" t="s">
        <v>93</v>
      </c>
      <c r="D463" t="s">
        <v>94</v>
      </c>
      <c r="E463" t="s">
        <v>95</v>
      </c>
      <c r="F463" t="s">
        <v>1646</v>
      </c>
      <c r="G463">
        <v>532100</v>
      </c>
      <c r="H463">
        <v>495000</v>
      </c>
      <c r="AA463" t="s">
        <v>1647</v>
      </c>
      <c r="AB463" t="s">
        <v>1648</v>
      </c>
      <c r="AC463" t="s">
        <v>1649</v>
      </c>
      <c r="AD463" t="s">
        <v>365</v>
      </c>
      <c r="AE463" t="s">
        <v>1650</v>
      </c>
      <c r="AF463" t="s">
        <v>1651</v>
      </c>
      <c r="AG463" t="s">
        <v>102</v>
      </c>
      <c r="AH463" t="s">
        <v>299</v>
      </c>
      <c r="AI463">
        <v>46325</v>
      </c>
      <c r="AK463" t="s">
        <v>137</v>
      </c>
      <c r="AL463" t="s">
        <v>142</v>
      </c>
      <c r="AM463" t="s">
        <v>1656</v>
      </c>
      <c r="AN463" t="s">
        <v>107</v>
      </c>
      <c r="AO463" t="s">
        <v>107</v>
      </c>
      <c r="AP463">
        <v>48880</v>
      </c>
      <c r="AQ463">
        <v>0</v>
      </c>
      <c r="AR463">
        <v>48880</v>
      </c>
      <c r="AT463" t="s">
        <v>243</v>
      </c>
      <c r="AZ463" t="s">
        <v>113</v>
      </c>
      <c r="BC463" t="s">
        <v>1160</v>
      </c>
      <c r="BN463" t="s">
        <v>113</v>
      </c>
      <c r="BO463" t="s">
        <v>1653</v>
      </c>
      <c r="BP463" t="s">
        <v>370</v>
      </c>
      <c r="BR463" t="s">
        <v>609</v>
      </c>
      <c r="BW463" t="s">
        <v>1157</v>
      </c>
      <c r="BX463" t="s">
        <v>1158</v>
      </c>
      <c r="BY463" t="s">
        <v>123</v>
      </c>
      <c r="BZ463" t="s">
        <v>124</v>
      </c>
    </row>
    <row r="464" spans="1:78" x14ac:dyDescent="0.3">
      <c r="A464" t="s">
        <v>11</v>
      </c>
      <c r="B464" t="s">
        <v>92</v>
      </c>
      <c r="C464" t="s">
        <v>93</v>
      </c>
      <c r="D464" t="s">
        <v>94</v>
      </c>
      <c r="E464" t="s">
        <v>95</v>
      </c>
      <c r="F464" t="s">
        <v>1646</v>
      </c>
      <c r="G464">
        <v>532100</v>
      </c>
      <c r="H464">
        <v>495000</v>
      </c>
      <c r="AA464" t="s">
        <v>1647</v>
      </c>
      <c r="AB464" t="s">
        <v>1648</v>
      </c>
      <c r="AC464" t="s">
        <v>1649</v>
      </c>
      <c r="AD464" t="s">
        <v>365</v>
      </c>
      <c r="AE464" t="s">
        <v>1650</v>
      </c>
      <c r="AF464" t="s">
        <v>1651</v>
      </c>
      <c r="AG464" t="s">
        <v>102</v>
      </c>
      <c r="AH464" t="s">
        <v>299</v>
      </c>
      <c r="AI464">
        <v>46188</v>
      </c>
      <c r="AK464" t="s">
        <v>218</v>
      </c>
      <c r="AL464" t="s">
        <v>105</v>
      </c>
      <c r="AM464" t="s">
        <v>1657</v>
      </c>
      <c r="AN464" t="s">
        <v>107</v>
      </c>
      <c r="AO464" t="s">
        <v>107</v>
      </c>
      <c r="AP464">
        <v>198620</v>
      </c>
      <c r="AQ464">
        <v>0</v>
      </c>
      <c r="AR464">
        <v>198620</v>
      </c>
      <c r="AT464" t="s">
        <v>243</v>
      </c>
      <c r="AZ464" t="s">
        <v>113</v>
      </c>
      <c r="BC464" t="s">
        <v>543</v>
      </c>
      <c r="BN464" t="s">
        <v>113</v>
      </c>
      <c r="BO464" t="s">
        <v>1653</v>
      </c>
      <c r="BP464" t="s">
        <v>370</v>
      </c>
      <c r="BR464" t="s">
        <v>609</v>
      </c>
      <c r="BW464" t="s">
        <v>1157</v>
      </c>
      <c r="BX464" t="s">
        <v>1158</v>
      </c>
      <c r="BY464" t="s">
        <v>123</v>
      </c>
      <c r="BZ464" t="s">
        <v>124</v>
      </c>
    </row>
    <row r="465" spans="1:78" x14ac:dyDescent="0.3">
      <c r="A465" t="s">
        <v>11</v>
      </c>
      <c r="B465" t="s">
        <v>92</v>
      </c>
      <c r="C465" t="s">
        <v>93</v>
      </c>
      <c r="D465" t="s">
        <v>94</v>
      </c>
      <c r="E465" t="s">
        <v>95</v>
      </c>
      <c r="F465" t="s">
        <v>1646</v>
      </c>
      <c r="G465">
        <v>532100</v>
      </c>
      <c r="H465">
        <v>495000</v>
      </c>
      <c r="AA465" t="s">
        <v>1647</v>
      </c>
      <c r="AB465" t="s">
        <v>1648</v>
      </c>
      <c r="AC465" t="s">
        <v>1649</v>
      </c>
      <c r="AD465" t="s">
        <v>365</v>
      </c>
      <c r="AE465" t="s">
        <v>1650</v>
      </c>
      <c r="AF465" t="s">
        <v>1651</v>
      </c>
      <c r="AG465" t="s">
        <v>102</v>
      </c>
      <c r="AH465" t="s">
        <v>299</v>
      </c>
      <c r="AI465">
        <v>46386</v>
      </c>
      <c r="AK465" t="s">
        <v>218</v>
      </c>
      <c r="AL465" t="s">
        <v>142</v>
      </c>
      <c r="AM465" t="s">
        <v>1657</v>
      </c>
      <c r="AN465" t="s">
        <v>107</v>
      </c>
      <c r="AO465" t="s">
        <v>107</v>
      </c>
      <c r="AP465">
        <v>198620</v>
      </c>
      <c r="AQ465">
        <v>0</v>
      </c>
      <c r="AR465">
        <v>198620</v>
      </c>
      <c r="AT465" t="s">
        <v>243</v>
      </c>
      <c r="AZ465" t="s">
        <v>113</v>
      </c>
      <c r="BC465" t="s">
        <v>1160</v>
      </c>
      <c r="BN465" t="s">
        <v>113</v>
      </c>
      <c r="BO465" t="s">
        <v>1653</v>
      </c>
      <c r="BP465" t="s">
        <v>370</v>
      </c>
      <c r="BR465" t="s">
        <v>609</v>
      </c>
      <c r="BW465" t="s">
        <v>1157</v>
      </c>
      <c r="BX465" t="s">
        <v>1158</v>
      </c>
      <c r="BY465" t="s">
        <v>123</v>
      </c>
      <c r="BZ465" t="s">
        <v>124</v>
      </c>
    </row>
    <row r="466" spans="1:78" x14ac:dyDescent="0.3">
      <c r="A466" t="s">
        <v>11</v>
      </c>
      <c r="B466" t="s">
        <v>92</v>
      </c>
      <c r="C466" t="s">
        <v>93</v>
      </c>
      <c r="D466" t="s">
        <v>94</v>
      </c>
      <c r="E466" t="s">
        <v>95</v>
      </c>
      <c r="F466" t="s">
        <v>848</v>
      </c>
      <c r="G466">
        <v>504700</v>
      </c>
      <c r="H466">
        <v>458000</v>
      </c>
      <c r="AA466" t="s">
        <v>849</v>
      </c>
      <c r="AB466" t="s">
        <v>850</v>
      </c>
      <c r="AC466" t="s">
        <v>851</v>
      </c>
      <c r="AD466" t="s">
        <v>365</v>
      </c>
      <c r="AE466" t="s">
        <v>852</v>
      </c>
      <c r="AF466" t="s">
        <v>853</v>
      </c>
      <c r="AG466" t="s">
        <v>102</v>
      </c>
      <c r="AH466" t="s">
        <v>131</v>
      </c>
      <c r="AI466">
        <v>46057</v>
      </c>
      <c r="AK466" t="s">
        <v>137</v>
      </c>
      <c r="AL466" t="s">
        <v>105</v>
      </c>
      <c r="AM466" t="s">
        <v>1658</v>
      </c>
      <c r="AN466" t="s">
        <v>107</v>
      </c>
      <c r="AO466" t="s">
        <v>107</v>
      </c>
      <c r="AP466">
        <v>19900</v>
      </c>
      <c r="AQ466">
        <v>0</v>
      </c>
      <c r="AR466">
        <v>19900</v>
      </c>
      <c r="AT466" t="s">
        <v>243</v>
      </c>
      <c r="AZ466" t="s">
        <v>113</v>
      </c>
      <c r="BC466" t="s">
        <v>543</v>
      </c>
      <c r="BN466" t="s">
        <v>113</v>
      </c>
      <c r="BO466" t="s">
        <v>855</v>
      </c>
      <c r="BP466" t="s">
        <v>370</v>
      </c>
      <c r="BR466" t="s">
        <v>190</v>
      </c>
      <c r="BW466" t="s">
        <v>1157</v>
      </c>
      <c r="BX466" t="s">
        <v>1158</v>
      </c>
      <c r="BY466" t="s">
        <v>123</v>
      </c>
      <c r="BZ466" t="s">
        <v>124</v>
      </c>
    </row>
    <row r="467" spans="1:78" x14ac:dyDescent="0.3">
      <c r="A467" t="s">
        <v>11</v>
      </c>
      <c r="B467" t="s">
        <v>92</v>
      </c>
      <c r="C467" t="s">
        <v>93</v>
      </c>
      <c r="D467" t="s">
        <v>94</v>
      </c>
      <c r="E467" t="s">
        <v>95</v>
      </c>
      <c r="F467" t="s">
        <v>848</v>
      </c>
      <c r="G467">
        <v>504700</v>
      </c>
      <c r="H467">
        <v>458000</v>
      </c>
      <c r="AA467" t="s">
        <v>849</v>
      </c>
      <c r="AB467" t="s">
        <v>850</v>
      </c>
      <c r="AC467" t="s">
        <v>851</v>
      </c>
      <c r="AD467" t="s">
        <v>365</v>
      </c>
      <c r="AE467" t="s">
        <v>852</v>
      </c>
      <c r="AF467" t="s">
        <v>853</v>
      </c>
      <c r="AG467" t="s">
        <v>102</v>
      </c>
      <c r="AH467" t="s">
        <v>131</v>
      </c>
      <c r="AI467">
        <v>46189</v>
      </c>
      <c r="AK467" t="s">
        <v>137</v>
      </c>
      <c r="AL467" t="s">
        <v>142</v>
      </c>
      <c r="AM467" t="s">
        <v>1659</v>
      </c>
      <c r="AN467" t="s">
        <v>107</v>
      </c>
      <c r="AO467" t="s">
        <v>107</v>
      </c>
      <c r="AP467">
        <v>45800</v>
      </c>
      <c r="AQ467">
        <v>0</v>
      </c>
      <c r="AR467">
        <v>45800</v>
      </c>
      <c r="AT467" t="s">
        <v>243</v>
      </c>
      <c r="AZ467" t="s">
        <v>113</v>
      </c>
      <c r="BC467" t="s">
        <v>543</v>
      </c>
      <c r="BN467" t="s">
        <v>113</v>
      </c>
      <c r="BO467" t="s">
        <v>855</v>
      </c>
      <c r="BP467" t="s">
        <v>370</v>
      </c>
      <c r="BR467" t="s">
        <v>190</v>
      </c>
      <c r="BW467" t="s">
        <v>1157</v>
      </c>
      <c r="BX467" t="s">
        <v>1158</v>
      </c>
      <c r="BY467" t="s">
        <v>123</v>
      </c>
      <c r="BZ467" t="s">
        <v>124</v>
      </c>
    </row>
    <row r="468" spans="1:78" x14ac:dyDescent="0.3">
      <c r="A468" t="s">
        <v>11</v>
      </c>
      <c r="B468" t="s">
        <v>92</v>
      </c>
      <c r="C468" t="s">
        <v>93</v>
      </c>
      <c r="D468" t="s">
        <v>94</v>
      </c>
      <c r="E468" t="s">
        <v>95</v>
      </c>
      <c r="F468" t="s">
        <v>848</v>
      </c>
      <c r="G468">
        <v>504700</v>
      </c>
      <c r="H468">
        <v>458000</v>
      </c>
      <c r="AA468" t="s">
        <v>849</v>
      </c>
      <c r="AB468" t="s">
        <v>850</v>
      </c>
      <c r="AC468" t="s">
        <v>851</v>
      </c>
      <c r="AD468" t="s">
        <v>365</v>
      </c>
      <c r="AE468" t="s">
        <v>852</v>
      </c>
      <c r="AF468" t="s">
        <v>853</v>
      </c>
      <c r="AG468" t="s">
        <v>102</v>
      </c>
      <c r="AH468" t="s">
        <v>131</v>
      </c>
      <c r="AI468">
        <v>46234</v>
      </c>
      <c r="AK468" t="s">
        <v>218</v>
      </c>
      <c r="AL468" t="s">
        <v>105</v>
      </c>
      <c r="AM468" t="s">
        <v>1660</v>
      </c>
      <c r="AN468" t="s">
        <v>107</v>
      </c>
      <c r="AO468" t="s">
        <v>107</v>
      </c>
      <c r="AP468">
        <v>389300</v>
      </c>
      <c r="AQ468">
        <v>0</v>
      </c>
      <c r="AR468">
        <v>389300</v>
      </c>
      <c r="AT468" t="s">
        <v>243</v>
      </c>
      <c r="AZ468" t="s">
        <v>113</v>
      </c>
      <c r="BC468" t="s">
        <v>1160</v>
      </c>
      <c r="BN468" t="s">
        <v>113</v>
      </c>
      <c r="BO468" t="s">
        <v>855</v>
      </c>
      <c r="BP468" t="s">
        <v>370</v>
      </c>
      <c r="BR468" t="s">
        <v>190</v>
      </c>
      <c r="BW468" t="s">
        <v>1157</v>
      </c>
      <c r="BX468" t="s">
        <v>1158</v>
      </c>
      <c r="BY468" t="s">
        <v>123</v>
      </c>
      <c r="BZ468" t="s">
        <v>124</v>
      </c>
    </row>
    <row r="469" spans="1:78" x14ac:dyDescent="0.3">
      <c r="A469" t="s">
        <v>12</v>
      </c>
      <c r="B469" t="s">
        <v>92</v>
      </c>
      <c r="C469" t="s">
        <v>93</v>
      </c>
      <c r="D469" t="s">
        <v>94</v>
      </c>
      <c r="E469" t="s">
        <v>95</v>
      </c>
      <c r="F469" t="s">
        <v>387</v>
      </c>
      <c r="G469">
        <v>534000</v>
      </c>
      <c r="H469">
        <v>534000</v>
      </c>
      <c r="I469" t="s">
        <v>93</v>
      </c>
      <c r="J469" t="s">
        <v>94</v>
      </c>
      <c r="K469" t="s">
        <v>202</v>
      </c>
      <c r="L469" t="s">
        <v>617</v>
      </c>
      <c r="M469">
        <v>43000</v>
      </c>
      <c r="N469">
        <v>43000</v>
      </c>
      <c r="AA469" t="s">
        <v>857</v>
      </c>
      <c r="AB469" t="s">
        <v>858</v>
      </c>
      <c r="AC469" t="s">
        <v>859</v>
      </c>
      <c r="AD469" t="s">
        <v>365</v>
      </c>
      <c r="AE469" t="s">
        <v>860</v>
      </c>
      <c r="AF469" t="s">
        <v>861</v>
      </c>
      <c r="AG469" t="s">
        <v>862</v>
      </c>
      <c r="AH469" t="s">
        <v>862</v>
      </c>
      <c r="AI469">
        <v>46053</v>
      </c>
      <c r="AJ469">
        <v>46105</v>
      </c>
      <c r="AK469" t="s">
        <v>1122</v>
      </c>
      <c r="AL469" t="s">
        <v>142</v>
      </c>
      <c r="AM469" t="s">
        <v>1661</v>
      </c>
      <c r="AN469" t="s">
        <v>107</v>
      </c>
      <c r="AO469" t="s">
        <v>107</v>
      </c>
      <c r="AP469">
        <v>28850</v>
      </c>
      <c r="AQ469">
        <v>28850</v>
      </c>
      <c r="AR469">
        <v>0</v>
      </c>
      <c r="AS469" t="s">
        <v>107</v>
      </c>
      <c r="AT469" t="s">
        <v>108</v>
      </c>
      <c r="AU469" t="s">
        <v>109</v>
      </c>
      <c r="AV469" t="s">
        <v>451</v>
      </c>
      <c r="AW469" t="s">
        <v>111</v>
      </c>
      <c r="AX469" t="s">
        <v>858</v>
      </c>
      <c r="AY469" t="s">
        <v>1662</v>
      </c>
      <c r="AZ469" t="s">
        <v>113</v>
      </c>
      <c r="BB469" t="s">
        <v>114</v>
      </c>
      <c r="BC469" t="s">
        <v>115</v>
      </c>
      <c r="BN469" t="s">
        <v>116</v>
      </c>
      <c r="BO469" t="s">
        <v>864</v>
      </c>
      <c r="BP469" t="s">
        <v>370</v>
      </c>
      <c r="BR469" t="s">
        <v>179</v>
      </c>
      <c r="BS469" t="s">
        <v>1663</v>
      </c>
      <c r="BW469" t="s">
        <v>1157</v>
      </c>
      <c r="BX469" t="s">
        <v>1158</v>
      </c>
      <c r="BY469" t="s">
        <v>123</v>
      </c>
      <c r="BZ469" t="s">
        <v>124</v>
      </c>
    </row>
    <row r="470" spans="1:78" x14ac:dyDescent="0.3">
      <c r="A470" t="s">
        <v>12</v>
      </c>
      <c r="B470" t="s">
        <v>92</v>
      </c>
      <c r="C470" t="s">
        <v>93</v>
      </c>
      <c r="D470" t="s">
        <v>94</v>
      </c>
      <c r="E470" t="s">
        <v>95</v>
      </c>
      <c r="F470" t="s">
        <v>387</v>
      </c>
      <c r="G470">
        <v>534000</v>
      </c>
      <c r="H470">
        <v>534000</v>
      </c>
      <c r="I470" t="s">
        <v>93</v>
      </c>
      <c r="J470" t="s">
        <v>94</v>
      </c>
      <c r="K470" t="s">
        <v>202</v>
      </c>
      <c r="L470" t="s">
        <v>617</v>
      </c>
      <c r="M470">
        <v>43000</v>
      </c>
      <c r="N470">
        <v>43000</v>
      </c>
      <c r="AA470" t="s">
        <v>857</v>
      </c>
      <c r="AB470" t="s">
        <v>858</v>
      </c>
      <c r="AC470" t="s">
        <v>859</v>
      </c>
      <c r="AD470" t="s">
        <v>365</v>
      </c>
      <c r="AE470" t="s">
        <v>860</v>
      </c>
      <c r="AF470" t="s">
        <v>861</v>
      </c>
      <c r="AG470" t="s">
        <v>862</v>
      </c>
      <c r="AH470" t="s">
        <v>862</v>
      </c>
      <c r="AI470">
        <v>46203</v>
      </c>
      <c r="AK470" t="s">
        <v>218</v>
      </c>
      <c r="AL470" t="s">
        <v>105</v>
      </c>
      <c r="AM470" t="s">
        <v>1664</v>
      </c>
      <c r="AN470" t="s">
        <v>107</v>
      </c>
      <c r="AO470" t="s">
        <v>107</v>
      </c>
      <c r="AP470">
        <v>519300</v>
      </c>
      <c r="AQ470">
        <v>0</v>
      </c>
      <c r="AR470">
        <v>519300</v>
      </c>
      <c r="AT470" t="s">
        <v>108</v>
      </c>
      <c r="AZ470" t="s">
        <v>113</v>
      </c>
      <c r="BC470" t="s">
        <v>543</v>
      </c>
      <c r="BN470" t="s">
        <v>113</v>
      </c>
      <c r="BO470" t="s">
        <v>864</v>
      </c>
      <c r="BP470" t="s">
        <v>370</v>
      </c>
      <c r="BR470" t="s">
        <v>179</v>
      </c>
      <c r="BW470" t="s">
        <v>1157</v>
      </c>
      <c r="BX470" t="s">
        <v>1158</v>
      </c>
      <c r="BY470" t="s">
        <v>123</v>
      </c>
      <c r="BZ470" t="s">
        <v>124</v>
      </c>
    </row>
    <row r="471" spans="1:78" x14ac:dyDescent="0.3">
      <c r="A471" t="s">
        <v>2</v>
      </c>
      <c r="B471" t="s">
        <v>92</v>
      </c>
      <c r="C471" t="s">
        <v>93</v>
      </c>
      <c r="D471" t="s">
        <v>94</v>
      </c>
      <c r="E471" t="s">
        <v>95</v>
      </c>
      <c r="F471" t="s">
        <v>1665</v>
      </c>
      <c r="G471">
        <v>417700</v>
      </c>
      <c r="H471">
        <v>417700</v>
      </c>
      <c r="AA471" t="s">
        <v>1666</v>
      </c>
      <c r="AB471" t="s">
        <v>1667</v>
      </c>
      <c r="AC471" t="s">
        <v>1668</v>
      </c>
      <c r="AD471" t="s">
        <v>1669</v>
      </c>
      <c r="AE471" t="s">
        <v>1669</v>
      </c>
      <c r="AF471" t="s">
        <v>1670</v>
      </c>
      <c r="AG471" t="s">
        <v>102</v>
      </c>
      <c r="AH471" t="s">
        <v>131</v>
      </c>
      <c r="AI471">
        <v>46027</v>
      </c>
      <c r="AJ471">
        <v>46027</v>
      </c>
      <c r="AK471" t="s">
        <v>104</v>
      </c>
      <c r="AL471" t="s">
        <v>105</v>
      </c>
      <c r="AM471" t="s">
        <v>106</v>
      </c>
      <c r="AN471" t="s">
        <v>107</v>
      </c>
      <c r="AO471" t="s">
        <v>107</v>
      </c>
      <c r="AP471">
        <v>3000</v>
      </c>
      <c r="AQ471">
        <v>3000</v>
      </c>
      <c r="AR471">
        <v>0</v>
      </c>
      <c r="AS471" t="s">
        <v>107</v>
      </c>
      <c r="AT471" t="s">
        <v>243</v>
      </c>
      <c r="AU471" t="s">
        <v>109</v>
      </c>
      <c r="AV471" t="s">
        <v>110</v>
      </c>
      <c r="AW471" t="s">
        <v>209</v>
      </c>
      <c r="AY471" t="s">
        <v>1671</v>
      </c>
      <c r="AZ471" t="s">
        <v>113</v>
      </c>
      <c r="BA471" t="s">
        <v>1526</v>
      </c>
      <c r="BB471" t="s">
        <v>114</v>
      </c>
      <c r="BC471" t="s">
        <v>115</v>
      </c>
      <c r="BN471" t="s">
        <v>116</v>
      </c>
      <c r="BO471" t="s">
        <v>1672</v>
      </c>
      <c r="BP471" t="s">
        <v>118</v>
      </c>
      <c r="BR471" t="s">
        <v>1544</v>
      </c>
      <c r="BS471" t="s">
        <v>1673</v>
      </c>
      <c r="BW471" t="s">
        <v>1157</v>
      </c>
      <c r="BX471" t="s">
        <v>1158</v>
      </c>
      <c r="BY471" t="s">
        <v>123</v>
      </c>
      <c r="BZ471" t="s">
        <v>124</v>
      </c>
    </row>
    <row r="472" spans="1:78" x14ac:dyDescent="0.3">
      <c r="A472" t="s">
        <v>2</v>
      </c>
      <c r="B472" t="s">
        <v>92</v>
      </c>
      <c r="C472" t="s">
        <v>93</v>
      </c>
      <c r="D472" t="s">
        <v>94</v>
      </c>
      <c r="E472" t="s">
        <v>95</v>
      </c>
      <c r="F472" t="s">
        <v>1665</v>
      </c>
      <c r="G472">
        <v>417700</v>
      </c>
      <c r="H472">
        <v>417700</v>
      </c>
      <c r="AA472" t="s">
        <v>1666</v>
      </c>
      <c r="AB472" t="s">
        <v>1667</v>
      </c>
      <c r="AC472" t="s">
        <v>1668</v>
      </c>
      <c r="AD472" t="s">
        <v>1669</v>
      </c>
      <c r="AE472" t="s">
        <v>1669</v>
      </c>
      <c r="AF472" t="s">
        <v>1670</v>
      </c>
      <c r="AG472" t="s">
        <v>102</v>
      </c>
      <c r="AH472" t="s">
        <v>131</v>
      </c>
      <c r="AI472">
        <v>46052</v>
      </c>
      <c r="AJ472">
        <v>46053</v>
      </c>
      <c r="AK472" t="s">
        <v>137</v>
      </c>
      <c r="AL472" t="s">
        <v>105</v>
      </c>
      <c r="AM472" t="s">
        <v>107</v>
      </c>
      <c r="AN472" t="s">
        <v>107</v>
      </c>
      <c r="AO472" t="s">
        <v>107</v>
      </c>
      <c r="AP472">
        <v>30000</v>
      </c>
      <c r="AQ472">
        <v>29650</v>
      </c>
      <c r="AR472">
        <v>0</v>
      </c>
      <c r="AS472" t="s">
        <v>107</v>
      </c>
      <c r="AT472" t="s">
        <v>243</v>
      </c>
      <c r="AU472" t="s">
        <v>109</v>
      </c>
      <c r="AV472" t="s">
        <v>110</v>
      </c>
      <c r="AW472" t="s">
        <v>111</v>
      </c>
      <c r="AY472" t="s">
        <v>1674</v>
      </c>
      <c r="AZ472" t="s">
        <v>113</v>
      </c>
      <c r="BB472" t="s">
        <v>114</v>
      </c>
      <c r="BC472" t="s">
        <v>115</v>
      </c>
      <c r="BN472" t="s">
        <v>116</v>
      </c>
      <c r="BO472" t="s">
        <v>1672</v>
      </c>
      <c r="BP472" t="s">
        <v>118</v>
      </c>
      <c r="BR472" t="s">
        <v>1544</v>
      </c>
      <c r="BS472" t="s">
        <v>1675</v>
      </c>
      <c r="BW472" t="s">
        <v>1157</v>
      </c>
      <c r="BX472" t="s">
        <v>1158</v>
      </c>
      <c r="BY472" t="s">
        <v>123</v>
      </c>
      <c r="BZ472" t="s">
        <v>124</v>
      </c>
    </row>
    <row r="473" spans="1:78" x14ac:dyDescent="0.3">
      <c r="A473" t="s">
        <v>2</v>
      </c>
      <c r="B473" t="s">
        <v>92</v>
      </c>
      <c r="C473" t="s">
        <v>93</v>
      </c>
      <c r="D473" t="s">
        <v>94</v>
      </c>
      <c r="E473" t="s">
        <v>95</v>
      </c>
      <c r="F473" t="s">
        <v>1665</v>
      </c>
      <c r="G473">
        <v>417700</v>
      </c>
      <c r="H473">
        <v>417700</v>
      </c>
      <c r="AA473" t="s">
        <v>1666</v>
      </c>
      <c r="AB473" t="s">
        <v>1667</v>
      </c>
      <c r="AC473" t="s">
        <v>1668</v>
      </c>
      <c r="AD473" t="s">
        <v>1669</v>
      </c>
      <c r="AE473" t="s">
        <v>1669</v>
      </c>
      <c r="AF473" t="s">
        <v>1670</v>
      </c>
      <c r="AG473" t="s">
        <v>102</v>
      </c>
      <c r="AH473" t="s">
        <v>131</v>
      </c>
      <c r="AI473">
        <v>46052</v>
      </c>
      <c r="AJ473">
        <v>46054</v>
      </c>
      <c r="AK473" t="s">
        <v>137</v>
      </c>
      <c r="AL473" t="s">
        <v>105</v>
      </c>
      <c r="AM473" t="s">
        <v>287</v>
      </c>
      <c r="AN473" t="s">
        <v>107</v>
      </c>
      <c r="AO473" t="s">
        <v>107</v>
      </c>
      <c r="AP473">
        <v>0</v>
      </c>
      <c r="AQ473">
        <v>350</v>
      </c>
      <c r="AR473">
        <v>0</v>
      </c>
      <c r="AS473" t="s">
        <v>107</v>
      </c>
      <c r="AT473" t="s">
        <v>243</v>
      </c>
      <c r="AU473" t="s">
        <v>109</v>
      </c>
      <c r="AV473" t="s">
        <v>110</v>
      </c>
      <c r="AW473" t="s">
        <v>111</v>
      </c>
      <c r="AY473" t="s">
        <v>1676</v>
      </c>
      <c r="AZ473" t="s">
        <v>113</v>
      </c>
      <c r="BB473" t="s">
        <v>114</v>
      </c>
      <c r="BC473" t="s">
        <v>115</v>
      </c>
      <c r="BN473" t="s">
        <v>116</v>
      </c>
      <c r="BO473" t="s">
        <v>1672</v>
      </c>
      <c r="BP473" t="s">
        <v>118</v>
      </c>
      <c r="BR473" t="s">
        <v>1544</v>
      </c>
      <c r="BS473" t="s">
        <v>1677</v>
      </c>
      <c r="BW473" t="s">
        <v>1157</v>
      </c>
      <c r="BX473" t="s">
        <v>1158</v>
      </c>
      <c r="BY473" t="s">
        <v>123</v>
      </c>
      <c r="BZ473" t="s">
        <v>124</v>
      </c>
    </row>
    <row r="474" spans="1:78" x14ac:dyDescent="0.3">
      <c r="A474" t="s">
        <v>2</v>
      </c>
      <c r="B474" t="s">
        <v>92</v>
      </c>
      <c r="C474" t="s">
        <v>93</v>
      </c>
      <c r="D474" t="s">
        <v>94</v>
      </c>
      <c r="E474" t="s">
        <v>95</v>
      </c>
      <c r="F474" t="s">
        <v>1665</v>
      </c>
      <c r="G474">
        <v>417700</v>
      </c>
      <c r="H474">
        <v>417700</v>
      </c>
      <c r="AA474" t="s">
        <v>1666</v>
      </c>
      <c r="AB474" t="s">
        <v>1667</v>
      </c>
      <c r="AC474" t="s">
        <v>1668</v>
      </c>
      <c r="AD474" t="s">
        <v>1669</v>
      </c>
      <c r="AE474" t="s">
        <v>1669</v>
      </c>
      <c r="AF474" t="s">
        <v>1670</v>
      </c>
      <c r="AG474" t="s">
        <v>102</v>
      </c>
      <c r="AH474" t="s">
        <v>131</v>
      </c>
      <c r="AI474">
        <v>46157</v>
      </c>
      <c r="AJ474">
        <v>46185</v>
      </c>
      <c r="AK474" t="s">
        <v>137</v>
      </c>
      <c r="AL474" t="s">
        <v>142</v>
      </c>
      <c r="AM474" t="s">
        <v>107</v>
      </c>
      <c r="AN474" t="s">
        <v>107</v>
      </c>
      <c r="AO474" t="s">
        <v>107</v>
      </c>
      <c r="AP474">
        <v>20700</v>
      </c>
      <c r="AQ474">
        <v>17498.37</v>
      </c>
      <c r="AR474">
        <v>0</v>
      </c>
      <c r="AS474" t="s">
        <v>107</v>
      </c>
      <c r="AT474" t="s">
        <v>243</v>
      </c>
      <c r="AU474" t="s">
        <v>109</v>
      </c>
      <c r="AV474" t="s">
        <v>110</v>
      </c>
      <c r="AW474" t="s">
        <v>111</v>
      </c>
      <c r="AY474" t="s">
        <v>1678</v>
      </c>
      <c r="AZ474" t="s">
        <v>113</v>
      </c>
      <c r="BB474" t="s">
        <v>114</v>
      </c>
      <c r="BC474" t="s">
        <v>115</v>
      </c>
      <c r="BN474" t="s">
        <v>116</v>
      </c>
      <c r="BO474" t="s">
        <v>1672</v>
      </c>
      <c r="BP474" t="s">
        <v>118</v>
      </c>
      <c r="BR474" t="s">
        <v>1544</v>
      </c>
      <c r="BS474" t="s">
        <v>1679</v>
      </c>
      <c r="BW474" t="s">
        <v>1157</v>
      </c>
      <c r="BX474" t="s">
        <v>1158</v>
      </c>
      <c r="BY474" t="s">
        <v>123</v>
      </c>
      <c r="BZ474" t="s">
        <v>124</v>
      </c>
    </row>
    <row r="475" spans="1:78" x14ac:dyDescent="0.3">
      <c r="A475" t="s">
        <v>2</v>
      </c>
      <c r="B475" t="s">
        <v>92</v>
      </c>
      <c r="C475" t="s">
        <v>93</v>
      </c>
      <c r="D475" t="s">
        <v>94</v>
      </c>
      <c r="E475" t="s">
        <v>95</v>
      </c>
      <c r="F475" t="s">
        <v>1665</v>
      </c>
      <c r="G475">
        <v>417700</v>
      </c>
      <c r="H475">
        <v>417700</v>
      </c>
      <c r="AA475" t="s">
        <v>1666</v>
      </c>
      <c r="AB475" t="s">
        <v>1667</v>
      </c>
      <c r="AC475" t="s">
        <v>1668</v>
      </c>
      <c r="AD475" t="s">
        <v>1669</v>
      </c>
      <c r="AE475" t="s">
        <v>1669</v>
      </c>
      <c r="AF475" t="s">
        <v>1670</v>
      </c>
      <c r="AG475" t="s">
        <v>102</v>
      </c>
      <c r="AH475" t="s">
        <v>131</v>
      </c>
      <c r="AI475">
        <v>46157</v>
      </c>
      <c r="AJ475">
        <v>46186</v>
      </c>
      <c r="AK475" t="s">
        <v>137</v>
      </c>
      <c r="AL475" t="s">
        <v>142</v>
      </c>
      <c r="AM475" t="s">
        <v>1680</v>
      </c>
      <c r="AN475" t="s">
        <v>107</v>
      </c>
      <c r="AO475" t="s">
        <v>107</v>
      </c>
      <c r="AP475">
        <v>0</v>
      </c>
      <c r="AQ475">
        <v>3201.63</v>
      </c>
      <c r="AR475">
        <v>0</v>
      </c>
      <c r="AS475" t="s">
        <v>107</v>
      </c>
      <c r="AT475" t="s">
        <v>243</v>
      </c>
      <c r="AU475" t="s">
        <v>109</v>
      </c>
      <c r="AV475" t="s">
        <v>110</v>
      </c>
      <c r="AW475" t="s">
        <v>111</v>
      </c>
      <c r="AY475" t="s">
        <v>1681</v>
      </c>
      <c r="AZ475" t="s">
        <v>113</v>
      </c>
      <c r="BB475" t="s">
        <v>114</v>
      </c>
      <c r="BC475" t="s">
        <v>115</v>
      </c>
      <c r="BN475" t="s">
        <v>116</v>
      </c>
      <c r="BO475" t="s">
        <v>1672</v>
      </c>
      <c r="BP475" t="s">
        <v>118</v>
      </c>
      <c r="BR475" t="s">
        <v>1544</v>
      </c>
      <c r="BS475" t="s">
        <v>1682</v>
      </c>
      <c r="BW475" t="s">
        <v>1157</v>
      </c>
      <c r="BX475" t="s">
        <v>1158</v>
      </c>
      <c r="BY475" t="s">
        <v>123</v>
      </c>
      <c r="BZ475" t="s">
        <v>124</v>
      </c>
    </row>
    <row r="476" spans="1:78" x14ac:dyDescent="0.3">
      <c r="A476" t="s">
        <v>2</v>
      </c>
      <c r="B476" t="s">
        <v>92</v>
      </c>
      <c r="C476" t="s">
        <v>93</v>
      </c>
      <c r="D476" t="s">
        <v>94</v>
      </c>
      <c r="E476" t="s">
        <v>95</v>
      </c>
      <c r="F476" t="s">
        <v>1665</v>
      </c>
      <c r="G476">
        <v>417700</v>
      </c>
      <c r="H476">
        <v>417700</v>
      </c>
      <c r="AA476" t="s">
        <v>1666</v>
      </c>
      <c r="AB476" t="s">
        <v>1667</v>
      </c>
      <c r="AC476" t="s">
        <v>1668</v>
      </c>
      <c r="AD476" t="s">
        <v>1669</v>
      </c>
      <c r="AE476" t="s">
        <v>1669</v>
      </c>
      <c r="AF476" t="s">
        <v>1670</v>
      </c>
      <c r="AG476" t="s">
        <v>102</v>
      </c>
      <c r="AH476" t="s">
        <v>131</v>
      </c>
      <c r="AI476">
        <v>46172</v>
      </c>
      <c r="AJ476">
        <v>46186</v>
      </c>
      <c r="AK476" t="s">
        <v>137</v>
      </c>
      <c r="AL476" t="s">
        <v>146</v>
      </c>
      <c r="AM476" t="s">
        <v>411</v>
      </c>
      <c r="AN476" t="s">
        <v>107</v>
      </c>
      <c r="AO476" t="s">
        <v>107</v>
      </c>
      <c r="AP476">
        <v>14000</v>
      </c>
      <c r="AQ476">
        <v>14000</v>
      </c>
      <c r="AR476">
        <v>0</v>
      </c>
      <c r="AS476" t="s">
        <v>107</v>
      </c>
      <c r="AT476" t="s">
        <v>243</v>
      </c>
      <c r="AU476" t="s">
        <v>109</v>
      </c>
      <c r="AV476" t="s">
        <v>110</v>
      </c>
      <c r="AW476" t="s">
        <v>111</v>
      </c>
      <c r="AY476" t="s">
        <v>1681</v>
      </c>
      <c r="AZ476" t="s">
        <v>113</v>
      </c>
      <c r="BB476" t="s">
        <v>114</v>
      </c>
      <c r="BC476" t="s">
        <v>115</v>
      </c>
      <c r="BN476" t="s">
        <v>116</v>
      </c>
      <c r="BO476" t="s">
        <v>1672</v>
      </c>
      <c r="BP476" t="s">
        <v>118</v>
      </c>
      <c r="BR476" t="s">
        <v>1544</v>
      </c>
      <c r="BS476" t="s">
        <v>1682</v>
      </c>
      <c r="BW476" t="s">
        <v>1157</v>
      </c>
      <c r="BX476" t="s">
        <v>1158</v>
      </c>
      <c r="BY476" t="s">
        <v>123</v>
      </c>
      <c r="BZ476" t="s">
        <v>124</v>
      </c>
    </row>
    <row r="477" spans="1:78" x14ac:dyDescent="0.3">
      <c r="A477" t="s">
        <v>2</v>
      </c>
      <c r="B477" t="s">
        <v>92</v>
      </c>
      <c r="C477" t="s">
        <v>93</v>
      </c>
      <c r="D477" t="s">
        <v>94</v>
      </c>
      <c r="E477" t="s">
        <v>95</v>
      </c>
      <c r="F477" t="s">
        <v>1665</v>
      </c>
      <c r="G477">
        <v>417700</v>
      </c>
      <c r="H477">
        <v>417700</v>
      </c>
      <c r="AA477" t="s">
        <v>1666</v>
      </c>
      <c r="AB477" t="s">
        <v>1667</v>
      </c>
      <c r="AC477" t="s">
        <v>1668</v>
      </c>
      <c r="AD477" t="s">
        <v>1669</v>
      </c>
      <c r="AE477" t="s">
        <v>1669</v>
      </c>
      <c r="AF477" t="s">
        <v>1670</v>
      </c>
      <c r="AG477" t="s">
        <v>102</v>
      </c>
      <c r="AH477" t="s">
        <v>131</v>
      </c>
      <c r="AI477">
        <v>46203</v>
      </c>
      <c r="AK477" t="s">
        <v>218</v>
      </c>
      <c r="AL477" t="s">
        <v>105</v>
      </c>
      <c r="AM477" t="s">
        <v>1683</v>
      </c>
      <c r="AN477" t="s">
        <v>107</v>
      </c>
      <c r="AO477" t="s">
        <v>107</v>
      </c>
      <c r="AP477">
        <v>350000</v>
      </c>
      <c r="AQ477">
        <v>0</v>
      </c>
      <c r="AR477">
        <v>350000</v>
      </c>
      <c r="AT477" t="s">
        <v>243</v>
      </c>
      <c r="AZ477" t="s">
        <v>113</v>
      </c>
      <c r="BC477" t="s">
        <v>543</v>
      </c>
      <c r="BN477" t="s">
        <v>113</v>
      </c>
      <c r="BO477" t="s">
        <v>1672</v>
      </c>
      <c r="BP477" t="s">
        <v>118</v>
      </c>
      <c r="BR477" t="s">
        <v>1544</v>
      </c>
      <c r="BW477" t="s">
        <v>1157</v>
      </c>
      <c r="BX477" t="s">
        <v>1158</v>
      </c>
      <c r="BY477" t="s">
        <v>123</v>
      </c>
      <c r="BZ477" t="s">
        <v>124</v>
      </c>
    </row>
    <row r="478" spans="1:78" x14ac:dyDescent="0.3">
      <c r="A478" t="s">
        <v>11</v>
      </c>
      <c r="B478" t="s">
        <v>92</v>
      </c>
      <c r="C478" t="s">
        <v>93</v>
      </c>
      <c r="D478" t="s">
        <v>94</v>
      </c>
      <c r="E478" t="s">
        <v>95</v>
      </c>
      <c r="F478" t="s">
        <v>748</v>
      </c>
      <c r="G478">
        <v>518500</v>
      </c>
      <c r="H478">
        <v>470000</v>
      </c>
      <c r="I478" t="s">
        <v>93</v>
      </c>
      <c r="J478" t="s">
        <v>94</v>
      </c>
      <c r="K478" t="s">
        <v>202</v>
      </c>
      <c r="L478" t="s">
        <v>872</v>
      </c>
      <c r="M478">
        <v>50000</v>
      </c>
      <c r="N478">
        <v>50000</v>
      </c>
      <c r="AA478" t="s">
        <v>873</v>
      </c>
      <c r="AB478" t="s">
        <v>874</v>
      </c>
      <c r="AC478" t="s">
        <v>875</v>
      </c>
      <c r="AD478" t="s">
        <v>365</v>
      </c>
      <c r="AE478" t="s">
        <v>876</v>
      </c>
      <c r="AF478" t="s">
        <v>877</v>
      </c>
      <c r="AG478" t="s">
        <v>102</v>
      </c>
      <c r="AH478" t="s">
        <v>103</v>
      </c>
      <c r="AI478">
        <v>46049</v>
      </c>
      <c r="AK478" t="s">
        <v>137</v>
      </c>
      <c r="AL478" t="s">
        <v>142</v>
      </c>
      <c r="AM478" t="s">
        <v>398</v>
      </c>
      <c r="AN478" t="s">
        <v>107</v>
      </c>
      <c r="AO478" t="s">
        <v>107</v>
      </c>
      <c r="AP478">
        <v>10000</v>
      </c>
      <c r="AQ478">
        <v>0</v>
      </c>
      <c r="AR478">
        <v>10000</v>
      </c>
      <c r="AT478" t="s">
        <v>161</v>
      </c>
      <c r="AZ478" t="s">
        <v>113</v>
      </c>
      <c r="BC478" t="s">
        <v>543</v>
      </c>
      <c r="BN478" t="s">
        <v>113</v>
      </c>
      <c r="BO478" t="s">
        <v>879</v>
      </c>
      <c r="BP478" t="s">
        <v>370</v>
      </c>
      <c r="BR478" t="s">
        <v>637</v>
      </c>
      <c r="BW478" t="s">
        <v>1157</v>
      </c>
      <c r="BX478" t="s">
        <v>1158</v>
      </c>
      <c r="BY478" t="s">
        <v>123</v>
      </c>
      <c r="BZ478" t="s">
        <v>124</v>
      </c>
    </row>
    <row r="479" spans="1:78" x14ac:dyDescent="0.3">
      <c r="A479" t="s">
        <v>11</v>
      </c>
      <c r="B479" t="s">
        <v>92</v>
      </c>
      <c r="C479" t="s">
        <v>93</v>
      </c>
      <c r="D479" t="s">
        <v>94</v>
      </c>
      <c r="E479" t="s">
        <v>95</v>
      </c>
      <c r="F479" t="s">
        <v>748</v>
      </c>
      <c r="G479">
        <v>518500</v>
      </c>
      <c r="H479">
        <v>470000</v>
      </c>
      <c r="I479" t="s">
        <v>93</v>
      </c>
      <c r="J479" t="s">
        <v>94</v>
      </c>
      <c r="K479" t="s">
        <v>202</v>
      </c>
      <c r="L479" t="s">
        <v>872</v>
      </c>
      <c r="M479">
        <v>50000</v>
      </c>
      <c r="N479">
        <v>50000</v>
      </c>
      <c r="AA479" t="s">
        <v>873</v>
      </c>
      <c r="AB479" t="s">
        <v>874</v>
      </c>
      <c r="AC479" t="s">
        <v>875</v>
      </c>
      <c r="AD479" t="s">
        <v>365</v>
      </c>
      <c r="AE479" t="s">
        <v>876</v>
      </c>
      <c r="AF479" t="s">
        <v>877</v>
      </c>
      <c r="AG479" t="s">
        <v>102</v>
      </c>
      <c r="AH479" t="s">
        <v>103</v>
      </c>
      <c r="AI479">
        <v>46044</v>
      </c>
      <c r="AK479" t="s">
        <v>218</v>
      </c>
      <c r="AL479" t="s">
        <v>105</v>
      </c>
      <c r="AM479" t="s">
        <v>1684</v>
      </c>
      <c r="AN479" t="s">
        <v>107</v>
      </c>
      <c r="AO479" t="s">
        <v>107</v>
      </c>
      <c r="AP479">
        <v>73800</v>
      </c>
      <c r="AQ479">
        <v>0</v>
      </c>
      <c r="AR479">
        <v>73800</v>
      </c>
      <c r="AT479" t="s">
        <v>161</v>
      </c>
      <c r="AZ479" t="s">
        <v>113</v>
      </c>
      <c r="BC479" t="s">
        <v>543</v>
      </c>
      <c r="BN479" t="s">
        <v>113</v>
      </c>
      <c r="BO479" t="s">
        <v>879</v>
      </c>
      <c r="BP479" t="s">
        <v>370</v>
      </c>
      <c r="BR479" t="s">
        <v>637</v>
      </c>
      <c r="BW479" t="s">
        <v>1157</v>
      </c>
      <c r="BX479" t="s">
        <v>1158</v>
      </c>
      <c r="BY479" t="s">
        <v>123</v>
      </c>
      <c r="BZ479" t="s">
        <v>124</v>
      </c>
    </row>
    <row r="480" spans="1:78" x14ac:dyDescent="0.3">
      <c r="A480" t="s">
        <v>11</v>
      </c>
      <c r="B480" t="s">
        <v>92</v>
      </c>
      <c r="C480" t="s">
        <v>93</v>
      </c>
      <c r="D480" t="s">
        <v>94</v>
      </c>
      <c r="E480" t="s">
        <v>95</v>
      </c>
      <c r="F480" t="s">
        <v>748</v>
      </c>
      <c r="G480">
        <v>518500</v>
      </c>
      <c r="H480">
        <v>470000</v>
      </c>
      <c r="I480" t="s">
        <v>93</v>
      </c>
      <c r="J480" t="s">
        <v>94</v>
      </c>
      <c r="K480" t="s">
        <v>202</v>
      </c>
      <c r="L480" t="s">
        <v>872</v>
      </c>
      <c r="M480">
        <v>50000</v>
      </c>
      <c r="N480">
        <v>50000</v>
      </c>
      <c r="AA480" t="s">
        <v>873</v>
      </c>
      <c r="AB480" t="s">
        <v>874</v>
      </c>
      <c r="AC480" t="s">
        <v>875</v>
      </c>
      <c r="AD480" t="s">
        <v>365</v>
      </c>
      <c r="AE480" t="s">
        <v>876</v>
      </c>
      <c r="AF480" t="s">
        <v>877</v>
      </c>
      <c r="AG480" t="s">
        <v>102</v>
      </c>
      <c r="AH480" t="s">
        <v>103</v>
      </c>
      <c r="AI480">
        <v>46233</v>
      </c>
      <c r="AK480" t="s">
        <v>218</v>
      </c>
      <c r="AL480" t="s">
        <v>142</v>
      </c>
      <c r="AM480" t="s">
        <v>1684</v>
      </c>
      <c r="AN480" t="s">
        <v>107</v>
      </c>
      <c r="AO480" t="s">
        <v>107</v>
      </c>
      <c r="AP480">
        <v>73800</v>
      </c>
      <c r="AQ480">
        <v>0</v>
      </c>
      <c r="AR480">
        <v>73800</v>
      </c>
      <c r="AT480" t="s">
        <v>161</v>
      </c>
      <c r="AZ480" t="s">
        <v>113</v>
      </c>
      <c r="BC480" t="s">
        <v>1160</v>
      </c>
      <c r="BN480" t="s">
        <v>113</v>
      </c>
      <c r="BO480" t="s">
        <v>879</v>
      </c>
      <c r="BP480" t="s">
        <v>370</v>
      </c>
      <c r="BR480" t="s">
        <v>637</v>
      </c>
      <c r="BW480" t="s">
        <v>1157</v>
      </c>
      <c r="BX480" t="s">
        <v>1158</v>
      </c>
      <c r="BY480" t="s">
        <v>123</v>
      </c>
      <c r="BZ480" t="s">
        <v>124</v>
      </c>
    </row>
    <row r="481" spans="1:78" x14ac:dyDescent="0.3">
      <c r="A481" t="s">
        <v>11</v>
      </c>
      <c r="B481" t="s">
        <v>92</v>
      </c>
      <c r="C481" t="s">
        <v>93</v>
      </c>
      <c r="D481" t="s">
        <v>94</v>
      </c>
      <c r="E481" t="s">
        <v>95</v>
      </c>
      <c r="F481" t="s">
        <v>748</v>
      </c>
      <c r="G481">
        <v>518500</v>
      </c>
      <c r="H481">
        <v>470000</v>
      </c>
      <c r="I481" t="s">
        <v>93</v>
      </c>
      <c r="J481" t="s">
        <v>94</v>
      </c>
      <c r="K481" t="s">
        <v>202</v>
      </c>
      <c r="L481" t="s">
        <v>872</v>
      </c>
      <c r="M481">
        <v>50000</v>
      </c>
      <c r="N481">
        <v>50000</v>
      </c>
      <c r="AA481" t="s">
        <v>873</v>
      </c>
      <c r="AB481" t="s">
        <v>874</v>
      </c>
      <c r="AC481" t="s">
        <v>875</v>
      </c>
      <c r="AD481" t="s">
        <v>365</v>
      </c>
      <c r="AE481" t="s">
        <v>876</v>
      </c>
      <c r="AF481" t="s">
        <v>877</v>
      </c>
      <c r="AG481" t="s">
        <v>102</v>
      </c>
      <c r="AH481" t="s">
        <v>103</v>
      </c>
      <c r="AI481">
        <v>46386</v>
      </c>
      <c r="AK481" t="s">
        <v>218</v>
      </c>
      <c r="AL481" t="s">
        <v>146</v>
      </c>
      <c r="AM481" t="s">
        <v>1684</v>
      </c>
      <c r="AN481" t="s">
        <v>107</v>
      </c>
      <c r="AO481" t="s">
        <v>107</v>
      </c>
      <c r="AP481">
        <v>73800</v>
      </c>
      <c r="AQ481">
        <v>0</v>
      </c>
      <c r="AR481">
        <v>73800</v>
      </c>
      <c r="AT481" t="s">
        <v>161</v>
      </c>
      <c r="AZ481" t="s">
        <v>113</v>
      </c>
      <c r="BC481" t="s">
        <v>1160</v>
      </c>
      <c r="BN481" t="s">
        <v>113</v>
      </c>
      <c r="BO481" t="s">
        <v>879</v>
      </c>
      <c r="BP481" t="s">
        <v>370</v>
      </c>
      <c r="BR481" t="s">
        <v>637</v>
      </c>
      <c r="BW481" t="s">
        <v>1157</v>
      </c>
      <c r="BX481" t="s">
        <v>1158</v>
      </c>
      <c r="BY481" t="s">
        <v>123</v>
      </c>
      <c r="BZ481" t="s">
        <v>124</v>
      </c>
    </row>
    <row r="482" spans="1:78" x14ac:dyDescent="0.3">
      <c r="A482" t="s">
        <v>12</v>
      </c>
      <c r="B482" t="s">
        <v>92</v>
      </c>
      <c r="C482" t="s">
        <v>93</v>
      </c>
      <c r="D482" t="s">
        <v>94</v>
      </c>
      <c r="E482" t="s">
        <v>95</v>
      </c>
      <c r="F482" t="s">
        <v>222</v>
      </c>
      <c r="G482">
        <v>553000</v>
      </c>
      <c r="H482">
        <v>497000</v>
      </c>
      <c r="AA482" t="s">
        <v>882</v>
      </c>
      <c r="AB482" t="s">
        <v>883</v>
      </c>
      <c r="AC482" t="s">
        <v>884</v>
      </c>
      <c r="AD482" t="s">
        <v>365</v>
      </c>
      <c r="AE482" t="s">
        <v>885</v>
      </c>
      <c r="AF482" t="s">
        <v>886</v>
      </c>
      <c r="AG482" t="s">
        <v>887</v>
      </c>
      <c r="AH482" t="s">
        <v>887</v>
      </c>
      <c r="AI482">
        <v>46203</v>
      </c>
      <c r="AK482" t="s">
        <v>137</v>
      </c>
      <c r="AL482" t="s">
        <v>142</v>
      </c>
      <c r="AM482" t="s">
        <v>1685</v>
      </c>
      <c r="AN482" t="s">
        <v>107</v>
      </c>
      <c r="AO482" t="s">
        <v>107</v>
      </c>
      <c r="AP482">
        <v>5100</v>
      </c>
      <c r="AQ482">
        <v>0</v>
      </c>
      <c r="AR482">
        <v>5100</v>
      </c>
      <c r="AT482" t="s">
        <v>243</v>
      </c>
      <c r="AZ482" t="s">
        <v>113</v>
      </c>
      <c r="BC482" t="s">
        <v>543</v>
      </c>
      <c r="BN482" t="s">
        <v>113</v>
      </c>
      <c r="BO482" t="s">
        <v>889</v>
      </c>
      <c r="BP482" t="s">
        <v>370</v>
      </c>
      <c r="BR482" t="s">
        <v>342</v>
      </c>
      <c r="BW482" t="s">
        <v>1157</v>
      </c>
      <c r="BX482" t="s">
        <v>1158</v>
      </c>
      <c r="BY482" t="s">
        <v>123</v>
      </c>
      <c r="BZ482" t="s">
        <v>124</v>
      </c>
    </row>
    <row r="483" spans="1:78" x14ac:dyDescent="0.3">
      <c r="A483" t="s">
        <v>12</v>
      </c>
      <c r="B483" t="s">
        <v>92</v>
      </c>
      <c r="C483" t="s">
        <v>93</v>
      </c>
      <c r="D483" t="s">
        <v>94</v>
      </c>
      <c r="E483" t="s">
        <v>95</v>
      </c>
      <c r="F483" t="s">
        <v>222</v>
      </c>
      <c r="G483">
        <v>553000</v>
      </c>
      <c r="H483">
        <v>497000</v>
      </c>
      <c r="AA483" t="s">
        <v>882</v>
      </c>
      <c r="AB483" t="s">
        <v>883</v>
      </c>
      <c r="AC483" t="s">
        <v>884</v>
      </c>
      <c r="AD483" t="s">
        <v>365</v>
      </c>
      <c r="AE483" t="s">
        <v>885</v>
      </c>
      <c r="AF483" t="s">
        <v>886</v>
      </c>
      <c r="AG483" t="s">
        <v>887</v>
      </c>
      <c r="AH483" t="s">
        <v>887</v>
      </c>
      <c r="AI483">
        <v>46295</v>
      </c>
      <c r="AK483" t="s">
        <v>1122</v>
      </c>
      <c r="AL483" t="s">
        <v>146</v>
      </c>
      <c r="AM483" t="s">
        <v>1686</v>
      </c>
      <c r="AN483" t="s">
        <v>107</v>
      </c>
      <c r="AO483" t="s">
        <v>107</v>
      </c>
      <c r="AP483">
        <v>24600</v>
      </c>
      <c r="AQ483">
        <v>0</v>
      </c>
      <c r="AR483">
        <v>24600</v>
      </c>
      <c r="AT483" t="s">
        <v>243</v>
      </c>
      <c r="AZ483" t="s">
        <v>113</v>
      </c>
      <c r="BC483" t="s">
        <v>1160</v>
      </c>
      <c r="BN483" t="s">
        <v>113</v>
      </c>
      <c r="BO483" t="s">
        <v>889</v>
      </c>
      <c r="BP483" t="s">
        <v>370</v>
      </c>
      <c r="BR483" t="s">
        <v>342</v>
      </c>
      <c r="BW483" t="s">
        <v>1157</v>
      </c>
      <c r="BX483" t="s">
        <v>1158</v>
      </c>
      <c r="BY483" t="s">
        <v>123</v>
      </c>
      <c r="BZ483" t="s">
        <v>124</v>
      </c>
    </row>
    <row r="484" spans="1:78" x14ac:dyDescent="0.3">
      <c r="A484" t="s">
        <v>12</v>
      </c>
      <c r="B484" t="s">
        <v>92</v>
      </c>
      <c r="C484" t="s">
        <v>93</v>
      </c>
      <c r="D484" t="s">
        <v>94</v>
      </c>
      <c r="E484" t="s">
        <v>95</v>
      </c>
      <c r="F484" t="s">
        <v>222</v>
      </c>
      <c r="G484">
        <v>553000</v>
      </c>
      <c r="H484">
        <v>497000</v>
      </c>
      <c r="AA484" t="s">
        <v>882</v>
      </c>
      <c r="AB484" t="s">
        <v>883</v>
      </c>
      <c r="AC484" t="s">
        <v>884</v>
      </c>
      <c r="AD484" t="s">
        <v>365</v>
      </c>
      <c r="AE484" t="s">
        <v>885</v>
      </c>
      <c r="AF484" t="s">
        <v>886</v>
      </c>
      <c r="AG484" t="s">
        <v>887</v>
      </c>
      <c r="AH484" t="s">
        <v>887</v>
      </c>
      <c r="AI484">
        <v>46356</v>
      </c>
      <c r="AK484" t="s">
        <v>218</v>
      </c>
      <c r="AL484" t="s">
        <v>105</v>
      </c>
      <c r="AM484" t="s">
        <v>1687</v>
      </c>
      <c r="AN484" t="s">
        <v>107</v>
      </c>
      <c r="AO484" t="s">
        <v>107</v>
      </c>
      <c r="AP484">
        <v>447300</v>
      </c>
      <c r="AQ484">
        <v>0</v>
      </c>
      <c r="AR484">
        <v>447300</v>
      </c>
      <c r="AT484" t="s">
        <v>243</v>
      </c>
      <c r="AZ484" t="s">
        <v>113</v>
      </c>
      <c r="BC484" t="s">
        <v>1160</v>
      </c>
      <c r="BN484" t="s">
        <v>113</v>
      </c>
      <c r="BO484" t="s">
        <v>889</v>
      </c>
      <c r="BP484" t="s">
        <v>370</v>
      </c>
      <c r="BR484" t="s">
        <v>342</v>
      </c>
      <c r="BW484" t="s">
        <v>1157</v>
      </c>
      <c r="BX484" t="s">
        <v>1158</v>
      </c>
      <c r="BY484" t="s">
        <v>123</v>
      </c>
      <c r="BZ484" t="s">
        <v>124</v>
      </c>
    </row>
    <row r="485" spans="1:78" x14ac:dyDescent="0.3">
      <c r="A485" t="s">
        <v>11</v>
      </c>
      <c r="B485" t="s">
        <v>92</v>
      </c>
      <c r="C485" t="s">
        <v>93</v>
      </c>
      <c r="D485" t="s">
        <v>94</v>
      </c>
      <c r="E485" t="s">
        <v>95</v>
      </c>
      <c r="F485" t="s">
        <v>1069</v>
      </c>
      <c r="G485">
        <v>430000</v>
      </c>
      <c r="H485">
        <v>400000</v>
      </c>
      <c r="AA485" t="s">
        <v>1688</v>
      </c>
      <c r="AB485" t="s">
        <v>1689</v>
      </c>
      <c r="AC485" t="s">
        <v>1690</v>
      </c>
      <c r="AD485" t="s">
        <v>365</v>
      </c>
      <c r="AE485" t="s">
        <v>1691</v>
      </c>
      <c r="AF485" t="s">
        <v>1692</v>
      </c>
      <c r="AG485" t="s">
        <v>102</v>
      </c>
      <c r="AH485" t="s">
        <v>299</v>
      </c>
      <c r="AI485">
        <v>46101</v>
      </c>
      <c r="AJ485">
        <v>46104</v>
      </c>
      <c r="AK485" t="s">
        <v>104</v>
      </c>
      <c r="AL485" t="s">
        <v>105</v>
      </c>
      <c r="AM485" t="s">
        <v>106</v>
      </c>
      <c r="AN485" t="s">
        <v>107</v>
      </c>
      <c r="AO485" t="s">
        <v>107</v>
      </c>
      <c r="AP485">
        <v>3000</v>
      </c>
      <c r="AQ485">
        <v>3000</v>
      </c>
      <c r="AR485">
        <v>0</v>
      </c>
      <c r="AS485" t="s">
        <v>107</v>
      </c>
      <c r="AT485" t="s">
        <v>243</v>
      </c>
      <c r="AU485" t="s">
        <v>162</v>
      </c>
      <c r="AV485" t="s">
        <v>163</v>
      </c>
      <c r="AW485" t="s">
        <v>111</v>
      </c>
      <c r="AY485" t="s">
        <v>1693</v>
      </c>
      <c r="AZ485" t="s">
        <v>116</v>
      </c>
      <c r="BB485" t="s">
        <v>114</v>
      </c>
      <c r="BC485" t="s">
        <v>115</v>
      </c>
      <c r="BN485" t="s">
        <v>113</v>
      </c>
      <c r="BO485" t="s">
        <v>1694</v>
      </c>
      <c r="BP485" t="s">
        <v>370</v>
      </c>
      <c r="BR485" t="s">
        <v>213</v>
      </c>
      <c r="BS485" t="s">
        <v>1695</v>
      </c>
      <c r="BW485" t="s">
        <v>1157</v>
      </c>
      <c r="BX485" t="s">
        <v>1158</v>
      </c>
      <c r="BY485" t="s">
        <v>123</v>
      </c>
      <c r="BZ485" t="s">
        <v>124</v>
      </c>
    </row>
    <row r="486" spans="1:78" x14ac:dyDescent="0.3">
      <c r="A486" t="s">
        <v>11</v>
      </c>
      <c r="B486" t="s">
        <v>92</v>
      </c>
      <c r="C486" t="s">
        <v>93</v>
      </c>
      <c r="D486" t="s">
        <v>94</v>
      </c>
      <c r="E486" t="s">
        <v>95</v>
      </c>
      <c r="F486" t="s">
        <v>1069</v>
      </c>
      <c r="G486">
        <v>430000</v>
      </c>
      <c r="H486">
        <v>400000</v>
      </c>
      <c r="AA486" t="s">
        <v>1688</v>
      </c>
      <c r="AB486" t="s">
        <v>1689</v>
      </c>
      <c r="AC486" t="s">
        <v>1690</v>
      </c>
      <c r="AD486" t="s">
        <v>365</v>
      </c>
      <c r="AE486" t="s">
        <v>1691</v>
      </c>
      <c r="AF486" t="s">
        <v>1692</v>
      </c>
      <c r="AG486" t="s">
        <v>102</v>
      </c>
      <c r="AH486" t="s">
        <v>299</v>
      </c>
      <c r="AI486">
        <v>46122</v>
      </c>
      <c r="AJ486">
        <v>46122</v>
      </c>
      <c r="AK486" t="s">
        <v>137</v>
      </c>
      <c r="AL486" t="s">
        <v>105</v>
      </c>
      <c r="AM486" t="s">
        <v>138</v>
      </c>
      <c r="AN486" t="s">
        <v>107</v>
      </c>
      <c r="AO486" t="s">
        <v>107</v>
      </c>
      <c r="AP486">
        <v>20000</v>
      </c>
      <c r="AQ486">
        <v>20000</v>
      </c>
      <c r="AR486">
        <v>0</v>
      </c>
      <c r="AS486" t="s">
        <v>107</v>
      </c>
      <c r="AT486" t="s">
        <v>243</v>
      </c>
      <c r="AU486" t="s">
        <v>162</v>
      </c>
      <c r="AV486" t="s">
        <v>163</v>
      </c>
      <c r="AW486" t="s">
        <v>111</v>
      </c>
      <c r="AY486" t="s">
        <v>1696</v>
      </c>
      <c r="AZ486" t="s">
        <v>113</v>
      </c>
      <c r="BB486" t="s">
        <v>114</v>
      </c>
      <c r="BC486" t="s">
        <v>115</v>
      </c>
      <c r="BN486" t="s">
        <v>113</v>
      </c>
      <c r="BO486" t="s">
        <v>1694</v>
      </c>
      <c r="BP486" t="s">
        <v>370</v>
      </c>
      <c r="BR486" t="s">
        <v>213</v>
      </c>
      <c r="BS486" t="s">
        <v>1697</v>
      </c>
      <c r="BW486" t="s">
        <v>1157</v>
      </c>
      <c r="BX486" t="s">
        <v>1158</v>
      </c>
      <c r="BY486" t="s">
        <v>123</v>
      </c>
      <c r="BZ486" t="s">
        <v>124</v>
      </c>
    </row>
    <row r="487" spans="1:78" x14ac:dyDescent="0.3">
      <c r="A487" t="s">
        <v>11</v>
      </c>
      <c r="B487" t="s">
        <v>92</v>
      </c>
      <c r="C487" t="s">
        <v>93</v>
      </c>
      <c r="D487" t="s">
        <v>94</v>
      </c>
      <c r="E487" t="s">
        <v>95</v>
      </c>
      <c r="F487" t="s">
        <v>1069</v>
      </c>
      <c r="G487">
        <v>430000</v>
      </c>
      <c r="H487">
        <v>400000</v>
      </c>
      <c r="AA487" t="s">
        <v>1688</v>
      </c>
      <c r="AB487" t="s">
        <v>1689</v>
      </c>
      <c r="AC487" t="s">
        <v>1690</v>
      </c>
      <c r="AD487" t="s">
        <v>365</v>
      </c>
      <c r="AE487" t="s">
        <v>1691</v>
      </c>
      <c r="AF487" t="s">
        <v>1692</v>
      </c>
      <c r="AG487" t="s">
        <v>102</v>
      </c>
      <c r="AH487" t="s">
        <v>299</v>
      </c>
      <c r="AI487">
        <v>46234</v>
      </c>
      <c r="AK487" t="s">
        <v>137</v>
      </c>
      <c r="AL487" t="s">
        <v>142</v>
      </c>
      <c r="AM487" t="s">
        <v>287</v>
      </c>
      <c r="AN487" t="s">
        <v>107</v>
      </c>
      <c r="AO487" t="s">
        <v>107</v>
      </c>
      <c r="AP487">
        <v>30000</v>
      </c>
      <c r="AQ487">
        <v>0</v>
      </c>
      <c r="AR487">
        <v>30000</v>
      </c>
      <c r="AT487" t="s">
        <v>243</v>
      </c>
      <c r="AZ487" t="s">
        <v>113</v>
      </c>
      <c r="BC487" t="s">
        <v>1160</v>
      </c>
      <c r="BN487" t="s">
        <v>113</v>
      </c>
      <c r="BO487" t="s">
        <v>1694</v>
      </c>
      <c r="BP487" t="s">
        <v>370</v>
      </c>
      <c r="BR487" t="s">
        <v>213</v>
      </c>
      <c r="BW487" t="s">
        <v>1157</v>
      </c>
      <c r="BX487" t="s">
        <v>1158</v>
      </c>
      <c r="BY487" t="s">
        <v>123</v>
      </c>
      <c r="BZ487" t="s">
        <v>124</v>
      </c>
    </row>
    <row r="488" spans="1:78" x14ac:dyDescent="0.3">
      <c r="A488" t="s">
        <v>11</v>
      </c>
      <c r="B488" t="s">
        <v>92</v>
      </c>
      <c r="C488" t="s">
        <v>93</v>
      </c>
      <c r="D488" t="s">
        <v>94</v>
      </c>
      <c r="E488" t="s">
        <v>95</v>
      </c>
      <c r="F488" t="s">
        <v>1069</v>
      </c>
      <c r="G488">
        <v>430000</v>
      </c>
      <c r="H488">
        <v>400000</v>
      </c>
      <c r="AA488" t="s">
        <v>1688</v>
      </c>
      <c r="AB488" t="s">
        <v>1689</v>
      </c>
      <c r="AC488" t="s">
        <v>1690</v>
      </c>
      <c r="AD488" t="s">
        <v>365</v>
      </c>
      <c r="AE488" t="s">
        <v>1691</v>
      </c>
      <c r="AF488" t="s">
        <v>1692</v>
      </c>
      <c r="AG488" t="s">
        <v>102</v>
      </c>
      <c r="AH488" t="s">
        <v>299</v>
      </c>
      <c r="AI488">
        <v>46265</v>
      </c>
      <c r="AK488" t="s">
        <v>218</v>
      </c>
      <c r="AL488" t="s">
        <v>105</v>
      </c>
      <c r="AM488" t="s">
        <v>1698</v>
      </c>
      <c r="AN488" t="s">
        <v>107</v>
      </c>
      <c r="AO488" t="s">
        <v>107</v>
      </c>
      <c r="AP488">
        <v>347000</v>
      </c>
      <c r="AQ488">
        <v>0</v>
      </c>
      <c r="AR488">
        <v>347000</v>
      </c>
      <c r="AT488" t="s">
        <v>243</v>
      </c>
      <c r="AZ488" t="s">
        <v>113</v>
      </c>
      <c r="BC488" t="s">
        <v>1160</v>
      </c>
      <c r="BN488" t="s">
        <v>113</v>
      </c>
      <c r="BO488" t="s">
        <v>1694</v>
      </c>
      <c r="BP488" t="s">
        <v>370</v>
      </c>
      <c r="BR488" t="s">
        <v>213</v>
      </c>
      <c r="BW488" t="s">
        <v>1157</v>
      </c>
      <c r="BX488" t="s">
        <v>1158</v>
      </c>
      <c r="BY488" t="s">
        <v>123</v>
      </c>
      <c r="BZ488" t="s">
        <v>124</v>
      </c>
    </row>
    <row r="489" spans="1:78" x14ac:dyDescent="0.3">
      <c r="A489" t="s">
        <v>11</v>
      </c>
      <c r="B489" t="s">
        <v>92</v>
      </c>
      <c r="C489" t="s">
        <v>93</v>
      </c>
      <c r="D489" t="s">
        <v>94</v>
      </c>
      <c r="E489" t="s">
        <v>95</v>
      </c>
      <c r="F489" t="s">
        <v>236</v>
      </c>
      <c r="G489">
        <v>518500</v>
      </c>
      <c r="H489">
        <v>469500</v>
      </c>
      <c r="I489" t="s">
        <v>93</v>
      </c>
      <c r="J489" t="s">
        <v>94</v>
      </c>
      <c r="K489" t="s">
        <v>202</v>
      </c>
      <c r="L489" t="s">
        <v>893</v>
      </c>
      <c r="M489">
        <v>50400</v>
      </c>
      <c r="N489">
        <v>50400</v>
      </c>
      <c r="AA489" t="s">
        <v>894</v>
      </c>
      <c r="AB489" t="s">
        <v>895</v>
      </c>
      <c r="AC489" t="s">
        <v>896</v>
      </c>
      <c r="AD489" t="s">
        <v>365</v>
      </c>
      <c r="AE489" t="s">
        <v>897</v>
      </c>
      <c r="AF489" t="s">
        <v>898</v>
      </c>
      <c r="AG489" t="s">
        <v>102</v>
      </c>
      <c r="AH489" t="s">
        <v>131</v>
      </c>
      <c r="AI489">
        <v>46134</v>
      </c>
      <c r="AJ489">
        <v>46134</v>
      </c>
      <c r="AK489" t="s">
        <v>137</v>
      </c>
      <c r="AL489" t="s">
        <v>105</v>
      </c>
      <c r="AM489" t="s">
        <v>1699</v>
      </c>
      <c r="AN489" t="s">
        <v>107</v>
      </c>
      <c r="AO489" t="s">
        <v>107</v>
      </c>
      <c r="AP489">
        <v>89920</v>
      </c>
      <c r="AQ489">
        <v>89920</v>
      </c>
      <c r="AR489">
        <v>0</v>
      </c>
      <c r="AS489" t="s">
        <v>107</v>
      </c>
      <c r="AT489" t="s">
        <v>161</v>
      </c>
      <c r="AU489" t="s">
        <v>162</v>
      </c>
      <c r="AV489" t="s">
        <v>163</v>
      </c>
      <c r="AW489" t="s">
        <v>111</v>
      </c>
      <c r="AX489" t="s">
        <v>895</v>
      </c>
      <c r="AY489" t="s">
        <v>1700</v>
      </c>
      <c r="AZ489" t="s">
        <v>113</v>
      </c>
      <c r="BA489" t="s">
        <v>133</v>
      </c>
      <c r="BB489" t="s">
        <v>114</v>
      </c>
      <c r="BC489" t="s">
        <v>115</v>
      </c>
      <c r="BH489" t="s">
        <v>1701</v>
      </c>
      <c r="BI489" t="s">
        <v>1699</v>
      </c>
      <c r="BJ489" t="s">
        <v>1702</v>
      </c>
      <c r="BL489" t="s">
        <v>1703</v>
      </c>
      <c r="BM489" t="s">
        <v>370</v>
      </c>
      <c r="BN489" t="s">
        <v>116</v>
      </c>
      <c r="BO489" t="s">
        <v>900</v>
      </c>
      <c r="BP489" t="s">
        <v>370</v>
      </c>
      <c r="BR489" t="s">
        <v>282</v>
      </c>
      <c r="BS489" t="s">
        <v>1704</v>
      </c>
      <c r="BW489" t="s">
        <v>1157</v>
      </c>
      <c r="BX489" t="s">
        <v>1158</v>
      </c>
      <c r="BY489" t="s">
        <v>123</v>
      </c>
      <c r="BZ489" t="s">
        <v>124</v>
      </c>
    </row>
    <row r="490" spans="1:78" x14ac:dyDescent="0.3">
      <c r="A490" t="s">
        <v>11</v>
      </c>
      <c r="B490" t="s">
        <v>92</v>
      </c>
      <c r="C490" t="s">
        <v>93</v>
      </c>
      <c r="D490" t="s">
        <v>94</v>
      </c>
      <c r="E490" t="s">
        <v>95</v>
      </c>
      <c r="F490" t="s">
        <v>236</v>
      </c>
      <c r="G490">
        <v>518500</v>
      </c>
      <c r="H490">
        <v>469500</v>
      </c>
      <c r="I490" t="s">
        <v>93</v>
      </c>
      <c r="J490" t="s">
        <v>94</v>
      </c>
      <c r="K490" t="s">
        <v>202</v>
      </c>
      <c r="L490" t="s">
        <v>893</v>
      </c>
      <c r="M490">
        <v>50400</v>
      </c>
      <c r="N490">
        <v>50400</v>
      </c>
      <c r="AA490" t="s">
        <v>894</v>
      </c>
      <c r="AB490" t="s">
        <v>895</v>
      </c>
      <c r="AC490" t="s">
        <v>896</v>
      </c>
      <c r="AD490" t="s">
        <v>365</v>
      </c>
      <c r="AE490" t="s">
        <v>897</v>
      </c>
      <c r="AF490" t="s">
        <v>898</v>
      </c>
      <c r="AG490" t="s">
        <v>102</v>
      </c>
      <c r="AH490" t="s">
        <v>131</v>
      </c>
      <c r="AI490">
        <v>46231</v>
      </c>
      <c r="AK490" t="s">
        <v>218</v>
      </c>
      <c r="AL490" t="s">
        <v>105</v>
      </c>
      <c r="AM490" t="s">
        <v>1705</v>
      </c>
      <c r="AN490" t="s">
        <v>107</v>
      </c>
      <c r="AO490" t="s">
        <v>107</v>
      </c>
      <c r="AP490">
        <v>37270.910000000003</v>
      </c>
      <c r="AQ490">
        <v>0</v>
      </c>
      <c r="AR490">
        <v>37270.910000000003</v>
      </c>
      <c r="AT490" t="s">
        <v>161</v>
      </c>
      <c r="AZ490" t="s">
        <v>113</v>
      </c>
      <c r="BC490" t="s">
        <v>1160</v>
      </c>
      <c r="BN490" t="s">
        <v>113</v>
      </c>
      <c r="BO490" t="s">
        <v>900</v>
      </c>
      <c r="BP490" t="s">
        <v>370</v>
      </c>
      <c r="BR490" t="s">
        <v>282</v>
      </c>
      <c r="BW490" t="s">
        <v>1157</v>
      </c>
      <c r="BX490" t="s">
        <v>1158</v>
      </c>
      <c r="BY490" t="s">
        <v>123</v>
      </c>
      <c r="BZ490" t="s">
        <v>124</v>
      </c>
    </row>
    <row r="491" spans="1:78" x14ac:dyDescent="0.3">
      <c r="A491" t="s">
        <v>11</v>
      </c>
      <c r="B491" t="s">
        <v>92</v>
      </c>
      <c r="C491" t="s">
        <v>93</v>
      </c>
      <c r="D491" t="s">
        <v>94</v>
      </c>
      <c r="E491" t="s">
        <v>95</v>
      </c>
      <c r="F491" t="s">
        <v>236</v>
      </c>
      <c r="G491">
        <v>518500</v>
      </c>
      <c r="H491">
        <v>469500</v>
      </c>
      <c r="I491" t="s">
        <v>93</v>
      </c>
      <c r="J491" t="s">
        <v>94</v>
      </c>
      <c r="K491" t="s">
        <v>202</v>
      </c>
      <c r="L491" t="s">
        <v>893</v>
      </c>
      <c r="M491">
        <v>50400</v>
      </c>
      <c r="N491">
        <v>50400</v>
      </c>
      <c r="AA491" t="s">
        <v>894</v>
      </c>
      <c r="AB491" t="s">
        <v>895</v>
      </c>
      <c r="AC491" t="s">
        <v>896</v>
      </c>
      <c r="AD491" t="s">
        <v>365</v>
      </c>
      <c r="AE491" t="s">
        <v>897</v>
      </c>
      <c r="AF491" t="s">
        <v>898</v>
      </c>
      <c r="AG491" t="s">
        <v>102</v>
      </c>
      <c r="AH491" t="s">
        <v>131</v>
      </c>
      <c r="AI491">
        <v>46262</v>
      </c>
      <c r="AK491" t="s">
        <v>218</v>
      </c>
      <c r="AL491" t="s">
        <v>142</v>
      </c>
      <c r="AM491" t="s">
        <v>1705</v>
      </c>
      <c r="AN491" t="s">
        <v>107</v>
      </c>
      <c r="AO491" t="s">
        <v>107</v>
      </c>
      <c r="AP491">
        <v>37270.910000000003</v>
      </c>
      <c r="AQ491">
        <v>0</v>
      </c>
      <c r="AR491">
        <v>37270.910000000003</v>
      </c>
      <c r="AT491" t="s">
        <v>161</v>
      </c>
      <c r="AZ491" t="s">
        <v>113</v>
      </c>
      <c r="BC491" t="s">
        <v>1160</v>
      </c>
      <c r="BN491" t="s">
        <v>113</v>
      </c>
      <c r="BO491" t="s">
        <v>900</v>
      </c>
      <c r="BP491" t="s">
        <v>370</v>
      </c>
      <c r="BR491" t="s">
        <v>282</v>
      </c>
      <c r="BW491" t="s">
        <v>1157</v>
      </c>
      <c r="BX491" t="s">
        <v>1158</v>
      </c>
      <c r="BY491" t="s">
        <v>123</v>
      </c>
      <c r="BZ491" t="s">
        <v>124</v>
      </c>
    </row>
    <row r="492" spans="1:78" x14ac:dyDescent="0.3">
      <c r="A492" t="s">
        <v>11</v>
      </c>
      <c r="B492" t="s">
        <v>92</v>
      </c>
      <c r="C492" t="s">
        <v>93</v>
      </c>
      <c r="D492" t="s">
        <v>94</v>
      </c>
      <c r="E492" t="s">
        <v>95</v>
      </c>
      <c r="F492" t="s">
        <v>236</v>
      </c>
      <c r="G492">
        <v>518500</v>
      </c>
      <c r="H492">
        <v>469500</v>
      </c>
      <c r="I492" t="s">
        <v>93</v>
      </c>
      <c r="J492" t="s">
        <v>94</v>
      </c>
      <c r="K492" t="s">
        <v>202</v>
      </c>
      <c r="L492" t="s">
        <v>893</v>
      </c>
      <c r="M492">
        <v>50400</v>
      </c>
      <c r="N492">
        <v>50400</v>
      </c>
      <c r="AA492" t="s">
        <v>894</v>
      </c>
      <c r="AB492" t="s">
        <v>895</v>
      </c>
      <c r="AC492" t="s">
        <v>896</v>
      </c>
      <c r="AD492" t="s">
        <v>365</v>
      </c>
      <c r="AE492" t="s">
        <v>897</v>
      </c>
      <c r="AF492" t="s">
        <v>898</v>
      </c>
      <c r="AG492" t="s">
        <v>102</v>
      </c>
      <c r="AH492" t="s">
        <v>131</v>
      </c>
      <c r="AI492">
        <v>46293</v>
      </c>
      <c r="AK492" t="s">
        <v>218</v>
      </c>
      <c r="AL492" t="s">
        <v>146</v>
      </c>
      <c r="AM492" t="s">
        <v>1705</v>
      </c>
      <c r="AN492" t="s">
        <v>107</v>
      </c>
      <c r="AO492" t="s">
        <v>107</v>
      </c>
      <c r="AP492">
        <v>37270.910000000003</v>
      </c>
      <c r="AQ492">
        <v>0</v>
      </c>
      <c r="AR492">
        <v>37270.910000000003</v>
      </c>
      <c r="AT492" t="s">
        <v>161</v>
      </c>
      <c r="AZ492" t="s">
        <v>113</v>
      </c>
      <c r="BC492" t="s">
        <v>1160</v>
      </c>
      <c r="BN492" t="s">
        <v>113</v>
      </c>
      <c r="BO492" t="s">
        <v>900</v>
      </c>
      <c r="BP492" t="s">
        <v>370</v>
      </c>
      <c r="BR492" t="s">
        <v>282</v>
      </c>
      <c r="BW492" t="s">
        <v>1157</v>
      </c>
      <c r="BX492" t="s">
        <v>1158</v>
      </c>
      <c r="BY492" t="s">
        <v>123</v>
      </c>
      <c r="BZ492" t="s">
        <v>124</v>
      </c>
    </row>
    <row r="493" spans="1:78" x14ac:dyDescent="0.3">
      <c r="A493" t="s">
        <v>11</v>
      </c>
      <c r="B493" t="s">
        <v>92</v>
      </c>
      <c r="C493" t="s">
        <v>93</v>
      </c>
      <c r="D493" t="s">
        <v>94</v>
      </c>
      <c r="E493" t="s">
        <v>95</v>
      </c>
      <c r="F493" t="s">
        <v>236</v>
      </c>
      <c r="G493">
        <v>518500</v>
      </c>
      <c r="H493">
        <v>469500</v>
      </c>
      <c r="I493" t="s">
        <v>93</v>
      </c>
      <c r="J493" t="s">
        <v>94</v>
      </c>
      <c r="K493" t="s">
        <v>202</v>
      </c>
      <c r="L493" t="s">
        <v>893</v>
      </c>
      <c r="M493">
        <v>50400</v>
      </c>
      <c r="N493">
        <v>50400</v>
      </c>
      <c r="AA493" t="s">
        <v>894</v>
      </c>
      <c r="AB493" t="s">
        <v>895</v>
      </c>
      <c r="AC493" t="s">
        <v>896</v>
      </c>
      <c r="AD493" t="s">
        <v>365</v>
      </c>
      <c r="AE493" t="s">
        <v>897</v>
      </c>
      <c r="AF493" t="s">
        <v>898</v>
      </c>
      <c r="AG493" t="s">
        <v>102</v>
      </c>
      <c r="AH493" t="s">
        <v>131</v>
      </c>
      <c r="AI493">
        <v>46323</v>
      </c>
      <c r="AK493" t="s">
        <v>218</v>
      </c>
      <c r="AL493" t="s">
        <v>152</v>
      </c>
      <c r="AM493" t="s">
        <v>1705</v>
      </c>
      <c r="AN493" t="s">
        <v>107</v>
      </c>
      <c r="AO493" t="s">
        <v>107</v>
      </c>
      <c r="AP493">
        <v>37270.910000000003</v>
      </c>
      <c r="AQ493">
        <v>0</v>
      </c>
      <c r="AR493">
        <v>37270.910000000003</v>
      </c>
      <c r="AT493" t="s">
        <v>161</v>
      </c>
      <c r="AZ493" t="s">
        <v>113</v>
      </c>
      <c r="BC493" t="s">
        <v>1160</v>
      </c>
      <c r="BN493" t="s">
        <v>113</v>
      </c>
      <c r="BO493" t="s">
        <v>900</v>
      </c>
      <c r="BP493" t="s">
        <v>370</v>
      </c>
      <c r="BR493" t="s">
        <v>282</v>
      </c>
      <c r="BW493" t="s">
        <v>1157</v>
      </c>
      <c r="BX493" t="s">
        <v>1158</v>
      </c>
      <c r="BY493" t="s">
        <v>123</v>
      </c>
      <c r="BZ493" t="s">
        <v>124</v>
      </c>
    </row>
    <row r="494" spans="1:78" x14ac:dyDescent="0.3">
      <c r="A494" t="s">
        <v>11</v>
      </c>
      <c r="B494" t="s">
        <v>92</v>
      </c>
      <c r="C494" t="s">
        <v>93</v>
      </c>
      <c r="D494" t="s">
        <v>94</v>
      </c>
      <c r="E494" t="s">
        <v>95</v>
      </c>
      <c r="F494" t="s">
        <v>236</v>
      </c>
      <c r="G494">
        <v>518500</v>
      </c>
      <c r="H494">
        <v>469500</v>
      </c>
      <c r="I494" t="s">
        <v>93</v>
      </c>
      <c r="J494" t="s">
        <v>94</v>
      </c>
      <c r="K494" t="s">
        <v>202</v>
      </c>
      <c r="L494" t="s">
        <v>893</v>
      </c>
      <c r="M494">
        <v>50400</v>
      </c>
      <c r="N494">
        <v>50400</v>
      </c>
      <c r="AA494" t="s">
        <v>894</v>
      </c>
      <c r="AB494" t="s">
        <v>895</v>
      </c>
      <c r="AC494" t="s">
        <v>896</v>
      </c>
      <c r="AD494" t="s">
        <v>365</v>
      </c>
      <c r="AE494" t="s">
        <v>897</v>
      </c>
      <c r="AF494" t="s">
        <v>898</v>
      </c>
      <c r="AG494" t="s">
        <v>102</v>
      </c>
      <c r="AH494" t="s">
        <v>131</v>
      </c>
      <c r="AI494">
        <v>46354</v>
      </c>
      <c r="AK494" t="s">
        <v>218</v>
      </c>
      <c r="AL494" t="s">
        <v>584</v>
      </c>
      <c r="AM494" t="s">
        <v>1705</v>
      </c>
      <c r="AN494" t="s">
        <v>107</v>
      </c>
      <c r="AO494" t="s">
        <v>107</v>
      </c>
      <c r="AP494">
        <v>37270.910000000003</v>
      </c>
      <c r="AQ494">
        <v>0</v>
      </c>
      <c r="AR494">
        <v>37270.910000000003</v>
      </c>
      <c r="AT494" t="s">
        <v>161</v>
      </c>
      <c r="AZ494" t="s">
        <v>113</v>
      </c>
      <c r="BC494" t="s">
        <v>1160</v>
      </c>
      <c r="BN494" t="s">
        <v>113</v>
      </c>
      <c r="BO494" t="s">
        <v>900</v>
      </c>
      <c r="BP494" t="s">
        <v>370</v>
      </c>
      <c r="BR494" t="s">
        <v>282</v>
      </c>
      <c r="BW494" t="s">
        <v>1157</v>
      </c>
      <c r="BX494" t="s">
        <v>1158</v>
      </c>
      <c r="BY494" t="s">
        <v>123</v>
      </c>
      <c r="BZ494" t="s">
        <v>124</v>
      </c>
    </row>
    <row r="495" spans="1:78" x14ac:dyDescent="0.3">
      <c r="A495" t="s">
        <v>11</v>
      </c>
      <c r="B495" t="s">
        <v>92</v>
      </c>
      <c r="C495" t="s">
        <v>93</v>
      </c>
      <c r="D495" t="s">
        <v>94</v>
      </c>
      <c r="E495" t="s">
        <v>95</v>
      </c>
      <c r="F495" t="s">
        <v>236</v>
      </c>
      <c r="G495">
        <v>518500</v>
      </c>
      <c r="H495">
        <v>469500</v>
      </c>
      <c r="I495" t="s">
        <v>93</v>
      </c>
      <c r="J495" t="s">
        <v>94</v>
      </c>
      <c r="K495" t="s">
        <v>202</v>
      </c>
      <c r="L495" t="s">
        <v>893</v>
      </c>
      <c r="M495">
        <v>50400</v>
      </c>
      <c r="N495">
        <v>50400</v>
      </c>
      <c r="AA495" t="s">
        <v>894</v>
      </c>
      <c r="AB495" t="s">
        <v>895</v>
      </c>
      <c r="AC495" t="s">
        <v>896</v>
      </c>
      <c r="AD495" t="s">
        <v>365</v>
      </c>
      <c r="AE495" t="s">
        <v>897</v>
      </c>
      <c r="AF495" t="s">
        <v>898</v>
      </c>
      <c r="AG495" t="s">
        <v>102</v>
      </c>
      <c r="AH495" t="s">
        <v>131</v>
      </c>
      <c r="AI495">
        <v>46384</v>
      </c>
      <c r="AK495" t="s">
        <v>218</v>
      </c>
      <c r="AL495" t="s">
        <v>397</v>
      </c>
      <c r="AM495" t="s">
        <v>1705</v>
      </c>
      <c r="AN495" t="s">
        <v>107</v>
      </c>
      <c r="AO495" t="s">
        <v>107</v>
      </c>
      <c r="AP495">
        <v>37270.910000000003</v>
      </c>
      <c r="AQ495">
        <v>0</v>
      </c>
      <c r="AR495">
        <v>37270.910000000003</v>
      </c>
      <c r="AT495" t="s">
        <v>161</v>
      </c>
      <c r="AZ495" t="s">
        <v>113</v>
      </c>
      <c r="BC495" t="s">
        <v>1160</v>
      </c>
      <c r="BN495" t="s">
        <v>113</v>
      </c>
      <c r="BO495" t="s">
        <v>900</v>
      </c>
      <c r="BP495" t="s">
        <v>370</v>
      </c>
      <c r="BR495" t="s">
        <v>282</v>
      </c>
      <c r="BW495" t="s">
        <v>1157</v>
      </c>
      <c r="BX495" t="s">
        <v>1158</v>
      </c>
      <c r="BY495" t="s">
        <v>123</v>
      </c>
      <c r="BZ495" t="s">
        <v>124</v>
      </c>
    </row>
    <row r="496" spans="1:78" x14ac:dyDescent="0.3">
      <c r="A496" t="s">
        <v>2</v>
      </c>
      <c r="B496" t="s">
        <v>92</v>
      </c>
      <c r="C496" t="s">
        <v>93</v>
      </c>
      <c r="D496" t="s">
        <v>94</v>
      </c>
      <c r="E496" t="s">
        <v>95</v>
      </c>
      <c r="F496" t="s">
        <v>902</v>
      </c>
      <c r="G496">
        <v>654000</v>
      </c>
      <c r="H496">
        <v>654000</v>
      </c>
      <c r="I496" t="s">
        <v>93</v>
      </c>
      <c r="J496" t="s">
        <v>94</v>
      </c>
      <c r="K496" t="s">
        <v>202</v>
      </c>
      <c r="L496" t="s">
        <v>903</v>
      </c>
      <c r="M496">
        <v>55800</v>
      </c>
      <c r="N496">
        <v>55800</v>
      </c>
      <c r="O496" t="s">
        <v>93</v>
      </c>
      <c r="P496" t="s">
        <v>94</v>
      </c>
      <c r="Q496" t="s">
        <v>202</v>
      </c>
      <c r="R496" t="s">
        <v>904</v>
      </c>
      <c r="S496">
        <v>60000</v>
      </c>
      <c r="T496">
        <v>60000</v>
      </c>
      <c r="AA496" t="s">
        <v>894</v>
      </c>
      <c r="AB496" t="s">
        <v>895</v>
      </c>
      <c r="AC496" t="s">
        <v>896</v>
      </c>
      <c r="AD496" t="s">
        <v>365</v>
      </c>
      <c r="AE496" t="s">
        <v>897</v>
      </c>
      <c r="AF496" t="s">
        <v>898</v>
      </c>
      <c r="AG496" t="s">
        <v>102</v>
      </c>
      <c r="AH496" t="s">
        <v>131</v>
      </c>
      <c r="AI496">
        <v>46052</v>
      </c>
      <c r="AJ496">
        <v>45964</v>
      </c>
      <c r="AK496" t="s">
        <v>218</v>
      </c>
      <c r="AL496" t="s">
        <v>584</v>
      </c>
      <c r="AM496" t="s">
        <v>912</v>
      </c>
      <c r="AN496" t="s">
        <v>107</v>
      </c>
      <c r="AO496" t="s">
        <v>107</v>
      </c>
      <c r="AP496">
        <v>65982.86</v>
      </c>
      <c r="AQ496">
        <v>65982.86</v>
      </c>
      <c r="AR496">
        <v>0</v>
      </c>
      <c r="AS496" t="s">
        <v>107</v>
      </c>
      <c r="AT496" t="s">
        <v>161</v>
      </c>
      <c r="AU496" t="s">
        <v>109</v>
      </c>
      <c r="AV496" t="s">
        <v>110</v>
      </c>
      <c r="AW496" t="s">
        <v>111</v>
      </c>
      <c r="AY496" t="s">
        <v>917</v>
      </c>
      <c r="AZ496" t="s">
        <v>113</v>
      </c>
      <c r="BB496" t="s">
        <v>114</v>
      </c>
      <c r="BC496" t="s">
        <v>115</v>
      </c>
      <c r="BN496" t="s">
        <v>116</v>
      </c>
      <c r="BO496" t="s">
        <v>906</v>
      </c>
      <c r="BP496" t="s">
        <v>370</v>
      </c>
      <c r="BR496" t="s">
        <v>907</v>
      </c>
      <c r="BS496" t="s">
        <v>918</v>
      </c>
      <c r="BW496" t="s">
        <v>1157</v>
      </c>
      <c r="BX496" t="s">
        <v>1158</v>
      </c>
      <c r="BY496" t="s">
        <v>123</v>
      </c>
      <c r="BZ496" t="s">
        <v>124</v>
      </c>
    </row>
    <row r="497" spans="1:78" x14ac:dyDescent="0.3">
      <c r="A497" t="s">
        <v>2</v>
      </c>
      <c r="B497" t="s">
        <v>92</v>
      </c>
      <c r="C497" t="s">
        <v>93</v>
      </c>
      <c r="D497" t="s">
        <v>94</v>
      </c>
      <c r="E497" t="s">
        <v>95</v>
      </c>
      <c r="F497" t="s">
        <v>902</v>
      </c>
      <c r="G497">
        <v>654000</v>
      </c>
      <c r="H497">
        <v>654000</v>
      </c>
      <c r="I497" t="s">
        <v>93</v>
      </c>
      <c r="J497" t="s">
        <v>94</v>
      </c>
      <c r="K497" t="s">
        <v>202</v>
      </c>
      <c r="L497" t="s">
        <v>903</v>
      </c>
      <c r="M497">
        <v>55800</v>
      </c>
      <c r="N497">
        <v>55800</v>
      </c>
      <c r="O497" t="s">
        <v>93</v>
      </c>
      <c r="P497" t="s">
        <v>94</v>
      </c>
      <c r="Q497" t="s">
        <v>202</v>
      </c>
      <c r="R497" t="s">
        <v>904</v>
      </c>
      <c r="S497">
        <v>60000</v>
      </c>
      <c r="T497">
        <v>60000</v>
      </c>
      <c r="AA497" t="s">
        <v>894</v>
      </c>
      <c r="AB497" t="s">
        <v>895</v>
      </c>
      <c r="AC497" t="s">
        <v>896</v>
      </c>
      <c r="AD497" t="s">
        <v>365</v>
      </c>
      <c r="AE497" t="s">
        <v>897</v>
      </c>
      <c r="AF497" t="s">
        <v>898</v>
      </c>
      <c r="AG497" t="s">
        <v>102</v>
      </c>
      <c r="AH497" t="s">
        <v>131</v>
      </c>
      <c r="AI497">
        <v>46081</v>
      </c>
      <c r="AJ497">
        <v>46059</v>
      </c>
      <c r="AK497" t="s">
        <v>218</v>
      </c>
      <c r="AL497" t="s">
        <v>397</v>
      </c>
      <c r="AM497" t="s">
        <v>912</v>
      </c>
      <c r="AN497" t="s">
        <v>107</v>
      </c>
      <c r="AO497" t="s">
        <v>107</v>
      </c>
      <c r="AP497">
        <v>65982.86</v>
      </c>
      <c r="AQ497">
        <v>65982.86</v>
      </c>
      <c r="AR497">
        <v>0</v>
      </c>
      <c r="AS497" t="s">
        <v>107</v>
      </c>
      <c r="AT497" t="s">
        <v>161</v>
      </c>
      <c r="AU497" t="s">
        <v>109</v>
      </c>
      <c r="AV497" t="s">
        <v>110</v>
      </c>
      <c r="AW497" t="s">
        <v>111</v>
      </c>
      <c r="AY497" t="s">
        <v>1706</v>
      </c>
      <c r="AZ497" t="s">
        <v>113</v>
      </c>
      <c r="BB497" t="s">
        <v>114</v>
      </c>
      <c r="BC497" t="s">
        <v>115</v>
      </c>
      <c r="BN497" t="s">
        <v>116</v>
      </c>
      <c r="BO497" t="s">
        <v>906</v>
      </c>
      <c r="BP497" t="s">
        <v>370</v>
      </c>
      <c r="BR497" t="s">
        <v>907</v>
      </c>
      <c r="BS497" t="s">
        <v>1707</v>
      </c>
      <c r="BW497" t="s">
        <v>1157</v>
      </c>
      <c r="BX497" t="s">
        <v>1158</v>
      </c>
      <c r="BY497" t="s">
        <v>123</v>
      </c>
      <c r="BZ497" t="s">
        <v>124</v>
      </c>
    </row>
    <row r="498" spans="1:78" x14ac:dyDescent="0.3">
      <c r="A498" t="s">
        <v>2</v>
      </c>
      <c r="B498" t="s">
        <v>92</v>
      </c>
      <c r="C498" t="s">
        <v>93</v>
      </c>
      <c r="D498" t="s">
        <v>94</v>
      </c>
      <c r="E498" t="s">
        <v>95</v>
      </c>
      <c r="F498" t="s">
        <v>902</v>
      </c>
      <c r="G498">
        <v>654000</v>
      </c>
      <c r="H498">
        <v>654000</v>
      </c>
      <c r="I498" t="s">
        <v>93</v>
      </c>
      <c r="J498" t="s">
        <v>94</v>
      </c>
      <c r="K498" t="s">
        <v>202</v>
      </c>
      <c r="L498" t="s">
        <v>903</v>
      </c>
      <c r="M498">
        <v>55800</v>
      </c>
      <c r="N498">
        <v>55800</v>
      </c>
      <c r="O498" t="s">
        <v>93</v>
      </c>
      <c r="P498" t="s">
        <v>94</v>
      </c>
      <c r="Q498" t="s">
        <v>202</v>
      </c>
      <c r="R498" t="s">
        <v>904</v>
      </c>
      <c r="S498">
        <v>60000</v>
      </c>
      <c r="T498">
        <v>60000</v>
      </c>
      <c r="AA498" t="s">
        <v>894</v>
      </c>
      <c r="AB498" t="s">
        <v>895</v>
      </c>
      <c r="AC498" t="s">
        <v>896</v>
      </c>
      <c r="AD498" t="s">
        <v>365</v>
      </c>
      <c r="AE498" t="s">
        <v>897</v>
      </c>
      <c r="AF498" t="s">
        <v>898</v>
      </c>
      <c r="AG498" t="s">
        <v>102</v>
      </c>
      <c r="AH498" t="s">
        <v>131</v>
      </c>
      <c r="AI498">
        <v>46111</v>
      </c>
      <c r="AJ498">
        <v>46059</v>
      </c>
      <c r="AK498" t="s">
        <v>218</v>
      </c>
      <c r="AL498" t="s">
        <v>588</v>
      </c>
      <c r="AM498" t="s">
        <v>1708</v>
      </c>
      <c r="AN498" t="s">
        <v>107</v>
      </c>
      <c r="AO498" t="s">
        <v>107</v>
      </c>
      <c r="AP498">
        <v>65982.84</v>
      </c>
      <c r="AQ498">
        <v>65982.84</v>
      </c>
      <c r="AR498">
        <v>0</v>
      </c>
      <c r="AS498" t="s">
        <v>107</v>
      </c>
      <c r="AT498" t="s">
        <v>161</v>
      </c>
      <c r="AU498" t="s">
        <v>109</v>
      </c>
      <c r="AV498" t="s">
        <v>110</v>
      </c>
      <c r="AW498" t="s">
        <v>111</v>
      </c>
      <c r="AY498" t="s">
        <v>1706</v>
      </c>
      <c r="AZ498" t="s">
        <v>113</v>
      </c>
      <c r="BB498" t="s">
        <v>114</v>
      </c>
      <c r="BC498" t="s">
        <v>115</v>
      </c>
      <c r="BN498" t="s">
        <v>116</v>
      </c>
      <c r="BO498" t="s">
        <v>906</v>
      </c>
      <c r="BP498" t="s">
        <v>370</v>
      </c>
      <c r="BR498" t="s">
        <v>907</v>
      </c>
      <c r="BS498" t="s">
        <v>1707</v>
      </c>
      <c r="BW498" t="s">
        <v>1157</v>
      </c>
      <c r="BX498" t="s">
        <v>1158</v>
      </c>
      <c r="BY498" t="s">
        <v>123</v>
      </c>
      <c r="BZ498" t="s">
        <v>124</v>
      </c>
    </row>
    <row r="499" spans="1:78" x14ac:dyDescent="0.3">
      <c r="A499" t="s">
        <v>2</v>
      </c>
      <c r="B499" t="s">
        <v>92</v>
      </c>
      <c r="C499" t="s">
        <v>93</v>
      </c>
      <c r="D499" t="s">
        <v>94</v>
      </c>
      <c r="E499" t="s">
        <v>202</v>
      </c>
      <c r="F499" t="s">
        <v>1709</v>
      </c>
      <c r="G499">
        <v>52500</v>
      </c>
      <c r="H499">
        <v>52500</v>
      </c>
      <c r="AA499" t="s">
        <v>894</v>
      </c>
      <c r="AB499" t="s">
        <v>895</v>
      </c>
      <c r="AC499" t="s">
        <v>896</v>
      </c>
      <c r="AD499" t="s">
        <v>365</v>
      </c>
      <c r="AE499" t="s">
        <v>897</v>
      </c>
      <c r="AF499" t="s">
        <v>898</v>
      </c>
      <c r="AG499" t="s">
        <v>102</v>
      </c>
      <c r="AH499" t="s">
        <v>131</v>
      </c>
      <c r="AI499">
        <v>46192</v>
      </c>
      <c r="AJ499">
        <v>46192</v>
      </c>
      <c r="AK499" t="s">
        <v>104</v>
      </c>
      <c r="AL499" t="s">
        <v>105</v>
      </c>
      <c r="AM499" t="s">
        <v>211</v>
      </c>
      <c r="AN499" t="s">
        <v>107</v>
      </c>
      <c r="AO499" t="s">
        <v>107</v>
      </c>
      <c r="AP499">
        <v>1</v>
      </c>
      <c r="AQ499">
        <v>1</v>
      </c>
      <c r="AR499">
        <v>0</v>
      </c>
      <c r="AS499" t="s">
        <v>107</v>
      </c>
      <c r="AT499" t="s">
        <v>161</v>
      </c>
      <c r="AU499" t="s">
        <v>109</v>
      </c>
      <c r="AV499" t="s">
        <v>110</v>
      </c>
      <c r="AW499" t="s">
        <v>111</v>
      </c>
      <c r="AY499" t="s">
        <v>1710</v>
      </c>
      <c r="AZ499" t="s">
        <v>113</v>
      </c>
      <c r="BB499" t="s">
        <v>114</v>
      </c>
      <c r="BC499" t="s">
        <v>115</v>
      </c>
      <c r="BN499" t="s">
        <v>116</v>
      </c>
      <c r="BO499" t="s">
        <v>1711</v>
      </c>
      <c r="BP499" t="s">
        <v>370</v>
      </c>
      <c r="BR499" t="s">
        <v>1712</v>
      </c>
      <c r="BS499" t="s">
        <v>1713</v>
      </c>
      <c r="BW499" t="s">
        <v>1157</v>
      </c>
      <c r="BX499" t="s">
        <v>1158</v>
      </c>
      <c r="BY499" t="s">
        <v>123</v>
      </c>
      <c r="BZ499" t="s">
        <v>124</v>
      </c>
    </row>
    <row r="500" spans="1:78" x14ac:dyDescent="0.3">
      <c r="A500" t="s">
        <v>2</v>
      </c>
      <c r="B500" t="s">
        <v>92</v>
      </c>
      <c r="C500" t="s">
        <v>93</v>
      </c>
      <c r="D500" t="s">
        <v>94</v>
      </c>
      <c r="E500" t="s">
        <v>202</v>
      </c>
      <c r="F500" t="s">
        <v>1709</v>
      </c>
      <c r="G500">
        <v>52500</v>
      </c>
      <c r="H500">
        <v>52500</v>
      </c>
      <c r="AA500" t="s">
        <v>894</v>
      </c>
      <c r="AB500" t="s">
        <v>895</v>
      </c>
      <c r="AC500" t="s">
        <v>896</v>
      </c>
      <c r="AD500" t="s">
        <v>365</v>
      </c>
      <c r="AE500" t="s">
        <v>897</v>
      </c>
      <c r="AF500" t="s">
        <v>898</v>
      </c>
      <c r="AG500" t="s">
        <v>102</v>
      </c>
      <c r="AH500" t="s">
        <v>131</v>
      </c>
      <c r="AI500">
        <v>46197</v>
      </c>
      <c r="AJ500">
        <v>46197</v>
      </c>
      <c r="AK500" t="s">
        <v>137</v>
      </c>
      <c r="AL500" t="s">
        <v>105</v>
      </c>
      <c r="AM500" t="s">
        <v>1714</v>
      </c>
      <c r="AN500" t="s">
        <v>107</v>
      </c>
      <c r="AO500" t="s">
        <v>107</v>
      </c>
      <c r="AP500">
        <v>29000</v>
      </c>
      <c r="AQ500">
        <v>29000</v>
      </c>
      <c r="AR500">
        <v>0</v>
      </c>
      <c r="AS500" t="s">
        <v>107</v>
      </c>
      <c r="AT500" t="s">
        <v>161</v>
      </c>
      <c r="AU500" t="s">
        <v>109</v>
      </c>
      <c r="AV500" t="s">
        <v>110</v>
      </c>
      <c r="AW500" t="s">
        <v>111</v>
      </c>
      <c r="AY500" t="s">
        <v>1715</v>
      </c>
      <c r="AZ500" t="s">
        <v>116</v>
      </c>
      <c r="BB500" t="s">
        <v>114</v>
      </c>
      <c r="BC500" t="s">
        <v>115</v>
      </c>
      <c r="BN500" t="s">
        <v>116</v>
      </c>
      <c r="BO500" t="s">
        <v>1711</v>
      </c>
      <c r="BP500" t="s">
        <v>370</v>
      </c>
      <c r="BR500" t="s">
        <v>1712</v>
      </c>
      <c r="BS500" t="s">
        <v>1716</v>
      </c>
      <c r="BW500" t="s">
        <v>1157</v>
      </c>
      <c r="BX500" t="s">
        <v>1158</v>
      </c>
      <c r="BY500" t="s">
        <v>123</v>
      </c>
      <c r="BZ500" t="s">
        <v>124</v>
      </c>
    </row>
    <row r="501" spans="1:78" x14ac:dyDescent="0.3">
      <c r="A501" t="s">
        <v>2</v>
      </c>
      <c r="B501" t="s">
        <v>92</v>
      </c>
      <c r="C501" t="s">
        <v>93</v>
      </c>
      <c r="D501" t="s">
        <v>94</v>
      </c>
      <c r="E501" t="s">
        <v>202</v>
      </c>
      <c r="F501" t="s">
        <v>1709</v>
      </c>
      <c r="G501">
        <v>52500</v>
      </c>
      <c r="H501">
        <v>52500</v>
      </c>
      <c r="AA501" t="s">
        <v>894</v>
      </c>
      <c r="AB501" t="s">
        <v>895</v>
      </c>
      <c r="AC501" t="s">
        <v>896</v>
      </c>
      <c r="AD501" t="s">
        <v>365</v>
      </c>
      <c r="AE501" t="s">
        <v>897</v>
      </c>
      <c r="AF501" t="s">
        <v>898</v>
      </c>
      <c r="AG501" t="s">
        <v>102</v>
      </c>
      <c r="AH501" t="s">
        <v>131</v>
      </c>
      <c r="AI501">
        <v>46203</v>
      </c>
      <c r="AJ501">
        <v>46198</v>
      </c>
      <c r="AK501" t="s">
        <v>218</v>
      </c>
      <c r="AL501" t="s">
        <v>105</v>
      </c>
      <c r="AM501" t="s">
        <v>1717</v>
      </c>
      <c r="AN501" t="s">
        <v>107</v>
      </c>
      <c r="AO501" t="s">
        <v>107</v>
      </c>
      <c r="AP501">
        <v>23499</v>
      </c>
      <c r="AQ501">
        <v>23499</v>
      </c>
      <c r="AR501">
        <v>0</v>
      </c>
      <c r="AS501" t="s">
        <v>107</v>
      </c>
      <c r="AT501" t="s">
        <v>161</v>
      </c>
      <c r="AU501" t="s">
        <v>109</v>
      </c>
      <c r="AV501" t="s">
        <v>110</v>
      </c>
      <c r="AW501" t="s">
        <v>111</v>
      </c>
      <c r="AY501" t="s">
        <v>1718</v>
      </c>
      <c r="AZ501" t="s">
        <v>113</v>
      </c>
      <c r="BB501" t="s">
        <v>114</v>
      </c>
      <c r="BC501" t="s">
        <v>115</v>
      </c>
      <c r="BN501" t="s">
        <v>116</v>
      </c>
      <c r="BO501" t="s">
        <v>1711</v>
      </c>
      <c r="BP501" t="s">
        <v>370</v>
      </c>
      <c r="BR501" t="s">
        <v>1712</v>
      </c>
      <c r="BS501" t="s">
        <v>1719</v>
      </c>
      <c r="BW501" t="s">
        <v>1157</v>
      </c>
      <c r="BX501" t="s">
        <v>1158</v>
      </c>
      <c r="BY501" t="s">
        <v>123</v>
      </c>
      <c r="BZ501" t="s">
        <v>124</v>
      </c>
    </row>
    <row r="502" spans="1:78" x14ac:dyDescent="0.3">
      <c r="A502" t="s">
        <v>11</v>
      </c>
      <c r="B502" t="s">
        <v>92</v>
      </c>
      <c r="C502" t="s">
        <v>93</v>
      </c>
      <c r="D502" t="s">
        <v>94</v>
      </c>
      <c r="E502" t="s">
        <v>95</v>
      </c>
      <c r="F502" t="s">
        <v>309</v>
      </c>
      <c r="G502">
        <v>430000</v>
      </c>
      <c r="H502">
        <v>430000</v>
      </c>
      <c r="AA502" t="s">
        <v>919</v>
      </c>
      <c r="AB502" t="s">
        <v>920</v>
      </c>
      <c r="AC502" t="s">
        <v>921</v>
      </c>
      <c r="AD502" t="s">
        <v>365</v>
      </c>
      <c r="AE502" t="s">
        <v>922</v>
      </c>
      <c r="AF502" t="s">
        <v>923</v>
      </c>
      <c r="AG502" t="s">
        <v>102</v>
      </c>
      <c r="AH502" t="s">
        <v>299</v>
      </c>
      <c r="AI502">
        <v>46081</v>
      </c>
      <c r="AJ502">
        <v>46122</v>
      </c>
      <c r="AK502" t="s">
        <v>137</v>
      </c>
      <c r="AL502" t="s">
        <v>142</v>
      </c>
      <c r="AM502" t="s">
        <v>138</v>
      </c>
      <c r="AN502" t="s">
        <v>107</v>
      </c>
      <c r="AO502" t="s">
        <v>107</v>
      </c>
      <c r="AP502">
        <v>20000</v>
      </c>
      <c r="AQ502">
        <v>20000</v>
      </c>
      <c r="AR502">
        <v>0</v>
      </c>
      <c r="AS502" t="s">
        <v>107</v>
      </c>
      <c r="AT502" t="s">
        <v>243</v>
      </c>
      <c r="AU502" t="s">
        <v>162</v>
      </c>
      <c r="AV502" t="s">
        <v>163</v>
      </c>
      <c r="AW502" t="s">
        <v>111</v>
      </c>
      <c r="AX502" t="s">
        <v>920</v>
      </c>
      <c r="AY502" t="s">
        <v>1720</v>
      </c>
      <c r="AZ502" t="s">
        <v>113</v>
      </c>
      <c r="BA502" t="s">
        <v>133</v>
      </c>
      <c r="BB502" t="s">
        <v>114</v>
      </c>
      <c r="BC502" t="s">
        <v>115</v>
      </c>
      <c r="BN502" t="s">
        <v>116</v>
      </c>
      <c r="BO502" t="s">
        <v>925</v>
      </c>
      <c r="BP502" t="s">
        <v>166</v>
      </c>
      <c r="BR502" t="s">
        <v>359</v>
      </c>
      <c r="BS502" t="s">
        <v>1721</v>
      </c>
      <c r="BW502" t="s">
        <v>1157</v>
      </c>
      <c r="BX502" t="s">
        <v>1158</v>
      </c>
      <c r="BY502" t="s">
        <v>123</v>
      </c>
      <c r="BZ502" t="s">
        <v>124</v>
      </c>
    </row>
    <row r="503" spans="1:78" x14ac:dyDescent="0.3">
      <c r="A503" t="s">
        <v>11</v>
      </c>
      <c r="B503" t="s">
        <v>92</v>
      </c>
      <c r="C503" t="s">
        <v>93</v>
      </c>
      <c r="D503" t="s">
        <v>94</v>
      </c>
      <c r="E503" t="s">
        <v>95</v>
      </c>
      <c r="F503" t="s">
        <v>309</v>
      </c>
      <c r="G503">
        <v>430000</v>
      </c>
      <c r="H503">
        <v>430000</v>
      </c>
      <c r="AA503" t="s">
        <v>919</v>
      </c>
      <c r="AB503" t="s">
        <v>920</v>
      </c>
      <c r="AC503" t="s">
        <v>921</v>
      </c>
      <c r="AD503" t="s">
        <v>365</v>
      </c>
      <c r="AE503" t="s">
        <v>922</v>
      </c>
      <c r="AF503" t="s">
        <v>923</v>
      </c>
      <c r="AG503" t="s">
        <v>102</v>
      </c>
      <c r="AH503" t="s">
        <v>299</v>
      </c>
      <c r="AI503">
        <v>46234</v>
      </c>
      <c r="AK503" t="s">
        <v>218</v>
      </c>
      <c r="AL503" t="s">
        <v>105</v>
      </c>
      <c r="AM503" t="s">
        <v>1722</v>
      </c>
      <c r="AN503" t="s">
        <v>107</v>
      </c>
      <c r="AO503" t="s">
        <v>107</v>
      </c>
      <c r="AP503">
        <v>387000</v>
      </c>
      <c r="AQ503">
        <v>0</v>
      </c>
      <c r="AR503">
        <v>387000</v>
      </c>
      <c r="AT503" t="s">
        <v>243</v>
      </c>
      <c r="AZ503" t="s">
        <v>113</v>
      </c>
      <c r="BC503" t="s">
        <v>1160</v>
      </c>
      <c r="BN503" t="s">
        <v>113</v>
      </c>
      <c r="BO503" t="s">
        <v>925</v>
      </c>
      <c r="BP503" t="s">
        <v>166</v>
      </c>
      <c r="BR503" t="s">
        <v>359</v>
      </c>
      <c r="BW503" t="s">
        <v>1157</v>
      </c>
      <c r="BX503" t="s">
        <v>1158</v>
      </c>
      <c r="BY503" t="s">
        <v>123</v>
      </c>
      <c r="BZ503" t="s">
        <v>124</v>
      </c>
    </row>
    <row r="504" spans="1:78" x14ac:dyDescent="0.3">
      <c r="A504" t="s">
        <v>2</v>
      </c>
      <c r="B504" t="s">
        <v>92</v>
      </c>
      <c r="C504" t="s">
        <v>93</v>
      </c>
      <c r="D504" t="s">
        <v>94</v>
      </c>
      <c r="E504" t="s">
        <v>95</v>
      </c>
      <c r="F504" t="s">
        <v>935</v>
      </c>
      <c r="G504">
        <v>415000</v>
      </c>
      <c r="H504">
        <v>415000</v>
      </c>
      <c r="AA504" t="s">
        <v>936</v>
      </c>
      <c r="AB504" t="s">
        <v>937</v>
      </c>
      <c r="AC504" t="s">
        <v>938</v>
      </c>
      <c r="AE504" t="s">
        <v>939</v>
      </c>
      <c r="AF504" t="s">
        <v>940</v>
      </c>
      <c r="AG504" t="s">
        <v>941</v>
      </c>
      <c r="AH504" t="s">
        <v>942</v>
      </c>
      <c r="AI504">
        <v>46024</v>
      </c>
      <c r="AJ504">
        <v>46133</v>
      </c>
      <c r="AK504" t="s">
        <v>137</v>
      </c>
      <c r="AL504" t="s">
        <v>142</v>
      </c>
      <c r="AM504" t="s">
        <v>1723</v>
      </c>
      <c r="AN504" t="s">
        <v>107</v>
      </c>
      <c r="AO504" t="s">
        <v>107</v>
      </c>
      <c r="AP504">
        <v>129500</v>
      </c>
      <c r="AQ504">
        <v>129500</v>
      </c>
      <c r="AR504">
        <v>0</v>
      </c>
      <c r="AS504" t="s">
        <v>107</v>
      </c>
      <c r="AT504" t="s">
        <v>243</v>
      </c>
      <c r="AU504" t="s">
        <v>109</v>
      </c>
      <c r="AV504" t="s">
        <v>110</v>
      </c>
      <c r="AW504" t="s">
        <v>111</v>
      </c>
      <c r="AY504" t="s">
        <v>1724</v>
      </c>
      <c r="AZ504" t="s">
        <v>113</v>
      </c>
      <c r="BB504" t="s">
        <v>114</v>
      </c>
      <c r="BC504" t="s">
        <v>115</v>
      </c>
      <c r="BN504" t="s">
        <v>116</v>
      </c>
      <c r="BO504" t="s">
        <v>944</v>
      </c>
      <c r="BP504" t="s">
        <v>166</v>
      </c>
      <c r="BR504" t="s">
        <v>945</v>
      </c>
      <c r="BS504" t="s">
        <v>1725</v>
      </c>
      <c r="BW504" t="s">
        <v>1157</v>
      </c>
      <c r="BX504" t="s">
        <v>1158</v>
      </c>
      <c r="BY504" t="s">
        <v>123</v>
      </c>
      <c r="BZ504" t="s">
        <v>124</v>
      </c>
    </row>
    <row r="505" spans="1:78" x14ac:dyDescent="0.3">
      <c r="A505" t="s">
        <v>2</v>
      </c>
      <c r="B505" t="s">
        <v>92</v>
      </c>
      <c r="C505" t="s">
        <v>93</v>
      </c>
      <c r="D505" t="s">
        <v>94</v>
      </c>
      <c r="E505" t="s">
        <v>95</v>
      </c>
      <c r="F505" t="s">
        <v>935</v>
      </c>
      <c r="G505">
        <v>415000</v>
      </c>
      <c r="H505">
        <v>415000</v>
      </c>
      <c r="AA505" t="s">
        <v>936</v>
      </c>
      <c r="AB505" t="s">
        <v>937</v>
      </c>
      <c r="AC505" t="s">
        <v>938</v>
      </c>
      <c r="AE505" t="s">
        <v>939</v>
      </c>
      <c r="AF505" t="s">
        <v>940</v>
      </c>
      <c r="AG505" t="s">
        <v>941</v>
      </c>
      <c r="AH505" t="s">
        <v>942</v>
      </c>
      <c r="AI505">
        <v>46142</v>
      </c>
      <c r="AJ505">
        <v>46203</v>
      </c>
      <c r="AK505" t="s">
        <v>218</v>
      </c>
      <c r="AL505" t="s">
        <v>105</v>
      </c>
      <c r="AM505" t="s">
        <v>1726</v>
      </c>
      <c r="AN505" t="s">
        <v>107</v>
      </c>
      <c r="AO505" t="s">
        <v>107</v>
      </c>
      <c r="AP505">
        <v>244000</v>
      </c>
      <c r="AQ505">
        <v>244000</v>
      </c>
      <c r="AR505">
        <v>0</v>
      </c>
      <c r="AS505" t="s">
        <v>107</v>
      </c>
      <c r="AT505" t="s">
        <v>243</v>
      </c>
      <c r="AU505" t="s">
        <v>109</v>
      </c>
      <c r="AV505" t="s">
        <v>110</v>
      </c>
      <c r="AW505" t="s">
        <v>111</v>
      </c>
      <c r="AY505" t="s">
        <v>1727</v>
      </c>
      <c r="AZ505" t="s">
        <v>116</v>
      </c>
      <c r="BB505" t="s">
        <v>114</v>
      </c>
      <c r="BC505" t="s">
        <v>115</v>
      </c>
      <c r="BN505" t="s">
        <v>116</v>
      </c>
      <c r="BO505" t="s">
        <v>944</v>
      </c>
      <c r="BP505" t="s">
        <v>166</v>
      </c>
      <c r="BR505" t="s">
        <v>945</v>
      </c>
      <c r="BS505" t="s">
        <v>1728</v>
      </c>
      <c r="BW505" t="s">
        <v>1157</v>
      </c>
      <c r="BX505" t="s">
        <v>1158</v>
      </c>
      <c r="BY505" t="s">
        <v>123</v>
      </c>
      <c r="BZ505" t="s">
        <v>124</v>
      </c>
    </row>
    <row r="506" spans="1:78" x14ac:dyDescent="0.3">
      <c r="A506" t="s">
        <v>12</v>
      </c>
      <c r="B506" t="s">
        <v>92</v>
      </c>
      <c r="C506" t="s">
        <v>93</v>
      </c>
      <c r="D506" t="s">
        <v>94</v>
      </c>
      <c r="E506" t="s">
        <v>95</v>
      </c>
      <c r="F506" t="s">
        <v>169</v>
      </c>
      <c r="G506">
        <v>386000</v>
      </c>
      <c r="H506">
        <v>386000</v>
      </c>
      <c r="I506" t="s">
        <v>93</v>
      </c>
      <c r="J506" t="s">
        <v>94</v>
      </c>
      <c r="K506" t="s">
        <v>202</v>
      </c>
      <c r="L506" t="s">
        <v>949</v>
      </c>
      <c r="M506">
        <v>46800</v>
      </c>
      <c r="N506">
        <v>46800</v>
      </c>
      <c r="AA506" t="s">
        <v>950</v>
      </c>
      <c r="AB506" t="s">
        <v>951</v>
      </c>
      <c r="AC506" t="s">
        <v>952</v>
      </c>
      <c r="AD506" t="s">
        <v>365</v>
      </c>
      <c r="AE506" t="s">
        <v>953</v>
      </c>
      <c r="AF506" t="s">
        <v>954</v>
      </c>
      <c r="AG506" t="s">
        <v>102</v>
      </c>
      <c r="AH506" t="s">
        <v>955</v>
      </c>
      <c r="AI506">
        <v>46031</v>
      </c>
      <c r="AJ506">
        <v>46031</v>
      </c>
      <c r="AK506" t="s">
        <v>137</v>
      </c>
      <c r="AL506" t="s">
        <v>105</v>
      </c>
      <c r="AM506" t="s">
        <v>1729</v>
      </c>
      <c r="AN506" t="s">
        <v>107</v>
      </c>
      <c r="AO506" t="s">
        <v>107</v>
      </c>
      <c r="AP506">
        <v>18640</v>
      </c>
      <c r="AQ506">
        <v>18640</v>
      </c>
      <c r="AR506">
        <v>0</v>
      </c>
      <c r="AS506" t="s">
        <v>107</v>
      </c>
      <c r="AT506" t="s">
        <v>108</v>
      </c>
      <c r="AU506" t="s">
        <v>109</v>
      </c>
      <c r="AV506" t="s">
        <v>451</v>
      </c>
      <c r="AW506" t="s">
        <v>111</v>
      </c>
      <c r="AY506" t="s">
        <v>1730</v>
      </c>
      <c r="AZ506" t="s">
        <v>113</v>
      </c>
      <c r="BB506" t="s">
        <v>114</v>
      </c>
      <c r="BC506" t="s">
        <v>115</v>
      </c>
      <c r="BN506" t="s">
        <v>113</v>
      </c>
      <c r="BO506" t="s">
        <v>957</v>
      </c>
      <c r="BP506" t="s">
        <v>370</v>
      </c>
      <c r="BR506" t="s">
        <v>371</v>
      </c>
      <c r="BS506" t="s">
        <v>1731</v>
      </c>
      <c r="BW506" t="s">
        <v>1157</v>
      </c>
      <c r="BX506" t="s">
        <v>1158</v>
      </c>
      <c r="BY506" t="s">
        <v>123</v>
      </c>
      <c r="BZ506" t="s">
        <v>124</v>
      </c>
    </row>
    <row r="507" spans="1:78" x14ac:dyDescent="0.3">
      <c r="A507" t="s">
        <v>12</v>
      </c>
      <c r="B507" t="s">
        <v>92</v>
      </c>
      <c r="C507" t="s">
        <v>93</v>
      </c>
      <c r="D507" t="s">
        <v>94</v>
      </c>
      <c r="E507" t="s">
        <v>95</v>
      </c>
      <c r="F507" t="s">
        <v>169</v>
      </c>
      <c r="G507">
        <v>386000</v>
      </c>
      <c r="H507">
        <v>386000</v>
      </c>
      <c r="I507" t="s">
        <v>93</v>
      </c>
      <c r="J507" t="s">
        <v>94</v>
      </c>
      <c r="K507" t="s">
        <v>202</v>
      </c>
      <c r="L507" t="s">
        <v>949</v>
      </c>
      <c r="M507">
        <v>46800</v>
      </c>
      <c r="N507">
        <v>46800</v>
      </c>
      <c r="AA507" t="s">
        <v>950</v>
      </c>
      <c r="AB507" t="s">
        <v>951</v>
      </c>
      <c r="AC507" t="s">
        <v>952</v>
      </c>
      <c r="AD507" t="s">
        <v>365</v>
      </c>
      <c r="AE507" t="s">
        <v>953</v>
      </c>
      <c r="AF507" t="s">
        <v>954</v>
      </c>
      <c r="AG507" t="s">
        <v>102</v>
      </c>
      <c r="AH507" t="s">
        <v>955</v>
      </c>
      <c r="AI507">
        <v>46188</v>
      </c>
      <c r="AK507" t="s">
        <v>218</v>
      </c>
      <c r="AL507" t="s">
        <v>105</v>
      </c>
      <c r="AM507" t="s">
        <v>1732</v>
      </c>
      <c r="AN507" t="s">
        <v>107</v>
      </c>
      <c r="AO507" t="s">
        <v>107</v>
      </c>
      <c r="AP507">
        <v>205580</v>
      </c>
      <c r="AQ507">
        <v>0</v>
      </c>
      <c r="AR507">
        <v>205580</v>
      </c>
      <c r="AT507" t="s">
        <v>108</v>
      </c>
      <c r="AZ507" t="s">
        <v>113</v>
      </c>
      <c r="BC507" t="s">
        <v>543</v>
      </c>
      <c r="BN507" t="s">
        <v>113</v>
      </c>
      <c r="BO507" t="s">
        <v>957</v>
      </c>
      <c r="BP507" t="s">
        <v>370</v>
      </c>
      <c r="BR507" t="s">
        <v>371</v>
      </c>
      <c r="BW507" t="s">
        <v>1157</v>
      </c>
      <c r="BX507" t="s">
        <v>1158</v>
      </c>
      <c r="BY507" t="s">
        <v>123</v>
      </c>
      <c r="BZ507" t="s">
        <v>124</v>
      </c>
    </row>
    <row r="508" spans="1:78" x14ac:dyDescent="0.3">
      <c r="A508" t="s">
        <v>12</v>
      </c>
      <c r="B508" t="s">
        <v>92</v>
      </c>
      <c r="C508" t="s">
        <v>93</v>
      </c>
      <c r="D508" t="s">
        <v>94</v>
      </c>
      <c r="E508" t="s">
        <v>95</v>
      </c>
      <c r="F508" t="s">
        <v>169</v>
      </c>
      <c r="G508">
        <v>386000</v>
      </c>
      <c r="H508">
        <v>386000</v>
      </c>
      <c r="I508" t="s">
        <v>93</v>
      </c>
      <c r="J508" t="s">
        <v>94</v>
      </c>
      <c r="K508" t="s">
        <v>202</v>
      </c>
      <c r="L508" t="s">
        <v>949</v>
      </c>
      <c r="M508">
        <v>46800</v>
      </c>
      <c r="N508">
        <v>46800</v>
      </c>
      <c r="AA508" t="s">
        <v>950</v>
      </c>
      <c r="AB508" t="s">
        <v>951</v>
      </c>
      <c r="AC508" t="s">
        <v>952</v>
      </c>
      <c r="AD508" t="s">
        <v>365</v>
      </c>
      <c r="AE508" t="s">
        <v>953</v>
      </c>
      <c r="AF508" t="s">
        <v>954</v>
      </c>
      <c r="AG508" t="s">
        <v>102</v>
      </c>
      <c r="AH508" t="s">
        <v>955</v>
      </c>
      <c r="AI508">
        <v>46234</v>
      </c>
      <c r="AK508" t="s">
        <v>218</v>
      </c>
      <c r="AL508" t="s">
        <v>142</v>
      </c>
      <c r="AM508" t="s">
        <v>1732</v>
      </c>
      <c r="AN508" t="s">
        <v>107</v>
      </c>
      <c r="AO508" t="s">
        <v>107</v>
      </c>
      <c r="AP508">
        <v>205580</v>
      </c>
      <c r="AQ508">
        <v>0</v>
      </c>
      <c r="AR508">
        <v>205580</v>
      </c>
      <c r="AT508" t="s">
        <v>108</v>
      </c>
      <c r="AZ508" t="s">
        <v>113</v>
      </c>
      <c r="BC508" t="s">
        <v>1160</v>
      </c>
      <c r="BN508" t="s">
        <v>113</v>
      </c>
      <c r="BO508" t="s">
        <v>957</v>
      </c>
      <c r="BP508" t="s">
        <v>370</v>
      </c>
      <c r="BR508" t="s">
        <v>371</v>
      </c>
      <c r="BW508" t="s">
        <v>1157</v>
      </c>
      <c r="BX508" t="s">
        <v>1158</v>
      </c>
      <c r="BY508" t="s">
        <v>123</v>
      </c>
      <c r="BZ508" t="s">
        <v>124</v>
      </c>
    </row>
    <row r="509" spans="1:78" x14ac:dyDescent="0.3">
      <c r="A509" t="s">
        <v>2</v>
      </c>
      <c r="B509" t="s">
        <v>92</v>
      </c>
      <c r="C509" t="s">
        <v>93</v>
      </c>
      <c r="D509" t="s">
        <v>94</v>
      </c>
      <c r="E509" t="s">
        <v>95</v>
      </c>
      <c r="F509" t="s">
        <v>1733</v>
      </c>
      <c r="G509">
        <v>417700</v>
      </c>
      <c r="H509">
        <v>417700</v>
      </c>
      <c r="AA509" t="s">
        <v>1734</v>
      </c>
      <c r="AB509" t="s">
        <v>1735</v>
      </c>
      <c r="AC509" t="s">
        <v>1736</v>
      </c>
      <c r="AE509" t="s">
        <v>1737</v>
      </c>
      <c r="AF509" t="s">
        <v>1738</v>
      </c>
      <c r="AG509" t="s">
        <v>102</v>
      </c>
      <c r="AH509" t="s">
        <v>131</v>
      </c>
      <c r="AI509">
        <v>46090</v>
      </c>
      <c r="AJ509">
        <v>46090</v>
      </c>
      <c r="AK509" t="s">
        <v>104</v>
      </c>
      <c r="AL509" t="s">
        <v>105</v>
      </c>
      <c r="AM509" t="s">
        <v>106</v>
      </c>
      <c r="AN509" t="s">
        <v>107</v>
      </c>
      <c r="AO509" t="s">
        <v>107</v>
      </c>
      <c r="AP509">
        <v>3000</v>
      </c>
      <c r="AQ509">
        <v>3000</v>
      </c>
      <c r="AR509">
        <v>0</v>
      </c>
      <c r="AS509" t="s">
        <v>107</v>
      </c>
      <c r="AT509" t="s">
        <v>243</v>
      </c>
      <c r="AU509" t="s">
        <v>109</v>
      </c>
      <c r="AV509" t="s">
        <v>110</v>
      </c>
      <c r="AW509" t="s">
        <v>111</v>
      </c>
      <c r="AX509" t="s">
        <v>1735</v>
      </c>
      <c r="AY509" t="s">
        <v>1739</v>
      </c>
      <c r="AZ509" t="s">
        <v>113</v>
      </c>
      <c r="BA509" t="s">
        <v>133</v>
      </c>
      <c r="BB509" t="s">
        <v>211</v>
      </c>
      <c r="BC509" t="s">
        <v>115</v>
      </c>
      <c r="BN509" t="s">
        <v>116</v>
      </c>
      <c r="BO509" t="s">
        <v>1740</v>
      </c>
      <c r="BP509" t="s">
        <v>166</v>
      </c>
      <c r="BR509" t="s">
        <v>1135</v>
      </c>
      <c r="BS509" t="s">
        <v>214</v>
      </c>
      <c r="BW509" t="s">
        <v>1157</v>
      </c>
      <c r="BX509" t="s">
        <v>1158</v>
      </c>
      <c r="BY509" t="s">
        <v>123</v>
      </c>
      <c r="BZ509" t="s">
        <v>124</v>
      </c>
    </row>
    <row r="510" spans="1:78" x14ac:dyDescent="0.3">
      <c r="A510" t="s">
        <v>2</v>
      </c>
      <c r="B510" t="s">
        <v>92</v>
      </c>
      <c r="C510" t="s">
        <v>93</v>
      </c>
      <c r="D510" t="s">
        <v>94</v>
      </c>
      <c r="E510" t="s">
        <v>95</v>
      </c>
      <c r="F510" t="s">
        <v>1733</v>
      </c>
      <c r="G510">
        <v>417700</v>
      </c>
      <c r="H510">
        <v>417700</v>
      </c>
      <c r="AA510" t="s">
        <v>1734</v>
      </c>
      <c r="AB510" t="s">
        <v>1735</v>
      </c>
      <c r="AC510" t="s">
        <v>1736</v>
      </c>
      <c r="AE510" t="s">
        <v>1737</v>
      </c>
      <c r="AF510" t="s">
        <v>1738</v>
      </c>
      <c r="AG510" t="s">
        <v>102</v>
      </c>
      <c r="AH510" t="s">
        <v>131</v>
      </c>
      <c r="AI510">
        <v>46104</v>
      </c>
      <c r="AJ510">
        <v>46139</v>
      </c>
      <c r="AK510" t="s">
        <v>137</v>
      </c>
      <c r="AL510" t="s">
        <v>142</v>
      </c>
      <c r="AM510" t="s">
        <v>1741</v>
      </c>
      <c r="AN510" t="s">
        <v>107</v>
      </c>
      <c r="AO510" t="s">
        <v>107</v>
      </c>
      <c r="AP510">
        <v>40770</v>
      </c>
      <c r="AQ510">
        <v>20770</v>
      </c>
      <c r="AR510">
        <v>20000</v>
      </c>
      <c r="AS510" t="s">
        <v>107</v>
      </c>
      <c r="AT510" t="s">
        <v>243</v>
      </c>
      <c r="AU510" t="s">
        <v>109</v>
      </c>
      <c r="AV510" t="s">
        <v>110</v>
      </c>
      <c r="AW510" t="s">
        <v>111</v>
      </c>
      <c r="AX510" t="s">
        <v>1735</v>
      </c>
      <c r="AY510" t="s">
        <v>1742</v>
      </c>
      <c r="AZ510" t="s">
        <v>113</v>
      </c>
      <c r="BA510" t="s">
        <v>133</v>
      </c>
      <c r="BB510" t="s">
        <v>114</v>
      </c>
      <c r="BC510" t="s">
        <v>543</v>
      </c>
      <c r="BN510" t="s">
        <v>116</v>
      </c>
      <c r="BO510" t="s">
        <v>1740</v>
      </c>
      <c r="BP510" t="s">
        <v>166</v>
      </c>
      <c r="BR510" t="s">
        <v>1135</v>
      </c>
      <c r="BS510" t="s">
        <v>1743</v>
      </c>
      <c r="BW510" t="s">
        <v>1157</v>
      </c>
      <c r="BX510" t="s">
        <v>1158</v>
      </c>
      <c r="BY510" t="s">
        <v>123</v>
      </c>
      <c r="BZ510" t="s">
        <v>124</v>
      </c>
    </row>
    <row r="511" spans="1:78" x14ac:dyDescent="0.3">
      <c r="A511" t="s">
        <v>2</v>
      </c>
      <c r="B511" t="s">
        <v>92</v>
      </c>
      <c r="C511" t="s">
        <v>93</v>
      </c>
      <c r="D511" t="s">
        <v>94</v>
      </c>
      <c r="E511" t="s">
        <v>95</v>
      </c>
      <c r="F511" t="s">
        <v>1733</v>
      </c>
      <c r="G511">
        <v>417700</v>
      </c>
      <c r="H511">
        <v>417700</v>
      </c>
      <c r="AA511" t="s">
        <v>1734</v>
      </c>
      <c r="AB511" t="s">
        <v>1735</v>
      </c>
      <c r="AC511" t="s">
        <v>1736</v>
      </c>
      <c r="AE511" t="s">
        <v>1737</v>
      </c>
      <c r="AF511" t="s">
        <v>1738</v>
      </c>
      <c r="AG511" t="s">
        <v>102</v>
      </c>
      <c r="AH511" t="s">
        <v>131</v>
      </c>
      <c r="AI511">
        <v>46142</v>
      </c>
      <c r="AK511" t="s">
        <v>218</v>
      </c>
      <c r="AL511" t="s">
        <v>146</v>
      </c>
      <c r="AM511" t="s">
        <v>1744</v>
      </c>
      <c r="AN511" t="s">
        <v>107</v>
      </c>
      <c r="AO511" t="s">
        <v>107</v>
      </c>
      <c r="AP511">
        <v>373930</v>
      </c>
      <c r="AQ511">
        <v>0</v>
      </c>
      <c r="AR511">
        <v>373930</v>
      </c>
      <c r="AT511" t="s">
        <v>243</v>
      </c>
      <c r="AZ511" t="s">
        <v>113</v>
      </c>
      <c r="BC511" t="s">
        <v>543</v>
      </c>
      <c r="BN511" t="s">
        <v>113</v>
      </c>
      <c r="BO511" t="s">
        <v>1740</v>
      </c>
      <c r="BP511" t="s">
        <v>166</v>
      </c>
      <c r="BR511" t="s">
        <v>1135</v>
      </c>
      <c r="BW511" t="s">
        <v>1157</v>
      </c>
      <c r="BX511" t="s">
        <v>1158</v>
      </c>
      <c r="BY511" t="s">
        <v>123</v>
      </c>
      <c r="BZ511" t="s">
        <v>124</v>
      </c>
    </row>
    <row r="512" spans="1:78" x14ac:dyDescent="0.3">
      <c r="A512" t="s">
        <v>11</v>
      </c>
      <c r="B512" t="s">
        <v>92</v>
      </c>
      <c r="C512" t="s">
        <v>93</v>
      </c>
      <c r="D512" t="s">
        <v>94</v>
      </c>
      <c r="E512" t="s">
        <v>202</v>
      </c>
      <c r="F512" t="s">
        <v>1745</v>
      </c>
      <c r="G512">
        <v>50500</v>
      </c>
      <c r="H512">
        <v>50500</v>
      </c>
      <c r="AA512" t="s">
        <v>1746</v>
      </c>
      <c r="AB512" t="s">
        <v>1747</v>
      </c>
      <c r="AC512" t="s">
        <v>336</v>
      </c>
      <c r="AE512" t="s">
        <v>1748</v>
      </c>
      <c r="AF512" t="s">
        <v>1749</v>
      </c>
      <c r="AG512" t="s">
        <v>102</v>
      </c>
      <c r="AH512" t="s">
        <v>339</v>
      </c>
      <c r="AI512">
        <v>46044</v>
      </c>
      <c r="AJ512">
        <v>46044</v>
      </c>
      <c r="AK512" t="s">
        <v>104</v>
      </c>
      <c r="AL512" t="s">
        <v>105</v>
      </c>
      <c r="AM512" t="s">
        <v>106</v>
      </c>
      <c r="AN512" t="s">
        <v>107</v>
      </c>
      <c r="AO512" t="s">
        <v>107</v>
      </c>
      <c r="AP512">
        <v>3000</v>
      </c>
      <c r="AQ512">
        <v>3000</v>
      </c>
      <c r="AR512">
        <v>0</v>
      </c>
      <c r="AS512" t="s">
        <v>107</v>
      </c>
      <c r="AT512" t="s">
        <v>161</v>
      </c>
      <c r="AU512" t="s">
        <v>162</v>
      </c>
      <c r="AV512" t="s">
        <v>163</v>
      </c>
      <c r="AW512" t="s">
        <v>111</v>
      </c>
      <c r="AY512" t="s">
        <v>1750</v>
      </c>
      <c r="AZ512" t="s">
        <v>113</v>
      </c>
      <c r="BB512" t="s">
        <v>211</v>
      </c>
      <c r="BC512" t="s">
        <v>115</v>
      </c>
      <c r="BN512" t="s">
        <v>113</v>
      </c>
      <c r="BO512" t="s">
        <v>1751</v>
      </c>
      <c r="BP512" t="s">
        <v>166</v>
      </c>
      <c r="BR512" t="s">
        <v>426</v>
      </c>
      <c r="BS512" t="s">
        <v>1026</v>
      </c>
      <c r="BW512" t="s">
        <v>1157</v>
      </c>
      <c r="BX512" t="s">
        <v>1158</v>
      </c>
      <c r="BY512" t="s">
        <v>123</v>
      </c>
      <c r="BZ512" t="s">
        <v>124</v>
      </c>
    </row>
    <row r="513" spans="1:78" x14ac:dyDescent="0.3">
      <c r="A513" t="s">
        <v>11</v>
      </c>
      <c r="B513" t="s">
        <v>92</v>
      </c>
      <c r="C513" t="s">
        <v>93</v>
      </c>
      <c r="D513" t="s">
        <v>94</v>
      </c>
      <c r="E513" t="s">
        <v>202</v>
      </c>
      <c r="F513" t="s">
        <v>1745</v>
      </c>
      <c r="G513">
        <v>50500</v>
      </c>
      <c r="H513">
        <v>50500</v>
      </c>
      <c r="AA513" t="s">
        <v>1746</v>
      </c>
      <c r="AB513" t="s">
        <v>1747</v>
      </c>
      <c r="AC513" t="s">
        <v>336</v>
      </c>
      <c r="AE513" t="s">
        <v>1748</v>
      </c>
      <c r="AF513" t="s">
        <v>1749</v>
      </c>
      <c r="AG513" t="s">
        <v>102</v>
      </c>
      <c r="AH513" t="s">
        <v>339</v>
      </c>
      <c r="AI513">
        <v>46172</v>
      </c>
      <c r="AK513" t="s">
        <v>137</v>
      </c>
      <c r="AL513" t="s">
        <v>142</v>
      </c>
      <c r="AM513" t="s">
        <v>1752</v>
      </c>
      <c r="AN513" t="s">
        <v>107</v>
      </c>
      <c r="AO513" t="s">
        <v>107</v>
      </c>
      <c r="AP513">
        <v>9000</v>
      </c>
      <c r="AQ513">
        <v>0</v>
      </c>
      <c r="AR513">
        <v>9000</v>
      </c>
      <c r="AT513" t="s">
        <v>161</v>
      </c>
      <c r="AZ513" t="s">
        <v>113</v>
      </c>
      <c r="BC513" t="s">
        <v>543</v>
      </c>
      <c r="BN513" t="s">
        <v>113</v>
      </c>
      <c r="BO513" t="s">
        <v>1751</v>
      </c>
      <c r="BP513" t="s">
        <v>166</v>
      </c>
      <c r="BR513" t="s">
        <v>426</v>
      </c>
      <c r="BW513" t="s">
        <v>1157</v>
      </c>
      <c r="BX513" t="s">
        <v>1158</v>
      </c>
      <c r="BY513" t="s">
        <v>123</v>
      </c>
      <c r="BZ513" t="s">
        <v>124</v>
      </c>
    </row>
    <row r="514" spans="1:78" x14ac:dyDescent="0.3">
      <c r="A514" t="s">
        <v>11</v>
      </c>
      <c r="B514" t="s">
        <v>92</v>
      </c>
      <c r="C514" t="s">
        <v>93</v>
      </c>
      <c r="D514" t="s">
        <v>94</v>
      </c>
      <c r="E514" t="s">
        <v>202</v>
      </c>
      <c r="F514" t="s">
        <v>1745</v>
      </c>
      <c r="G514">
        <v>50500</v>
      </c>
      <c r="H514">
        <v>50500</v>
      </c>
      <c r="AA514" t="s">
        <v>1746</v>
      </c>
      <c r="AB514" t="s">
        <v>1747</v>
      </c>
      <c r="AC514" t="s">
        <v>336</v>
      </c>
      <c r="AE514" t="s">
        <v>1748</v>
      </c>
      <c r="AF514" t="s">
        <v>1749</v>
      </c>
      <c r="AG514" t="s">
        <v>102</v>
      </c>
      <c r="AH514" t="s">
        <v>339</v>
      </c>
      <c r="AI514">
        <v>46188</v>
      </c>
      <c r="AK514" t="s">
        <v>137</v>
      </c>
      <c r="AL514" t="s">
        <v>146</v>
      </c>
      <c r="AM514" t="s">
        <v>106</v>
      </c>
      <c r="AN514" t="s">
        <v>107</v>
      </c>
      <c r="AO514" t="s">
        <v>107</v>
      </c>
      <c r="AP514">
        <v>3000</v>
      </c>
      <c r="AQ514">
        <v>0</v>
      </c>
      <c r="AR514">
        <v>3000</v>
      </c>
      <c r="AT514" t="s">
        <v>161</v>
      </c>
      <c r="AZ514" t="s">
        <v>113</v>
      </c>
      <c r="BC514" t="s">
        <v>543</v>
      </c>
      <c r="BN514" t="s">
        <v>113</v>
      </c>
      <c r="BO514" t="s">
        <v>1751</v>
      </c>
      <c r="BP514" t="s">
        <v>166</v>
      </c>
      <c r="BR514" t="s">
        <v>426</v>
      </c>
      <c r="BW514" t="s">
        <v>1157</v>
      </c>
      <c r="BX514" t="s">
        <v>1158</v>
      </c>
      <c r="BY514" t="s">
        <v>123</v>
      </c>
      <c r="BZ514" t="s">
        <v>124</v>
      </c>
    </row>
    <row r="515" spans="1:78" x14ac:dyDescent="0.3">
      <c r="A515" t="s">
        <v>11</v>
      </c>
      <c r="B515" t="s">
        <v>92</v>
      </c>
      <c r="C515" t="s">
        <v>93</v>
      </c>
      <c r="D515" t="s">
        <v>94</v>
      </c>
      <c r="E515" t="s">
        <v>202</v>
      </c>
      <c r="F515" t="s">
        <v>1745</v>
      </c>
      <c r="G515">
        <v>50500</v>
      </c>
      <c r="H515">
        <v>50500</v>
      </c>
      <c r="AA515" t="s">
        <v>1746</v>
      </c>
      <c r="AB515" t="s">
        <v>1747</v>
      </c>
      <c r="AC515" t="s">
        <v>336</v>
      </c>
      <c r="AE515" t="s">
        <v>1748</v>
      </c>
      <c r="AF515" t="s">
        <v>1749</v>
      </c>
      <c r="AG515" t="s">
        <v>102</v>
      </c>
      <c r="AH515" t="s">
        <v>339</v>
      </c>
      <c r="AI515">
        <v>46202</v>
      </c>
      <c r="AK515" t="s">
        <v>218</v>
      </c>
      <c r="AL515" t="s">
        <v>152</v>
      </c>
      <c r="AM515" t="s">
        <v>192</v>
      </c>
      <c r="AN515" t="s">
        <v>107</v>
      </c>
      <c r="AO515" t="s">
        <v>107</v>
      </c>
      <c r="AP515">
        <v>27000</v>
      </c>
      <c r="AQ515">
        <v>0</v>
      </c>
      <c r="AR515">
        <v>27000</v>
      </c>
      <c r="AT515" t="s">
        <v>161</v>
      </c>
      <c r="AZ515" t="s">
        <v>113</v>
      </c>
      <c r="BC515" t="s">
        <v>543</v>
      </c>
      <c r="BN515" t="s">
        <v>113</v>
      </c>
      <c r="BO515" t="s">
        <v>1751</v>
      </c>
      <c r="BP515" t="s">
        <v>166</v>
      </c>
      <c r="BR515" t="s">
        <v>426</v>
      </c>
      <c r="BW515" t="s">
        <v>1157</v>
      </c>
      <c r="BX515" t="s">
        <v>1158</v>
      </c>
      <c r="BY515" t="s">
        <v>123</v>
      </c>
      <c r="BZ515" t="s">
        <v>124</v>
      </c>
    </row>
    <row r="516" spans="1:78" x14ac:dyDescent="0.3">
      <c r="A516" t="s">
        <v>11</v>
      </c>
      <c r="B516" t="s">
        <v>92</v>
      </c>
      <c r="C516" t="s">
        <v>93</v>
      </c>
      <c r="D516" t="s">
        <v>94</v>
      </c>
      <c r="E516" t="s">
        <v>202</v>
      </c>
      <c r="F516" t="s">
        <v>1745</v>
      </c>
      <c r="G516">
        <v>50500</v>
      </c>
      <c r="H516">
        <v>50500</v>
      </c>
      <c r="AA516" t="s">
        <v>1746</v>
      </c>
      <c r="AB516" t="s">
        <v>1747</v>
      </c>
      <c r="AC516" t="s">
        <v>336</v>
      </c>
      <c r="AE516" t="s">
        <v>1748</v>
      </c>
      <c r="AF516" t="s">
        <v>1749</v>
      </c>
      <c r="AG516" t="s">
        <v>102</v>
      </c>
      <c r="AH516" t="s">
        <v>339</v>
      </c>
      <c r="AI516">
        <v>46230</v>
      </c>
      <c r="AK516" t="s">
        <v>218</v>
      </c>
      <c r="AL516" t="s">
        <v>584</v>
      </c>
      <c r="AM516" t="s">
        <v>1753</v>
      </c>
      <c r="AN516" t="s">
        <v>107</v>
      </c>
      <c r="AO516" t="s">
        <v>107</v>
      </c>
      <c r="AP516">
        <v>8500</v>
      </c>
      <c r="AQ516">
        <v>0</v>
      </c>
      <c r="AR516">
        <v>8500</v>
      </c>
      <c r="AT516" t="s">
        <v>161</v>
      </c>
      <c r="AZ516" t="s">
        <v>113</v>
      </c>
      <c r="BC516" t="s">
        <v>1160</v>
      </c>
      <c r="BN516" t="s">
        <v>113</v>
      </c>
      <c r="BO516" t="s">
        <v>1751</v>
      </c>
      <c r="BP516" t="s">
        <v>166</v>
      </c>
      <c r="BR516" t="s">
        <v>426</v>
      </c>
      <c r="BW516" t="s">
        <v>1157</v>
      </c>
      <c r="BX516" t="s">
        <v>1158</v>
      </c>
      <c r="BY516" t="s">
        <v>123</v>
      </c>
      <c r="BZ516" t="s">
        <v>124</v>
      </c>
    </row>
    <row r="517" spans="1:78" x14ac:dyDescent="0.3">
      <c r="A517" t="s">
        <v>2</v>
      </c>
      <c r="B517" t="s">
        <v>92</v>
      </c>
      <c r="C517" t="s">
        <v>93</v>
      </c>
      <c r="D517" t="s">
        <v>94</v>
      </c>
      <c r="E517" t="s">
        <v>202</v>
      </c>
      <c r="F517" t="s">
        <v>1754</v>
      </c>
      <c r="G517">
        <v>50500</v>
      </c>
      <c r="H517">
        <v>50500</v>
      </c>
      <c r="AA517" t="s">
        <v>1746</v>
      </c>
      <c r="AB517" t="s">
        <v>1747</v>
      </c>
      <c r="AC517" t="s">
        <v>336</v>
      </c>
      <c r="AE517" t="s">
        <v>1748</v>
      </c>
      <c r="AF517" t="s">
        <v>1749</v>
      </c>
      <c r="AG517" t="s">
        <v>102</v>
      </c>
      <c r="AH517" t="s">
        <v>339</v>
      </c>
      <c r="AI517">
        <v>46044</v>
      </c>
      <c r="AJ517">
        <v>46044</v>
      </c>
      <c r="AK517" t="s">
        <v>104</v>
      </c>
      <c r="AL517" t="s">
        <v>105</v>
      </c>
      <c r="AM517" t="s">
        <v>106</v>
      </c>
      <c r="AN517" t="s">
        <v>107</v>
      </c>
      <c r="AO517" t="s">
        <v>107</v>
      </c>
      <c r="AP517">
        <v>3000</v>
      </c>
      <c r="AQ517">
        <v>3000</v>
      </c>
      <c r="AR517">
        <v>0</v>
      </c>
      <c r="AS517" t="s">
        <v>107</v>
      </c>
      <c r="AT517" t="s">
        <v>161</v>
      </c>
      <c r="AU517" t="s">
        <v>109</v>
      </c>
      <c r="AV517" t="s">
        <v>110</v>
      </c>
      <c r="AW517" t="s">
        <v>111</v>
      </c>
      <c r="AY517" t="s">
        <v>1750</v>
      </c>
      <c r="AZ517" t="s">
        <v>113</v>
      </c>
      <c r="BB517" t="s">
        <v>114</v>
      </c>
      <c r="BC517" t="s">
        <v>115</v>
      </c>
      <c r="BN517" t="s">
        <v>116</v>
      </c>
      <c r="BO517" t="s">
        <v>1751</v>
      </c>
      <c r="BP517" t="s">
        <v>166</v>
      </c>
      <c r="BR517" t="s">
        <v>371</v>
      </c>
      <c r="BS517" t="s">
        <v>1755</v>
      </c>
      <c r="BW517" t="s">
        <v>1157</v>
      </c>
      <c r="BX517" t="s">
        <v>1158</v>
      </c>
      <c r="BY517" t="s">
        <v>123</v>
      </c>
      <c r="BZ517" t="s">
        <v>124</v>
      </c>
    </row>
    <row r="518" spans="1:78" x14ac:dyDescent="0.3">
      <c r="A518" t="s">
        <v>2</v>
      </c>
      <c r="B518" t="s">
        <v>92</v>
      </c>
      <c r="C518" t="s">
        <v>93</v>
      </c>
      <c r="D518" t="s">
        <v>94</v>
      </c>
      <c r="E518" t="s">
        <v>202</v>
      </c>
      <c r="F518" t="s">
        <v>1754</v>
      </c>
      <c r="G518">
        <v>50500</v>
      </c>
      <c r="H518">
        <v>50500</v>
      </c>
      <c r="AA518" t="s">
        <v>1746</v>
      </c>
      <c r="AB518" t="s">
        <v>1747</v>
      </c>
      <c r="AC518" t="s">
        <v>336</v>
      </c>
      <c r="AE518" t="s">
        <v>1748</v>
      </c>
      <c r="AF518" t="s">
        <v>1749</v>
      </c>
      <c r="AG518" t="s">
        <v>102</v>
      </c>
      <c r="AH518" t="s">
        <v>339</v>
      </c>
      <c r="AI518">
        <v>46203</v>
      </c>
      <c r="AK518" t="s">
        <v>137</v>
      </c>
      <c r="AL518" t="s">
        <v>105</v>
      </c>
      <c r="AM518" t="s">
        <v>1752</v>
      </c>
      <c r="AN518" t="s">
        <v>107</v>
      </c>
      <c r="AO518" t="s">
        <v>107</v>
      </c>
      <c r="AP518">
        <v>9000</v>
      </c>
      <c r="AQ518">
        <v>0</v>
      </c>
      <c r="AR518">
        <v>9000</v>
      </c>
      <c r="AT518" t="s">
        <v>161</v>
      </c>
      <c r="AZ518" t="s">
        <v>113</v>
      </c>
      <c r="BC518" t="s">
        <v>543</v>
      </c>
      <c r="BN518" t="s">
        <v>113</v>
      </c>
      <c r="BO518" t="s">
        <v>1751</v>
      </c>
      <c r="BP518" t="s">
        <v>166</v>
      </c>
      <c r="BR518" t="s">
        <v>371</v>
      </c>
      <c r="BW518" t="s">
        <v>1157</v>
      </c>
      <c r="BX518" t="s">
        <v>1158</v>
      </c>
      <c r="BY518" t="s">
        <v>123</v>
      </c>
      <c r="BZ518" t="s">
        <v>124</v>
      </c>
    </row>
    <row r="519" spans="1:78" x14ac:dyDescent="0.3">
      <c r="A519" t="s">
        <v>2</v>
      </c>
      <c r="B519" t="s">
        <v>92</v>
      </c>
      <c r="C519" t="s">
        <v>93</v>
      </c>
      <c r="D519" t="s">
        <v>94</v>
      </c>
      <c r="E519" t="s">
        <v>202</v>
      </c>
      <c r="F519" t="s">
        <v>1754</v>
      </c>
      <c r="G519">
        <v>50500</v>
      </c>
      <c r="H519">
        <v>50500</v>
      </c>
      <c r="AA519" t="s">
        <v>1746</v>
      </c>
      <c r="AB519" t="s">
        <v>1747</v>
      </c>
      <c r="AC519" t="s">
        <v>336</v>
      </c>
      <c r="AE519" t="s">
        <v>1748</v>
      </c>
      <c r="AF519" t="s">
        <v>1749</v>
      </c>
      <c r="AG519" t="s">
        <v>102</v>
      </c>
      <c r="AH519" t="s">
        <v>339</v>
      </c>
      <c r="AI519">
        <v>46218</v>
      </c>
      <c r="AK519" t="s">
        <v>218</v>
      </c>
      <c r="AL519" t="s">
        <v>105</v>
      </c>
      <c r="AM519" t="s">
        <v>1756</v>
      </c>
      <c r="AN519" t="s">
        <v>107</v>
      </c>
      <c r="AO519" t="s">
        <v>107</v>
      </c>
      <c r="AP519">
        <v>12833.33</v>
      </c>
      <c r="AQ519">
        <v>0</v>
      </c>
      <c r="AR519">
        <v>12833.33</v>
      </c>
      <c r="AT519" t="s">
        <v>161</v>
      </c>
      <c r="AZ519" t="s">
        <v>113</v>
      </c>
      <c r="BC519" t="s">
        <v>1160</v>
      </c>
      <c r="BN519" t="s">
        <v>113</v>
      </c>
      <c r="BO519" t="s">
        <v>1751</v>
      </c>
      <c r="BP519" t="s">
        <v>166</v>
      </c>
      <c r="BR519" t="s">
        <v>371</v>
      </c>
      <c r="BW519" t="s">
        <v>1157</v>
      </c>
      <c r="BX519" t="s">
        <v>1158</v>
      </c>
      <c r="BY519" t="s">
        <v>123</v>
      </c>
      <c r="BZ519" t="s">
        <v>124</v>
      </c>
    </row>
    <row r="520" spans="1:78" x14ac:dyDescent="0.3">
      <c r="A520" t="s">
        <v>2</v>
      </c>
      <c r="B520" t="s">
        <v>92</v>
      </c>
      <c r="C520" t="s">
        <v>93</v>
      </c>
      <c r="D520" t="s">
        <v>94</v>
      </c>
      <c r="E520" t="s">
        <v>202</v>
      </c>
      <c r="F520" t="s">
        <v>1754</v>
      </c>
      <c r="G520">
        <v>50500</v>
      </c>
      <c r="H520">
        <v>50500</v>
      </c>
      <c r="AA520" t="s">
        <v>1746</v>
      </c>
      <c r="AB520" t="s">
        <v>1747</v>
      </c>
      <c r="AC520" t="s">
        <v>336</v>
      </c>
      <c r="AE520" t="s">
        <v>1748</v>
      </c>
      <c r="AF520" t="s">
        <v>1749</v>
      </c>
      <c r="AG520" t="s">
        <v>102</v>
      </c>
      <c r="AH520" t="s">
        <v>339</v>
      </c>
      <c r="AI520">
        <v>46249</v>
      </c>
      <c r="AK520" t="s">
        <v>218</v>
      </c>
      <c r="AL520" t="s">
        <v>142</v>
      </c>
      <c r="AM520" t="s">
        <v>1756</v>
      </c>
      <c r="AN520" t="s">
        <v>107</v>
      </c>
      <c r="AO520" t="s">
        <v>107</v>
      </c>
      <c r="AP520">
        <v>12833.33</v>
      </c>
      <c r="AQ520">
        <v>0</v>
      </c>
      <c r="AR520">
        <v>12833.33</v>
      </c>
      <c r="AT520" t="s">
        <v>161</v>
      </c>
      <c r="AZ520" t="s">
        <v>113</v>
      </c>
      <c r="BC520" t="s">
        <v>1160</v>
      </c>
      <c r="BN520" t="s">
        <v>113</v>
      </c>
      <c r="BO520" t="s">
        <v>1751</v>
      </c>
      <c r="BP520" t="s">
        <v>166</v>
      </c>
      <c r="BR520" t="s">
        <v>371</v>
      </c>
      <c r="BW520" t="s">
        <v>1157</v>
      </c>
      <c r="BX520" t="s">
        <v>1158</v>
      </c>
      <c r="BY520" t="s">
        <v>123</v>
      </c>
      <c r="BZ520" t="s">
        <v>124</v>
      </c>
    </row>
    <row r="521" spans="1:78" x14ac:dyDescent="0.3">
      <c r="A521" t="s">
        <v>2</v>
      </c>
      <c r="B521" t="s">
        <v>92</v>
      </c>
      <c r="C521" t="s">
        <v>93</v>
      </c>
      <c r="D521" t="s">
        <v>94</v>
      </c>
      <c r="E521" t="s">
        <v>202</v>
      </c>
      <c r="F521" t="s">
        <v>1754</v>
      </c>
      <c r="G521">
        <v>50500</v>
      </c>
      <c r="H521">
        <v>50500</v>
      </c>
      <c r="AA521" t="s">
        <v>1746</v>
      </c>
      <c r="AB521" t="s">
        <v>1747</v>
      </c>
      <c r="AC521" t="s">
        <v>336</v>
      </c>
      <c r="AE521" t="s">
        <v>1748</v>
      </c>
      <c r="AF521" t="s">
        <v>1749</v>
      </c>
      <c r="AG521" t="s">
        <v>102</v>
      </c>
      <c r="AH521" t="s">
        <v>339</v>
      </c>
      <c r="AI521">
        <v>46280</v>
      </c>
      <c r="AK521" t="s">
        <v>218</v>
      </c>
      <c r="AL521" t="s">
        <v>146</v>
      </c>
      <c r="AM521" t="s">
        <v>1757</v>
      </c>
      <c r="AN521" t="s">
        <v>107</v>
      </c>
      <c r="AO521" t="s">
        <v>107</v>
      </c>
      <c r="AP521">
        <v>12833.34</v>
      </c>
      <c r="AQ521">
        <v>0</v>
      </c>
      <c r="AR521">
        <v>12833.34</v>
      </c>
      <c r="AT521" t="s">
        <v>161</v>
      </c>
      <c r="AZ521" t="s">
        <v>113</v>
      </c>
      <c r="BC521" t="s">
        <v>1160</v>
      </c>
      <c r="BN521" t="s">
        <v>113</v>
      </c>
      <c r="BO521" t="s">
        <v>1751</v>
      </c>
      <c r="BP521" t="s">
        <v>166</v>
      </c>
      <c r="BR521" t="s">
        <v>371</v>
      </c>
      <c r="BW521" t="s">
        <v>1157</v>
      </c>
      <c r="BX521" t="s">
        <v>1158</v>
      </c>
      <c r="BY521" t="s">
        <v>123</v>
      </c>
      <c r="BZ521" t="s">
        <v>124</v>
      </c>
    </row>
    <row r="522" spans="1:78" x14ac:dyDescent="0.3">
      <c r="A522" t="s">
        <v>11</v>
      </c>
      <c r="B522" t="s">
        <v>92</v>
      </c>
      <c r="C522" t="s">
        <v>93</v>
      </c>
      <c r="D522" t="s">
        <v>94</v>
      </c>
      <c r="E522" t="s">
        <v>95</v>
      </c>
      <c r="F522" t="s">
        <v>807</v>
      </c>
      <c r="G522">
        <v>532100</v>
      </c>
      <c r="H522">
        <v>495000</v>
      </c>
      <c r="AA522" t="s">
        <v>966</v>
      </c>
      <c r="AB522" t="s">
        <v>967</v>
      </c>
      <c r="AC522" t="s">
        <v>968</v>
      </c>
      <c r="AD522" t="s">
        <v>365</v>
      </c>
      <c r="AE522" t="s">
        <v>969</v>
      </c>
      <c r="AF522" t="s">
        <v>970</v>
      </c>
      <c r="AG522" t="s">
        <v>102</v>
      </c>
      <c r="AH522" t="s">
        <v>131</v>
      </c>
      <c r="AI522">
        <v>46158</v>
      </c>
      <c r="AJ522">
        <v>45868</v>
      </c>
      <c r="AK522" t="s">
        <v>137</v>
      </c>
      <c r="AL522" t="s">
        <v>105</v>
      </c>
      <c r="AM522" t="s">
        <v>558</v>
      </c>
      <c r="AN522" t="s">
        <v>107</v>
      </c>
      <c r="AO522" t="s">
        <v>107</v>
      </c>
      <c r="AP522">
        <v>50000</v>
      </c>
      <c r="AQ522">
        <v>50000</v>
      </c>
      <c r="AR522">
        <v>0</v>
      </c>
      <c r="AS522" t="s">
        <v>107</v>
      </c>
      <c r="AT522" t="s">
        <v>108</v>
      </c>
      <c r="AU522" t="s">
        <v>162</v>
      </c>
      <c r="AV522" t="s">
        <v>163</v>
      </c>
      <c r="AW522" t="s">
        <v>111</v>
      </c>
      <c r="AY522" t="s">
        <v>1758</v>
      </c>
      <c r="AZ522" t="s">
        <v>113</v>
      </c>
      <c r="BB522" t="s">
        <v>114</v>
      </c>
      <c r="BC522" t="s">
        <v>115</v>
      </c>
      <c r="BN522" t="s">
        <v>113</v>
      </c>
      <c r="BO522" t="s">
        <v>972</v>
      </c>
      <c r="BP522" t="s">
        <v>370</v>
      </c>
      <c r="BR522" t="s">
        <v>973</v>
      </c>
      <c r="BS522" t="s">
        <v>1759</v>
      </c>
      <c r="BW522" t="s">
        <v>1157</v>
      </c>
      <c r="BX522" t="s">
        <v>1158</v>
      </c>
      <c r="BY522" t="s">
        <v>123</v>
      </c>
      <c r="BZ522" t="s">
        <v>124</v>
      </c>
    </row>
    <row r="523" spans="1:78" x14ac:dyDescent="0.3">
      <c r="A523" t="s">
        <v>11</v>
      </c>
      <c r="B523" t="s">
        <v>92</v>
      </c>
      <c r="C523" t="s">
        <v>93</v>
      </c>
      <c r="D523" t="s">
        <v>94</v>
      </c>
      <c r="E523" t="s">
        <v>95</v>
      </c>
      <c r="F523" t="s">
        <v>807</v>
      </c>
      <c r="G523">
        <v>532100</v>
      </c>
      <c r="H523">
        <v>495000</v>
      </c>
      <c r="AA523" t="s">
        <v>966</v>
      </c>
      <c r="AB523" t="s">
        <v>967</v>
      </c>
      <c r="AC523" t="s">
        <v>968</v>
      </c>
      <c r="AD523" t="s">
        <v>365</v>
      </c>
      <c r="AE523" t="s">
        <v>969</v>
      </c>
      <c r="AF523" t="s">
        <v>970</v>
      </c>
      <c r="AG523" t="s">
        <v>102</v>
      </c>
      <c r="AH523" t="s">
        <v>131</v>
      </c>
      <c r="AI523">
        <v>46172</v>
      </c>
      <c r="AK523" t="s">
        <v>137</v>
      </c>
      <c r="AL523" t="s">
        <v>142</v>
      </c>
      <c r="AM523" t="s">
        <v>1243</v>
      </c>
      <c r="AN523" t="s">
        <v>107</v>
      </c>
      <c r="AO523" t="s">
        <v>107</v>
      </c>
      <c r="AP523">
        <v>22000</v>
      </c>
      <c r="AQ523">
        <v>0</v>
      </c>
      <c r="AR523">
        <v>22000</v>
      </c>
      <c r="AT523" t="s">
        <v>108</v>
      </c>
      <c r="AZ523" t="s">
        <v>113</v>
      </c>
      <c r="BC523" t="s">
        <v>543</v>
      </c>
      <c r="BN523" t="s">
        <v>113</v>
      </c>
      <c r="BO523" t="s">
        <v>972</v>
      </c>
      <c r="BP523" t="s">
        <v>370</v>
      </c>
      <c r="BR523" t="s">
        <v>973</v>
      </c>
      <c r="BW523" t="s">
        <v>1157</v>
      </c>
      <c r="BX523" t="s">
        <v>1158</v>
      </c>
      <c r="BY523" t="s">
        <v>123</v>
      </c>
      <c r="BZ523" t="s">
        <v>124</v>
      </c>
    </row>
    <row r="524" spans="1:78" x14ac:dyDescent="0.3">
      <c r="A524" t="s">
        <v>11</v>
      </c>
      <c r="B524" t="s">
        <v>92</v>
      </c>
      <c r="C524" t="s">
        <v>93</v>
      </c>
      <c r="D524" t="s">
        <v>94</v>
      </c>
      <c r="E524" t="s">
        <v>95</v>
      </c>
      <c r="F524" t="s">
        <v>807</v>
      </c>
      <c r="G524">
        <v>532100</v>
      </c>
      <c r="H524">
        <v>495000</v>
      </c>
      <c r="AA524" t="s">
        <v>966</v>
      </c>
      <c r="AB524" t="s">
        <v>967</v>
      </c>
      <c r="AC524" t="s">
        <v>968</v>
      </c>
      <c r="AD524" t="s">
        <v>365</v>
      </c>
      <c r="AE524" t="s">
        <v>969</v>
      </c>
      <c r="AF524" t="s">
        <v>970</v>
      </c>
      <c r="AG524" t="s">
        <v>102</v>
      </c>
      <c r="AH524" t="s">
        <v>131</v>
      </c>
      <c r="AI524">
        <v>46172</v>
      </c>
      <c r="AK524" t="s">
        <v>137</v>
      </c>
      <c r="AL524" t="s">
        <v>146</v>
      </c>
      <c r="AM524" t="s">
        <v>1529</v>
      </c>
      <c r="AN524" t="s">
        <v>107</v>
      </c>
      <c r="AO524" t="s">
        <v>107</v>
      </c>
      <c r="AP524">
        <v>24000</v>
      </c>
      <c r="AQ524">
        <v>0</v>
      </c>
      <c r="AR524">
        <v>24000</v>
      </c>
      <c r="AT524" t="s">
        <v>108</v>
      </c>
      <c r="AZ524" t="s">
        <v>113</v>
      </c>
      <c r="BC524" t="s">
        <v>543</v>
      </c>
      <c r="BN524" t="s">
        <v>113</v>
      </c>
      <c r="BO524" t="s">
        <v>972</v>
      </c>
      <c r="BP524" t="s">
        <v>370</v>
      </c>
      <c r="BR524" t="s">
        <v>973</v>
      </c>
      <c r="BW524" t="s">
        <v>1157</v>
      </c>
      <c r="BX524" t="s">
        <v>1158</v>
      </c>
      <c r="BY524" t="s">
        <v>123</v>
      </c>
      <c r="BZ524" t="s">
        <v>124</v>
      </c>
    </row>
    <row r="525" spans="1:78" x14ac:dyDescent="0.3">
      <c r="A525" t="s">
        <v>11</v>
      </c>
      <c r="B525" t="s">
        <v>92</v>
      </c>
      <c r="C525" t="s">
        <v>93</v>
      </c>
      <c r="D525" t="s">
        <v>94</v>
      </c>
      <c r="E525" t="s">
        <v>95</v>
      </c>
      <c r="F525" t="s">
        <v>807</v>
      </c>
      <c r="G525">
        <v>532100</v>
      </c>
      <c r="H525">
        <v>495000</v>
      </c>
      <c r="AA525" t="s">
        <v>966</v>
      </c>
      <c r="AB525" t="s">
        <v>967</v>
      </c>
      <c r="AC525" t="s">
        <v>968</v>
      </c>
      <c r="AD525" t="s">
        <v>365</v>
      </c>
      <c r="AE525" t="s">
        <v>969</v>
      </c>
      <c r="AF525" t="s">
        <v>970</v>
      </c>
      <c r="AG525" t="s">
        <v>102</v>
      </c>
      <c r="AH525" t="s">
        <v>131</v>
      </c>
      <c r="AI525">
        <v>46234</v>
      </c>
      <c r="AK525" t="s">
        <v>218</v>
      </c>
      <c r="AL525" t="s">
        <v>105</v>
      </c>
      <c r="AM525" t="s">
        <v>1760</v>
      </c>
      <c r="AN525" t="s">
        <v>107</v>
      </c>
      <c r="AO525" t="s">
        <v>107</v>
      </c>
      <c r="AP525">
        <v>396000</v>
      </c>
      <c r="AQ525">
        <v>0</v>
      </c>
      <c r="AR525">
        <v>396000</v>
      </c>
      <c r="AT525" t="s">
        <v>108</v>
      </c>
      <c r="AZ525" t="s">
        <v>113</v>
      </c>
      <c r="BC525" t="s">
        <v>1160</v>
      </c>
      <c r="BN525" t="s">
        <v>113</v>
      </c>
      <c r="BO525" t="s">
        <v>972</v>
      </c>
      <c r="BP525" t="s">
        <v>370</v>
      </c>
      <c r="BR525" t="s">
        <v>973</v>
      </c>
      <c r="BW525" t="s">
        <v>1157</v>
      </c>
      <c r="BX525" t="s">
        <v>1158</v>
      </c>
      <c r="BY525" t="s">
        <v>123</v>
      </c>
      <c r="BZ525" t="s">
        <v>124</v>
      </c>
    </row>
    <row r="526" spans="1:78" x14ac:dyDescent="0.3">
      <c r="A526" t="s">
        <v>11</v>
      </c>
      <c r="B526" t="s">
        <v>92</v>
      </c>
      <c r="C526" t="s">
        <v>93</v>
      </c>
      <c r="D526" t="s">
        <v>94</v>
      </c>
      <c r="E526" t="s">
        <v>95</v>
      </c>
      <c r="F526" t="s">
        <v>519</v>
      </c>
      <c r="G526">
        <v>469000</v>
      </c>
      <c r="H526">
        <v>429000</v>
      </c>
      <c r="AA526" t="s">
        <v>1761</v>
      </c>
      <c r="AB526" t="s">
        <v>1762</v>
      </c>
      <c r="AC526" t="s">
        <v>1763</v>
      </c>
      <c r="AD526" t="s">
        <v>365</v>
      </c>
      <c r="AE526" t="s">
        <v>1764</v>
      </c>
      <c r="AF526" t="s">
        <v>1765</v>
      </c>
      <c r="AG526" t="s">
        <v>102</v>
      </c>
      <c r="AH526" t="s">
        <v>131</v>
      </c>
      <c r="AI526">
        <v>46174</v>
      </c>
      <c r="AJ526">
        <v>46174</v>
      </c>
      <c r="AK526" t="s">
        <v>104</v>
      </c>
      <c r="AL526" t="s">
        <v>105</v>
      </c>
      <c r="AM526" t="s">
        <v>106</v>
      </c>
      <c r="AN526" t="s">
        <v>107</v>
      </c>
      <c r="AO526" t="s">
        <v>107</v>
      </c>
      <c r="AP526">
        <v>3000</v>
      </c>
      <c r="AQ526">
        <v>3000</v>
      </c>
      <c r="AR526">
        <v>0</v>
      </c>
      <c r="AS526" t="s">
        <v>107</v>
      </c>
      <c r="AT526" t="s">
        <v>243</v>
      </c>
      <c r="AU526" t="s">
        <v>162</v>
      </c>
      <c r="AV526" t="s">
        <v>163</v>
      </c>
      <c r="AW526" t="s">
        <v>111</v>
      </c>
      <c r="AY526" t="s">
        <v>1766</v>
      </c>
      <c r="AZ526" t="s">
        <v>113</v>
      </c>
      <c r="BB526" t="s">
        <v>114</v>
      </c>
      <c r="BC526" t="s">
        <v>115</v>
      </c>
      <c r="BN526" t="s">
        <v>116</v>
      </c>
      <c r="BO526" t="s">
        <v>1767</v>
      </c>
      <c r="BP526" t="s">
        <v>118</v>
      </c>
      <c r="BR526" t="s">
        <v>718</v>
      </c>
      <c r="BS526" t="s">
        <v>1768</v>
      </c>
      <c r="BW526" t="s">
        <v>1157</v>
      </c>
      <c r="BX526" t="s">
        <v>1158</v>
      </c>
      <c r="BY526" t="s">
        <v>123</v>
      </c>
      <c r="BZ526" t="s">
        <v>124</v>
      </c>
    </row>
    <row r="527" spans="1:78" x14ac:dyDescent="0.3">
      <c r="A527" t="s">
        <v>11</v>
      </c>
      <c r="B527" t="s">
        <v>92</v>
      </c>
      <c r="C527" t="s">
        <v>93</v>
      </c>
      <c r="D527" t="s">
        <v>94</v>
      </c>
      <c r="E527" t="s">
        <v>95</v>
      </c>
      <c r="F527" t="s">
        <v>519</v>
      </c>
      <c r="G527">
        <v>469000</v>
      </c>
      <c r="H527">
        <v>429000</v>
      </c>
      <c r="AA527" t="s">
        <v>1761</v>
      </c>
      <c r="AB527" t="s">
        <v>1762</v>
      </c>
      <c r="AC527" t="s">
        <v>1763</v>
      </c>
      <c r="AD527" t="s">
        <v>365</v>
      </c>
      <c r="AE527" t="s">
        <v>1764</v>
      </c>
      <c r="AF527" t="s">
        <v>1765</v>
      </c>
      <c r="AG527" t="s">
        <v>102</v>
      </c>
      <c r="AH527" t="s">
        <v>131</v>
      </c>
      <c r="AI527">
        <v>46181</v>
      </c>
      <c r="AJ527">
        <v>46181</v>
      </c>
      <c r="AK527" t="s">
        <v>137</v>
      </c>
      <c r="AL527" t="s">
        <v>105</v>
      </c>
      <c r="AM527" t="s">
        <v>1769</v>
      </c>
      <c r="AN527" t="s">
        <v>107</v>
      </c>
      <c r="AO527" t="s">
        <v>107</v>
      </c>
      <c r="AP527">
        <v>18450</v>
      </c>
      <c r="AQ527">
        <v>18450</v>
      </c>
      <c r="AR527">
        <v>0</v>
      </c>
      <c r="AS527" t="s">
        <v>107</v>
      </c>
      <c r="AT527" t="s">
        <v>243</v>
      </c>
      <c r="AU527" t="s">
        <v>162</v>
      </c>
      <c r="AV527" t="s">
        <v>163</v>
      </c>
      <c r="AW527" t="s">
        <v>111</v>
      </c>
      <c r="AY527" t="s">
        <v>1770</v>
      </c>
      <c r="AZ527" t="s">
        <v>113</v>
      </c>
      <c r="BB527" t="s">
        <v>114</v>
      </c>
      <c r="BC527" t="s">
        <v>115</v>
      </c>
      <c r="BN527" t="s">
        <v>116</v>
      </c>
      <c r="BO527" t="s">
        <v>1767</v>
      </c>
      <c r="BP527" t="s">
        <v>118</v>
      </c>
      <c r="BR527" t="s">
        <v>718</v>
      </c>
      <c r="BS527" t="s">
        <v>1771</v>
      </c>
      <c r="BW527" t="s">
        <v>1157</v>
      </c>
      <c r="BX527" t="s">
        <v>1158</v>
      </c>
      <c r="BY527" t="s">
        <v>123</v>
      </c>
      <c r="BZ527" t="s">
        <v>124</v>
      </c>
    </row>
    <row r="528" spans="1:78" x14ac:dyDescent="0.3">
      <c r="A528" t="s">
        <v>11</v>
      </c>
      <c r="B528" t="s">
        <v>92</v>
      </c>
      <c r="C528" t="s">
        <v>93</v>
      </c>
      <c r="D528" t="s">
        <v>94</v>
      </c>
      <c r="E528" t="s">
        <v>95</v>
      </c>
      <c r="F528" t="s">
        <v>519</v>
      </c>
      <c r="G528">
        <v>469000</v>
      </c>
      <c r="H528">
        <v>429000</v>
      </c>
      <c r="AA528" t="s">
        <v>1761</v>
      </c>
      <c r="AB528" t="s">
        <v>1762</v>
      </c>
      <c r="AC528" t="s">
        <v>1763</v>
      </c>
      <c r="AD528" t="s">
        <v>365</v>
      </c>
      <c r="AE528" t="s">
        <v>1764</v>
      </c>
      <c r="AF528" t="s">
        <v>1765</v>
      </c>
      <c r="AG528" t="s">
        <v>102</v>
      </c>
      <c r="AH528" t="s">
        <v>131</v>
      </c>
      <c r="AI528">
        <v>46356</v>
      </c>
      <c r="AK528" t="s">
        <v>137</v>
      </c>
      <c r="AL528" t="s">
        <v>142</v>
      </c>
      <c r="AM528" t="s">
        <v>1772</v>
      </c>
      <c r="AN528" t="s">
        <v>107</v>
      </c>
      <c r="AO528" t="s">
        <v>107</v>
      </c>
      <c r="AP528">
        <v>21450</v>
      </c>
      <c r="AQ528">
        <v>0</v>
      </c>
      <c r="AR528">
        <v>21450</v>
      </c>
      <c r="AT528" t="s">
        <v>243</v>
      </c>
      <c r="AZ528" t="s">
        <v>113</v>
      </c>
      <c r="BC528" t="s">
        <v>1160</v>
      </c>
      <c r="BN528" t="s">
        <v>113</v>
      </c>
      <c r="BO528" t="s">
        <v>1767</v>
      </c>
      <c r="BP528" t="s">
        <v>118</v>
      </c>
      <c r="BR528" t="s">
        <v>718</v>
      </c>
      <c r="BW528" t="s">
        <v>1157</v>
      </c>
      <c r="BX528" t="s">
        <v>1158</v>
      </c>
      <c r="BY528" t="s">
        <v>123</v>
      </c>
      <c r="BZ528" t="s">
        <v>124</v>
      </c>
    </row>
    <row r="529" spans="1:78" x14ac:dyDescent="0.3">
      <c r="A529" t="s">
        <v>11</v>
      </c>
      <c r="B529" t="s">
        <v>92</v>
      </c>
      <c r="C529" t="s">
        <v>93</v>
      </c>
      <c r="D529" t="s">
        <v>94</v>
      </c>
      <c r="E529" t="s">
        <v>95</v>
      </c>
      <c r="F529" t="s">
        <v>1773</v>
      </c>
      <c r="G529">
        <v>430000</v>
      </c>
      <c r="H529">
        <v>369000</v>
      </c>
      <c r="I529" t="s">
        <v>93</v>
      </c>
      <c r="J529" t="s">
        <v>94</v>
      </c>
      <c r="K529" t="s">
        <v>202</v>
      </c>
      <c r="L529" t="s">
        <v>1774</v>
      </c>
      <c r="M529">
        <v>43200</v>
      </c>
      <c r="N529">
        <v>43200</v>
      </c>
      <c r="AA529" t="s">
        <v>1775</v>
      </c>
      <c r="AB529" t="s">
        <v>1776</v>
      </c>
      <c r="AC529" t="s">
        <v>1777</v>
      </c>
      <c r="AD529" t="s">
        <v>365</v>
      </c>
      <c r="AE529" t="s">
        <v>1778</v>
      </c>
      <c r="AF529" t="s">
        <v>1779</v>
      </c>
      <c r="AG529" t="s">
        <v>102</v>
      </c>
      <c r="AH529" t="s">
        <v>781</v>
      </c>
      <c r="AI529">
        <v>46036</v>
      </c>
      <c r="AJ529">
        <v>46036</v>
      </c>
      <c r="AK529" t="s">
        <v>104</v>
      </c>
      <c r="AL529" t="s">
        <v>105</v>
      </c>
      <c r="AM529" t="s">
        <v>106</v>
      </c>
      <c r="AN529" t="s">
        <v>107</v>
      </c>
      <c r="AO529" t="s">
        <v>107</v>
      </c>
      <c r="AP529">
        <v>3000</v>
      </c>
      <c r="AQ529">
        <v>3000</v>
      </c>
      <c r="AR529">
        <v>0</v>
      </c>
      <c r="AS529" t="s">
        <v>107</v>
      </c>
      <c r="AT529" t="s">
        <v>161</v>
      </c>
      <c r="AU529" t="s">
        <v>162</v>
      </c>
      <c r="AV529" t="s">
        <v>163</v>
      </c>
      <c r="AW529" t="s">
        <v>111</v>
      </c>
      <c r="AY529" t="s">
        <v>1780</v>
      </c>
      <c r="AZ529" t="s">
        <v>113</v>
      </c>
      <c r="BB529" t="s">
        <v>114</v>
      </c>
      <c r="BC529" t="s">
        <v>115</v>
      </c>
      <c r="BN529" t="s">
        <v>113</v>
      </c>
      <c r="BO529" t="s">
        <v>1781</v>
      </c>
      <c r="BP529" t="s">
        <v>166</v>
      </c>
      <c r="BR529" t="s">
        <v>805</v>
      </c>
      <c r="BS529" t="s">
        <v>1782</v>
      </c>
      <c r="BW529" t="s">
        <v>1157</v>
      </c>
      <c r="BX529" t="s">
        <v>1158</v>
      </c>
      <c r="BY529" t="s">
        <v>123</v>
      </c>
      <c r="BZ529" t="s">
        <v>124</v>
      </c>
    </row>
    <row r="530" spans="1:78" x14ac:dyDescent="0.3">
      <c r="A530" t="s">
        <v>11</v>
      </c>
      <c r="B530" t="s">
        <v>92</v>
      </c>
      <c r="C530" t="s">
        <v>93</v>
      </c>
      <c r="D530" t="s">
        <v>94</v>
      </c>
      <c r="E530" t="s">
        <v>95</v>
      </c>
      <c r="F530" t="s">
        <v>1773</v>
      </c>
      <c r="G530">
        <v>430000</v>
      </c>
      <c r="H530">
        <v>369000</v>
      </c>
      <c r="I530" t="s">
        <v>93</v>
      </c>
      <c r="J530" t="s">
        <v>94</v>
      </c>
      <c r="K530" t="s">
        <v>202</v>
      </c>
      <c r="L530" t="s">
        <v>1774</v>
      </c>
      <c r="M530">
        <v>43200</v>
      </c>
      <c r="N530">
        <v>43200</v>
      </c>
      <c r="AA530" t="s">
        <v>1775</v>
      </c>
      <c r="AB530" t="s">
        <v>1776</v>
      </c>
      <c r="AC530" t="s">
        <v>1777</v>
      </c>
      <c r="AD530" t="s">
        <v>365</v>
      </c>
      <c r="AE530" t="s">
        <v>1778</v>
      </c>
      <c r="AF530" t="s">
        <v>1779</v>
      </c>
      <c r="AG530" t="s">
        <v>102</v>
      </c>
      <c r="AH530" t="s">
        <v>781</v>
      </c>
      <c r="AI530">
        <v>46046</v>
      </c>
      <c r="AJ530">
        <v>46046</v>
      </c>
      <c r="AK530" t="s">
        <v>137</v>
      </c>
      <c r="AL530" t="s">
        <v>105</v>
      </c>
      <c r="AM530" t="s">
        <v>287</v>
      </c>
      <c r="AN530" t="s">
        <v>107</v>
      </c>
      <c r="AO530" t="s">
        <v>107</v>
      </c>
      <c r="AP530">
        <v>30000</v>
      </c>
      <c r="AQ530">
        <v>30000</v>
      </c>
      <c r="AR530">
        <v>0</v>
      </c>
      <c r="AS530" t="s">
        <v>107</v>
      </c>
      <c r="AT530" t="s">
        <v>161</v>
      </c>
      <c r="AU530" t="s">
        <v>162</v>
      </c>
      <c r="AV530" t="s">
        <v>163</v>
      </c>
      <c r="AW530" t="s">
        <v>111</v>
      </c>
      <c r="AY530" t="s">
        <v>1783</v>
      </c>
      <c r="AZ530" t="s">
        <v>113</v>
      </c>
      <c r="BB530" t="s">
        <v>114</v>
      </c>
      <c r="BC530" t="s">
        <v>115</v>
      </c>
      <c r="BN530" t="s">
        <v>113</v>
      </c>
      <c r="BO530" t="s">
        <v>1781</v>
      </c>
      <c r="BP530" t="s">
        <v>166</v>
      </c>
      <c r="BR530" t="s">
        <v>805</v>
      </c>
      <c r="BS530" t="s">
        <v>1784</v>
      </c>
      <c r="BW530" t="s">
        <v>1157</v>
      </c>
      <c r="BX530" t="s">
        <v>1158</v>
      </c>
      <c r="BY530" t="s">
        <v>123</v>
      </c>
      <c r="BZ530" t="s">
        <v>124</v>
      </c>
    </row>
    <row r="531" spans="1:78" x14ac:dyDescent="0.3">
      <c r="A531" t="s">
        <v>11</v>
      </c>
      <c r="B531" t="s">
        <v>92</v>
      </c>
      <c r="C531" t="s">
        <v>93</v>
      </c>
      <c r="D531" t="s">
        <v>94</v>
      </c>
      <c r="E531" t="s">
        <v>95</v>
      </c>
      <c r="F531" t="s">
        <v>1773</v>
      </c>
      <c r="G531">
        <v>430000</v>
      </c>
      <c r="H531">
        <v>369000</v>
      </c>
      <c r="I531" t="s">
        <v>93</v>
      </c>
      <c r="J531" t="s">
        <v>94</v>
      </c>
      <c r="K531" t="s">
        <v>202</v>
      </c>
      <c r="L531" t="s">
        <v>1774</v>
      </c>
      <c r="M531">
        <v>43200</v>
      </c>
      <c r="N531">
        <v>43200</v>
      </c>
      <c r="AA531" t="s">
        <v>1775</v>
      </c>
      <c r="AB531" t="s">
        <v>1776</v>
      </c>
      <c r="AC531" t="s">
        <v>1777</v>
      </c>
      <c r="AD531" t="s">
        <v>365</v>
      </c>
      <c r="AE531" t="s">
        <v>1778</v>
      </c>
      <c r="AF531" t="s">
        <v>1779</v>
      </c>
      <c r="AG531" t="s">
        <v>102</v>
      </c>
      <c r="AH531" t="s">
        <v>781</v>
      </c>
      <c r="AI531">
        <v>46048</v>
      </c>
      <c r="AJ531">
        <v>46048</v>
      </c>
      <c r="AK531" t="s">
        <v>137</v>
      </c>
      <c r="AL531" t="s">
        <v>142</v>
      </c>
      <c r="AM531" t="s">
        <v>1000</v>
      </c>
      <c r="AN531" t="s">
        <v>107</v>
      </c>
      <c r="AO531" t="s">
        <v>107</v>
      </c>
      <c r="AP531">
        <v>70000</v>
      </c>
      <c r="AQ531">
        <v>70000</v>
      </c>
      <c r="AR531">
        <v>0</v>
      </c>
      <c r="AS531" t="s">
        <v>107</v>
      </c>
      <c r="AT531" t="s">
        <v>161</v>
      </c>
      <c r="AU531" t="s">
        <v>162</v>
      </c>
      <c r="AV531" t="s">
        <v>163</v>
      </c>
      <c r="AW531" t="s">
        <v>111</v>
      </c>
      <c r="AY531" t="s">
        <v>1785</v>
      </c>
      <c r="AZ531" t="s">
        <v>113</v>
      </c>
      <c r="BB531" t="s">
        <v>114</v>
      </c>
      <c r="BC531" t="s">
        <v>115</v>
      </c>
      <c r="BN531" t="s">
        <v>113</v>
      </c>
      <c r="BO531" t="s">
        <v>1781</v>
      </c>
      <c r="BP531" t="s">
        <v>166</v>
      </c>
      <c r="BR531" t="s">
        <v>805</v>
      </c>
      <c r="BS531" t="s">
        <v>1784</v>
      </c>
      <c r="BW531" t="s">
        <v>1157</v>
      </c>
      <c r="BX531" t="s">
        <v>1158</v>
      </c>
      <c r="BY531" t="s">
        <v>123</v>
      </c>
      <c r="BZ531" t="s">
        <v>124</v>
      </c>
    </row>
    <row r="532" spans="1:78" x14ac:dyDescent="0.3">
      <c r="A532" t="s">
        <v>11</v>
      </c>
      <c r="B532" t="s">
        <v>92</v>
      </c>
      <c r="C532" t="s">
        <v>93</v>
      </c>
      <c r="D532" t="s">
        <v>94</v>
      </c>
      <c r="E532" t="s">
        <v>95</v>
      </c>
      <c r="F532" t="s">
        <v>1773</v>
      </c>
      <c r="G532">
        <v>430000</v>
      </c>
      <c r="H532">
        <v>369000</v>
      </c>
      <c r="I532" t="s">
        <v>93</v>
      </c>
      <c r="J532" t="s">
        <v>94</v>
      </c>
      <c r="K532" t="s">
        <v>202</v>
      </c>
      <c r="L532" t="s">
        <v>1774</v>
      </c>
      <c r="M532">
        <v>43200</v>
      </c>
      <c r="N532">
        <v>43200</v>
      </c>
      <c r="AA532" t="s">
        <v>1775</v>
      </c>
      <c r="AB532" t="s">
        <v>1776</v>
      </c>
      <c r="AC532" t="s">
        <v>1777</v>
      </c>
      <c r="AD532" t="s">
        <v>365</v>
      </c>
      <c r="AE532" t="s">
        <v>1778</v>
      </c>
      <c r="AF532" t="s">
        <v>1779</v>
      </c>
      <c r="AG532" t="s">
        <v>102</v>
      </c>
      <c r="AH532" t="s">
        <v>781</v>
      </c>
      <c r="AI532">
        <v>46142</v>
      </c>
      <c r="AK532" t="s">
        <v>137</v>
      </c>
      <c r="AL532" t="s">
        <v>146</v>
      </c>
      <c r="AM532" t="s">
        <v>1786</v>
      </c>
      <c r="AN532" t="s">
        <v>107</v>
      </c>
      <c r="AO532" t="s">
        <v>107</v>
      </c>
      <c r="AP532">
        <v>41270</v>
      </c>
      <c r="AQ532">
        <v>0</v>
      </c>
      <c r="AR532">
        <v>41270</v>
      </c>
      <c r="AT532" t="s">
        <v>161</v>
      </c>
      <c r="AZ532" t="s">
        <v>113</v>
      </c>
      <c r="BC532" t="s">
        <v>543</v>
      </c>
      <c r="BN532" t="s">
        <v>113</v>
      </c>
      <c r="BO532" t="s">
        <v>1781</v>
      </c>
      <c r="BP532" t="s">
        <v>166</v>
      </c>
      <c r="BR532" t="s">
        <v>805</v>
      </c>
      <c r="BW532" t="s">
        <v>1157</v>
      </c>
      <c r="BX532" t="s">
        <v>1158</v>
      </c>
      <c r="BY532" t="s">
        <v>123</v>
      </c>
      <c r="BZ532" t="s">
        <v>124</v>
      </c>
    </row>
    <row r="533" spans="1:78" x14ac:dyDescent="0.3">
      <c r="A533" t="s">
        <v>11</v>
      </c>
      <c r="B533" t="s">
        <v>92</v>
      </c>
      <c r="C533" t="s">
        <v>93</v>
      </c>
      <c r="D533" t="s">
        <v>94</v>
      </c>
      <c r="E533" t="s">
        <v>95</v>
      </c>
      <c r="F533" t="s">
        <v>1773</v>
      </c>
      <c r="G533">
        <v>430000</v>
      </c>
      <c r="H533">
        <v>369000</v>
      </c>
      <c r="I533" t="s">
        <v>93</v>
      </c>
      <c r="J533" t="s">
        <v>94</v>
      </c>
      <c r="K533" t="s">
        <v>202</v>
      </c>
      <c r="L533" t="s">
        <v>1774</v>
      </c>
      <c r="M533">
        <v>43200</v>
      </c>
      <c r="N533">
        <v>43200</v>
      </c>
      <c r="AA533" t="s">
        <v>1775</v>
      </c>
      <c r="AB533" t="s">
        <v>1776</v>
      </c>
      <c r="AC533" t="s">
        <v>1777</v>
      </c>
      <c r="AD533" t="s">
        <v>365</v>
      </c>
      <c r="AE533" t="s">
        <v>1778</v>
      </c>
      <c r="AF533" t="s">
        <v>1779</v>
      </c>
      <c r="AG533" t="s">
        <v>102</v>
      </c>
      <c r="AH533" t="s">
        <v>781</v>
      </c>
      <c r="AI533">
        <v>46172</v>
      </c>
      <c r="AK533" t="s">
        <v>218</v>
      </c>
      <c r="AL533" t="s">
        <v>105</v>
      </c>
      <c r="AM533" t="s">
        <v>1787</v>
      </c>
      <c r="AN533" t="s">
        <v>107</v>
      </c>
      <c r="AO533" t="s">
        <v>107</v>
      </c>
      <c r="AP533">
        <v>12000</v>
      </c>
      <c r="AQ533">
        <v>0</v>
      </c>
      <c r="AR533">
        <v>12000</v>
      </c>
      <c r="AT533" t="s">
        <v>161</v>
      </c>
      <c r="AZ533" t="s">
        <v>113</v>
      </c>
      <c r="BC533" t="s">
        <v>543</v>
      </c>
      <c r="BN533" t="s">
        <v>113</v>
      </c>
      <c r="BO533" t="s">
        <v>1781</v>
      </c>
      <c r="BP533" t="s">
        <v>166</v>
      </c>
      <c r="BR533" t="s">
        <v>805</v>
      </c>
      <c r="BW533" t="s">
        <v>1157</v>
      </c>
      <c r="BX533" t="s">
        <v>1158</v>
      </c>
      <c r="BY533" t="s">
        <v>123</v>
      </c>
      <c r="BZ533" t="s">
        <v>124</v>
      </c>
    </row>
    <row r="534" spans="1:78" x14ac:dyDescent="0.3">
      <c r="A534" t="s">
        <v>11</v>
      </c>
      <c r="B534" t="s">
        <v>92</v>
      </c>
      <c r="C534" t="s">
        <v>93</v>
      </c>
      <c r="D534" t="s">
        <v>94</v>
      </c>
      <c r="E534" t="s">
        <v>95</v>
      </c>
      <c r="F534" t="s">
        <v>1773</v>
      </c>
      <c r="G534">
        <v>430000</v>
      </c>
      <c r="H534">
        <v>369000</v>
      </c>
      <c r="I534" t="s">
        <v>93</v>
      </c>
      <c r="J534" t="s">
        <v>94</v>
      </c>
      <c r="K534" t="s">
        <v>202</v>
      </c>
      <c r="L534" t="s">
        <v>1774</v>
      </c>
      <c r="M534">
        <v>43200</v>
      </c>
      <c r="N534">
        <v>43200</v>
      </c>
      <c r="AA534" t="s">
        <v>1775</v>
      </c>
      <c r="AB534" t="s">
        <v>1776</v>
      </c>
      <c r="AC534" t="s">
        <v>1777</v>
      </c>
      <c r="AD534" t="s">
        <v>365</v>
      </c>
      <c r="AE534" t="s">
        <v>1778</v>
      </c>
      <c r="AF534" t="s">
        <v>1779</v>
      </c>
      <c r="AG534" t="s">
        <v>102</v>
      </c>
      <c r="AH534" t="s">
        <v>781</v>
      </c>
      <c r="AI534">
        <v>46203</v>
      </c>
      <c r="AK534" t="s">
        <v>218</v>
      </c>
      <c r="AL534" t="s">
        <v>142</v>
      </c>
      <c r="AM534" t="s">
        <v>1787</v>
      </c>
      <c r="AN534" t="s">
        <v>107</v>
      </c>
      <c r="AO534" t="s">
        <v>107</v>
      </c>
      <c r="AP534">
        <v>12000</v>
      </c>
      <c r="AQ534">
        <v>0</v>
      </c>
      <c r="AR534">
        <v>12000</v>
      </c>
      <c r="AT534" t="s">
        <v>161</v>
      </c>
      <c r="AZ534" t="s">
        <v>113</v>
      </c>
      <c r="BC534" t="s">
        <v>543</v>
      </c>
      <c r="BN534" t="s">
        <v>113</v>
      </c>
      <c r="BO534" t="s">
        <v>1781</v>
      </c>
      <c r="BP534" t="s">
        <v>166</v>
      </c>
      <c r="BR534" t="s">
        <v>805</v>
      </c>
      <c r="BW534" t="s">
        <v>1157</v>
      </c>
      <c r="BX534" t="s">
        <v>1158</v>
      </c>
      <c r="BY534" t="s">
        <v>123</v>
      </c>
      <c r="BZ534" t="s">
        <v>124</v>
      </c>
    </row>
    <row r="535" spans="1:78" x14ac:dyDescent="0.3">
      <c r="A535" t="s">
        <v>11</v>
      </c>
      <c r="B535" t="s">
        <v>92</v>
      </c>
      <c r="C535" t="s">
        <v>93</v>
      </c>
      <c r="D535" t="s">
        <v>94</v>
      </c>
      <c r="E535" t="s">
        <v>95</v>
      </c>
      <c r="F535" t="s">
        <v>1773</v>
      </c>
      <c r="G535">
        <v>430000</v>
      </c>
      <c r="H535">
        <v>369000</v>
      </c>
      <c r="I535" t="s">
        <v>93</v>
      </c>
      <c r="J535" t="s">
        <v>94</v>
      </c>
      <c r="K535" t="s">
        <v>202</v>
      </c>
      <c r="L535" t="s">
        <v>1774</v>
      </c>
      <c r="M535">
        <v>43200</v>
      </c>
      <c r="N535">
        <v>43200</v>
      </c>
      <c r="AA535" t="s">
        <v>1775</v>
      </c>
      <c r="AB535" t="s">
        <v>1776</v>
      </c>
      <c r="AC535" t="s">
        <v>1777</v>
      </c>
      <c r="AD535" t="s">
        <v>365</v>
      </c>
      <c r="AE535" t="s">
        <v>1778</v>
      </c>
      <c r="AF535" t="s">
        <v>1779</v>
      </c>
      <c r="AG535" t="s">
        <v>102</v>
      </c>
      <c r="AH535" t="s">
        <v>781</v>
      </c>
      <c r="AI535">
        <v>46233</v>
      </c>
      <c r="AK535" t="s">
        <v>218</v>
      </c>
      <c r="AL535" t="s">
        <v>146</v>
      </c>
      <c r="AM535" t="s">
        <v>1787</v>
      </c>
      <c r="AN535" t="s">
        <v>107</v>
      </c>
      <c r="AO535" t="s">
        <v>107</v>
      </c>
      <c r="AP535">
        <v>12000</v>
      </c>
      <c r="AQ535">
        <v>0</v>
      </c>
      <c r="AR535">
        <v>12000</v>
      </c>
      <c r="AT535" t="s">
        <v>161</v>
      </c>
      <c r="AZ535" t="s">
        <v>113</v>
      </c>
      <c r="BC535" t="s">
        <v>1160</v>
      </c>
      <c r="BN535" t="s">
        <v>113</v>
      </c>
      <c r="BO535" t="s">
        <v>1781</v>
      </c>
      <c r="BP535" t="s">
        <v>166</v>
      </c>
      <c r="BR535" t="s">
        <v>805</v>
      </c>
      <c r="BW535" t="s">
        <v>1157</v>
      </c>
      <c r="BX535" t="s">
        <v>1158</v>
      </c>
      <c r="BY535" t="s">
        <v>123</v>
      </c>
      <c r="BZ535" t="s">
        <v>124</v>
      </c>
    </row>
    <row r="536" spans="1:78" x14ac:dyDescent="0.3">
      <c r="A536" t="s">
        <v>11</v>
      </c>
      <c r="B536" t="s">
        <v>92</v>
      </c>
      <c r="C536" t="s">
        <v>93</v>
      </c>
      <c r="D536" t="s">
        <v>94</v>
      </c>
      <c r="E536" t="s">
        <v>95</v>
      </c>
      <c r="F536" t="s">
        <v>1773</v>
      </c>
      <c r="G536">
        <v>430000</v>
      </c>
      <c r="H536">
        <v>369000</v>
      </c>
      <c r="I536" t="s">
        <v>93</v>
      </c>
      <c r="J536" t="s">
        <v>94</v>
      </c>
      <c r="K536" t="s">
        <v>202</v>
      </c>
      <c r="L536" t="s">
        <v>1774</v>
      </c>
      <c r="M536">
        <v>43200</v>
      </c>
      <c r="N536">
        <v>43200</v>
      </c>
      <c r="AA536" t="s">
        <v>1775</v>
      </c>
      <c r="AB536" t="s">
        <v>1776</v>
      </c>
      <c r="AC536" t="s">
        <v>1777</v>
      </c>
      <c r="AD536" t="s">
        <v>365</v>
      </c>
      <c r="AE536" t="s">
        <v>1778</v>
      </c>
      <c r="AF536" t="s">
        <v>1779</v>
      </c>
      <c r="AG536" t="s">
        <v>102</v>
      </c>
      <c r="AH536" t="s">
        <v>781</v>
      </c>
      <c r="AI536">
        <v>46264</v>
      </c>
      <c r="AK536" t="s">
        <v>218</v>
      </c>
      <c r="AL536" t="s">
        <v>152</v>
      </c>
      <c r="AM536" t="s">
        <v>1787</v>
      </c>
      <c r="AN536" t="s">
        <v>107</v>
      </c>
      <c r="AO536" t="s">
        <v>107</v>
      </c>
      <c r="AP536">
        <v>12000</v>
      </c>
      <c r="AQ536">
        <v>0</v>
      </c>
      <c r="AR536">
        <v>12000</v>
      </c>
      <c r="AT536" t="s">
        <v>161</v>
      </c>
      <c r="AZ536" t="s">
        <v>113</v>
      </c>
      <c r="BC536" t="s">
        <v>1160</v>
      </c>
      <c r="BN536" t="s">
        <v>113</v>
      </c>
      <c r="BO536" t="s">
        <v>1781</v>
      </c>
      <c r="BP536" t="s">
        <v>166</v>
      </c>
      <c r="BR536" t="s">
        <v>805</v>
      </c>
      <c r="BW536" t="s">
        <v>1157</v>
      </c>
      <c r="BX536" t="s">
        <v>1158</v>
      </c>
      <c r="BY536" t="s">
        <v>123</v>
      </c>
      <c r="BZ536" t="s">
        <v>124</v>
      </c>
    </row>
    <row r="537" spans="1:78" x14ac:dyDescent="0.3">
      <c r="A537" t="s">
        <v>11</v>
      </c>
      <c r="B537" t="s">
        <v>92</v>
      </c>
      <c r="C537" t="s">
        <v>93</v>
      </c>
      <c r="D537" t="s">
        <v>94</v>
      </c>
      <c r="E537" t="s">
        <v>95</v>
      </c>
      <c r="F537" t="s">
        <v>1773</v>
      </c>
      <c r="G537">
        <v>430000</v>
      </c>
      <c r="H537">
        <v>369000</v>
      </c>
      <c r="I537" t="s">
        <v>93</v>
      </c>
      <c r="J537" t="s">
        <v>94</v>
      </c>
      <c r="K537" t="s">
        <v>202</v>
      </c>
      <c r="L537" t="s">
        <v>1774</v>
      </c>
      <c r="M537">
        <v>43200</v>
      </c>
      <c r="N537">
        <v>43200</v>
      </c>
      <c r="AA537" t="s">
        <v>1775</v>
      </c>
      <c r="AB537" t="s">
        <v>1776</v>
      </c>
      <c r="AC537" t="s">
        <v>1777</v>
      </c>
      <c r="AD537" t="s">
        <v>365</v>
      </c>
      <c r="AE537" t="s">
        <v>1778</v>
      </c>
      <c r="AF537" t="s">
        <v>1779</v>
      </c>
      <c r="AG537" t="s">
        <v>102</v>
      </c>
      <c r="AH537" t="s">
        <v>781</v>
      </c>
      <c r="AI537">
        <v>46295</v>
      </c>
      <c r="AK537" t="s">
        <v>218</v>
      </c>
      <c r="AL537" t="s">
        <v>584</v>
      </c>
      <c r="AM537" t="s">
        <v>1787</v>
      </c>
      <c r="AN537" t="s">
        <v>107</v>
      </c>
      <c r="AO537" t="s">
        <v>107</v>
      </c>
      <c r="AP537">
        <v>12000</v>
      </c>
      <c r="AQ537">
        <v>0</v>
      </c>
      <c r="AR537">
        <v>12000</v>
      </c>
      <c r="AT537" t="s">
        <v>161</v>
      </c>
      <c r="AZ537" t="s">
        <v>113</v>
      </c>
      <c r="BC537" t="s">
        <v>1160</v>
      </c>
      <c r="BN537" t="s">
        <v>113</v>
      </c>
      <c r="BO537" t="s">
        <v>1781</v>
      </c>
      <c r="BP537" t="s">
        <v>166</v>
      </c>
      <c r="BR537" t="s">
        <v>805</v>
      </c>
      <c r="BW537" t="s">
        <v>1157</v>
      </c>
      <c r="BX537" t="s">
        <v>1158</v>
      </c>
      <c r="BY537" t="s">
        <v>123</v>
      </c>
      <c r="BZ537" t="s">
        <v>124</v>
      </c>
    </row>
    <row r="538" spans="1:78" x14ac:dyDescent="0.3">
      <c r="A538" t="s">
        <v>11</v>
      </c>
      <c r="B538" t="s">
        <v>92</v>
      </c>
      <c r="C538" t="s">
        <v>93</v>
      </c>
      <c r="D538" t="s">
        <v>94</v>
      </c>
      <c r="E538" t="s">
        <v>95</v>
      </c>
      <c r="F538" t="s">
        <v>1773</v>
      </c>
      <c r="G538">
        <v>430000</v>
      </c>
      <c r="H538">
        <v>369000</v>
      </c>
      <c r="I538" t="s">
        <v>93</v>
      </c>
      <c r="J538" t="s">
        <v>94</v>
      </c>
      <c r="K538" t="s">
        <v>202</v>
      </c>
      <c r="L538" t="s">
        <v>1774</v>
      </c>
      <c r="M538">
        <v>43200</v>
      </c>
      <c r="N538">
        <v>43200</v>
      </c>
      <c r="AA538" t="s">
        <v>1775</v>
      </c>
      <c r="AB538" t="s">
        <v>1776</v>
      </c>
      <c r="AC538" t="s">
        <v>1777</v>
      </c>
      <c r="AD538" t="s">
        <v>365</v>
      </c>
      <c r="AE538" t="s">
        <v>1778</v>
      </c>
      <c r="AF538" t="s">
        <v>1779</v>
      </c>
      <c r="AG538" t="s">
        <v>102</v>
      </c>
      <c r="AH538" t="s">
        <v>781</v>
      </c>
      <c r="AI538">
        <v>46325</v>
      </c>
      <c r="AK538" t="s">
        <v>218</v>
      </c>
      <c r="AL538" t="s">
        <v>397</v>
      </c>
      <c r="AM538" t="s">
        <v>1787</v>
      </c>
      <c r="AN538" t="s">
        <v>107</v>
      </c>
      <c r="AO538" t="s">
        <v>107</v>
      </c>
      <c r="AP538">
        <v>12000</v>
      </c>
      <c r="AQ538">
        <v>0</v>
      </c>
      <c r="AR538">
        <v>12000</v>
      </c>
      <c r="AT538" t="s">
        <v>161</v>
      </c>
      <c r="AZ538" t="s">
        <v>113</v>
      </c>
      <c r="BC538" t="s">
        <v>1160</v>
      </c>
      <c r="BN538" t="s">
        <v>113</v>
      </c>
      <c r="BO538" t="s">
        <v>1781</v>
      </c>
      <c r="BP538" t="s">
        <v>166</v>
      </c>
      <c r="BR538" t="s">
        <v>805</v>
      </c>
      <c r="BW538" t="s">
        <v>1157</v>
      </c>
      <c r="BX538" t="s">
        <v>1158</v>
      </c>
      <c r="BY538" t="s">
        <v>123</v>
      </c>
      <c r="BZ538" t="s">
        <v>124</v>
      </c>
    </row>
    <row r="539" spans="1:78" x14ac:dyDescent="0.3">
      <c r="A539" t="s">
        <v>11</v>
      </c>
      <c r="B539" t="s">
        <v>92</v>
      </c>
      <c r="C539" t="s">
        <v>93</v>
      </c>
      <c r="D539" t="s">
        <v>94</v>
      </c>
      <c r="E539" t="s">
        <v>95</v>
      </c>
      <c r="F539" t="s">
        <v>1773</v>
      </c>
      <c r="G539">
        <v>430000</v>
      </c>
      <c r="H539">
        <v>369000</v>
      </c>
      <c r="I539" t="s">
        <v>93</v>
      </c>
      <c r="J539" t="s">
        <v>94</v>
      </c>
      <c r="K539" t="s">
        <v>202</v>
      </c>
      <c r="L539" t="s">
        <v>1774</v>
      </c>
      <c r="M539">
        <v>43200</v>
      </c>
      <c r="N539">
        <v>43200</v>
      </c>
      <c r="AA539" t="s">
        <v>1775</v>
      </c>
      <c r="AB539" t="s">
        <v>1776</v>
      </c>
      <c r="AC539" t="s">
        <v>1777</v>
      </c>
      <c r="AD539" t="s">
        <v>365</v>
      </c>
      <c r="AE539" t="s">
        <v>1778</v>
      </c>
      <c r="AF539" t="s">
        <v>1779</v>
      </c>
      <c r="AG539" t="s">
        <v>102</v>
      </c>
      <c r="AH539" t="s">
        <v>781</v>
      </c>
      <c r="AI539">
        <v>46356</v>
      </c>
      <c r="AK539" t="s">
        <v>218</v>
      </c>
      <c r="AL539" t="s">
        <v>588</v>
      </c>
      <c r="AM539" t="s">
        <v>1787</v>
      </c>
      <c r="AN539" t="s">
        <v>107</v>
      </c>
      <c r="AO539" t="s">
        <v>107</v>
      </c>
      <c r="AP539">
        <v>12000</v>
      </c>
      <c r="AQ539">
        <v>0</v>
      </c>
      <c r="AR539">
        <v>12000</v>
      </c>
      <c r="AT539" t="s">
        <v>161</v>
      </c>
      <c r="AZ539" t="s">
        <v>113</v>
      </c>
      <c r="BC539" t="s">
        <v>1160</v>
      </c>
      <c r="BN539" t="s">
        <v>113</v>
      </c>
      <c r="BO539" t="s">
        <v>1781</v>
      </c>
      <c r="BP539" t="s">
        <v>166</v>
      </c>
      <c r="BR539" t="s">
        <v>805</v>
      </c>
      <c r="BW539" t="s">
        <v>1157</v>
      </c>
      <c r="BX539" t="s">
        <v>1158</v>
      </c>
      <c r="BY539" t="s">
        <v>123</v>
      </c>
      <c r="BZ539" t="s">
        <v>124</v>
      </c>
    </row>
    <row r="540" spans="1:78" x14ac:dyDescent="0.3">
      <c r="A540" t="s">
        <v>11</v>
      </c>
      <c r="B540" t="s">
        <v>92</v>
      </c>
      <c r="C540" t="s">
        <v>93</v>
      </c>
      <c r="D540" t="s">
        <v>94</v>
      </c>
      <c r="E540" t="s">
        <v>95</v>
      </c>
      <c r="F540" t="s">
        <v>1773</v>
      </c>
      <c r="G540">
        <v>430000</v>
      </c>
      <c r="H540">
        <v>369000</v>
      </c>
      <c r="I540" t="s">
        <v>93</v>
      </c>
      <c r="J540" t="s">
        <v>94</v>
      </c>
      <c r="K540" t="s">
        <v>202</v>
      </c>
      <c r="L540" t="s">
        <v>1774</v>
      </c>
      <c r="M540">
        <v>43200</v>
      </c>
      <c r="N540">
        <v>43200</v>
      </c>
      <c r="AA540" t="s">
        <v>1775</v>
      </c>
      <c r="AB540" t="s">
        <v>1776</v>
      </c>
      <c r="AC540" t="s">
        <v>1777</v>
      </c>
      <c r="AD540" t="s">
        <v>365</v>
      </c>
      <c r="AE540" t="s">
        <v>1778</v>
      </c>
      <c r="AF540" t="s">
        <v>1779</v>
      </c>
      <c r="AG540" t="s">
        <v>102</v>
      </c>
      <c r="AH540" t="s">
        <v>781</v>
      </c>
      <c r="AI540">
        <v>46386</v>
      </c>
      <c r="AK540" t="s">
        <v>218</v>
      </c>
      <c r="AL540" t="s">
        <v>591</v>
      </c>
      <c r="AM540" t="s">
        <v>1787</v>
      </c>
      <c r="AN540" t="s">
        <v>107</v>
      </c>
      <c r="AO540" t="s">
        <v>107</v>
      </c>
      <c r="AP540">
        <v>12000</v>
      </c>
      <c r="AQ540">
        <v>0</v>
      </c>
      <c r="AR540">
        <v>12000</v>
      </c>
      <c r="AT540" t="s">
        <v>161</v>
      </c>
      <c r="AZ540" t="s">
        <v>113</v>
      </c>
      <c r="BC540" t="s">
        <v>1160</v>
      </c>
      <c r="BN540" t="s">
        <v>113</v>
      </c>
      <c r="BO540" t="s">
        <v>1781</v>
      </c>
      <c r="BP540" t="s">
        <v>166</v>
      </c>
      <c r="BR540" t="s">
        <v>805</v>
      </c>
      <c r="BW540" t="s">
        <v>1157</v>
      </c>
      <c r="BX540" t="s">
        <v>1158</v>
      </c>
      <c r="BY540" t="s">
        <v>123</v>
      </c>
      <c r="BZ540" t="s">
        <v>124</v>
      </c>
    </row>
    <row r="541" spans="1:78" x14ac:dyDescent="0.3">
      <c r="A541" t="s">
        <v>11</v>
      </c>
      <c r="B541" t="s">
        <v>92</v>
      </c>
      <c r="C541" t="s">
        <v>93</v>
      </c>
      <c r="D541" t="s">
        <v>94</v>
      </c>
      <c r="E541" t="s">
        <v>95</v>
      </c>
      <c r="F541" t="s">
        <v>1788</v>
      </c>
      <c r="G541">
        <v>493700</v>
      </c>
      <c r="H541">
        <v>436200</v>
      </c>
      <c r="I541" t="s">
        <v>93</v>
      </c>
      <c r="J541" t="s">
        <v>94</v>
      </c>
      <c r="K541" t="s">
        <v>202</v>
      </c>
      <c r="L541" t="s">
        <v>1789</v>
      </c>
      <c r="M541">
        <v>53800</v>
      </c>
      <c r="N541">
        <v>53800</v>
      </c>
      <c r="AA541" t="s">
        <v>1790</v>
      </c>
      <c r="AB541" t="s">
        <v>1791</v>
      </c>
      <c r="AC541" t="s">
        <v>1792</v>
      </c>
      <c r="AD541" t="s">
        <v>365</v>
      </c>
      <c r="AE541" t="s">
        <v>1793</v>
      </c>
      <c r="AF541" t="s">
        <v>1794</v>
      </c>
      <c r="AG541" t="s">
        <v>102</v>
      </c>
      <c r="AH541" t="s">
        <v>771</v>
      </c>
      <c r="AI541">
        <v>46132</v>
      </c>
      <c r="AJ541">
        <v>46132</v>
      </c>
      <c r="AK541" t="s">
        <v>104</v>
      </c>
      <c r="AL541" t="s">
        <v>105</v>
      </c>
      <c r="AM541" t="s">
        <v>106</v>
      </c>
      <c r="AN541" t="s">
        <v>107</v>
      </c>
      <c r="AO541" t="s">
        <v>107</v>
      </c>
      <c r="AP541">
        <v>3000</v>
      </c>
      <c r="AQ541">
        <v>3000</v>
      </c>
      <c r="AR541">
        <v>0</v>
      </c>
      <c r="AS541" t="s">
        <v>107</v>
      </c>
      <c r="AT541" t="s">
        <v>161</v>
      </c>
      <c r="AU541" t="s">
        <v>162</v>
      </c>
      <c r="AV541" t="s">
        <v>163</v>
      </c>
      <c r="AW541" t="s">
        <v>209</v>
      </c>
      <c r="AY541" t="s">
        <v>1795</v>
      </c>
      <c r="AZ541" t="s">
        <v>113</v>
      </c>
      <c r="BB541" t="s">
        <v>114</v>
      </c>
      <c r="BC541" t="s">
        <v>115</v>
      </c>
      <c r="BN541" t="s">
        <v>113</v>
      </c>
      <c r="BO541" t="s">
        <v>1796</v>
      </c>
      <c r="BP541" t="s">
        <v>166</v>
      </c>
      <c r="BR541" t="s">
        <v>439</v>
      </c>
      <c r="BS541" t="s">
        <v>1797</v>
      </c>
      <c r="BW541" t="s">
        <v>1157</v>
      </c>
      <c r="BX541" t="s">
        <v>1158</v>
      </c>
      <c r="BY541" t="s">
        <v>123</v>
      </c>
      <c r="BZ541" t="s">
        <v>124</v>
      </c>
    </row>
    <row r="542" spans="1:78" x14ac:dyDescent="0.3">
      <c r="A542" t="s">
        <v>11</v>
      </c>
      <c r="B542" t="s">
        <v>92</v>
      </c>
      <c r="C542" t="s">
        <v>93</v>
      </c>
      <c r="D542" t="s">
        <v>94</v>
      </c>
      <c r="E542" t="s">
        <v>95</v>
      </c>
      <c r="F542" t="s">
        <v>1788</v>
      </c>
      <c r="G542">
        <v>493700</v>
      </c>
      <c r="H542">
        <v>436200</v>
      </c>
      <c r="I542" t="s">
        <v>93</v>
      </c>
      <c r="J542" t="s">
        <v>94</v>
      </c>
      <c r="K542" t="s">
        <v>202</v>
      </c>
      <c r="L542" t="s">
        <v>1789</v>
      </c>
      <c r="M542">
        <v>53800</v>
      </c>
      <c r="N542">
        <v>53800</v>
      </c>
      <c r="AA542" t="s">
        <v>1790</v>
      </c>
      <c r="AB542" t="s">
        <v>1791</v>
      </c>
      <c r="AC542" t="s">
        <v>1792</v>
      </c>
      <c r="AD542" t="s">
        <v>365</v>
      </c>
      <c r="AE542" t="s">
        <v>1793</v>
      </c>
      <c r="AF542" t="s">
        <v>1794</v>
      </c>
      <c r="AG542" t="s">
        <v>102</v>
      </c>
      <c r="AH542" t="s">
        <v>771</v>
      </c>
      <c r="AI542">
        <v>46135</v>
      </c>
      <c r="AJ542">
        <v>46135</v>
      </c>
      <c r="AK542" t="s">
        <v>137</v>
      </c>
      <c r="AL542" t="s">
        <v>105</v>
      </c>
      <c r="AM542" t="s">
        <v>1798</v>
      </c>
      <c r="AN542" t="s">
        <v>107</v>
      </c>
      <c r="AO542" t="s">
        <v>107</v>
      </c>
      <c r="AP542">
        <v>175.5</v>
      </c>
      <c r="AQ542">
        <v>175.5</v>
      </c>
      <c r="AR542">
        <v>0</v>
      </c>
      <c r="AS542" t="s">
        <v>107</v>
      </c>
      <c r="AT542" t="s">
        <v>161</v>
      </c>
      <c r="AU542" t="s">
        <v>162</v>
      </c>
      <c r="AV542" t="s">
        <v>163</v>
      </c>
      <c r="AW542" t="s">
        <v>111</v>
      </c>
      <c r="AY542" t="s">
        <v>1799</v>
      </c>
      <c r="AZ542" t="s">
        <v>113</v>
      </c>
      <c r="BB542" t="s">
        <v>114</v>
      </c>
      <c r="BC542" t="s">
        <v>115</v>
      </c>
      <c r="BN542" t="s">
        <v>113</v>
      </c>
      <c r="BO542" t="s">
        <v>1796</v>
      </c>
      <c r="BP542" t="s">
        <v>166</v>
      </c>
      <c r="BR542" t="s">
        <v>439</v>
      </c>
      <c r="BS542" t="s">
        <v>1800</v>
      </c>
      <c r="BW542" t="s">
        <v>1157</v>
      </c>
      <c r="BX542" t="s">
        <v>1158</v>
      </c>
      <c r="BY542" t="s">
        <v>123</v>
      </c>
      <c r="BZ542" t="s">
        <v>124</v>
      </c>
    </row>
    <row r="543" spans="1:78" x14ac:dyDescent="0.3">
      <c r="A543" t="s">
        <v>11</v>
      </c>
      <c r="B543" t="s">
        <v>92</v>
      </c>
      <c r="C543" t="s">
        <v>93</v>
      </c>
      <c r="D543" t="s">
        <v>94</v>
      </c>
      <c r="E543" t="s">
        <v>95</v>
      </c>
      <c r="F543" t="s">
        <v>1788</v>
      </c>
      <c r="G543">
        <v>493700</v>
      </c>
      <c r="H543">
        <v>436200</v>
      </c>
      <c r="I543" t="s">
        <v>93</v>
      </c>
      <c r="J543" t="s">
        <v>94</v>
      </c>
      <c r="K543" t="s">
        <v>202</v>
      </c>
      <c r="L543" t="s">
        <v>1789</v>
      </c>
      <c r="M543">
        <v>53800</v>
      </c>
      <c r="N543">
        <v>53800</v>
      </c>
      <c r="AA543" t="s">
        <v>1790</v>
      </c>
      <c r="AB543" t="s">
        <v>1791</v>
      </c>
      <c r="AC543" t="s">
        <v>1792</v>
      </c>
      <c r="AD543" t="s">
        <v>365</v>
      </c>
      <c r="AE543" t="s">
        <v>1793</v>
      </c>
      <c r="AF543" t="s">
        <v>1794</v>
      </c>
      <c r="AG543" t="s">
        <v>102</v>
      </c>
      <c r="AH543" t="s">
        <v>771</v>
      </c>
      <c r="AI543">
        <v>46172</v>
      </c>
      <c r="AJ543">
        <v>46142</v>
      </c>
      <c r="AK543" t="s">
        <v>137</v>
      </c>
      <c r="AL543" t="s">
        <v>142</v>
      </c>
      <c r="AM543" t="s">
        <v>1801</v>
      </c>
      <c r="AN543" t="s">
        <v>107</v>
      </c>
      <c r="AO543" t="s">
        <v>107</v>
      </c>
      <c r="AP543">
        <v>306745.71000000002</v>
      </c>
      <c r="AQ543">
        <v>306745.71000000002</v>
      </c>
      <c r="AR543">
        <v>0</v>
      </c>
      <c r="AS543" t="s">
        <v>107</v>
      </c>
      <c r="AT543" t="s">
        <v>161</v>
      </c>
      <c r="AU543" t="s">
        <v>162</v>
      </c>
      <c r="AV543" t="s">
        <v>163</v>
      </c>
      <c r="AW543" t="s">
        <v>111</v>
      </c>
      <c r="AY543" t="s">
        <v>1802</v>
      </c>
      <c r="AZ543" t="s">
        <v>113</v>
      </c>
      <c r="BB543" t="s">
        <v>114</v>
      </c>
      <c r="BC543" t="s">
        <v>115</v>
      </c>
      <c r="BN543" t="s">
        <v>113</v>
      </c>
      <c r="BO543" t="s">
        <v>1796</v>
      </c>
      <c r="BP543" t="s">
        <v>166</v>
      </c>
      <c r="BR543" t="s">
        <v>439</v>
      </c>
      <c r="BS543" t="s">
        <v>1803</v>
      </c>
      <c r="BW543" t="s">
        <v>1157</v>
      </c>
      <c r="BX543" t="s">
        <v>1158</v>
      </c>
      <c r="BY543" t="s">
        <v>123</v>
      </c>
      <c r="BZ543" t="s">
        <v>124</v>
      </c>
    </row>
    <row r="544" spans="1:78" x14ac:dyDescent="0.3">
      <c r="A544" t="s">
        <v>11</v>
      </c>
      <c r="B544" t="s">
        <v>92</v>
      </c>
      <c r="C544" t="s">
        <v>93</v>
      </c>
      <c r="D544" t="s">
        <v>94</v>
      </c>
      <c r="E544" t="s">
        <v>95</v>
      </c>
      <c r="F544" t="s">
        <v>1788</v>
      </c>
      <c r="G544">
        <v>493700</v>
      </c>
      <c r="H544">
        <v>436200</v>
      </c>
      <c r="I544" t="s">
        <v>93</v>
      </c>
      <c r="J544" t="s">
        <v>94</v>
      </c>
      <c r="K544" t="s">
        <v>202</v>
      </c>
      <c r="L544" t="s">
        <v>1789</v>
      </c>
      <c r="M544">
        <v>53800</v>
      </c>
      <c r="N544">
        <v>53800</v>
      </c>
      <c r="AA544" t="s">
        <v>1790</v>
      </c>
      <c r="AB544" t="s">
        <v>1791</v>
      </c>
      <c r="AC544" t="s">
        <v>1792</v>
      </c>
      <c r="AD544" t="s">
        <v>365</v>
      </c>
      <c r="AE544" t="s">
        <v>1793</v>
      </c>
      <c r="AF544" t="s">
        <v>1794</v>
      </c>
      <c r="AG544" t="s">
        <v>102</v>
      </c>
      <c r="AH544" t="s">
        <v>771</v>
      </c>
      <c r="AI544">
        <v>46265</v>
      </c>
      <c r="AK544" t="s">
        <v>218</v>
      </c>
      <c r="AL544" t="s">
        <v>105</v>
      </c>
      <c r="AM544" t="s">
        <v>1804</v>
      </c>
      <c r="AN544" t="s">
        <v>107</v>
      </c>
      <c r="AO544" t="s">
        <v>107</v>
      </c>
      <c r="AP544">
        <v>20008.75</v>
      </c>
      <c r="AQ544">
        <v>0</v>
      </c>
      <c r="AR544">
        <v>20008.75</v>
      </c>
      <c r="AT544" t="s">
        <v>161</v>
      </c>
      <c r="AZ544" t="s">
        <v>113</v>
      </c>
      <c r="BC544" t="s">
        <v>1160</v>
      </c>
      <c r="BN544" t="s">
        <v>113</v>
      </c>
      <c r="BO544" t="s">
        <v>1796</v>
      </c>
      <c r="BP544" t="s">
        <v>166</v>
      </c>
      <c r="BR544" t="s">
        <v>439</v>
      </c>
      <c r="BW544" t="s">
        <v>1157</v>
      </c>
      <c r="BX544" t="s">
        <v>1158</v>
      </c>
      <c r="BY544" t="s">
        <v>123</v>
      </c>
      <c r="BZ544" t="s">
        <v>124</v>
      </c>
    </row>
    <row r="545" spans="1:78" x14ac:dyDescent="0.3">
      <c r="A545" t="s">
        <v>11</v>
      </c>
      <c r="B545" t="s">
        <v>92</v>
      </c>
      <c r="C545" t="s">
        <v>93</v>
      </c>
      <c r="D545" t="s">
        <v>94</v>
      </c>
      <c r="E545" t="s">
        <v>95</v>
      </c>
      <c r="F545" t="s">
        <v>1788</v>
      </c>
      <c r="G545">
        <v>493700</v>
      </c>
      <c r="H545">
        <v>436200</v>
      </c>
      <c r="I545" t="s">
        <v>93</v>
      </c>
      <c r="J545" t="s">
        <v>94</v>
      </c>
      <c r="K545" t="s">
        <v>202</v>
      </c>
      <c r="L545" t="s">
        <v>1789</v>
      </c>
      <c r="M545">
        <v>53800</v>
      </c>
      <c r="N545">
        <v>53800</v>
      </c>
      <c r="AA545" t="s">
        <v>1790</v>
      </c>
      <c r="AB545" t="s">
        <v>1791</v>
      </c>
      <c r="AC545" t="s">
        <v>1792</v>
      </c>
      <c r="AD545" t="s">
        <v>365</v>
      </c>
      <c r="AE545" t="s">
        <v>1793</v>
      </c>
      <c r="AF545" t="s">
        <v>1794</v>
      </c>
      <c r="AG545" t="s">
        <v>102</v>
      </c>
      <c r="AH545" t="s">
        <v>771</v>
      </c>
      <c r="AI545">
        <v>46295</v>
      </c>
      <c r="AK545" t="s">
        <v>218</v>
      </c>
      <c r="AL545" t="s">
        <v>142</v>
      </c>
      <c r="AM545" t="s">
        <v>1804</v>
      </c>
      <c r="AN545" t="s">
        <v>107</v>
      </c>
      <c r="AO545" t="s">
        <v>107</v>
      </c>
      <c r="AP545">
        <v>20008.75</v>
      </c>
      <c r="AQ545">
        <v>0</v>
      </c>
      <c r="AR545">
        <v>20008.75</v>
      </c>
      <c r="AT545" t="s">
        <v>161</v>
      </c>
      <c r="AZ545" t="s">
        <v>113</v>
      </c>
      <c r="BC545" t="s">
        <v>1160</v>
      </c>
      <c r="BN545" t="s">
        <v>113</v>
      </c>
      <c r="BO545" t="s">
        <v>1796</v>
      </c>
      <c r="BP545" t="s">
        <v>166</v>
      </c>
      <c r="BR545" t="s">
        <v>439</v>
      </c>
      <c r="BW545" t="s">
        <v>1157</v>
      </c>
      <c r="BX545" t="s">
        <v>1158</v>
      </c>
      <c r="BY545" t="s">
        <v>123</v>
      </c>
      <c r="BZ545" t="s">
        <v>124</v>
      </c>
    </row>
    <row r="546" spans="1:78" x14ac:dyDescent="0.3">
      <c r="A546" t="s">
        <v>11</v>
      </c>
      <c r="B546" t="s">
        <v>92</v>
      </c>
      <c r="C546" t="s">
        <v>93</v>
      </c>
      <c r="D546" t="s">
        <v>94</v>
      </c>
      <c r="E546" t="s">
        <v>95</v>
      </c>
      <c r="F546" t="s">
        <v>1788</v>
      </c>
      <c r="G546">
        <v>493700</v>
      </c>
      <c r="H546">
        <v>436200</v>
      </c>
      <c r="I546" t="s">
        <v>93</v>
      </c>
      <c r="J546" t="s">
        <v>94</v>
      </c>
      <c r="K546" t="s">
        <v>202</v>
      </c>
      <c r="L546" t="s">
        <v>1789</v>
      </c>
      <c r="M546">
        <v>53800</v>
      </c>
      <c r="N546">
        <v>53800</v>
      </c>
      <c r="AA546" t="s">
        <v>1790</v>
      </c>
      <c r="AB546" t="s">
        <v>1791</v>
      </c>
      <c r="AC546" t="s">
        <v>1792</v>
      </c>
      <c r="AD546" t="s">
        <v>365</v>
      </c>
      <c r="AE546" t="s">
        <v>1793</v>
      </c>
      <c r="AF546" t="s">
        <v>1794</v>
      </c>
      <c r="AG546" t="s">
        <v>102</v>
      </c>
      <c r="AH546" t="s">
        <v>771</v>
      </c>
      <c r="AI546">
        <v>46326</v>
      </c>
      <c r="AK546" t="s">
        <v>218</v>
      </c>
      <c r="AL546" t="s">
        <v>146</v>
      </c>
      <c r="AM546" t="s">
        <v>1804</v>
      </c>
      <c r="AN546" t="s">
        <v>107</v>
      </c>
      <c r="AO546" t="s">
        <v>107</v>
      </c>
      <c r="AP546">
        <v>20008.75</v>
      </c>
      <c r="AQ546">
        <v>0</v>
      </c>
      <c r="AR546">
        <v>20008.75</v>
      </c>
      <c r="AT546" t="s">
        <v>161</v>
      </c>
      <c r="AZ546" t="s">
        <v>113</v>
      </c>
      <c r="BC546" t="s">
        <v>1160</v>
      </c>
      <c r="BN546" t="s">
        <v>113</v>
      </c>
      <c r="BO546" t="s">
        <v>1796</v>
      </c>
      <c r="BP546" t="s">
        <v>166</v>
      </c>
      <c r="BR546" t="s">
        <v>439</v>
      </c>
      <c r="BW546" t="s">
        <v>1157</v>
      </c>
      <c r="BX546" t="s">
        <v>1158</v>
      </c>
      <c r="BY546" t="s">
        <v>123</v>
      </c>
      <c r="BZ546" t="s">
        <v>124</v>
      </c>
    </row>
    <row r="547" spans="1:78" x14ac:dyDescent="0.3">
      <c r="A547" t="s">
        <v>11</v>
      </c>
      <c r="B547" t="s">
        <v>92</v>
      </c>
      <c r="C547" t="s">
        <v>93</v>
      </c>
      <c r="D547" t="s">
        <v>94</v>
      </c>
      <c r="E547" t="s">
        <v>95</v>
      </c>
      <c r="F547" t="s">
        <v>1788</v>
      </c>
      <c r="G547">
        <v>493700</v>
      </c>
      <c r="H547">
        <v>436200</v>
      </c>
      <c r="I547" t="s">
        <v>93</v>
      </c>
      <c r="J547" t="s">
        <v>94</v>
      </c>
      <c r="K547" t="s">
        <v>202</v>
      </c>
      <c r="L547" t="s">
        <v>1789</v>
      </c>
      <c r="M547">
        <v>53800</v>
      </c>
      <c r="N547">
        <v>53800</v>
      </c>
      <c r="AA547" t="s">
        <v>1790</v>
      </c>
      <c r="AB547" t="s">
        <v>1791</v>
      </c>
      <c r="AC547" t="s">
        <v>1792</v>
      </c>
      <c r="AD547" t="s">
        <v>365</v>
      </c>
      <c r="AE547" t="s">
        <v>1793</v>
      </c>
      <c r="AF547" t="s">
        <v>1794</v>
      </c>
      <c r="AG547" t="s">
        <v>102</v>
      </c>
      <c r="AH547" t="s">
        <v>771</v>
      </c>
      <c r="AI547">
        <v>46356</v>
      </c>
      <c r="AK547" t="s">
        <v>218</v>
      </c>
      <c r="AL547" t="s">
        <v>152</v>
      </c>
      <c r="AM547" t="s">
        <v>1804</v>
      </c>
      <c r="AN547" t="s">
        <v>107</v>
      </c>
      <c r="AO547" t="s">
        <v>107</v>
      </c>
      <c r="AP547">
        <v>20008.75</v>
      </c>
      <c r="AQ547">
        <v>0</v>
      </c>
      <c r="AR547">
        <v>20008.75</v>
      </c>
      <c r="AT547" t="s">
        <v>161</v>
      </c>
      <c r="AZ547" t="s">
        <v>113</v>
      </c>
      <c r="BC547" t="s">
        <v>1160</v>
      </c>
      <c r="BN547" t="s">
        <v>113</v>
      </c>
      <c r="BO547" t="s">
        <v>1796</v>
      </c>
      <c r="BP547" t="s">
        <v>166</v>
      </c>
      <c r="BR547" t="s">
        <v>439</v>
      </c>
      <c r="BW547" t="s">
        <v>1157</v>
      </c>
      <c r="BX547" t="s">
        <v>1158</v>
      </c>
      <c r="BY547" t="s">
        <v>123</v>
      </c>
      <c r="BZ547" t="s">
        <v>124</v>
      </c>
    </row>
    <row r="548" spans="1:78" x14ac:dyDescent="0.3">
      <c r="A548" t="s">
        <v>11</v>
      </c>
      <c r="B548" t="s">
        <v>92</v>
      </c>
      <c r="C548" t="s">
        <v>93</v>
      </c>
      <c r="D548" t="s">
        <v>94</v>
      </c>
      <c r="E548" t="s">
        <v>95</v>
      </c>
      <c r="F548" t="s">
        <v>1788</v>
      </c>
      <c r="G548">
        <v>493700</v>
      </c>
      <c r="H548">
        <v>436200</v>
      </c>
      <c r="I548" t="s">
        <v>93</v>
      </c>
      <c r="J548" t="s">
        <v>94</v>
      </c>
      <c r="K548" t="s">
        <v>202</v>
      </c>
      <c r="L548" t="s">
        <v>1789</v>
      </c>
      <c r="M548">
        <v>53800</v>
      </c>
      <c r="N548">
        <v>53800</v>
      </c>
      <c r="AA548" t="s">
        <v>1790</v>
      </c>
      <c r="AB548" t="s">
        <v>1791</v>
      </c>
      <c r="AC548" t="s">
        <v>1792</v>
      </c>
      <c r="AD548" t="s">
        <v>365</v>
      </c>
      <c r="AE548" t="s">
        <v>1793</v>
      </c>
      <c r="AF548" t="s">
        <v>1794</v>
      </c>
      <c r="AG548" t="s">
        <v>102</v>
      </c>
      <c r="AH548" t="s">
        <v>771</v>
      </c>
      <c r="AI548">
        <v>46387</v>
      </c>
      <c r="AK548" t="s">
        <v>218</v>
      </c>
      <c r="AL548" t="s">
        <v>584</v>
      </c>
      <c r="AM548" t="s">
        <v>1804</v>
      </c>
      <c r="AN548" t="s">
        <v>107</v>
      </c>
      <c r="AO548" t="s">
        <v>107</v>
      </c>
      <c r="AP548">
        <v>20008.75</v>
      </c>
      <c r="AQ548">
        <v>0</v>
      </c>
      <c r="AR548">
        <v>20008.75</v>
      </c>
      <c r="AT548" t="s">
        <v>161</v>
      </c>
      <c r="AZ548" t="s">
        <v>113</v>
      </c>
      <c r="BC548" t="s">
        <v>1160</v>
      </c>
      <c r="BN548" t="s">
        <v>113</v>
      </c>
      <c r="BO548" t="s">
        <v>1796</v>
      </c>
      <c r="BP548" t="s">
        <v>166</v>
      </c>
      <c r="BR548" t="s">
        <v>439</v>
      </c>
      <c r="BW548" t="s">
        <v>1157</v>
      </c>
      <c r="BX548" t="s">
        <v>1158</v>
      </c>
      <c r="BY548" t="s">
        <v>123</v>
      </c>
      <c r="BZ548" t="s">
        <v>124</v>
      </c>
    </row>
    <row r="549" spans="1:78" x14ac:dyDescent="0.3">
      <c r="A549" t="s">
        <v>12</v>
      </c>
      <c r="B549" t="s">
        <v>92</v>
      </c>
      <c r="C549" t="s">
        <v>93</v>
      </c>
      <c r="D549" t="s">
        <v>94</v>
      </c>
      <c r="E549" t="s">
        <v>95</v>
      </c>
      <c r="F549" t="s">
        <v>975</v>
      </c>
      <c r="G549">
        <v>372000</v>
      </c>
      <c r="H549">
        <v>372000</v>
      </c>
      <c r="AA549" t="s">
        <v>976</v>
      </c>
      <c r="AB549" t="s">
        <v>977</v>
      </c>
      <c r="AC549" t="s">
        <v>978</v>
      </c>
      <c r="AD549" t="s">
        <v>365</v>
      </c>
      <c r="AE549" t="s">
        <v>979</v>
      </c>
      <c r="AF549" t="s">
        <v>980</v>
      </c>
      <c r="AG549" t="s">
        <v>102</v>
      </c>
      <c r="AH549" t="s">
        <v>981</v>
      </c>
      <c r="AI549">
        <v>46142</v>
      </c>
      <c r="AJ549">
        <v>46116</v>
      </c>
      <c r="AK549" t="s">
        <v>1122</v>
      </c>
      <c r="AL549" t="s">
        <v>105</v>
      </c>
      <c r="AM549" t="s">
        <v>982</v>
      </c>
      <c r="AN549" t="s">
        <v>107</v>
      </c>
      <c r="AO549" t="s">
        <v>107</v>
      </c>
      <c r="AP549">
        <v>18600</v>
      </c>
      <c r="AQ549">
        <v>18600</v>
      </c>
      <c r="AR549">
        <v>0</v>
      </c>
      <c r="AS549" t="s">
        <v>107</v>
      </c>
      <c r="AT549" t="s">
        <v>108</v>
      </c>
      <c r="AU549" t="s">
        <v>109</v>
      </c>
      <c r="AV549" t="s">
        <v>451</v>
      </c>
      <c r="AW549" t="s">
        <v>111</v>
      </c>
      <c r="AY549" t="s">
        <v>1805</v>
      </c>
      <c r="AZ549" t="s">
        <v>113</v>
      </c>
      <c r="BB549" t="s">
        <v>114</v>
      </c>
      <c r="BC549" t="s">
        <v>115</v>
      </c>
      <c r="BN549" t="s">
        <v>113</v>
      </c>
      <c r="BO549" t="s">
        <v>984</v>
      </c>
      <c r="BP549" t="s">
        <v>370</v>
      </c>
      <c r="BR549" t="s">
        <v>985</v>
      </c>
      <c r="BS549" t="s">
        <v>1806</v>
      </c>
      <c r="BW549" t="s">
        <v>1157</v>
      </c>
      <c r="BX549" t="s">
        <v>1158</v>
      </c>
      <c r="BY549" t="s">
        <v>123</v>
      </c>
      <c r="BZ549" t="s">
        <v>124</v>
      </c>
    </row>
    <row r="550" spans="1:78" x14ac:dyDescent="0.3">
      <c r="A550" t="s">
        <v>12</v>
      </c>
      <c r="B550" t="s">
        <v>92</v>
      </c>
      <c r="C550" t="s">
        <v>93</v>
      </c>
      <c r="D550" t="s">
        <v>94</v>
      </c>
      <c r="E550" t="s">
        <v>95</v>
      </c>
      <c r="F550" t="s">
        <v>975</v>
      </c>
      <c r="G550">
        <v>372000</v>
      </c>
      <c r="H550">
        <v>372000</v>
      </c>
      <c r="AA550" t="s">
        <v>976</v>
      </c>
      <c r="AB550" t="s">
        <v>977</v>
      </c>
      <c r="AC550" t="s">
        <v>978</v>
      </c>
      <c r="AD550" t="s">
        <v>365</v>
      </c>
      <c r="AE550" t="s">
        <v>979</v>
      </c>
      <c r="AF550" t="s">
        <v>980</v>
      </c>
      <c r="AG550" t="s">
        <v>102</v>
      </c>
      <c r="AH550" t="s">
        <v>981</v>
      </c>
      <c r="AI550">
        <v>46203</v>
      </c>
      <c r="AK550" t="s">
        <v>218</v>
      </c>
      <c r="AL550" t="s">
        <v>105</v>
      </c>
      <c r="AM550" t="s">
        <v>1807</v>
      </c>
      <c r="AN550" t="s">
        <v>107</v>
      </c>
      <c r="AO550" t="s">
        <v>107</v>
      </c>
      <c r="AP550">
        <v>334800</v>
      </c>
      <c r="AQ550">
        <v>0</v>
      </c>
      <c r="AR550">
        <v>334800</v>
      </c>
      <c r="AT550" t="s">
        <v>108</v>
      </c>
      <c r="AZ550" t="s">
        <v>113</v>
      </c>
      <c r="BC550" t="s">
        <v>543</v>
      </c>
      <c r="BN550" t="s">
        <v>113</v>
      </c>
      <c r="BO550" t="s">
        <v>984</v>
      </c>
      <c r="BP550" t="s">
        <v>370</v>
      </c>
      <c r="BR550" t="s">
        <v>985</v>
      </c>
      <c r="BW550" t="s">
        <v>1157</v>
      </c>
      <c r="BX550" t="s">
        <v>1158</v>
      </c>
      <c r="BY550" t="s">
        <v>123</v>
      </c>
      <c r="BZ550" t="s">
        <v>124</v>
      </c>
    </row>
    <row r="551" spans="1:78" x14ac:dyDescent="0.3">
      <c r="A551" t="s">
        <v>12</v>
      </c>
      <c r="B551" t="s">
        <v>92</v>
      </c>
      <c r="C551" t="s">
        <v>93</v>
      </c>
      <c r="D551" t="s">
        <v>94</v>
      </c>
      <c r="E551" t="s">
        <v>95</v>
      </c>
      <c r="F551" t="s">
        <v>503</v>
      </c>
      <c r="G551">
        <v>545000</v>
      </c>
      <c r="H551">
        <v>545000</v>
      </c>
      <c r="I551" t="s">
        <v>93</v>
      </c>
      <c r="J551" t="s">
        <v>94</v>
      </c>
      <c r="K551" t="s">
        <v>202</v>
      </c>
      <c r="L551" t="s">
        <v>987</v>
      </c>
      <c r="M551">
        <v>50800</v>
      </c>
      <c r="N551">
        <v>50800</v>
      </c>
      <c r="AA551" t="s">
        <v>988</v>
      </c>
      <c r="AB551" t="s">
        <v>989</v>
      </c>
      <c r="AC551" t="s">
        <v>990</v>
      </c>
      <c r="AD551" t="s">
        <v>365</v>
      </c>
      <c r="AE551" t="s">
        <v>991</v>
      </c>
      <c r="AF551" t="s">
        <v>992</v>
      </c>
      <c r="AG551" t="s">
        <v>102</v>
      </c>
      <c r="AH551" t="s">
        <v>993</v>
      </c>
      <c r="AI551">
        <v>46052</v>
      </c>
      <c r="AJ551">
        <v>46050</v>
      </c>
      <c r="AK551" t="s">
        <v>218</v>
      </c>
      <c r="AL551" t="s">
        <v>584</v>
      </c>
      <c r="AM551" t="s">
        <v>797</v>
      </c>
      <c r="AN551" t="s">
        <v>107</v>
      </c>
      <c r="AO551" t="s">
        <v>107</v>
      </c>
      <c r="AP551">
        <v>6000</v>
      </c>
      <c r="AQ551">
        <v>6000</v>
      </c>
      <c r="AR551">
        <v>0</v>
      </c>
      <c r="AS551" t="s">
        <v>107</v>
      </c>
      <c r="AT551" t="s">
        <v>161</v>
      </c>
      <c r="AU551" t="s">
        <v>109</v>
      </c>
      <c r="AV551" t="s">
        <v>451</v>
      </c>
      <c r="AW551" t="s">
        <v>288</v>
      </c>
      <c r="AX551" t="s">
        <v>895</v>
      </c>
      <c r="AY551" t="s">
        <v>1808</v>
      </c>
      <c r="AZ551" t="s">
        <v>113</v>
      </c>
      <c r="BA551" t="s">
        <v>133</v>
      </c>
      <c r="BB551" t="s">
        <v>114</v>
      </c>
      <c r="BC551" t="s">
        <v>115</v>
      </c>
      <c r="BN551" t="s">
        <v>116</v>
      </c>
      <c r="BO551" t="s">
        <v>995</v>
      </c>
      <c r="BP551" t="s">
        <v>370</v>
      </c>
      <c r="BR551" t="s">
        <v>302</v>
      </c>
      <c r="BS551" t="s">
        <v>1809</v>
      </c>
      <c r="BW551" t="s">
        <v>1157</v>
      </c>
      <c r="BX551" t="s">
        <v>1158</v>
      </c>
      <c r="BY551" t="s">
        <v>123</v>
      </c>
      <c r="BZ551" t="s">
        <v>124</v>
      </c>
    </row>
    <row r="552" spans="1:78" x14ac:dyDescent="0.3">
      <c r="A552" t="s">
        <v>12</v>
      </c>
      <c r="B552" t="s">
        <v>92</v>
      </c>
      <c r="C552" t="s">
        <v>93</v>
      </c>
      <c r="D552" t="s">
        <v>94</v>
      </c>
      <c r="E552" t="s">
        <v>95</v>
      </c>
      <c r="F552" t="s">
        <v>503</v>
      </c>
      <c r="G552">
        <v>545000</v>
      </c>
      <c r="H552">
        <v>545000</v>
      </c>
      <c r="I552" t="s">
        <v>93</v>
      </c>
      <c r="J552" t="s">
        <v>94</v>
      </c>
      <c r="K552" t="s">
        <v>202</v>
      </c>
      <c r="L552" t="s">
        <v>987</v>
      </c>
      <c r="M552">
        <v>50800</v>
      </c>
      <c r="N552">
        <v>50800</v>
      </c>
      <c r="AA552" t="s">
        <v>988</v>
      </c>
      <c r="AB552" t="s">
        <v>989</v>
      </c>
      <c r="AC552" t="s">
        <v>990</v>
      </c>
      <c r="AD552" t="s">
        <v>365</v>
      </c>
      <c r="AE552" t="s">
        <v>991</v>
      </c>
      <c r="AF552" t="s">
        <v>992</v>
      </c>
      <c r="AG552" t="s">
        <v>102</v>
      </c>
      <c r="AH552" t="s">
        <v>993</v>
      </c>
      <c r="AI552">
        <v>46081</v>
      </c>
      <c r="AJ552">
        <v>45992</v>
      </c>
      <c r="AK552" t="s">
        <v>218</v>
      </c>
      <c r="AL552" t="s">
        <v>397</v>
      </c>
      <c r="AM552" t="s">
        <v>797</v>
      </c>
      <c r="AN552" t="s">
        <v>107</v>
      </c>
      <c r="AO552" t="s">
        <v>107</v>
      </c>
      <c r="AP552">
        <v>6000</v>
      </c>
      <c r="AQ552">
        <v>6000</v>
      </c>
      <c r="AR552">
        <v>0</v>
      </c>
      <c r="AS552" t="s">
        <v>107</v>
      </c>
      <c r="AT552" t="s">
        <v>161</v>
      </c>
      <c r="AU552" t="s">
        <v>109</v>
      </c>
      <c r="AV552" t="s">
        <v>451</v>
      </c>
      <c r="AW552" t="s">
        <v>111</v>
      </c>
      <c r="AY552" t="s">
        <v>1810</v>
      </c>
      <c r="AZ552" t="s">
        <v>113</v>
      </c>
      <c r="BB552" t="s">
        <v>114</v>
      </c>
      <c r="BC552" t="s">
        <v>115</v>
      </c>
      <c r="BN552" t="s">
        <v>113</v>
      </c>
      <c r="BO552" t="s">
        <v>995</v>
      </c>
      <c r="BP552" t="s">
        <v>370</v>
      </c>
      <c r="BR552" t="s">
        <v>302</v>
      </c>
      <c r="BS552" t="s">
        <v>1811</v>
      </c>
      <c r="BW552" t="s">
        <v>1157</v>
      </c>
      <c r="BX552" t="s">
        <v>1158</v>
      </c>
      <c r="BY552" t="s">
        <v>123</v>
      </c>
      <c r="BZ552" t="s">
        <v>124</v>
      </c>
    </row>
    <row r="553" spans="1:78" x14ac:dyDescent="0.3">
      <c r="A553" t="s">
        <v>12</v>
      </c>
      <c r="B553" t="s">
        <v>92</v>
      </c>
      <c r="C553" t="s">
        <v>93</v>
      </c>
      <c r="D553" t="s">
        <v>94</v>
      </c>
      <c r="E553" t="s">
        <v>95</v>
      </c>
      <c r="F553" t="s">
        <v>503</v>
      </c>
      <c r="G553">
        <v>545000</v>
      </c>
      <c r="H553">
        <v>545000</v>
      </c>
      <c r="I553" t="s">
        <v>93</v>
      </c>
      <c r="J553" t="s">
        <v>94</v>
      </c>
      <c r="K553" t="s">
        <v>202</v>
      </c>
      <c r="L553" t="s">
        <v>987</v>
      </c>
      <c r="M553">
        <v>50800</v>
      </c>
      <c r="N553">
        <v>50800</v>
      </c>
      <c r="AA553" t="s">
        <v>988</v>
      </c>
      <c r="AB553" t="s">
        <v>989</v>
      </c>
      <c r="AC553" t="s">
        <v>990</v>
      </c>
      <c r="AD553" t="s">
        <v>365</v>
      </c>
      <c r="AE553" t="s">
        <v>991</v>
      </c>
      <c r="AF553" t="s">
        <v>992</v>
      </c>
      <c r="AG553" t="s">
        <v>102</v>
      </c>
      <c r="AH553" t="s">
        <v>993</v>
      </c>
      <c r="AI553">
        <v>46111</v>
      </c>
      <c r="AK553" t="s">
        <v>218</v>
      </c>
      <c r="AL553" t="s">
        <v>588</v>
      </c>
      <c r="AM553" t="s">
        <v>797</v>
      </c>
      <c r="AN553" t="s">
        <v>107</v>
      </c>
      <c r="AO553" t="s">
        <v>107</v>
      </c>
      <c r="AP553">
        <v>6000</v>
      </c>
      <c r="AQ553">
        <v>0</v>
      </c>
      <c r="AR553">
        <v>6000</v>
      </c>
      <c r="AT553" t="s">
        <v>161</v>
      </c>
      <c r="AZ553" t="s">
        <v>113</v>
      </c>
      <c r="BC553" t="s">
        <v>543</v>
      </c>
      <c r="BN553" t="s">
        <v>113</v>
      </c>
      <c r="BO553" t="s">
        <v>995</v>
      </c>
      <c r="BP553" t="s">
        <v>370</v>
      </c>
      <c r="BR553" t="s">
        <v>302</v>
      </c>
      <c r="BW553" t="s">
        <v>1157</v>
      </c>
      <c r="BX553" t="s">
        <v>1158</v>
      </c>
      <c r="BY553" t="s">
        <v>123</v>
      </c>
      <c r="BZ553" t="s">
        <v>124</v>
      </c>
    </row>
    <row r="554" spans="1:78" x14ac:dyDescent="0.3">
      <c r="A554" t="s">
        <v>12</v>
      </c>
      <c r="B554" t="s">
        <v>92</v>
      </c>
      <c r="C554" t="s">
        <v>93</v>
      </c>
      <c r="D554" t="s">
        <v>94</v>
      </c>
      <c r="E554" t="s">
        <v>95</v>
      </c>
      <c r="F554" t="s">
        <v>503</v>
      </c>
      <c r="G554">
        <v>545000</v>
      </c>
      <c r="H554">
        <v>545000</v>
      </c>
      <c r="I554" t="s">
        <v>93</v>
      </c>
      <c r="J554" t="s">
        <v>94</v>
      </c>
      <c r="K554" t="s">
        <v>202</v>
      </c>
      <c r="L554" t="s">
        <v>987</v>
      </c>
      <c r="M554">
        <v>50800</v>
      </c>
      <c r="N554">
        <v>50800</v>
      </c>
      <c r="AA554" t="s">
        <v>988</v>
      </c>
      <c r="AB554" t="s">
        <v>989</v>
      </c>
      <c r="AC554" t="s">
        <v>990</v>
      </c>
      <c r="AD554" t="s">
        <v>365</v>
      </c>
      <c r="AE554" t="s">
        <v>991</v>
      </c>
      <c r="AF554" t="s">
        <v>992</v>
      </c>
      <c r="AG554" t="s">
        <v>102</v>
      </c>
      <c r="AH554" t="s">
        <v>993</v>
      </c>
      <c r="AI554">
        <v>46142</v>
      </c>
      <c r="AK554" t="s">
        <v>218</v>
      </c>
      <c r="AL554" t="s">
        <v>591</v>
      </c>
      <c r="AM554" t="s">
        <v>797</v>
      </c>
      <c r="AN554" t="s">
        <v>107</v>
      </c>
      <c r="AO554" t="s">
        <v>107</v>
      </c>
      <c r="AP554">
        <v>6000</v>
      </c>
      <c r="AQ554">
        <v>0</v>
      </c>
      <c r="AR554">
        <v>6000</v>
      </c>
      <c r="AT554" t="s">
        <v>161</v>
      </c>
      <c r="AZ554" t="s">
        <v>113</v>
      </c>
      <c r="BC554" t="s">
        <v>543</v>
      </c>
      <c r="BN554" t="s">
        <v>113</v>
      </c>
      <c r="BO554" t="s">
        <v>995</v>
      </c>
      <c r="BP554" t="s">
        <v>370</v>
      </c>
      <c r="BR554" t="s">
        <v>302</v>
      </c>
      <c r="BW554" t="s">
        <v>1157</v>
      </c>
      <c r="BX554" t="s">
        <v>1158</v>
      </c>
      <c r="BY554" t="s">
        <v>123</v>
      </c>
      <c r="BZ554" t="s">
        <v>124</v>
      </c>
    </row>
    <row r="555" spans="1:78" x14ac:dyDescent="0.3">
      <c r="A555" t="s">
        <v>12</v>
      </c>
      <c r="B555" t="s">
        <v>92</v>
      </c>
      <c r="C555" t="s">
        <v>93</v>
      </c>
      <c r="D555" t="s">
        <v>94</v>
      </c>
      <c r="E555" t="s">
        <v>95</v>
      </c>
      <c r="F555" t="s">
        <v>503</v>
      </c>
      <c r="G555">
        <v>545000</v>
      </c>
      <c r="H555">
        <v>545000</v>
      </c>
      <c r="I555" t="s">
        <v>93</v>
      </c>
      <c r="J555" t="s">
        <v>94</v>
      </c>
      <c r="K555" t="s">
        <v>202</v>
      </c>
      <c r="L555" t="s">
        <v>987</v>
      </c>
      <c r="M555">
        <v>50800</v>
      </c>
      <c r="N555">
        <v>50800</v>
      </c>
      <c r="AA555" t="s">
        <v>988</v>
      </c>
      <c r="AB555" t="s">
        <v>989</v>
      </c>
      <c r="AC555" t="s">
        <v>990</v>
      </c>
      <c r="AD555" t="s">
        <v>365</v>
      </c>
      <c r="AE555" t="s">
        <v>991</v>
      </c>
      <c r="AF555" t="s">
        <v>992</v>
      </c>
      <c r="AG555" t="s">
        <v>102</v>
      </c>
      <c r="AH555" t="s">
        <v>993</v>
      </c>
      <c r="AI555">
        <v>46172</v>
      </c>
      <c r="AK555" t="s">
        <v>218</v>
      </c>
      <c r="AL555" t="s">
        <v>594</v>
      </c>
      <c r="AM555" t="s">
        <v>797</v>
      </c>
      <c r="AN555" t="s">
        <v>107</v>
      </c>
      <c r="AO555" t="s">
        <v>107</v>
      </c>
      <c r="AP555">
        <v>6000</v>
      </c>
      <c r="AQ555">
        <v>0</v>
      </c>
      <c r="AR555">
        <v>6000</v>
      </c>
      <c r="AT555" t="s">
        <v>161</v>
      </c>
      <c r="AZ555" t="s">
        <v>113</v>
      </c>
      <c r="BC555" t="s">
        <v>543</v>
      </c>
      <c r="BN555" t="s">
        <v>113</v>
      </c>
      <c r="BO555" t="s">
        <v>995</v>
      </c>
      <c r="BP555" t="s">
        <v>370</v>
      </c>
      <c r="BR555" t="s">
        <v>302</v>
      </c>
      <c r="BW555" t="s">
        <v>1157</v>
      </c>
      <c r="BX555" t="s">
        <v>1158</v>
      </c>
      <c r="BY555" t="s">
        <v>123</v>
      </c>
      <c r="BZ555" t="s">
        <v>124</v>
      </c>
    </row>
    <row r="556" spans="1:78" x14ac:dyDescent="0.3">
      <c r="A556" t="s">
        <v>12</v>
      </c>
      <c r="B556" t="s">
        <v>92</v>
      </c>
      <c r="C556" t="s">
        <v>93</v>
      </c>
      <c r="D556" t="s">
        <v>94</v>
      </c>
      <c r="E556" t="s">
        <v>95</v>
      </c>
      <c r="F556" t="s">
        <v>503</v>
      </c>
      <c r="G556">
        <v>545000</v>
      </c>
      <c r="H556">
        <v>545000</v>
      </c>
      <c r="I556" t="s">
        <v>93</v>
      </c>
      <c r="J556" t="s">
        <v>94</v>
      </c>
      <c r="K556" t="s">
        <v>202</v>
      </c>
      <c r="L556" t="s">
        <v>987</v>
      </c>
      <c r="M556">
        <v>50800</v>
      </c>
      <c r="N556">
        <v>50800</v>
      </c>
      <c r="AA556" t="s">
        <v>988</v>
      </c>
      <c r="AB556" t="s">
        <v>989</v>
      </c>
      <c r="AC556" t="s">
        <v>990</v>
      </c>
      <c r="AD556" t="s">
        <v>365</v>
      </c>
      <c r="AE556" t="s">
        <v>991</v>
      </c>
      <c r="AF556" t="s">
        <v>992</v>
      </c>
      <c r="AG556" t="s">
        <v>102</v>
      </c>
      <c r="AH556" t="s">
        <v>993</v>
      </c>
      <c r="AI556">
        <v>46203</v>
      </c>
      <c r="AK556" t="s">
        <v>218</v>
      </c>
      <c r="AL556" t="s">
        <v>597</v>
      </c>
      <c r="AM556" t="s">
        <v>797</v>
      </c>
      <c r="AN556" t="s">
        <v>107</v>
      </c>
      <c r="AO556" t="s">
        <v>107</v>
      </c>
      <c r="AP556">
        <v>6000</v>
      </c>
      <c r="AQ556">
        <v>0</v>
      </c>
      <c r="AR556">
        <v>6000</v>
      </c>
      <c r="AT556" t="s">
        <v>161</v>
      </c>
      <c r="AZ556" t="s">
        <v>113</v>
      </c>
      <c r="BC556" t="s">
        <v>543</v>
      </c>
      <c r="BN556" t="s">
        <v>113</v>
      </c>
      <c r="BO556" t="s">
        <v>995</v>
      </c>
      <c r="BP556" t="s">
        <v>370</v>
      </c>
      <c r="BR556" t="s">
        <v>302</v>
      </c>
      <c r="BW556" t="s">
        <v>1157</v>
      </c>
      <c r="BX556" t="s">
        <v>1158</v>
      </c>
      <c r="BY556" t="s">
        <v>123</v>
      </c>
      <c r="BZ556" t="s">
        <v>124</v>
      </c>
    </row>
    <row r="557" spans="1:78" x14ac:dyDescent="0.3">
      <c r="A557" t="s">
        <v>12</v>
      </c>
      <c r="B557" t="s">
        <v>92</v>
      </c>
      <c r="C557" t="s">
        <v>93</v>
      </c>
      <c r="D557" t="s">
        <v>94</v>
      </c>
      <c r="E557" t="s">
        <v>95</v>
      </c>
      <c r="F557" t="s">
        <v>503</v>
      </c>
      <c r="G557">
        <v>545000</v>
      </c>
      <c r="H557">
        <v>545000</v>
      </c>
      <c r="I557" t="s">
        <v>93</v>
      </c>
      <c r="J557" t="s">
        <v>94</v>
      </c>
      <c r="K557" t="s">
        <v>202</v>
      </c>
      <c r="L557" t="s">
        <v>987</v>
      </c>
      <c r="M557">
        <v>50800</v>
      </c>
      <c r="N557">
        <v>50800</v>
      </c>
      <c r="AA557" t="s">
        <v>988</v>
      </c>
      <c r="AB557" t="s">
        <v>989</v>
      </c>
      <c r="AC557" t="s">
        <v>990</v>
      </c>
      <c r="AD557" t="s">
        <v>365</v>
      </c>
      <c r="AE557" t="s">
        <v>991</v>
      </c>
      <c r="AF557" t="s">
        <v>992</v>
      </c>
      <c r="AG557" t="s">
        <v>102</v>
      </c>
      <c r="AH557" t="s">
        <v>993</v>
      </c>
      <c r="AI557">
        <v>46233</v>
      </c>
      <c r="AK557" t="s">
        <v>218</v>
      </c>
      <c r="AL557" t="s">
        <v>599</v>
      </c>
      <c r="AM557" t="s">
        <v>797</v>
      </c>
      <c r="AN557" t="s">
        <v>107</v>
      </c>
      <c r="AO557" t="s">
        <v>107</v>
      </c>
      <c r="AP557">
        <v>6000</v>
      </c>
      <c r="AQ557">
        <v>0</v>
      </c>
      <c r="AR557">
        <v>6000</v>
      </c>
      <c r="AT557" t="s">
        <v>161</v>
      </c>
      <c r="AZ557" t="s">
        <v>113</v>
      </c>
      <c r="BC557" t="s">
        <v>1160</v>
      </c>
      <c r="BN557" t="s">
        <v>113</v>
      </c>
      <c r="BO557" t="s">
        <v>995</v>
      </c>
      <c r="BP557" t="s">
        <v>370</v>
      </c>
      <c r="BR557" t="s">
        <v>302</v>
      </c>
      <c r="BW557" t="s">
        <v>1157</v>
      </c>
      <c r="BX557" t="s">
        <v>1158</v>
      </c>
      <c r="BY557" t="s">
        <v>123</v>
      </c>
      <c r="BZ557" t="s">
        <v>124</v>
      </c>
    </row>
    <row r="558" spans="1:78" x14ac:dyDescent="0.3">
      <c r="A558" t="s">
        <v>12</v>
      </c>
      <c r="B558" t="s">
        <v>92</v>
      </c>
      <c r="C558" t="s">
        <v>93</v>
      </c>
      <c r="D558" t="s">
        <v>94</v>
      </c>
      <c r="E558" t="s">
        <v>95</v>
      </c>
      <c r="F558" t="s">
        <v>503</v>
      </c>
      <c r="G558">
        <v>545000</v>
      </c>
      <c r="H558">
        <v>545000</v>
      </c>
      <c r="I558" t="s">
        <v>93</v>
      </c>
      <c r="J558" t="s">
        <v>94</v>
      </c>
      <c r="K558" t="s">
        <v>202</v>
      </c>
      <c r="L558" t="s">
        <v>987</v>
      </c>
      <c r="M558">
        <v>50800</v>
      </c>
      <c r="N558">
        <v>50800</v>
      </c>
      <c r="AA558" t="s">
        <v>988</v>
      </c>
      <c r="AB558" t="s">
        <v>989</v>
      </c>
      <c r="AC558" t="s">
        <v>990</v>
      </c>
      <c r="AD558" t="s">
        <v>365</v>
      </c>
      <c r="AE558" t="s">
        <v>991</v>
      </c>
      <c r="AF558" t="s">
        <v>992</v>
      </c>
      <c r="AG558" t="s">
        <v>102</v>
      </c>
      <c r="AH558" t="s">
        <v>993</v>
      </c>
      <c r="AI558">
        <v>46264</v>
      </c>
      <c r="AK558" t="s">
        <v>218</v>
      </c>
      <c r="AL558" t="s">
        <v>1262</v>
      </c>
      <c r="AM558" t="s">
        <v>797</v>
      </c>
      <c r="AN558" t="s">
        <v>107</v>
      </c>
      <c r="AO558" t="s">
        <v>107</v>
      </c>
      <c r="AP558">
        <v>6000</v>
      </c>
      <c r="AQ558">
        <v>0</v>
      </c>
      <c r="AR558">
        <v>6000</v>
      </c>
      <c r="AT558" t="s">
        <v>161</v>
      </c>
      <c r="AZ558" t="s">
        <v>113</v>
      </c>
      <c r="BC558" t="s">
        <v>1160</v>
      </c>
      <c r="BN558" t="s">
        <v>113</v>
      </c>
      <c r="BO558" t="s">
        <v>995</v>
      </c>
      <c r="BP558" t="s">
        <v>370</v>
      </c>
      <c r="BR558" t="s">
        <v>302</v>
      </c>
      <c r="BW558" t="s">
        <v>1157</v>
      </c>
      <c r="BX558" t="s">
        <v>1158</v>
      </c>
      <c r="BY558" t="s">
        <v>123</v>
      </c>
      <c r="BZ558" t="s">
        <v>124</v>
      </c>
    </row>
    <row r="559" spans="1:78" x14ac:dyDescent="0.3">
      <c r="A559" t="s">
        <v>12</v>
      </c>
      <c r="B559" t="s">
        <v>92</v>
      </c>
      <c r="C559" t="s">
        <v>93</v>
      </c>
      <c r="D559" t="s">
        <v>94</v>
      </c>
      <c r="E559" t="s">
        <v>95</v>
      </c>
      <c r="F559" t="s">
        <v>503</v>
      </c>
      <c r="G559">
        <v>545000</v>
      </c>
      <c r="H559">
        <v>545000</v>
      </c>
      <c r="I559" t="s">
        <v>93</v>
      </c>
      <c r="J559" t="s">
        <v>94</v>
      </c>
      <c r="K559" t="s">
        <v>202</v>
      </c>
      <c r="L559" t="s">
        <v>987</v>
      </c>
      <c r="M559">
        <v>50800</v>
      </c>
      <c r="N559">
        <v>50800</v>
      </c>
      <c r="AA559" t="s">
        <v>988</v>
      </c>
      <c r="AB559" t="s">
        <v>989</v>
      </c>
      <c r="AC559" t="s">
        <v>990</v>
      </c>
      <c r="AD559" t="s">
        <v>365</v>
      </c>
      <c r="AE559" t="s">
        <v>991</v>
      </c>
      <c r="AF559" t="s">
        <v>992</v>
      </c>
      <c r="AG559" t="s">
        <v>102</v>
      </c>
      <c r="AH559" t="s">
        <v>993</v>
      </c>
      <c r="AI559">
        <v>46295</v>
      </c>
      <c r="AK559" t="s">
        <v>218</v>
      </c>
      <c r="AL559" t="s">
        <v>1382</v>
      </c>
      <c r="AM559" t="s">
        <v>797</v>
      </c>
      <c r="AN559" t="s">
        <v>107</v>
      </c>
      <c r="AO559" t="s">
        <v>107</v>
      </c>
      <c r="AP559">
        <v>6000</v>
      </c>
      <c r="AQ559">
        <v>0</v>
      </c>
      <c r="AR559">
        <v>6000</v>
      </c>
      <c r="AT559" t="s">
        <v>161</v>
      </c>
      <c r="AZ559" t="s">
        <v>113</v>
      </c>
      <c r="BC559" t="s">
        <v>1160</v>
      </c>
      <c r="BN559" t="s">
        <v>113</v>
      </c>
      <c r="BO559" t="s">
        <v>995</v>
      </c>
      <c r="BP559" t="s">
        <v>370</v>
      </c>
      <c r="BR559" t="s">
        <v>302</v>
      </c>
      <c r="BW559" t="s">
        <v>1157</v>
      </c>
      <c r="BX559" t="s">
        <v>1158</v>
      </c>
      <c r="BY559" t="s">
        <v>123</v>
      </c>
      <c r="BZ559" t="s">
        <v>124</v>
      </c>
    </row>
    <row r="560" spans="1:78" x14ac:dyDescent="0.3">
      <c r="A560" t="s">
        <v>12</v>
      </c>
      <c r="B560" t="s">
        <v>92</v>
      </c>
      <c r="C560" t="s">
        <v>93</v>
      </c>
      <c r="D560" t="s">
        <v>94</v>
      </c>
      <c r="E560" t="s">
        <v>95</v>
      </c>
      <c r="F560" t="s">
        <v>503</v>
      </c>
      <c r="G560">
        <v>545000</v>
      </c>
      <c r="H560">
        <v>545000</v>
      </c>
      <c r="I560" t="s">
        <v>93</v>
      </c>
      <c r="J560" t="s">
        <v>94</v>
      </c>
      <c r="K560" t="s">
        <v>202</v>
      </c>
      <c r="L560" t="s">
        <v>987</v>
      </c>
      <c r="M560">
        <v>50800</v>
      </c>
      <c r="N560">
        <v>50800</v>
      </c>
      <c r="AA560" t="s">
        <v>988</v>
      </c>
      <c r="AB560" t="s">
        <v>989</v>
      </c>
      <c r="AC560" t="s">
        <v>990</v>
      </c>
      <c r="AD560" t="s">
        <v>365</v>
      </c>
      <c r="AE560" t="s">
        <v>991</v>
      </c>
      <c r="AF560" t="s">
        <v>992</v>
      </c>
      <c r="AG560" t="s">
        <v>102</v>
      </c>
      <c r="AH560" t="s">
        <v>993</v>
      </c>
      <c r="AI560">
        <v>46325</v>
      </c>
      <c r="AK560" t="s">
        <v>218</v>
      </c>
      <c r="AL560" t="s">
        <v>1383</v>
      </c>
      <c r="AM560" t="s">
        <v>797</v>
      </c>
      <c r="AN560" t="s">
        <v>107</v>
      </c>
      <c r="AO560" t="s">
        <v>107</v>
      </c>
      <c r="AP560">
        <v>6000</v>
      </c>
      <c r="AQ560">
        <v>0</v>
      </c>
      <c r="AR560">
        <v>6000</v>
      </c>
      <c r="AT560" t="s">
        <v>161</v>
      </c>
      <c r="AZ560" t="s">
        <v>113</v>
      </c>
      <c r="BC560" t="s">
        <v>1160</v>
      </c>
      <c r="BN560" t="s">
        <v>113</v>
      </c>
      <c r="BO560" t="s">
        <v>995</v>
      </c>
      <c r="BP560" t="s">
        <v>370</v>
      </c>
      <c r="BR560" t="s">
        <v>302</v>
      </c>
      <c r="BW560" t="s">
        <v>1157</v>
      </c>
      <c r="BX560" t="s">
        <v>1158</v>
      </c>
      <c r="BY560" t="s">
        <v>123</v>
      </c>
      <c r="BZ560" t="s">
        <v>124</v>
      </c>
    </row>
    <row r="561" spans="1:78" x14ac:dyDescent="0.3">
      <c r="A561" t="s">
        <v>12</v>
      </c>
      <c r="B561" t="s">
        <v>92</v>
      </c>
      <c r="C561" t="s">
        <v>93</v>
      </c>
      <c r="D561" t="s">
        <v>94</v>
      </c>
      <c r="E561" t="s">
        <v>95</v>
      </c>
      <c r="F561" t="s">
        <v>503</v>
      </c>
      <c r="G561">
        <v>545000</v>
      </c>
      <c r="H561">
        <v>545000</v>
      </c>
      <c r="I561" t="s">
        <v>93</v>
      </c>
      <c r="J561" t="s">
        <v>94</v>
      </c>
      <c r="K561" t="s">
        <v>202</v>
      </c>
      <c r="L561" t="s">
        <v>987</v>
      </c>
      <c r="M561">
        <v>50800</v>
      </c>
      <c r="N561">
        <v>50800</v>
      </c>
      <c r="AA561" t="s">
        <v>988</v>
      </c>
      <c r="AB561" t="s">
        <v>989</v>
      </c>
      <c r="AC561" t="s">
        <v>990</v>
      </c>
      <c r="AD561" t="s">
        <v>365</v>
      </c>
      <c r="AE561" t="s">
        <v>991</v>
      </c>
      <c r="AF561" t="s">
        <v>992</v>
      </c>
      <c r="AG561" t="s">
        <v>102</v>
      </c>
      <c r="AH561" t="s">
        <v>993</v>
      </c>
      <c r="AI561">
        <v>46356</v>
      </c>
      <c r="AK561" t="s">
        <v>218</v>
      </c>
      <c r="AL561" t="s">
        <v>1384</v>
      </c>
      <c r="AM561" t="s">
        <v>797</v>
      </c>
      <c r="AN561" t="s">
        <v>107</v>
      </c>
      <c r="AO561" t="s">
        <v>107</v>
      </c>
      <c r="AP561">
        <v>6000</v>
      </c>
      <c r="AQ561">
        <v>0</v>
      </c>
      <c r="AR561">
        <v>6000</v>
      </c>
      <c r="AT561" t="s">
        <v>161</v>
      </c>
      <c r="AZ561" t="s">
        <v>113</v>
      </c>
      <c r="BC561" t="s">
        <v>1160</v>
      </c>
      <c r="BN561" t="s">
        <v>113</v>
      </c>
      <c r="BO561" t="s">
        <v>995</v>
      </c>
      <c r="BP561" t="s">
        <v>370</v>
      </c>
      <c r="BR561" t="s">
        <v>302</v>
      </c>
      <c r="BW561" t="s">
        <v>1157</v>
      </c>
      <c r="BX561" t="s">
        <v>1158</v>
      </c>
      <c r="BY561" t="s">
        <v>123</v>
      </c>
      <c r="BZ561" t="s">
        <v>124</v>
      </c>
    </row>
    <row r="562" spans="1:78" x14ac:dyDescent="0.3">
      <c r="A562" t="s">
        <v>12</v>
      </c>
      <c r="B562" t="s">
        <v>92</v>
      </c>
      <c r="C562" t="s">
        <v>93</v>
      </c>
      <c r="D562" t="s">
        <v>94</v>
      </c>
      <c r="E562" t="s">
        <v>95</v>
      </c>
      <c r="F562" t="s">
        <v>503</v>
      </c>
      <c r="G562">
        <v>545000</v>
      </c>
      <c r="H562">
        <v>545000</v>
      </c>
      <c r="I562" t="s">
        <v>93</v>
      </c>
      <c r="J562" t="s">
        <v>94</v>
      </c>
      <c r="K562" t="s">
        <v>202</v>
      </c>
      <c r="L562" t="s">
        <v>987</v>
      </c>
      <c r="M562">
        <v>50800</v>
      </c>
      <c r="N562">
        <v>50800</v>
      </c>
      <c r="AA562" t="s">
        <v>988</v>
      </c>
      <c r="AB562" t="s">
        <v>989</v>
      </c>
      <c r="AC562" t="s">
        <v>990</v>
      </c>
      <c r="AD562" t="s">
        <v>365</v>
      </c>
      <c r="AE562" t="s">
        <v>991</v>
      </c>
      <c r="AF562" t="s">
        <v>992</v>
      </c>
      <c r="AG562" t="s">
        <v>102</v>
      </c>
      <c r="AH562" t="s">
        <v>993</v>
      </c>
      <c r="AI562">
        <v>46386</v>
      </c>
      <c r="AK562" t="s">
        <v>218</v>
      </c>
      <c r="AL562" t="s">
        <v>1812</v>
      </c>
      <c r="AM562" t="s">
        <v>797</v>
      </c>
      <c r="AN562" t="s">
        <v>107</v>
      </c>
      <c r="AO562" t="s">
        <v>107</v>
      </c>
      <c r="AP562">
        <v>6000</v>
      </c>
      <c r="AQ562">
        <v>0</v>
      </c>
      <c r="AR562">
        <v>6000</v>
      </c>
      <c r="AT562" t="s">
        <v>161</v>
      </c>
      <c r="AZ562" t="s">
        <v>113</v>
      </c>
      <c r="BC562" t="s">
        <v>1160</v>
      </c>
      <c r="BN562" t="s">
        <v>113</v>
      </c>
      <c r="BO562" t="s">
        <v>995</v>
      </c>
      <c r="BP562" t="s">
        <v>370</v>
      </c>
      <c r="BR562" t="s">
        <v>302</v>
      </c>
      <c r="BW562" t="s">
        <v>1157</v>
      </c>
      <c r="BX562" t="s">
        <v>1158</v>
      </c>
      <c r="BY562" t="s">
        <v>123</v>
      </c>
      <c r="BZ562" t="s">
        <v>124</v>
      </c>
    </row>
    <row r="563" spans="1:78" x14ac:dyDescent="0.3">
      <c r="A563" t="s">
        <v>11</v>
      </c>
      <c r="B563" t="s">
        <v>92</v>
      </c>
      <c r="C563" t="s">
        <v>93</v>
      </c>
      <c r="D563" t="s">
        <v>94</v>
      </c>
      <c r="E563" t="s">
        <v>95</v>
      </c>
      <c r="F563" t="s">
        <v>1813</v>
      </c>
      <c r="G563">
        <v>422000</v>
      </c>
      <c r="H563">
        <v>370000</v>
      </c>
      <c r="AA563" t="s">
        <v>1814</v>
      </c>
      <c r="AB563" t="s">
        <v>1815</v>
      </c>
      <c r="AC563" t="s">
        <v>1816</v>
      </c>
      <c r="AD563" t="s">
        <v>365</v>
      </c>
      <c r="AE563" t="s">
        <v>1817</v>
      </c>
      <c r="AF563" t="s">
        <v>1818</v>
      </c>
      <c r="AG563" t="s">
        <v>102</v>
      </c>
      <c r="AH563" t="s">
        <v>1819</v>
      </c>
      <c r="AI563">
        <v>46137</v>
      </c>
      <c r="AJ563">
        <v>46137</v>
      </c>
      <c r="AK563" t="s">
        <v>104</v>
      </c>
      <c r="AL563" t="s">
        <v>105</v>
      </c>
      <c r="AM563" t="s">
        <v>106</v>
      </c>
      <c r="AN563" t="s">
        <v>107</v>
      </c>
      <c r="AO563" t="s">
        <v>107</v>
      </c>
      <c r="AP563">
        <v>3000</v>
      </c>
      <c r="AQ563">
        <v>3000</v>
      </c>
      <c r="AR563">
        <v>0</v>
      </c>
      <c r="AS563" t="s">
        <v>107</v>
      </c>
      <c r="AT563" t="s">
        <v>243</v>
      </c>
      <c r="AU563" t="s">
        <v>162</v>
      </c>
      <c r="AV563" t="s">
        <v>163</v>
      </c>
      <c r="AW563" t="s">
        <v>209</v>
      </c>
      <c r="AY563" t="s">
        <v>1820</v>
      </c>
      <c r="AZ563" t="s">
        <v>113</v>
      </c>
      <c r="BB563" t="s">
        <v>114</v>
      </c>
      <c r="BC563" t="s">
        <v>115</v>
      </c>
      <c r="BN563" t="s">
        <v>113</v>
      </c>
      <c r="BO563" t="s">
        <v>1821</v>
      </c>
      <c r="BP563" t="s">
        <v>370</v>
      </c>
      <c r="BR563" t="s">
        <v>512</v>
      </c>
      <c r="BS563" t="s">
        <v>1822</v>
      </c>
      <c r="BW563" t="s">
        <v>1157</v>
      </c>
      <c r="BX563" t="s">
        <v>1158</v>
      </c>
      <c r="BY563" t="s">
        <v>123</v>
      </c>
      <c r="BZ563" t="s">
        <v>124</v>
      </c>
    </row>
    <row r="564" spans="1:78" x14ac:dyDescent="0.3">
      <c r="A564" t="s">
        <v>11</v>
      </c>
      <c r="B564" t="s">
        <v>92</v>
      </c>
      <c r="C564" t="s">
        <v>93</v>
      </c>
      <c r="D564" t="s">
        <v>94</v>
      </c>
      <c r="E564" t="s">
        <v>95</v>
      </c>
      <c r="F564" t="s">
        <v>1813</v>
      </c>
      <c r="G564">
        <v>422000</v>
      </c>
      <c r="H564">
        <v>370000</v>
      </c>
      <c r="AA564" t="s">
        <v>1814</v>
      </c>
      <c r="AB564" t="s">
        <v>1815</v>
      </c>
      <c r="AC564" t="s">
        <v>1816</v>
      </c>
      <c r="AD564" t="s">
        <v>365</v>
      </c>
      <c r="AE564" t="s">
        <v>1817</v>
      </c>
      <c r="AF564" t="s">
        <v>1818</v>
      </c>
      <c r="AG564" t="s">
        <v>102</v>
      </c>
      <c r="AH564" t="s">
        <v>1819</v>
      </c>
      <c r="AI564">
        <v>46142</v>
      </c>
      <c r="AJ564">
        <v>46142</v>
      </c>
      <c r="AK564" t="s">
        <v>137</v>
      </c>
      <c r="AL564" t="s">
        <v>105</v>
      </c>
      <c r="AM564" t="s">
        <v>1823</v>
      </c>
      <c r="AN564" t="s">
        <v>107</v>
      </c>
      <c r="AO564" t="s">
        <v>107</v>
      </c>
      <c r="AP564">
        <v>123500</v>
      </c>
      <c r="AQ564">
        <v>123500</v>
      </c>
      <c r="AR564">
        <v>0</v>
      </c>
      <c r="AS564" t="s">
        <v>107</v>
      </c>
      <c r="AT564" t="s">
        <v>243</v>
      </c>
      <c r="AU564" t="s">
        <v>162</v>
      </c>
      <c r="AV564" t="s">
        <v>163</v>
      </c>
      <c r="AW564" t="s">
        <v>111</v>
      </c>
      <c r="AY564" t="s">
        <v>1824</v>
      </c>
      <c r="AZ564" t="s">
        <v>113</v>
      </c>
      <c r="BB564" t="s">
        <v>114</v>
      </c>
      <c r="BC564" t="s">
        <v>115</v>
      </c>
      <c r="BN564" t="s">
        <v>113</v>
      </c>
      <c r="BO564" t="s">
        <v>1821</v>
      </c>
      <c r="BP564" t="s">
        <v>370</v>
      </c>
      <c r="BR564" t="s">
        <v>512</v>
      </c>
      <c r="BS564" t="s">
        <v>1825</v>
      </c>
      <c r="BW564" t="s">
        <v>1157</v>
      </c>
      <c r="BX564" t="s">
        <v>1158</v>
      </c>
      <c r="BY564" t="s">
        <v>123</v>
      </c>
      <c r="BZ564" t="s">
        <v>124</v>
      </c>
    </row>
    <row r="565" spans="1:78" x14ac:dyDescent="0.3">
      <c r="A565" t="s">
        <v>11</v>
      </c>
      <c r="B565" t="s">
        <v>92</v>
      </c>
      <c r="C565" t="s">
        <v>93</v>
      </c>
      <c r="D565" t="s">
        <v>94</v>
      </c>
      <c r="E565" t="s">
        <v>95</v>
      </c>
      <c r="F565" t="s">
        <v>1813</v>
      </c>
      <c r="G565">
        <v>422000</v>
      </c>
      <c r="H565">
        <v>370000</v>
      </c>
      <c r="AA565" t="s">
        <v>1814</v>
      </c>
      <c r="AB565" t="s">
        <v>1815</v>
      </c>
      <c r="AC565" t="s">
        <v>1816</v>
      </c>
      <c r="AD565" t="s">
        <v>365</v>
      </c>
      <c r="AE565" t="s">
        <v>1817</v>
      </c>
      <c r="AF565" t="s">
        <v>1818</v>
      </c>
      <c r="AG565" t="s">
        <v>102</v>
      </c>
      <c r="AH565" t="s">
        <v>1819</v>
      </c>
      <c r="AI565">
        <v>46295</v>
      </c>
      <c r="AK565" t="s">
        <v>137</v>
      </c>
      <c r="AL565" t="s">
        <v>142</v>
      </c>
      <c r="AM565" t="s">
        <v>1823</v>
      </c>
      <c r="AN565" t="s">
        <v>107</v>
      </c>
      <c r="AO565" t="s">
        <v>107</v>
      </c>
      <c r="AP565">
        <v>123500</v>
      </c>
      <c r="AQ565">
        <v>0</v>
      </c>
      <c r="AR565">
        <v>123500</v>
      </c>
      <c r="AT565" t="s">
        <v>243</v>
      </c>
      <c r="AZ565" t="s">
        <v>113</v>
      </c>
      <c r="BC565" t="s">
        <v>1160</v>
      </c>
      <c r="BN565" t="s">
        <v>113</v>
      </c>
      <c r="BO565" t="s">
        <v>1821</v>
      </c>
      <c r="BP565" t="s">
        <v>370</v>
      </c>
      <c r="BR565" t="s">
        <v>512</v>
      </c>
      <c r="BW565" t="s">
        <v>1157</v>
      </c>
      <c r="BX565" t="s">
        <v>1158</v>
      </c>
      <c r="BY565" t="s">
        <v>123</v>
      </c>
      <c r="BZ565" t="s">
        <v>124</v>
      </c>
    </row>
    <row r="566" spans="1:78" x14ac:dyDescent="0.3">
      <c r="A566" t="s">
        <v>11</v>
      </c>
      <c r="B566" t="s">
        <v>92</v>
      </c>
      <c r="C566" t="s">
        <v>93</v>
      </c>
      <c r="D566" t="s">
        <v>94</v>
      </c>
      <c r="E566" t="s">
        <v>95</v>
      </c>
      <c r="F566" t="s">
        <v>1813</v>
      </c>
      <c r="G566">
        <v>422000</v>
      </c>
      <c r="H566">
        <v>370000</v>
      </c>
      <c r="AA566" t="s">
        <v>1814</v>
      </c>
      <c r="AB566" t="s">
        <v>1815</v>
      </c>
      <c r="AC566" t="s">
        <v>1816</v>
      </c>
      <c r="AD566" t="s">
        <v>365</v>
      </c>
      <c r="AE566" t="s">
        <v>1817</v>
      </c>
      <c r="AF566" t="s">
        <v>1818</v>
      </c>
      <c r="AG566" t="s">
        <v>102</v>
      </c>
      <c r="AH566" t="s">
        <v>1819</v>
      </c>
      <c r="AI566">
        <v>46356</v>
      </c>
      <c r="AK566" t="s">
        <v>218</v>
      </c>
      <c r="AL566" t="s">
        <v>105</v>
      </c>
      <c r="AM566" t="s">
        <v>1826</v>
      </c>
      <c r="AN566" t="s">
        <v>107</v>
      </c>
      <c r="AO566" t="s">
        <v>107</v>
      </c>
      <c r="AP566">
        <v>120000</v>
      </c>
      <c r="AQ566">
        <v>0</v>
      </c>
      <c r="AR566">
        <v>120000</v>
      </c>
      <c r="AT566" t="s">
        <v>243</v>
      </c>
      <c r="AZ566" t="s">
        <v>113</v>
      </c>
      <c r="BC566" t="s">
        <v>1160</v>
      </c>
      <c r="BN566" t="s">
        <v>113</v>
      </c>
      <c r="BO566" t="s">
        <v>1821</v>
      </c>
      <c r="BP566" t="s">
        <v>370</v>
      </c>
      <c r="BR566" t="s">
        <v>512</v>
      </c>
      <c r="BW566" t="s">
        <v>1157</v>
      </c>
      <c r="BX566" t="s">
        <v>1158</v>
      </c>
      <c r="BY566" t="s">
        <v>123</v>
      </c>
      <c r="BZ566" t="s">
        <v>124</v>
      </c>
    </row>
    <row r="567" spans="1:78" x14ac:dyDescent="0.3">
      <c r="A567" t="s">
        <v>11</v>
      </c>
      <c r="B567" t="s">
        <v>92</v>
      </c>
      <c r="C567" t="s">
        <v>93</v>
      </c>
      <c r="D567" t="s">
        <v>94</v>
      </c>
      <c r="E567" t="s">
        <v>95</v>
      </c>
      <c r="F567" t="s">
        <v>1015</v>
      </c>
      <c r="G567">
        <v>460000</v>
      </c>
      <c r="H567">
        <v>460000</v>
      </c>
      <c r="I567" t="s">
        <v>93</v>
      </c>
      <c r="J567" t="s">
        <v>94</v>
      </c>
      <c r="K567" t="s">
        <v>202</v>
      </c>
      <c r="L567" t="s">
        <v>987</v>
      </c>
      <c r="M567">
        <v>47500</v>
      </c>
      <c r="N567">
        <v>47500</v>
      </c>
      <c r="O567" t="s">
        <v>93</v>
      </c>
      <c r="P567" t="s">
        <v>94</v>
      </c>
      <c r="Q567" t="s">
        <v>1016</v>
      </c>
      <c r="R567" t="s">
        <v>1017</v>
      </c>
      <c r="S567">
        <v>21700</v>
      </c>
      <c r="T567">
        <v>21700</v>
      </c>
      <c r="U567" t="s">
        <v>93</v>
      </c>
      <c r="V567" t="s">
        <v>94</v>
      </c>
      <c r="W567" t="s">
        <v>1016</v>
      </c>
      <c r="X567" t="s">
        <v>1018</v>
      </c>
      <c r="Y567">
        <v>9500</v>
      </c>
      <c r="Z567">
        <v>9500</v>
      </c>
      <c r="AA567" t="s">
        <v>1019</v>
      </c>
      <c r="AB567" t="s">
        <v>1020</v>
      </c>
      <c r="AC567" t="s">
        <v>1021</v>
      </c>
      <c r="AE567" t="s">
        <v>1022</v>
      </c>
      <c r="AF567" t="s">
        <v>1023</v>
      </c>
      <c r="AG567" t="s">
        <v>102</v>
      </c>
      <c r="AH567" t="s">
        <v>326</v>
      </c>
      <c r="AI567">
        <v>46258.473611111112</v>
      </c>
      <c r="AK567" t="s">
        <v>218</v>
      </c>
      <c r="AL567" t="s">
        <v>591</v>
      </c>
      <c r="AM567" t="s">
        <v>1827</v>
      </c>
      <c r="AN567" t="s">
        <v>107</v>
      </c>
      <c r="AO567" t="s">
        <v>107</v>
      </c>
      <c r="AP567">
        <v>190512</v>
      </c>
      <c r="AQ567">
        <v>0</v>
      </c>
      <c r="AR567">
        <v>190512</v>
      </c>
      <c r="AT567" t="s">
        <v>161</v>
      </c>
      <c r="AZ567" t="s">
        <v>113</v>
      </c>
      <c r="BC567" t="s">
        <v>1160</v>
      </c>
      <c r="BN567" t="s">
        <v>113</v>
      </c>
      <c r="BO567" t="s">
        <v>1025</v>
      </c>
      <c r="BP567" t="s">
        <v>166</v>
      </c>
      <c r="BR567" t="s">
        <v>574</v>
      </c>
      <c r="BW567" t="s">
        <v>1157</v>
      </c>
      <c r="BX567" t="s">
        <v>1158</v>
      </c>
      <c r="BY567" t="s">
        <v>123</v>
      </c>
      <c r="BZ567" t="s">
        <v>124</v>
      </c>
    </row>
    <row r="568" spans="1:78" x14ac:dyDescent="0.3">
      <c r="A568" t="s">
        <v>12</v>
      </c>
      <c r="B568" t="s">
        <v>92</v>
      </c>
      <c r="C568" t="s">
        <v>93</v>
      </c>
      <c r="D568" t="s">
        <v>94</v>
      </c>
      <c r="E568" t="s">
        <v>95</v>
      </c>
      <c r="F568" t="s">
        <v>125</v>
      </c>
      <c r="G568">
        <v>623000</v>
      </c>
      <c r="H568">
        <v>600000</v>
      </c>
      <c r="AA568" t="s">
        <v>1828</v>
      </c>
      <c r="AB568" t="s">
        <v>1829</v>
      </c>
      <c r="AC568" t="s">
        <v>1830</v>
      </c>
      <c r="AD568" t="s">
        <v>365</v>
      </c>
      <c r="AE568" t="s">
        <v>1831</v>
      </c>
      <c r="AF568" t="s">
        <v>1832</v>
      </c>
      <c r="AG568" t="s">
        <v>102</v>
      </c>
      <c r="AH568" t="s">
        <v>175</v>
      </c>
      <c r="AI568">
        <v>46109</v>
      </c>
      <c r="AJ568">
        <v>46109</v>
      </c>
      <c r="AK568" t="s">
        <v>104</v>
      </c>
      <c r="AL568" t="s">
        <v>105</v>
      </c>
      <c r="AM568" t="s">
        <v>106</v>
      </c>
      <c r="AN568" t="s">
        <v>107</v>
      </c>
      <c r="AO568" t="s">
        <v>107</v>
      </c>
      <c r="AP568">
        <v>3000</v>
      </c>
      <c r="AQ568">
        <v>3000</v>
      </c>
      <c r="AR568">
        <v>0</v>
      </c>
      <c r="AS568" t="s">
        <v>107</v>
      </c>
      <c r="AT568" t="s">
        <v>243</v>
      </c>
      <c r="AU568" t="s">
        <v>109</v>
      </c>
      <c r="AV568" t="s">
        <v>451</v>
      </c>
      <c r="AW568" t="s">
        <v>209</v>
      </c>
      <c r="AY568" t="s">
        <v>1833</v>
      </c>
      <c r="AZ568" t="s">
        <v>116</v>
      </c>
      <c r="BA568" t="s">
        <v>1526</v>
      </c>
      <c r="BB568" t="s">
        <v>114</v>
      </c>
      <c r="BC568" t="s">
        <v>115</v>
      </c>
      <c r="BN568" t="s">
        <v>116</v>
      </c>
      <c r="BO568" t="s">
        <v>1834</v>
      </c>
      <c r="BP568" t="s">
        <v>370</v>
      </c>
      <c r="BR568" t="s">
        <v>282</v>
      </c>
      <c r="BS568" t="s">
        <v>1835</v>
      </c>
      <c r="BW568" t="s">
        <v>1157</v>
      </c>
      <c r="BX568" t="s">
        <v>1158</v>
      </c>
      <c r="BY568" t="s">
        <v>123</v>
      </c>
      <c r="BZ568" t="s">
        <v>124</v>
      </c>
    </row>
    <row r="569" spans="1:78" x14ac:dyDescent="0.3">
      <c r="A569" t="s">
        <v>12</v>
      </c>
      <c r="B569" t="s">
        <v>92</v>
      </c>
      <c r="C569" t="s">
        <v>93</v>
      </c>
      <c r="D569" t="s">
        <v>94</v>
      </c>
      <c r="E569" t="s">
        <v>95</v>
      </c>
      <c r="F569" t="s">
        <v>125</v>
      </c>
      <c r="G569">
        <v>623000</v>
      </c>
      <c r="H569">
        <v>600000</v>
      </c>
      <c r="AA569" t="s">
        <v>1828</v>
      </c>
      <c r="AB569" t="s">
        <v>1829</v>
      </c>
      <c r="AC569" t="s">
        <v>1830</v>
      </c>
      <c r="AD569" t="s">
        <v>365</v>
      </c>
      <c r="AE569" t="s">
        <v>1831</v>
      </c>
      <c r="AF569" t="s">
        <v>1832</v>
      </c>
      <c r="AG569" t="s">
        <v>102</v>
      </c>
      <c r="AH569" t="s">
        <v>175</v>
      </c>
      <c r="AI569">
        <v>46081</v>
      </c>
      <c r="AJ569">
        <v>46081</v>
      </c>
      <c r="AK569" t="s">
        <v>137</v>
      </c>
      <c r="AL569" t="s">
        <v>105</v>
      </c>
      <c r="AM569" t="s">
        <v>398</v>
      </c>
      <c r="AN569" t="s">
        <v>107</v>
      </c>
      <c r="AO569" t="s">
        <v>107</v>
      </c>
      <c r="AP569">
        <v>10000</v>
      </c>
      <c r="AQ569">
        <v>10000</v>
      </c>
      <c r="AR569">
        <v>0</v>
      </c>
      <c r="AS569" t="s">
        <v>107</v>
      </c>
      <c r="AT569" t="s">
        <v>243</v>
      </c>
      <c r="AU569" t="s">
        <v>109</v>
      </c>
      <c r="AV569" t="s">
        <v>451</v>
      </c>
      <c r="AW569" t="s">
        <v>111</v>
      </c>
      <c r="AY569" t="s">
        <v>1836</v>
      </c>
      <c r="AZ569" t="s">
        <v>113</v>
      </c>
      <c r="BA569" t="s">
        <v>1526</v>
      </c>
      <c r="BB569" t="s">
        <v>114</v>
      </c>
      <c r="BC569" t="s">
        <v>115</v>
      </c>
      <c r="BN569" t="s">
        <v>116</v>
      </c>
      <c r="BO569" t="s">
        <v>1834</v>
      </c>
      <c r="BP569" t="s">
        <v>370</v>
      </c>
      <c r="BR569" t="s">
        <v>282</v>
      </c>
      <c r="BS569" t="s">
        <v>1837</v>
      </c>
      <c r="BW569" t="s">
        <v>1157</v>
      </c>
      <c r="BX569" t="s">
        <v>1158</v>
      </c>
      <c r="BY569" t="s">
        <v>123</v>
      </c>
      <c r="BZ569" t="s">
        <v>124</v>
      </c>
    </row>
    <row r="570" spans="1:78" x14ac:dyDescent="0.3">
      <c r="A570" t="s">
        <v>12</v>
      </c>
      <c r="B570" t="s">
        <v>92</v>
      </c>
      <c r="C570" t="s">
        <v>93</v>
      </c>
      <c r="D570" t="s">
        <v>94</v>
      </c>
      <c r="E570" t="s">
        <v>95</v>
      </c>
      <c r="F570" t="s">
        <v>125</v>
      </c>
      <c r="G570">
        <v>623000</v>
      </c>
      <c r="H570">
        <v>600000</v>
      </c>
      <c r="AA570" t="s">
        <v>1828</v>
      </c>
      <c r="AB570" t="s">
        <v>1829</v>
      </c>
      <c r="AC570" t="s">
        <v>1830</v>
      </c>
      <c r="AD570" t="s">
        <v>365</v>
      </c>
      <c r="AE570" t="s">
        <v>1831</v>
      </c>
      <c r="AF570" t="s">
        <v>1832</v>
      </c>
      <c r="AG570" t="s">
        <v>102</v>
      </c>
      <c r="AH570" t="s">
        <v>175</v>
      </c>
      <c r="AI570">
        <v>46109</v>
      </c>
      <c r="AJ570">
        <v>46109</v>
      </c>
      <c r="AK570" t="s">
        <v>137</v>
      </c>
      <c r="AL570" t="s">
        <v>142</v>
      </c>
      <c r="AM570" t="s">
        <v>410</v>
      </c>
      <c r="AN570" t="s">
        <v>107</v>
      </c>
      <c r="AO570" t="s">
        <v>107</v>
      </c>
      <c r="AP570">
        <v>7000</v>
      </c>
      <c r="AQ570">
        <v>7000</v>
      </c>
      <c r="AR570">
        <v>0</v>
      </c>
      <c r="AS570" t="s">
        <v>107</v>
      </c>
      <c r="AT570" t="s">
        <v>243</v>
      </c>
      <c r="AU570" t="s">
        <v>109</v>
      </c>
      <c r="AV570" t="s">
        <v>451</v>
      </c>
      <c r="AW570" t="s">
        <v>111</v>
      </c>
      <c r="AY570" t="s">
        <v>1838</v>
      </c>
      <c r="AZ570" t="s">
        <v>116</v>
      </c>
      <c r="BA570" t="s">
        <v>1526</v>
      </c>
      <c r="BB570" t="s">
        <v>114</v>
      </c>
      <c r="BC570" t="s">
        <v>115</v>
      </c>
      <c r="BN570" t="s">
        <v>116</v>
      </c>
      <c r="BO570" t="s">
        <v>1834</v>
      </c>
      <c r="BP570" t="s">
        <v>370</v>
      </c>
      <c r="BR570" t="s">
        <v>282</v>
      </c>
      <c r="BS570" t="s">
        <v>1839</v>
      </c>
      <c r="BW570" t="s">
        <v>1157</v>
      </c>
      <c r="BX570" t="s">
        <v>1158</v>
      </c>
      <c r="BY570" t="s">
        <v>123</v>
      </c>
      <c r="BZ570" t="s">
        <v>124</v>
      </c>
    </row>
    <row r="571" spans="1:78" x14ac:dyDescent="0.3">
      <c r="A571" t="s">
        <v>12</v>
      </c>
      <c r="B571" t="s">
        <v>92</v>
      </c>
      <c r="C571" t="s">
        <v>93</v>
      </c>
      <c r="D571" t="s">
        <v>94</v>
      </c>
      <c r="E571" t="s">
        <v>95</v>
      </c>
      <c r="F571" t="s">
        <v>125</v>
      </c>
      <c r="G571">
        <v>623000</v>
      </c>
      <c r="H571">
        <v>600000</v>
      </c>
      <c r="AA571" t="s">
        <v>1828</v>
      </c>
      <c r="AB571" t="s">
        <v>1829</v>
      </c>
      <c r="AC571" t="s">
        <v>1830</v>
      </c>
      <c r="AD571" t="s">
        <v>365</v>
      </c>
      <c r="AE571" t="s">
        <v>1831</v>
      </c>
      <c r="AF571" t="s">
        <v>1832</v>
      </c>
      <c r="AG571" t="s">
        <v>102</v>
      </c>
      <c r="AH571" t="s">
        <v>175</v>
      </c>
      <c r="AI571">
        <v>46201</v>
      </c>
      <c r="AK571" t="s">
        <v>137</v>
      </c>
      <c r="AL571" t="s">
        <v>146</v>
      </c>
      <c r="AM571" t="s">
        <v>398</v>
      </c>
      <c r="AN571" t="s">
        <v>107</v>
      </c>
      <c r="AO571" t="s">
        <v>107</v>
      </c>
      <c r="AP571">
        <v>10000</v>
      </c>
      <c r="AQ571">
        <v>0</v>
      </c>
      <c r="AR571">
        <v>10000</v>
      </c>
      <c r="AT571" t="s">
        <v>243</v>
      </c>
      <c r="AZ571" t="s">
        <v>113</v>
      </c>
      <c r="BC571" t="s">
        <v>543</v>
      </c>
      <c r="BN571" t="s">
        <v>113</v>
      </c>
      <c r="BO571" t="s">
        <v>1834</v>
      </c>
      <c r="BP571" t="s">
        <v>370</v>
      </c>
      <c r="BR571" t="s">
        <v>282</v>
      </c>
      <c r="BW571" t="s">
        <v>1157</v>
      </c>
      <c r="BX571" t="s">
        <v>1158</v>
      </c>
      <c r="BY571" t="s">
        <v>123</v>
      </c>
      <c r="BZ571" t="s">
        <v>124</v>
      </c>
    </row>
    <row r="572" spans="1:78" x14ac:dyDescent="0.3">
      <c r="A572" t="s">
        <v>12</v>
      </c>
      <c r="B572" t="s">
        <v>92</v>
      </c>
      <c r="C572" t="s">
        <v>93</v>
      </c>
      <c r="D572" t="s">
        <v>94</v>
      </c>
      <c r="E572" t="s">
        <v>95</v>
      </c>
      <c r="F572" t="s">
        <v>125</v>
      </c>
      <c r="G572">
        <v>623000</v>
      </c>
      <c r="H572">
        <v>600000</v>
      </c>
      <c r="AA572" t="s">
        <v>1828</v>
      </c>
      <c r="AB572" t="s">
        <v>1829</v>
      </c>
      <c r="AC572" t="s">
        <v>1830</v>
      </c>
      <c r="AD572" t="s">
        <v>365</v>
      </c>
      <c r="AE572" t="s">
        <v>1831</v>
      </c>
      <c r="AF572" t="s">
        <v>1832</v>
      </c>
      <c r="AG572" t="s">
        <v>102</v>
      </c>
      <c r="AH572" t="s">
        <v>175</v>
      </c>
      <c r="AI572">
        <v>46265</v>
      </c>
      <c r="AK572" t="s">
        <v>137</v>
      </c>
      <c r="AL572" t="s">
        <v>152</v>
      </c>
      <c r="AM572" t="s">
        <v>287</v>
      </c>
      <c r="AN572" t="s">
        <v>107</v>
      </c>
      <c r="AO572" t="s">
        <v>107</v>
      </c>
      <c r="AP572">
        <v>30000</v>
      </c>
      <c r="AQ572">
        <v>0</v>
      </c>
      <c r="AR572">
        <v>30000</v>
      </c>
      <c r="AT572" t="s">
        <v>243</v>
      </c>
      <c r="AZ572" t="s">
        <v>113</v>
      </c>
      <c r="BC572" t="s">
        <v>1160</v>
      </c>
      <c r="BN572" t="s">
        <v>113</v>
      </c>
      <c r="BO572" t="s">
        <v>1834</v>
      </c>
      <c r="BP572" t="s">
        <v>370</v>
      </c>
      <c r="BR572" t="s">
        <v>282</v>
      </c>
      <c r="BW572" t="s">
        <v>1157</v>
      </c>
      <c r="BX572" t="s">
        <v>1158</v>
      </c>
      <c r="BY572" t="s">
        <v>123</v>
      </c>
      <c r="BZ572" t="s">
        <v>124</v>
      </c>
    </row>
    <row r="573" spans="1:78" x14ac:dyDescent="0.3">
      <c r="A573" t="s">
        <v>2</v>
      </c>
      <c r="B573" t="s">
        <v>92</v>
      </c>
      <c r="C573" t="s">
        <v>93</v>
      </c>
      <c r="D573" t="s">
        <v>94</v>
      </c>
      <c r="E573" t="s">
        <v>95</v>
      </c>
      <c r="F573" t="s">
        <v>1039</v>
      </c>
      <c r="G573">
        <v>660000</v>
      </c>
      <c r="H573">
        <v>660000</v>
      </c>
      <c r="AA573" t="s">
        <v>1040</v>
      </c>
      <c r="AB573" t="s">
        <v>1041</v>
      </c>
      <c r="AC573" t="s">
        <v>1042</v>
      </c>
      <c r="AE573" t="s">
        <v>1043</v>
      </c>
      <c r="AF573" t="s">
        <v>1044</v>
      </c>
      <c r="AG573" t="s">
        <v>102</v>
      </c>
      <c r="AH573" t="s">
        <v>131</v>
      </c>
      <c r="AI573">
        <v>46272.415277777778</v>
      </c>
      <c r="AJ573">
        <v>45960</v>
      </c>
      <c r="AK573" t="s">
        <v>218</v>
      </c>
      <c r="AL573" t="s">
        <v>105</v>
      </c>
      <c r="AM573" t="s">
        <v>107</v>
      </c>
      <c r="AN573" t="s">
        <v>107</v>
      </c>
      <c r="AO573" t="s">
        <v>107</v>
      </c>
      <c r="AP573">
        <v>495000</v>
      </c>
      <c r="AQ573">
        <v>120000</v>
      </c>
      <c r="AR573">
        <v>160000</v>
      </c>
      <c r="AS573" t="s">
        <v>107</v>
      </c>
      <c r="AT573" t="s">
        <v>161</v>
      </c>
      <c r="AU573" t="s">
        <v>109</v>
      </c>
      <c r="AV573" t="s">
        <v>110</v>
      </c>
      <c r="AW573" t="s">
        <v>111</v>
      </c>
      <c r="AY573" t="s">
        <v>1840</v>
      </c>
      <c r="AZ573" t="s">
        <v>113</v>
      </c>
      <c r="BB573" t="s">
        <v>114</v>
      </c>
      <c r="BC573" t="s">
        <v>1160</v>
      </c>
      <c r="BN573" t="s">
        <v>116</v>
      </c>
      <c r="BO573" t="s">
        <v>1046</v>
      </c>
      <c r="BP573" t="s">
        <v>166</v>
      </c>
      <c r="BR573" t="s">
        <v>454</v>
      </c>
      <c r="BS573" t="s">
        <v>1841</v>
      </c>
      <c r="BW573" t="s">
        <v>1157</v>
      </c>
      <c r="BX573" t="s">
        <v>1158</v>
      </c>
      <c r="BY573" t="s">
        <v>123</v>
      </c>
      <c r="BZ573" t="s">
        <v>124</v>
      </c>
    </row>
    <row r="574" spans="1:78" x14ac:dyDescent="0.3">
      <c r="A574" t="s">
        <v>2</v>
      </c>
      <c r="B574" t="s">
        <v>92</v>
      </c>
      <c r="C574" t="s">
        <v>93</v>
      </c>
      <c r="D574" t="s">
        <v>94</v>
      </c>
      <c r="E574" t="s">
        <v>95</v>
      </c>
      <c r="F574" t="s">
        <v>1039</v>
      </c>
      <c r="G574">
        <v>660000</v>
      </c>
      <c r="H574">
        <v>660000</v>
      </c>
      <c r="AA574" t="s">
        <v>1040</v>
      </c>
      <c r="AB574" t="s">
        <v>1041</v>
      </c>
      <c r="AC574" t="s">
        <v>1042</v>
      </c>
      <c r="AE574" t="s">
        <v>1043</v>
      </c>
      <c r="AF574" t="s">
        <v>1044</v>
      </c>
      <c r="AG574" t="s">
        <v>102</v>
      </c>
      <c r="AH574" t="s">
        <v>131</v>
      </c>
      <c r="AI574">
        <v>46272.415277777778</v>
      </c>
      <c r="AJ574">
        <v>45978</v>
      </c>
      <c r="AK574" t="s">
        <v>218</v>
      </c>
      <c r="AL574" t="s">
        <v>105</v>
      </c>
      <c r="AM574" t="s">
        <v>1842</v>
      </c>
      <c r="AN574" t="s">
        <v>107</v>
      </c>
      <c r="AO574" t="s">
        <v>107</v>
      </c>
      <c r="AP574">
        <v>0</v>
      </c>
      <c r="AQ574">
        <v>10000</v>
      </c>
      <c r="AR574">
        <v>0</v>
      </c>
      <c r="AS574" t="s">
        <v>107</v>
      </c>
      <c r="AT574" t="s">
        <v>161</v>
      </c>
      <c r="AU574" t="s">
        <v>109</v>
      </c>
      <c r="AV574" t="s">
        <v>110</v>
      </c>
      <c r="AW574" t="s">
        <v>111</v>
      </c>
      <c r="AY574" t="s">
        <v>1843</v>
      </c>
      <c r="AZ574" t="s">
        <v>113</v>
      </c>
      <c r="BB574" t="s">
        <v>114</v>
      </c>
      <c r="BC574" t="s">
        <v>1160</v>
      </c>
      <c r="BN574" t="s">
        <v>116</v>
      </c>
      <c r="BO574" t="s">
        <v>1046</v>
      </c>
      <c r="BP574" t="s">
        <v>166</v>
      </c>
      <c r="BR574" t="s">
        <v>454</v>
      </c>
      <c r="BS574" t="s">
        <v>1844</v>
      </c>
      <c r="BW574" t="s">
        <v>1157</v>
      </c>
      <c r="BX574" t="s">
        <v>1158</v>
      </c>
      <c r="BY574" t="s">
        <v>123</v>
      </c>
      <c r="BZ574" t="s">
        <v>124</v>
      </c>
    </row>
    <row r="575" spans="1:78" x14ac:dyDescent="0.3">
      <c r="A575" t="s">
        <v>2</v>
      </c>
      <c r="B575" t="s">
        <v>92</v>
      </c>
      <c r="C575" t="s">
        <v>93</v>
      </c>
      <c r="D575" t="s">
        <v>94</v>
      </c>
      <c r="E575" t="s">
        <v>95</v>
      </c>
      <c r="F575" t="s">
        <v>1039</v>
      </c>
      <c r="G575">
        <v>660000</v>
      </c>
      <c r="H575">
        <v>660000</v>
      </c>
      <c r="AA575" t="s">
        <v>1040</v>
      </c>
      <c r="AB575" t="s">
        <v>1041</v>
      </c>
      <c r="AC575" t="s">
        <v>1042</v>
      </c>
      <c r="AE575" t="s">
        <v>1043</v>
      </c>
      <c r="AF575" t="s">
        <v>1044</v>
      </c>
      <c r="AG575" t="s">
        <v>102</v>
      </c>
      <c r="AH575" t="s">
        <v>131</v>
      </c>
      <c r="AI575">
        <v>46272.415277777778</v>
      </c>
      <c r="AJ575">
        <v>45978</v>
      </c>
      <c r="AK575" t="s">
        <v>218</v>
      </c>
      <c r="AL575" t="s">
        <v>105</v>
      </c>
      <c r="AM575" t="s">
        <v>107</v>
      </c>
      <c r="AN575" t="s">
        <v>107</v>
      </c>
      <c r="AO575" t="s">
        <v>107</v>
      </c>
      <c r="AP575">
        <v>0</v>
      </c>
      <c r="AQ575">
        <v>10000</v>
      </c>
      <c r="AR575">
        <v>0</v>
      </c>
      <c r="AS575" t="s">
        <v>107</v>
      </c>
      <c r="AT575" t="s">
        <v>161</v>
      </c>
      <c r="AU575" t="s">
        <v>109</v>
      </c>
      <c r="AV575" t="s">
        <v>110</v>
      </c>
      <c r="AW575" t="s">
        <v>111</v>
      </c>
      <c r="AY575" t="s">
        <v>1845</v>
      </c>
      <c r="AZ575" t="s">
        <v>113</v>
      </c>
      <c r="BB575" t="s">
        <v>114</v>
      </c>
      <c r="BC575" t="s">
        <v>1160</v>
      </c>
      <c r="BN575" t="s">
        <v>116</v>
      </c>
      <c r="BO575" t="s">
        <v>1046</v>
      </c>
      <c r="BP575" t="s">
        <v>166</v>
      </c>
      <c r="BR575" t="s">
        <v>454</v>
      </c>
      <c r="BS575" t="s">
        <v>1846</v>
      </c>
      <c r="BW575" t="s">
        <v>1157</v>
      </c>
      <c r="BX575" t="s">
        <v>1158</v>
      </c>
      <c r="BY575" t="s">
        <v>123</v>
      </c>
      <c r="BZ575" t="s">
        <v>124</v>
      </c>
    </row>
    <row r="576" spans="1:78" x14ac:dyDescent="0.3">
      <c r="A576" t="s">
        <v>2</v>
      </c>
      <c r="B576" t="s">
        <v>92</v>
      </c>
      <c r="C576" t="s">
        <v>93</v>
      </c>
      <c r="D576" t="s">
        <v>94</v>
      </c>
      <c r="E576" t="s">
        <v>95</v>
      </c>
      <c r="F576" t="s">
        <v>1039</v>
      </c>
      <c r="G576">
        <v>660000</v>
      </c>
      <c r="H576">
        <v>660000</v>
      </c>
      <c r="AA576" t="s">
        <v>1040</v>
      </c>
      <c r="AB576" t="s">
        <v>1041</v>
      </c>
      <c r="AC576" t="s">
        <v>1042</v>
      </c>
      <c r="AE576" t="s">
        <v>1043</v>
      </c>
      <c r="AF576" t="s">
        <v>1044</v>
      </c>
      <c r="AG576" t="s">
        <v>102</v>
      </c>
      <c r="AH576" t="s">
        <v>131</v>
      </c>
      <c r="AI576">
        <v>46272.415277777778</v>
      </c>
      <c r="AJ576">
        <v>45978</v>
      </c>
      <c r="AK576" t="s">
        <v>218</v>
      </c>
      <c r="AL576" t="s">
        <v>105</v>
      </c>
      <c r="AM576" t="s">
        <v>107</v>
      </c>
      <c r="AN576" t="s">
        <v>107</v>
      </c>
      <c r="AO576" t="s">
        <v>107</v>
      </c>
      <c r="AP576">
        <v>0</v>
      </c>
      <c r="AQ576">
        <v>10000</v>
      </c>
      <c r="AR576">
        <v>0</v>
      </c>
      <c r="AS576" t="s">
        <v>107</v>
      </c>
      <c r="AT576" t="s">
        <v>161</v>
      </c>
      <c r="AU576" t="s">
        <v>109</v>
      </c>
      <c r="AV576" t="s">
        <v>110</v>
      </c>
      <c r="AW576" t="s">
        <v>111</v>
      </c>
      <c r="AY576" t="s">
        <v>1847</v>
      </c>
      <c r="AZ576" t="s">
        <v>113</v>
      </c>
      <c r="BB576" t="s">
        <v>114</v>
      </c>
      <c r="BC576" t="s">
        <v>1160</v>
      </c>
      <c r="BN576" t="s">
        <v>116</v>
      </c>
      <c r="BO576" t="s">
        <v>1046</v>
      </c>
      <c r="BP576" t="s">
        <v>166</v>
      </c>
      <c r="BR576" t="s">
        <v>454</v>
      </c>
      <c r="BS576" t="s">
        <v>1848</v>
      </c>
      <c r="BW576" t="s">
        <v>1157</v>
      </c>
      <c r="BX576" t="s">
        <v>1158</v>
      </c>
      <c r="BY576" t="s">
        <v>123</v>
      </c>
      <c r="BZ576" t="s">
        <v>124</v>
      </c>
    </row>
    <row r="577" spans="1:78" x14ac:dyDescent="0.3">
      <c r="A577" t="s">
        <v>2</v>
      </c>
      <c r="B577" t="s">
        <v>92</v>
      </c>
      <c r="C577" t="s">
        <v>93</v>
      </c>
      <c r="D577" t="s">
        <v>94</v>
      </c>
      <c r="E577" t="s">
        <v>95</v>
      </c>
      <c r="F577" t="s">
        <v>1039</v>
      </c>
      <c r="G577">
        <v>660000</v>
      </c>
      <c r="H577">
        <v>660000</v>
      </c>
      <c r="AA577" t="s">
        <v>1040</v>
      </c>
      <c r="AB577" t="s">
        <v>1041</v>
      </c>
      <c r="AC577" t="s">
        <v>1042</v>
      </c>
      <c r="AE577" t="s">
        <v>1043</v>
      </c>
      <c r="AF577" t="s">
        <v>1044</v>
      </c>
      <c r="AG577" t="s">
        <v>102</v>
      </c>
      <c r="AH577" t="s">
        <v>131</v>
      </c>
      <c r="AI577">
        <v>46272.415277777778</v>
      </c>
      <c r="AJ577">
        <v>45978</v>
      </c>
      <c r="AK577" t="s">
        <v>218</v>
      </c>
      <c r="AL577" t="s">
        <v>105</v>
      </c>
      <c r="AM577" t="s">
        <v>107</v>
      </c>
      <c r="AN577" t="s">
        <v>107</v>
      </c>
      <c r="AO577" t="s">
        <v>107</v>
      </c>
      <c r="AP577">
        <v>0</v>
      </c>
      <c r="AQ577">
        <v>10000</v>
      </c>
      <c r="AR577">
        <v>0</v>
      </c>
      <c r="AS577" t="s">
        <v>107</v>
      </c>
      <c r="AT577" t="s">
        <v>161</v>
      </c>
      <c r="AU577" t="s">
        <v>109</v>
      </c>
      <c r="AV577" t="s">
        <v>110</v>
      </c>
      <c r="AW577" t="s">
        <v>111</v>
      </c>
      <c r="AY577" t="s">
        <v>1849</v>
      </c>
      <c r="AZ577" t="s">
        <v>113</v>
      </c>
      <c r="BB577" t="s">
        <v>114</v>
      </c>
      <c r="BC577" t="s">
        <v>1160</v>
      </c>
      <c r="BN577" t="s">
        <v>116</v>
      </c>
      <c r="BO577" t="s">
        <v>1046</v>
      </c>
      <c r="BP577" t="s">
        <v>166</v>
      </c>
      <c r="BR577" t="s">
        <v>454</v>
      </c>
      <c r="BS577" t="s">
        <v>1850</v>
      </c>
      <c r="BW577" t="s">
        <v>1157</v>
      </c>
      <c r="BX577" t="s">
        <v>1158</v>
      </c>
      <c r="BY577" t="s">
        <v>123</v>
      </c>
      <c r="BZ577" t="s">
        <v>124</v>
      </c>
    </row>
    <row r="578" spans="1:78" x14ac:dyDescent="0.3">
      <c r="A578" t="s">
        <v>2</v>
      </c>
      <c r="B578" t="s">
        <v>92</v>
      </c>
      <c r="C578" t="s">
        <v>93</v>
      </c>
      <c r="D578" t="s">
        <v>94</v>
      </c>
      <c r="E578" t="s">
        <v>95</v>
      </c>
      <c r="F578" t="s">
        <v>1039</v>
      </c>
      <c r="G578">
        <v>660000</v>
      </c>
      <c r="H578">
        <v>660000</v>
      </c>
      <c r="AA578" t="s">
        <v>1040</v>
      </c>
      <c r="AB578" t="s">
        <v>1041</v>
      </c>
      <c r="AC578" t="s">
        <v>1042</v>
      </c>
      <c r="AE578" t="s">
        <v>1043</v>
      </c>
      <c r="AF578" t="s">
        <v>1044</v>
      </c>
      <c r="AG578" t="s">
        <v>102</v>
      </c>
      <c r="AH578" t="s">
        <v>131</v>
      </c>
      <c r="AI578">
        <v>46272.415277777778</v>
      </c>
      <c r="AJ578">
        <v>45978</v>
      </c>
      <c r="AK578" t="s">
        <v>218</v>
      </c>
      <c r="AL578" t="s">
        <v>105</v>
      </c>
      <c r="AM578" t="s">
        <v>107</v>
      </c>
      <c r="AN578" t="s">
        <v>107</v>
      </c>
      <c r="AO578" t="s">
        <v>107</v>
      </c>
      <c r="AP578">
        <v>0</v>
      </c>
      <c r="AQ578">
        <v>10000</v>
      </c>
      <c r="AR578">
        <v>0</v>
      </c>
      <c r="AS578" t="s">
        <v>107</v>
      </c>
      <c r="AT578" t="s">
        <v>161</v>
      </c>
      <c r="AU578" t="s">
        <v>109</v>
      </c>
      <c r="AV578" t="s">
        <v>110</v>
      </c>
      <c r="AW578" t="s">
        <v>111</v>
      </c>
      <c r="AY578" t="s">
        <v>1851</v>
      </c>
      <c r="AZ578" t="s">
        <v>113</v>
      </c>
      <c r="BB578" t="s">
        <v>114</v>
      </c>
      <c r="BC578" t="s">
        <v>1160</v>
      </c>
      <c r="BN578" t="s">
        <v>116</v>
      </c>
      <c r="BO578" t="s">
        <v>1046</v>
      </c>
      <c r="BP578" t="s">
        <v>166</v>
      </c>
      <c r="BR578" t="s">
        <v>454</v>
      </c>
      <c r="BS578" t="s">
        <v>1852</v>
      </c>
      <c r="BW578" t="s">
        <v>1157</v>
      </c>
      <c r="BX578" t="s">
        <v>1158</v>
      </c>
      <c r="BY578" t="s">
        <v>123</v>
      </c>
      <c r="BZ578" t="s">
        <v>124</v>
      </c>
    </row>
    <row r="579" spans="1:78" x14ac:dyDescent="0.3">
      <c r="A579" t="s">
        <v>2</v>
      </c>
      <c r="B579" t="s">
        <v>92</v>
      </c>
      <c r="C579" t="s">
        <v>93</v>
      </c>
      <c r="D579" t="s">
        <v>94</v>
      </c>
      <c r="E579" t="s">
        <v>95</v>
      </c>
      <c r="F579" t="s">
        <v>1039</v>
      </c>
      <c r="G579">
        <v>660000</v>
      </c>
      <c r="H579">
        <v>660000</v>
      </c>
      <c r="AA579" t="s">
        <v>1040</v>
      </c>
      <c r="AB579" t="s">
        <v>1041</v>
      </c>
      <c r="AC579" t="s">
        <v>1042</v>
      </c>
      <c r="AE579" t="s">
        <v>1043</v>
      </c>
      <c r="AF579" t="s">
        <v>1044</v>
      </c>
      <c r="AG579" t="s">
        <v>102</v>
      </c>
      <c r="AH579" t="s">
        <v>131</v>
      </c>
      <c r="AI579">
        <v>46272.415277777778</v>
      </c>
      <c r="AJ579">
        <v>46024</v>
      </c>
      <c r="AK579" t="s">
        <v>218</v>
      </c>
      <c r="AL579" t="s">
        <v>105</v>
      </c>
      <c r="AM579" t="s">
        <v>107</v>
      </c>
      <c r="AN579" t="s">
        <v>107</v>
      </c>
      <c r="AO579" t="s">
        <v>107</v>
      </c>
      <c r="AP579">
        <v>0</v>
      </c>
      <c r="AQ579">
        <v>165000</v>
      </c>
      <c r="AR579">
        <v>0</v>
      </c>
      <c r="AS579" t="s">
        <v>107</v>
      </c>
      <c r="AT579" t="s">
        <v>161</v>
      </c>
      <c r="AU579" t="s">
        <v>109</v>
      </c>
      <c r="AV579" t="s">
        <v>110</v>
      </c>
      <c r="AW579" t="s">
        <v>111</v>
      </c>
      <c r="AY579" t="s">
        <v>1853</v>
      </c>
      <c r="AZ579" t="s">
        <v>113</v>
      </c>
      <c r="BB579" t="s">
        <v>114</v>
      </c>
      <c r="BC579" t="s">
        <v>1160</v>
      </c>
      <c r="BN579" t="s">
        <v>116</v>
      </c>
      <c r="BO579" t="s">
        <v>1046</v>
      </c>
      <c r="BP579" t="s">
        <v>166</v>
      </c>
      <c r="BR579" t="s">
        <v>454</v>
      </c>
      <c r="BS579" t="s">
        <v>1854</v>
      </c>
      <c r="BW579" t="s">
        <v>1157</v>
      </c>
      <c r="BX579" t="s">
        <v>1158</v>
      </c>
      <c r="BY579" t="s">
        <v>123</v>
      </c>
      <c r="BZ579" t="s">
        <v>124</v>
      </c>
    </row>
    <row r="580" spans="1:78" x14ac:dyDescent="0.3">
      <c r="A580" t="s">
        <v>12</v>
      </c>
      <c r="B580" t="s">
        <v>92</v>
      </c>
      <c r="C580" t="s">
        <v>93</v>
      </c>
      <c r="D580" t="s">
        <v>94</v>
      </c>
      <c r="E580" t="s">
        <v>95</v>
      </c>
      <c r="F580" t="s">
        <v>1051</v>
      </c>
      <c r="G580">
        <v>392000</v>
      </c>
      <c r="H580">
        <v>392000</v>
      </c>
      <c r="I580" t="s">
        <v>93</v>
      </c>
      <c r="J580" t="s">
        <v>94</v>
      </c>
      <c r="K580" t="s">
        <v>202</v>
      </c>
      <c r="L580" t="s">
        <v>1052</v>
      </c>
      <c r="M580">
        <v>43000</v>
      </c>
      <c r="N580">
        <v>43000</v>
      </c>
      <c r="AA580" t="s">
        <v>1053</v>
      </c>
      <c r="AB580" t="s">
        <v>1054</v>
      </c>
      <c r="AC580" t="s">
        <v>1055</v>
      </c>
      <c r="AD580" t="s">
        <v>365</v>
      </c>
      <c r="AE580" t="s">
        <v>1056</v>
      </c>
      <c r="AF580" t="s">
        <v>1057</v>
      </c>
      <c r="AG580" t="s">
        <v>450</v>
      </c>
      <c r="AH580" t="s">
        <v>450</v>
      </c>
      <c r="AI580">
        <v>46053</v>
      </c>
      <c r="AJ580">
        <v>46044</v>
      </c>
      <c r="AK580" t="s">
        <v>218</v>
      </c>
      <c r="AL580" t="s">
        <v>152</v>
      </c>
      <c r="AM580" t="s">
        <v>1065</v>
      </c>
      <c r="AN580" t="s">
        <v>107</v>
      </c>
      <c r="AO580" t="s">
        <v>107</v>
      </c>
      <c r="AP580">
        <v>14300</v>
      </c>
      <c r="AQ580">
        <v>14300</v>
      </c>
      <c r="AR580">
        <v>0</v>
      </c>
      <c r="AS580" t="s">
        <v>107</v>
      </c>
      <c r="AT580" t="s">
        <v>161</v>
      </c>
      <c r="AU580" t="s">
        <v>109</v>
      </c>
      <c r="AV580" t="s">
        <v>451</v>
      </c>
      <c r="AW580" t="s">
        <v>111</v>
      </c>
      <c r="AY580" t="s">
        <v>1855</v>
      </c>
      <c r="AZ580" t="s">
        <v>116</v>
      </c>
      <c r="BB580" t="s">
        <v>114</v>
      </c>
      <c r="BC580" t="s">
        <v>115</v>
      </c>
      <c r="BN580" t="s">
        <v>113</v>
      </c>
      <c r="BO580" t="s">
        <v>1059</v>
      </c>
      <c r="BP580" t="s">
        <v>370</v>
      </c>
      <c r="BR580" t="s">
        <v>439</v>
      </c>
      <c r="BS580" t="s">
        <v>1856</v>
      </c>
      <c r="BW580" t="s">
        <v>1157</v>
      </c>
      <c r="BX580" t="s">
        <v>1158</v>
      </c>
      <c r="BY580" t="s">
        <v>123</v>
      </c>
      <c r="BZ580" t="s">
        <v>124</v>
      </c>
    </row>
    <row r="581" spans="1:78" x14ac:dyDescent="0.3">
      <c r="A581" t="s">
        <v>12</v>
      </c>
      <c r="B581" t="s">
        <v>92</v>
      </c>
      <c r="C581" t="s">
        <v>93</v>
      </c>
      <c r="D581" t="s">
        <v>94</v>
      </c>
      <c r="E581" t="s">
        <v>95</v>
      </c>
      <c r="F581" t="s">
        <v>1051</v>
      </c>
      <c r="G581">
        <v>392000</v>
      </c>
      <c r="H581">
        <v>392000</v>
      </c>
      <c r="I581" t="s">
        <v>93</v>
      </c>
      <c r="J581" t="s">
        <v>94</v>
      </c>
      <c r="K581" t="s">
        <v>202</v>
      </c>
      <c r="L581" t="s">
        <v>1052</v>
      </c>
      <c r="M581">
        <v>43000</v>
      </c>
      <c r="N581">
        <v>43000</v>
      </c>
      <c r="AA581" t="s">
        <v>1053</v>
      </c>
      <c r="AB581" t="s">
        <v>1054</v>
      </c>
      <c r="AC581" t="s">
        <v>1055</v>
      </c>
      <c r="AD581" t="s">
        <v>365</v>
      </c>
      <c r="AE581" t="s">
        <v>1056</v>
      </c>
      <c r="AF581" t="s">
        <v>1057</v>
      </c>
      <c r="AG581" t="s">
        <v>450</v>
      </c>
      <c r="AH581" t="s">
        <v>450</v>
      </c>
      <c r="AI581">
        <v>46081</v>
      </c>
      <c r="AJ581">
        <v>46044</v>
      </c>
      <c r="AK581" t="s">
        <v>218</v>
      </c>
      <c r="AL581" t="s">
        <v>584</v>
      </c>
      <c r="AM581" t="s">
        <v>1065</v>
      </c>
      <c r="AN581" t="s">
        <v>107</v>
      </c>
      <c r="AO581" t="s">
        <v>107</v>
      </c>
      <c r="AP581">
        <v>14300</v>
      </c>
      <c r="AQ581">
        <v>14300</v>
      </c>
      <c r="AR581">
        <v>0</v>
      </c>
      <c r="AS581" t="s">
        <v>107</v>
      </c>
      <c r="AT581" t="s">
        <v>161</v>
      </c>
      <c r="AU581" t="s">
        <v>109</v>
      </c>
      <c r="AV581" t="s">
        <v>451</v>
      </c>
      <c r="AW581" t="s">
        <v>111</v>
      </c>
      <c r="AY581" t="s">
        <v>1855</v>
      </c>
      <c r="AZ581" t="s">
        <v>116</v>
      </c>
      <c r="BB581" t="s">
        <v>114</v>
      </c>
      <c r="BC581" t="s">
        <v>115</v>
      </c>
      <c r="BN581" t="s">
        <v>113</v>
      </c>
      <c r="BO581" t="s">
        <v>1059</v>
      </c>
      <c r="BP581" t="s">
        <v>370</v>
      </c>
      <c r="BR581" t="s">
        <v>439</v>
      </c>
      <c r="BS581" t="s">
        <v>1856</v>
      </c>
      <c r="BW581" t="s">
        <v>1157</v>
      </c>
      <c r="BX581" t="s">
        <v>1158</v>
      </c>
      <c r="BY581" t="s">
        <v>123</v>
      </c>
      <c r="BZ581" t="s">
        <v>124</v>
      </c>
    </row>
    <row r="582" spans="1:78" x14ac:dyDescent="0.3">
      <c r="A582" t="s">
        <v>12</v>
      </c>
      <c r="B582" t="s">
        <v>92</v>
      </c>
      <c r="C582" t="s">
        <v>93</v>
      </c>
      <c r="D582" t="s">
        <v>94</v>
      </c>
      <c r="E582" t="s">
        <v>95</v>
      </c>
      <c r="F582" t="s">
        <v>1051</v>
      </c>
      <c r="G582">
        <v>392000</v>
      </c>
      <c r="H582">
        <v>392000</v>
      </c>
      <c r="I582" t="s">
        <v>93</v>
      </c>
      <c r="J582" t="s">
        <v>94</v>
      </c>
      <c r="K582" t="s">
        <v>202</v>
      </c>
      <c r="L582" t="s">
        <v>1052</v>
      </c>
      <c r="M582">
        <v>43000</v>
      </c>
      <c r="N582">
        <v>43000</v>
      </c>
      <c r="AA582" t="s">
        <v>1053</v>
      </c>
      <c r="AB582" t="s">
        <v>1054</v>
      </c>
      <c r="AC582" t="s">
        <v>1055</v>
      </c>
      <c r="AD582" t="s">
        <v>365</v>
      </c>
      <c r="AE582" t="s">
        <v>1056</v>
      </c>
      <c r="AF582" t="s">
        <v>1057</v>
      </c>
      <c r="AG582" t="s">
        <v>450</v>
      </c>
      <c r="AH582" t="s">
        <v>450</v>
      </c>
      <c r="AI582">
        <v>46112</v>
      </c>
      <c r="AJ582">
        <v>46101</v>
      </c>
      <c r="AK582" t="s">
        <v>218</v>
      </c>
      <c r="AL582" t="s">
        <v>397</v>
      </c>
      <c r="AM582" t="s">
        <v>1065</v>
      </c>
      <c r="AN582" t="s">
        <v>107</v>
      </c>
      <c r="AO582" t="s">
        <v>107</v>
      </c>
      <c r="AP582">
        <v>14300</v>
      </c>
      <c r="AQ582">
        <v>14300</v>
      </c>
      <c r="AR582">
        <v>0</v>
      </c>
      <c r="AS582" t="s">
        <v>107</v>
      </c>
      <c r="AT582" t="s">
        <v>161</v>
      </c>
      <c r="AU582" t="s">
        <v>109</v>
      </c>
      <c r="AV582" t="s">
        <v>451</v>
      </c>
      <c r="AW582" t="s">
        <v>111</v>
      </c>
      <c r="AY582" t="s">
        <v>1857</v>
      </c>
      <c r="AZ582" t="s">
        <v>116</v>
      </c>
      <c r="BB582" t="s">
        <v>114</v>
      </c>
      <c r="BC582" t="s">
        <v>115</v>
      </c>
      <c r="BN582" t="s">
        <v>113</v>
      </c>
      <c r="BO582" t="s">
        <v>1059</v>
      </c>
      <c r="BP582" t="s">
        <v>370</v>
      </c>
      <c r="BR582" t="s">
        <v>439</v>
      </c>
      <c r="BS582" t="s">
        <v>1858</v>
      </c>
      <c r="BW582" t="s">
        <v>1157</v>
      </c>
      <c r="BX582" t="s">
        <v>1158</v>
      </c>
      <c r="BY582" t="s">
        <v>123</v>
      </c>
      <c r="BZ582" t="s">
        <v>124</v>
      </c>
    </row>
    <row r="583" spans="1:78" x14ac:dyDescent="0.3">
      <c r="A583" t="s">
        <v>12</v>
      </c>
      <c r="B583" t="s">
        <v>92</v>
      </c>
      <c r="C583" t="s">
        <v>93</v>
      </c>
      <c r="D583" t="s">
        <v>94</v>
      </c>
      <c r="E583" t="s">
        <v>95</v>
      </c>
      <c r="F583" t="s">
        <v>1051</v>
      </c>
      <c r="G583">
        <v>392000</v>
      </c>
      <c r="H583">
        <v>392000</v>
      </c>
      <c r="I583" t="s">
        <v>93</v>
      </c>
      <c r="J583" t="s">
        <v>94</v>
      </c>
      <c r="K583" t="s">
        <v>202</v>
      </c>
      <c r="L583" t="s">
        <v>1052</v>
      </c>
      <c r="M583">
        <v>43000</v>
      </c>
      <c r="N583">
        <v>43000</v>
      </c>
      <c r="AA583" t="s">
        <v>1053</v>
      </c>
      <c r="AB583" t="s">
        <v>1054</v>
      </c>
      <c r="AC583" t="s">
        <v>1055</v>
      </c>
      <c r="AD583" t="s">
        <v>365</v>
      </c>
      <c r="AE583" t="s">
        <v>1056</v>
      </c>
      <c r="AF583" t="s">
        <v>1057</v>
      </c>
      <c r="AG583" t="s">
        <v>450</v>
      </c>
      <c r="AH583" t="s">
        <v>450</v>
      </c>
      <c r="AI583">
        <v>46142</v>
      </c>
      <c r="AJ583">
        <v>46101</v>
      </c>
      <c r="AK583" t="s">
        <v>218</v>
      </c>
      <c r="AL583" t="s">
        <v>588</v>
      </c>
      <c r="AM583" t="s">
        <v>1065</v>
      </c>
      <c r="AN583" t="s">
        <v>107</v>
      </c>
      <c r="AO583" t="s">
        <v>107</v>
      </c>
      <c r="AP583">
        <v>14300</v>
      </c>
      <c r="AQ583">
        <v>14300</v>
      </c>
      <c r="AR583">
        <v>0</v>
      </c>
      <c r="AS583" t="s">
        <v>107</v>
      </c>
      <c r="AT583" t="s">
        <v>161</v>
      </c>
      <c r="AU583" t="s">
        <v>109</v>
      </c>
      <c r="AV583" t="s">
        <v>451</v>
      </c>
      <c r="AW583" t="s">
        <v>111</v>
      </c>
      <c r="AY583" t="s">
        <v>1857</v>
      </c>
      <c r="AZ583" t="s">
        <v>116</v>
      </c>
      <c r="BB583" t="s">
        <v>114</v>
      </c>
      <c r="BC583" t="s">
        <v>115</v>
      </c>
      <c r="BN583" t="s">
        <v>113</v>
      </c>
      <c r="BO583" t="s">
        <v>1059</v>
      </c>
      <c r="BP583" t="s">
        <v>370</v>
      </c>
      <c r="BR583" t="s">
        <v>439</v>
      </c>
      <c r="BS583" t="s">
        <v>1858</v>
      </c>
      <c r="BW583" t="s">
        <v>1157</v>
      </c>
      <c r="BX583" t="s">
        <v>1158</v>
      </c>
      <c r="BY583" t="s">
        <v>123</v>
      </c>
      <c r="BZ583" t="s">
        <v>124</v>
      </c>
    </row>
    <row r="584" spans="1:78" x14ac:dyDescent="0.3">
      <c r="A584" t="s">
        <v>12</v>
      </c>
      <c r="B584" t="s">
        <v>92</v>
      </c>
      <c r="C584" t="s">
        <v>93</v>
      </c>
      <c r="D584" t="s">
        <v>94</v>
      </c>
      <c r="E584" t="s">
        <v>95</v>
      </c>
      <c r="F584" t="s">
        <v>1051</v>
      </c>
      <c r="G584">
        <v>392000</v>
      </c>
      <c r="H584">
        <v>392000</v>
      </c>
      <c r="I584" t="s">
        <v>93</v>
      </c>
      <c r="J584" t="s">
        <v>94</v>
      </c>
      <c r="K584" t="s">
        <v>202</v>
      </c>
      <c r="L584" t="s">
        <v>1052</v>
      </c>
      <c r="M584">
        <v>43000</v>
      </c>
      <c r="N584">
        <v>43000</v>
      </c>
      <c r="AA584" t="s">
        <v>1053</v>
      </c>
      <c r="AB584" t="s">
        <v>1054</v>
      </c>
      <c r="AC584" t="s">
        <v>1055</v>
      </c>
      <c r="AD584" t="s">
        <v>365</v>
      </c>
      <c r="AE584" t="s">
        <v>1056</v>
      </c>
      <c r="AF584" t="s">
        <v>1057</v>
      </c>
      <c r="AG584" t="s">
        <v>450</v>
      </c>
      <c r="AH584" t="s">
        <v>450</v>
      </c>
      <c r="AI584">
        <v>46173</v>
      </c>
      <c r="AJ584">
        <v>46164</v>
      </c>
      <c r="AK584" t="s">
        <v>218</v>
      </c>
      <c r="AL584" t="s">
        <v>591</v>
      </c>
      <c r="AM584" t="s">
        <v>1065</v>
      </c>
      <c r="AN584" t="s">
        <v>107</v>
      </c>
      <c r="AO584" t="s">
        <v>107</v>
      </c>
      <c r="AP584">
        <v>14300</v>
      </c>
      <c r="AQ584">
        <v>14300</v>
      </c>
      <c r="AR584">
        <v>0</v>
      </c>
      <c r="AS584" t="s">
        <v>107</v>
      </c>
      <c r="AT584" t="s">
        <v>161</v>
      </c>
      <c r="AU584" t="s">
        <v>109</v>
      </c>
      <c r="AV584" t="s">
        <v>451</v>
      </c>
      <c r="AW584" t="s">
        <v>111</v>
      </c>
      <c r="AY584" t="s">
        <v>1859</v>
      </c>
      <c r="AZ584" t="s">
        <v>116</v>
      </c>
      <c r="BB584" t="s">
        <v>114</v>
      </c>
      <c r="BC584" t="s">
        <v>115</v>
      </c>
      <c r="BN584" t="s">
        <v>113</v>
      </c>
      <c r="BO584" t="s">
        <v>1059</v>
      </c>
      <c r="BP584" t="s">
        <v>370</v>
      </c>
      <c r="BR584" t="s">
        <v>439</v>
      </c>
      <c r="BS584" t="s">
        <v>1860</v>
      </c>
      <c r="BW584" t="s">
        <v>1157</v>
      </c>
      <c r="BX584" t="s">
        <v>1158</v>
      </c>
      <c r="BY584" t="s">
        <v>123</v>
      </c>
      <c r="BZ584" t="s">
        <v>124</v>
      </c>
    </row>
    <row r="585" spans="1:78" x14ac:dyDescent="0.3">
      <c r="A585" t="s">
        <v>12</v>
      </c>
      <c r="B585" t="s">
        <v>92</v>
      </c>
      <c r="C585" t="s">
        <v>93</v>
      </c>
      <c r="D585" t="s">
        <v>94</v>
      </c>
      <c r="E585" t="s">
        <v>95</v>
      </c>
      <c r="F585" t="s">
        <v>1051</v>
      </c>
      <c r="G585">
        <v>392000</v>
      </c>
      <c r="H585">
        <v>392000</v>
      </c>
      <c r="I585" t="s">
        <v>93</v>
      </c>
      <c r="J585" t="s">
        <v>94</v>
      </c>
      <c r="K585" t="s">
        <v>202</v>
      </c>
      <c r="L585" t="s">
        <v>1052</v>
      </c>
      <c r="M585">
        <v>43000</v>
      </c>
      <c r="N585">
        <v>43000</v>
      </c>
      <c r="AA585" t="s">
        <v>1053</v>
      </c>
      <c r="AB585" t="s">
        <v>1054</v>
      </c>
      <c r="AC585" t="s">
        <v>1055</v>
      </c>
      <c r="AD585" t="s">
        <v>365</v>
      </c>
      <c r="AE585" t="s">
        <v>1056</v>
      </c>
      <c r="AF585" t="s">
        <v>1057</v>
      </c>
      <c r="AG585" t="s">
        <v>450</v>
      </c>
      <c r="AH585" t="s">
        <v>450</v>
      </c>
      <c r="AI585">
        <v>46203</v>
      </c>
      <c r="AJ585">
        <v>46164</v>
      </c>
      <c r="AK585" t="s">
        <v>218</v>
      </c>
      <c r="AL585" t="s">
        <v>594</v>
      </c>
      <c r="AM585" t="s">
        <v>1065</v>
      </c>
      <c r="AN585" t="s">
        <v>107</v>
      </c>
      <c r="AO585" t="s">
        <v>107</v>
      </c>
      <c r="AP585">
        <v>14300</v>
      </c>
      <c r="AQ585">
        <v>14300</v>
      </c>
      <c r="AR585">
        <v>0</v>
      </c>
      <c r="AS585" t="s">
        <v>107</v>
      </c>
      <c r="AT585" t="s">
        <v>161</v>
      </c>
      <c r="AU585" t="s">
        <v>109</v>
      </c>
      <c r="AV585" t="s">
        <v>451</v>
      </c>
      <c r="AW585" t="s">
        <v>111</v>
      </c>
      <c r="AY585" t="s">
        <v>1859</v>
      </c>
      <c r="AZ585" t="s">
        <v>116</v>
      </c>
      <c r="BB585" t="s">
        <v>114</v>
      </c>
      <c r="BC585" t="s">
        <v>115</v>
      </c>
      <c r="BN585" t="s">
        <v>113</v>
      </c>
      <c r="BO585" t="s">
        <v>1059</v>
      </c>
      <c r="BP585" t="s">
        <v>370</v>
      </c>
      <c r="BR585" t="s">
        <v>439</v>
      </c>
      <c r="BS585" t="s">
        <v>1860</v>
      </c>
      <c r="BW585" t="s">
        <v>1157</v>
      </c>
      <c r="BX585" t="s">
        <v>1158</v>
      </c>
      <c r="BY585" t="s">
        <v>123</v>
      </c>
      <c r="BZ585" t="s">
        <v>124</v>
      </c>
    </row>
    <row r="586" spans="1:78" x14ac:dyDescent="0.3">
      <c r="A586" t="s">
        <v>12</v>
      </c>
      <c r="B586" t="s">
        <v>92</v>
      </c>
      <c r="C586" t="s">
        <v>93</v>
      </c>
      <c r="D586" t="s">
        <v>94</v>
      </c>
      <c r="E586" t="s">
        <v>95</v>
      </c>
      <c r="F586" t="s">
        <v>1051</v>
      </c>
      <c r="G586">
        <v>392000</v>
      </c>
      <c r="H586">
        <v>392000</v>
      </c>
      <c r="I586" t="s">
        <v>93</v>
      </c>
      <c r="J586" t="s">
        <v>94</v>
      </c>
      <c r="K586" t="s">
        <v>202</v>
      </c>
      <c r="L586" t="s">
        <v>1052</v>
      </c>
      <c r="M586">
        <v>43000</v>
      </c>
      <c r="N586">
        <v>43000</v>
      </c>
      <c r="AA586" t="s">
        <v>1053</v>
      </c>
      <c r="AB586" t="s">
        <v>1054</v>
      </c>
      <c r="AC586" t="s">
        <v>1055</v>
      </c>
      <c r="AD586" t="s">
        <v>365</v>
      </c>
      <c r="AE586" t="s">
        <v>1056</v>
      </c>
      <c r="AF586" t="s">
        <v>1057</v>
      </c>
      <c r="AG586" t="s">
        <v>450</v>
      </c>
      <c r="AH586" t="s">
        <v>450</v>
      </c>
      <c r="AI586">
        <v>46234</v>
      </c>
      <c r="AK586" t="s">
        <v>218</v>
      </c>
      <c r="AL586" t="s">
        <v>597</v>
      </c>
      <c r="AM586" t="s">
        <v>1065</v>
      </c>
      <c r="AN586" t="s">
        <v>107</v>
      </c>
      <c r="AO586" t="s">
        <v>107</v>
      </c>
      <c r="AP586">
        <v>14300</v>
      </c>
      <c r="AQ586">
        <v>0</v>
      </c>
      <c r="AR586">
        <v>14300</v>
      </c>
      <c r="AT586" t="s">
        <v>161</v>
      </c>
      <c r="AZ586" t="s">
        <v>113</v>
      </c>
      <c r="BC586" t="s">
        <v>1160</v>
      </c>
      <c r="BN586" t="s">
        <v>113</v>
      </c>
      <c r="BO586" t="s">
        <v>1059</v>
      </c>
      <c r="BP586" t="s">
        <v>370</v>
      </c>
      <c r="BR586" t="s">
        <v>439</v>
      </c>
      <c r="BW586" t="s">
        <v>1157</v>
      </c>
      <c r="BX586" t="s">
        <v>1158</v>
      </c>
      <c r="BY586" t="s">
        <v>123</v>
      </c>
      <c r="BZ586" t="s">
        <v>124</v>
      </c>
    </row>
    <row r="587" spans="1:78" x14ac:dyDescent="0.3">
      <c r="A587" t="s">
        <v>12</v>
      </c>
      <c r="B587" t="s">
        <v>92</v>
      </c>
      <c r="C587" t="s">
        <v>93</v>
      </c>
      <c r="D587" t="s">
        <v>94</v>
      </c>
      <c r="E587" t="s">
        <v>95</v>
      </c>
      <c r="F587" t="s">
        <v>1051</v>
      </c>
      <c r="G587">
        <v>392000</v>
      </c>
      <c r="H587">
        <v>392000</v>
      </c>
      <c r="I587" t="s">
        <v>93</v>
      </c>
      <c r="J587" t="s">
        <v>94</v>
      </c>
      <c r="K587" t="s">
        <v>202</v>
      </c>
      <c r="L587" t="s">
        <v>1052</v>
      </c>
      <c r="M587">
        <v>43000</v>
      </c>
      <c r="N587">
        <v>43000</v>
      </c>
      <c r="AA587" t="s">
        <v>1053</v>
      </c>
      <c r="AB587" t="s">
        <v>1054</v>
      </c>
      <c r="AC587" t="s">
        <v>1055</v>
      </c>
      <c r="AD587" t="s">
        <v>365</v>
      </c>
      <c r="AE587" t="s">
        <v>1056</v>
      </c>
      <c r="AF587" t="s">
        <v>1057</v>
      </c>
      <c r="AG587" t="s">
        <v>450</v>
      </c>
      <c r="AH587" t="s">
        <v>450</v>
      </c>
      <c r="AI587">
        <v>46265</v>
      </c>
      <c r="AK587" t="s">
        <v>218</v>
      </c>
      <c r="AL587" t="s">
        <v>599</v>
      </c>
      <c r="AM587" t="s">
        <v>1065</v>
      </c>
      <c r="AN587" t="s">
        <v>107</v>
      </c>
      <c r="AO587" t="s">
        <v>107</v>
      </c>
      <c r="AP587">
        <v>14300</v>
      </c>
      <c r="AQ587">
        <v>0</v>
      </c>
      <c r="AR587">
        <v>14300</v>
      </c>
      <c r="AT587" t="s">
        <v>161</v>
      </c>
      <c r="AZ587" t="s">
        <v>113</v>
      </c>
      <c r="BC587" t="s">
        <v>1160</v>
      </c>
      <c r="BN587" t="s">
        <v>113</v>
      </c>
      <c r="BO587" t="s">
        <v>1059</v>
      </c>
      <c r="BP587" t="s">
        <v>370</v>
      </c>
      <c r="BR587" t="s">
        <v>439</v>
      </c>
      <c r="BW587" t="s">
        <v>1157</v>
      </c>
      <c r="BX587" t="s">
        <v>1158</v>
      </c>
      <c r="BY587" t="s">
        <v>123</v>
      </c>
      <c r="BZ587" t="s">
        <v>124</v>
      </c>
    </row>
    <row r="588" spans="1:78" x14ac:dyDescent="0.3">
      <c r="A588" t="s">
        <v>12</v>
      </c>
      <c r="B588" t="s">
        <v>92</v>
      </c>
      <c r="C588" t="s">
        <v>93</v>
      </c>
      <c r="D588" t="s">
        <v>94</v>
      </c>
      <c r="E588" t="s">
        <v>95</v>
      </c>
      <c r="F588" t="s">
        <v>1051</v>
      </c>
      <c r="G588">
        <v>392000</v>
      </c>
      <c r="H588">
        <v>392000</v>
      </c>
      <c r="I588" t="s">
        <v>93</v>
      </c>
      <c r="J588" t="s">
        <v>94</v>
      </c>
      <c r="K588" t="s">
        <v>202</v>
      </c>
      <c r="L588" t="s">
        <v>1052</v>
      </c>
      <c r="M588">
        <v>43000</v>
      </c>
      <c r="N588">
        <v>43000</v>
      </c>
      <c r="AA588" t="s">
        <v>1053</v>
      </c>
      <c r="AB588" t="s">
        <v>1054</v>
      </c>
      <c r="AC588" t="s">
        <v>1055</v>
      </c>
      <c r="AD588" t="s">
        <v>365</v>
      </c>
      <c r="AE588" t="s">
        <v>1056</v>
      </c>
      <c r="AF588" t="s">
        <v>1057</v>
      </c>
      <c r="AG588" t="s">
        <v>450</v>
      </c>
      <c r="AH588" t="s">
        <v>450</v>
      </c>
      <c r="AI588">
        <v>46295</v>
      </c>
      <c r="AK588" t="s">
        <v>218</v>
      </c>
      <c r="AL588" t="s">
        <v>1262</v>
      </c>
      <c r="AM588" t="s">
        <v>1065</v>
      </c>
      <c r="AN588" t="s">
        <v>107</v>
      </c>
      <c r="AO588" t="s">
        <v>107</v>
      </c>
      <c r="AP588">
        <v>14300</v>
      </c>
      <c r="AQ588">
        <v>0</v>
      </c>
      <c r="AR588">
        <v>14300</v>
      </c>
      <c r="AT588" t="s">
        <v>161</v>
      </c>
      <c r="AZ588" t="s">
        <v>113</v>
      </c>
      <c r="BC588" t="s">
        <v>1160</v>
      </c>
      <c r="BN588" t="s">
        <v>113</v>
      </c>
      <c r="BO588" t="s">
        <v>1059</v>
      </c>
      <c r="BP588" t="s">
        <v>370</v>
      </c>
      <c r="BR588" t="s">
        <v>439</v>
      </c>
      <c r="BW588" t="s">
        <v>1157</v>
      </c>
      <c r="BX588" t="s">
        <v>1158</v>
      </c>
      <c r="BY588" t="s">
        <v>123</v>
      </c>
      <c r="BZ588" t="s">
        <v>124</v>
      </c>
    </row>
    <row r="589" spans="1:78" x14ac:dyDescent="0.3">
      <c r="A589" t="s">
        <v>12</v>
      </c>
      <c r="B589" t="s">
        <v>92</v>
      </c>
      <c r="C589" t="s">
        <v>93</v>
      </c>
      <c r="D589" t="s">
        <v>94</v>
      </c>
      <c r="E589" t="s">
        <v>95</v>
      </c>
      <c r="F589" t="s">
        <v>1051</v>
      </c>
      <c r="G589">
        <v>392000</v>
      </c>
      <c r="H589">
        <v>392000</v>
      </c>
      <c r="I589" t="s">
        <v>93</v>
      </c>
      <c r="J589" t="s">
        <v>94</v>
      </c>
      <c r="K589" t="s">
        <v>202</v>
      </c>
      <c r="L589" t="s">
        <v>1052</v>
      </c>
      <c r="M589">
        <v>43000</v>
      </c>
      <c r="N589">
        <v>43000</v>
      </c>
      <c r="AA589" t="s">
        <v>1053</v>
      </c>
      <c r="AB589" t="s">
        <v>1054</v>
      </c>
      <c r="AC589" t="s">
        <v>1055</v>
      </c>
      <c r="AD589" t="s">
        <v>365</v>
      </c>
      <c r="AE589" t="s">
        <v>1056</v>
      </c>
      <c r="AF589" t="s">
        <v>1057</v>
      </c>
      <c r="AG589" t="s">
        <v>450</v>
      </c>
      <c r="AH589" t="s">
        <v>450</v>
      </c>
      <c r="AI589">
        <v>46326</v>
      </c>
      <c r="AK589" t="s">
        <v>218</v>
      </c>
      <c r="AL589" t="s">
        <v>1382</v>
      </c>
      <c r="AM589" t="s">
        <v>1065</v>
      </c>
      <c r="AN589" t="s">
        <v>107</v>
      </c>
      <c r="AO589" t="s">
        <v>107</v>
      </c>
      <c r="AP589">
        <v>14300</v>
      </c>
      <c r="AQ589">
        <v>0</v>
      </c>
      <c r="AR589">
        <v>14300</v>
      </c>
      <c r="AT589" t="s">
        <v>161</v>
      </c>
      <c r="AZ589" t="s">
        <v>113</v>
      </c>
      <c r="BC589" t="s">
        <v>1160</v>
      </c>
      <c r="BN589" t="s">
        <v>113</v>
      </c>
      <c r="BO589" t="s">
        <v>1059</v>
      </c>
      <c r="BP589" t="s">
        <v>370</v>
      </c>
      <c r="BR589" t="s">
        <v>439</v>
      </c>
      <c r="BW589" t="s">
        <v>1157</v>
      </c>
      <c r="BX589" t="s">
        <v>1158</v>
      </c>
      <c r="BY589" t="s">
        <v>123</v>
      </c>
      <c r="BZ589" t="s">
        <v>124</v>
      </c>
    </row>
    <row r="590" spans="1:78" x14ac:dyDescent="0.3">
      <c r="A590" t="s">
        <v>12</v>
      </c>
      <c r="B590" t="s">
        <v>92</v>
      </c>
      <c r="C590" t="s">
        <v>93</v>
      </c>
      <c r="D590" t="s">
        <v>94</v>
      </c>
      <c r="E590" t="s">
        <v>95</v>
      </c>
      <c r="F590" t="s">
        <v>1051</v>
      </c>
      <c r="G590">
        <v>392000</v>
      </c>
      <c r="H590">
        <v>392000</v>
      </c>
      <c r="I590" t="s">
        <v>93</v>
      </c>
      <c r="J590" t="s">
        <v>94</v>
      </c>
      <c r="K590" t="s">
        <v>202</v>
      </c>
      <c r="L590" t="s">
        <v>1052</v>
      </c>
      <c r="M590">
        <v>43000</v>
      </c>
      <c r="N590">
        <v>43000</v>
      </c>
      <c r="AA590" t="s">
        <v>1053</v>
      </c>
      <c r="AB590" t="s">
        <v>1054</v>
      </c>
      <c r="AC590" t="s">
        <v>1055</v>
      </c>
      <c r="AD590" t="s">
        <v>365</v>
      </c>
      <c r="AE590" t="s">
        <v>1056</v>
      </c>
      <c r="AF590" t="s">
        <v>1057</v>
      </c>
      <c r="AG590" t="s">
        <v>450</v>
      </c>
      <c r="AH590" t="s">
        <v>450</v>
      </c>
      <c r="AI590">
        <v>46356</v>
      </c>
      <c r="AK590" t="s">
        <v>218</v>
      </c>
      <c r="AL590" t="s">
        <v>1383</v>
      </c>
      <c r="AM590" t="s">
        <v>1065</v>
      </c>
      <c r="AN590" t="s">
        <v>107</v>
      </c>
      <c r="AO590" t="s">
        <v>107</v>
      </c>
      <c r="AP590">
        <v>14300</v>
      </c>
      <c r="AQ590">
        <v>0</v>
      </c>
      <c r="AR590">
        <v>14300</v>
      </c>
      <c r="AT590" t="s">
        <v>161</v>
      </c>
      <c r="AZ590" t="s">
        <v>113</v>
      </c>
      <c r="BC590" t="s">
        <v>1160</v>
      </c>
      <c r="BN590" t="s">
        <v>113</v>
      </c>
      <c r="BO590" t="s">
        <v>1059</v>
      </c>
      <c r="BP590" t="s">
        <v>370</v>
      </c>
      <c r="BR590" t="s">
        <v>439</v>
      </c>
      <c r="BW590" t="s">
        <v>1157</v>
      </c>
      <c r="BX590" t="s">
        <v>1158</v>
      </c>
      <c r="BY590" t="s">
        <v>123</v>
      </c>
      <c r="BZ590" t="s">
        <v>124</v>
      </c>
    </row>
    <row r="591" spans="1:78" x14ac:dyDescent="0.3">
      <c r="A591" t="s">
        <v>12</v>
      </c>
      <c r="B591" t="s">
        <v>92</v>
      </c>
      <c r="C591" t="s">
        <v>93</v>
      </c>
      <c r="D591" t="s">
        <v>94</v>
      </c>
      <c r="E591" t="s">
        <v>95</v>
      </c>
      <c r="F591" t="s">
        <v>1051</v>
      </c>
      <c r="G591">
        <v>392000</v>
      </c>
      <c r="H591">
        <v>392000</v>
      </c>
      <c r="I591" t="s">
        <v>93</v>
      </c>
      <c r="J591" t="s">
        <v>94</v>
      </c>
      <c r="K591" t="s">
        <v>202</v>
      </c>
      <c r="L591" t="s">
        <v>1052</v>
      </c>
      <c r="M591">
        <v>43000</v>
      </c>
      <c r="N591">
        <v>43000</v>
      </c>
      <c r="AA591" t="s">
        <v>1053</v>
      </c>
      <c r="AB591" t="s">
        <v>1054</v>
      </c>
      <c r="AC591" t="s">
        <v>1055</v>
      </c>
      <c r="AD591" t="s">
        <v>365</v>
      </c>
      <c r="AE591" t="s">
        <v>1056</v>
      </c>
      <c r="AF591" t="s">
        <v>1057</v>
      </c>
      <c r="AG591" t="s">
        <v>450</v>
      </c>
      <c r="AH591" t="s">
        <v>450</v>
      </c>
      <c r="AI591">
        <v>46387</v>
      </c>
      <c r="AK591" t="s">
        <v>218</v>
      </c>
      <c r="AL591" t="s">
        <v>1384</v>
      </c>
      <c r="AM591" t="s">
        <v>1065</v>
      </c>
      <c r="AN591" t="s">
        <v>107</v>
      </c>
      <c r="AO591" t="s">
        <v>107</v>
      </c>
      <c r="AP591">
        <v>14300</v>
      </c>
      <c r="AQ591">
        <v>0</v>
      </c>
      <c r="AR591">
        <v>14300</v>
      </c>
      <c r="AT591" t="s">
        <v>161</v>
      </c>
      <c r="AZ591" t="s">
        <v>113</v>
      </c>
      <c r="BC591" t="s">
        <v>1160</v>
      </c>
      <c r="BN591" t="s">
        <v>113</v>
      </c>
      <c r="BO591" t="s">
        <v>1059</v>
      </c>
      <c r="BP591" t="s">
        <v>370</v>
      </c>
      <c r="BR591" t="s">
        <v>439</v>
      </c>
      <c r="BW591" t="s">
        <v>1157</v>
      </c>
      <c r="BX591" t="s">
        <v>1158</v>
      </c>
      <c r="BY591" t="s">
        <v>123</v>
      </c>
      <c r="BZ591" t="s">
        <v>124</v>
      </c>
    </row>
    <row r="592" spans="1:78" x14ac:dyDescent="0.3">
      <c r="A592" t="s">
        <v>12</v>
      </c>
      <c r="B592" t="s">
        <v>92</v>
      </c>
      <c r="C592" t="s">
        <v>93</v>
      </c>
      <c r="D592" t="s">
        <v>94</v>
      </c>
      <c r="E592" t="s">
        <v>95</v>
      </c>
      <c r="F592" t="s">
        <v>350</v>
      </c>
      <c r="G592">
        <v>442000</v>
      </c>
      <c r="H592">
        <v>416000</v>
      </c>
      <c r="AA592" t="s">
        <v>1861</v>
      </c>
      <c r="AB592" t="s">
        <v>1862</v>
      </c>
      <c r="AC592" t="s">
        <v>1863</v>
      </c>
      <c r="AD592" t="s">
        <v>365</v>
      </c>
      <c r="AE592" t="s">
        <v>1864</v>
      </c>
      <c r="AF592" t="s">
        <v>1865</v>
      </c>
      <c r="AG592" t="s">
        <v>102</v>
      </c>
      <c r="AH592" t="s">
        <v>1866</v>
      </c>
      <c r="AI592">
        <v>46158</v>
      </c>
      <c r="AJ592">
        <v>46158</v>
      </c>
      <c r="AK592" t="s">
        <v>104</v>
      </c>
      <c r="AL592" t="s">
        <v>105</v>
      </c>
      <c r="AM592" t="s">
        <v>106</v>
      </c>
      <c r="AN592" t="s">
        <v>107</v>
      </c>
      <c r="AO592" t="s">
        <v>107</v>
      </c>
      <c r="AP592">
        <v>3000</v>
      </c>
      <c r="AQ592">
        <v>3000</v>
      </c>
      <c r="AR592">
        <v>0</v>
      </c>
      <c r="AS592" t="s">
        <v>107</v>
      </c>
      <c r="AT592" t="s">
        <v>108</v>
      </c>
      <c r="AU592" t="s">
        <v>109</v>
      </c>
      <c r="AV592" t="s">
        <v>451</v>
      </c>
      <c r="AW592" t="s">
        <v>111</v>
      </c>
      <c r="AY592" t="s">
        <v>1867</v>
      </c>
      <c r="AZ592" t="s">
        <v>113</v>
      </c>
      <c r="BB592" t="s">
        <v>114</v>
      </c>
      <c r="BC592" t="s">
        <v>115</v>
      </c>
      <c r="BN592" t="s">
        <v>116</v>
      </c>
      <c r="BO592" t="s">
        <v>1868</v>
      </c>
      <c r="BP592" t="s">
        <v>1869</v>
      </c>
      <c r="BR592" t="s">
        <v>1600</v>
      </c>
      <c r="BS592" t="s">
        <v>1870</v>
      </c>
      <c r="BW592" t="s">
        <v>1157</v>
      </c>
      <c r="BX592" t="s">
        <v>1158</v>
      </c>
      <c r="BY592" t="s">
        <v>123</v>
      </c>
      <c r="BZ592" t="s">
        <v>124</v>
      </c>
    </row>
    <row r="593" spans="1:78" x14ac:dyDescent="0.3">
      <c r="A593" t="s">
        <v>12</v>
      </c>
      <c r="B593" t="s">
        <v>92</v>
      </c>
      <c r="C593" t="s">
        <v>93</v>
      </c>
      <c r="D593" t="s">
        <v>94</v>
      </c>
      <c r="E593" t="s">
        <v>95</v>
      </c>
      <c r="F593" t="s">
        <v>350</v>
      </c>
      <c r="G593">
        <v>442000</v>
      </c>
      <c r="H593">
        <v>416000</v>
      </c>
      <c r="AA593" t="s">
        <v>1861</v>
      </c>
      <c r="AB593" t="s">
        <v>1862</v>
      </c>
      <c r="AC593" t="s">
        <v>1863</v>
      </c>
      <c r="AD593" t="s">
        <v>365</v>
      </c>
      <c r="AE593" t="s">
        <v>1864</v>
      </c>
      <c r="AF593" t="s">
        <v>1865</v>
      </c>
      <c r="AG593" t="s">
        <v>102</v>
      </c>
      <c r="AH593" t="s">
        <v>1866</v>
      </c>
      <c r="AI593">
        <v>46185</v>
      </c>
      <c r="AJ593">
        <v>46185</v>
      </c>
      <c r="AK593" t="s">
        <v>137</v>
      </c>
      <c r="AL593" t="s">
        <v>105</v>
      </c>
      <c r="AM593" t="s">
        <v>1871</v>
      </c>
      <c r="AN593" t="s">
        <v>107</v>
      </c>
      <c r="AO593" t="s">
        <v>107</v>
      </c>
      <c r="AP593">
        <v>23400</v>
      </c>
      <c r="AQ593">
        <v>23400</v>
      </c>
      <c r="AR593">
        <v>0</v>
      </c>
      <c r="AS593" t="s">
        <v>107</v>
      </c>
      <c r="AT593" t="s">
        <v>108</v>
      </c>
      <c r="AU593" t="s">
        <v>109</v>
      </c>
      <c r="AV593" t="s">
        <v>451</v>
      </c>
      <c r="AW593" t="s">
        <v>111</v>
      </c>
      <c r="AY593" t="s">
        <v>1872</v>
      </c>
      <c r="AZ593" t="s">
        <v>113</v>
      </c>
      <c r="BB593" t="s">
        <v>114</v>
      </c>
      <c r="BC593" t="s">
        <v>115</v>
      </c>
      <c r="BN593" t="s">
        <v>116</v>
      </c>
      <c r="BO593" t="s">
        <v>1868</v>
      </c>
      <c r="BP593" t="s">
        <v>1869</v>
      </c>
      <c r="BR593" t="s">
        <v>1600</v>
      </c>
      <c r="BS593" t="s">
        <v>1873</v>
      </c>
      <c r="BW593" t="s">
        <v>1157</v>
      </c>
      <c r="BX593" t="s">
        <v>1158</v>
      </c>
      <c r="BY593" t="s">
        <v>123</v>
      </c>
      <c r="BZ593" t="s">
        <v>124</v>
      </c>
    </row>
    <row r="594" spans="1:78" x14ac:dyDescent="0.3">
      <c r="A594" t="s">
        <v>12</v>
      </c>
      <c r="B594" t="s">
        <v>92</v>
      </c>
      <c r="C594" t="s">
        <v>93</v>
      </c>
      <c r="D594" t="s">
        <v>94</v>
      </c>
      <c r="E594" t="s">
        <v>95</v>
      </c>
      <c r="F594" t="s">
        <v>350</v>
      </c>
      <c r="G594">
        <v>442000</v>
      </c>
      <c r="H594">
        <v>416000</v>
      </c>
      <c r="AA594" t="s">
        <v>1861</v>
      </c>
      <c r="AB594" t="s">
        <v>1862</v>
      </c>
      <c r="AC594" t="s">
        <v>1863</v>
      </c>
      <c r="AD594" t="s">
        <v>365</v>
      </c>
      <c r="AE594" t="s">
        <v>1864</v>
      </c>
      <c r="AF594" t="s">
        <v>1865</v>
      </c>
      <c r="AG594" t="s">
        <v>102</v>
      </c>
      <c r="AH594" t="s">
        <v>1866</v>
      </c>
      <c r="AI594">
        <v>46356</v>
      </c>
      <c r="AK594" t="s">
        <v>137</v>
      </c>
      <c r="AL594" t="s">
        <v>142</v>
      </c>
      <c r="AM594" t="s">
        <v>1874</v>
      </c>
      <c r="AN594" t="s">
        <v>107</v>
      </c>
      <c r="AO594" t="s">
        <v>107</v>
      </c>
      <c r="AP594">
        <v>15200</v>
      </c>
      <c r="AQ594">
        <v>0</v>
      </c>
      <c r="AR594">
        <v>15200</v>
      </c>
      <c r="AT594" t="s">
        <v>108</v>
      </c>
      <c r="AZ594" t="s">
        <v>113</v>
      </c>
      <c r="BC594" t="s">
        <v>1160</v>
      </c>
      <c r="BN594" t="s">
        <v>113</v>
      </c>
      <c r="BO594" t="s">
        <v>1868</v>
      </c>
      <c r="BP594" t="s">
        <v>1869</v>
      </c>
      <c r="BR594" t="s">
        <v>1600</v>
      </c>
      <c r="BW594" t="s">
        <v>1157</v>
      </c>
      <c r="BX594" t="s">
        <v>1158</v>
      </c>
      <c r="BY594" t="s">
        <v>123</v>
      </c>
      <c r="BZ594" t="s">
        <v>124</v>
      </c>
    </row>
    <row r="595" spans="1:78" x14ac:dyDescent="0.3">
      <c r="A595" t="s">
        <v>12</v>
      </c>
      <c r="B595" t="s">
        <v>92</v>
      </c>
      <c r="C595" t="s">
        <v>93</v>
      </c>
      <c r="D595" t="s">
        <v>94</v>
      </c>
      <c r="E595" t="s">
        <v>95</v>
      </c>
      <c r="F595" t="s">
        <v>350</v>
      </c>
      <c r="G595">
        <v>442000</v>
      </c>
      <c r="H595">
        <v>416000</v>
      </c>
      <c r="AA595" t="s">
        <v>1861</v>
      </c>
      <c r="AB595" t="s">
        <v>1862</v>
      </c>
      <c r="AC595" t="s">
        <v>1863</v>
      </c>
      <c r="AD595" t="s">
        <v>365</v>
      </c>
      <c r="AE595" t="s">
        <v>1864</v>
      </c>
      <c r="AF595" t="s">
        <v>1865</v>
      </c>
      <c r="AG595" t="s">
        <v>102</v>
      </c>
      <c r="AH595" t="s">
        <v>1866</v>
      </c>
      <c r="AI595">
        <v>46387</v>
      </c>
      <c r="AK595" t="s">
        <v>218</v>
      </c>
      <c r="AL595" t="s">
        <v>105</v>
      </c>
      <c r="AM595" t="s">
        <v>1875</v>
      </c>
      <c r="AN595" t="s">
        <v>107</v>
      </c>
      <c r="AO595" t="s">
        <v>107</v>
      </c>
      <c r="AP595">
        <v>374400</v>
      </c>
      <c r="AQ595">
        <v>0</v>
      </c>
      <c r="AR595">
        <v>374400</v>
      </c>
      <c r="AT595" t="s">
        <v>108</v>
      </c>
      <c r="AZ595" t="s">
        <v>113</v>
      </c>
      <c r="BC595" t="s">
        <v>1160</v>
      </c>
      <c r="BN595" t="s">
        <v>113</v>
      </c>
      <c r="BO595" t="s">
        <v>1868</v>
      </c>
      <c r="BP595" t="s">
        <v>1869</v>
      </c>
      <c r="BR595" t="s">
        <v>1600</v>
      </c>
      <c r="BW595" t="s">
        <v>1157</v>
      </c>
      <c r="BX595" t="s">
        <v>1158</v>
      </c>
      <c r="BY595" t="s">
        <v>123</v>
      </c>
      <c r="BZ595" t="s">
        <v>124</v>
      </c>
    </row>
    <row r="596" spans="1:78" x14ac:dyDescent="0.3">
      <c r="A596" t="s">
        <v>2</v>
      </c>
      <c r="B596" t="s">
        <v>92</v>
      </c>
      <c r="C596" t="s">
        <v>93</v>
      </c>
      <c r="D596" t="s">
        <v>94</v>
      </c>
      <c r="E596" t="s">
        <v>95</v>
      </c>
      <c r="F596" t="s">
        <v>1876</v>
      </c>
      <c r="G596">
        <v>478700</v>
      </c>
      <c r="H596">
        <v>417000</v>
      </c>
      <c r="I596" t="s">
        <v>93</v>
      </c>
      <c r="J596" t="s">
        <v>94</v>
      </c>
      <c r="K596" t="s">
        <v>202</v>
      </c>
      <c r="L596" t="s">
        <v>1877</v>
      </c>
      <c r="M596">
        <v>61000</v>
      </c>
      <c r="N596">
        <v>61000</v>
      </c>
      <c r="AA596" t="s">
        <v>1878</v>
      </c>
      <c r="AB596" t="s">
        <v>1879</v>
      </c>
      <c r="AC596" t="s">
        <v>1880</v>
      </c>
      <c r="AD596" t="s">
        <v>365</v>
      </c>
      <c r="AE596" t="s">
        <v>1881</v>
      </c>
      <c r="AF596" t="s">
        <v>1882</v>
      </c>
      <c r="AG596" t="s">
        <v>102</v>
      </c>
      <c r="AH596" t="s">
        <v>1883</v>
      </c>
      <c r="AI596">
        <v>46159</v>
      </c>
      <c r="AJ596">
        <v>46159</v>
      </c>
      <c r="AK596" t="s">
        <v>104</v>
      </c>
      <c r="AL596" t="s">
        <v>105</v>
      </c>
      <c r="AM596" t="s">
        <v>106</v>
      </c>
      <c r="AN596" t="s">
        <v>107</v>
      </c>
      <c r="AO596" t="s">
        <v>107</v>
      </c>
      <c r="AP596">
        <v>3000</v>
      </c>
      <c r="AQ596">
        <v>3000</v>
      </c>
      <c r="AR596">
        <v>0</v>
      </c>
      <c r="AS596" t="s">
        <v>107</v>
      </c>
      <c r="AT596" t="s">
        <v>108</v>
      </c>
      <c r="AU596" t="s">
        <v>109</v>
      </c>
      <c r="AV596" t="s">
        <v>110</v>
      </c>
      <c r="AW596" t="s">
        <v>111</v>
      </c>
      <c r="AY596" t="s">
        <v>1884</v>
      </c>
      <c r="AZ596" t="s">
        <v>113</v>
      </c>
      <c r="BB596" t="s">
        <v>114</v>
      </c>
      <c r="BC596" t="s">
        <v>115</v>
      </c>
      <c r="BN596" t="s">
        <v>116</v>
      </c>
      <c r="BO596" t="s">
        <v>1885</v>
      </c>
      <c r="BP596" t="s">
        <v>1869</v>
      </c>
      <c r="BR596" t="s">
        <v>707</v>
      </c>
      <c r="BS596" t="s">
        <v>1886</v>
      </c>
      <c r="BW596" t="s">
        <v>1157</v>
      </c>
      <c r="BX596" t="s">
        <v>1158</v>
      </c>
      <c r="BY596" t="s">
        <v>123</v>
      </c>
      <c r="BZ596" t="s">
        <v>124</v>
      </c>
    </row>
    <row r="597" spans="1:78" x14ac:dyDescent="0.3">
      <c r="A597" t="s">
        <v>2</v>
      </c>
      <c r="B597" t="s">
        <v>92</v>
      </c>
      <c r="C597" t="s">
        <v>93</v>
      </c>
      <c r="D597" t="s">
        <v>94</v>
      </c>
      <c r="E597" t="s">
        <v>95</v>
      </c>
      <c r="F597" t="s">
        <v>1876</v>
      </c>
      <c r="G597">
        <v>478700</v>
      </c>
      <c r="H597">
        <v>417000</v>
      </c>
      <c r="I597" t="s">
        <v>93</v>
      </c>
      <c r="J597" t="s">
        <v>94</v>
      </c>
      <c r="K597" t="s">
        <v>202</v>
      </c>
      <c r="L597" t="s">
        <v>1877</v>
      </c>
      <c r="M597">
        <v>61000</v>
      </c>
      <c r="N597">
        <v>61000</v>
      </c>
      <c r="AA597" t="s">
        <v>1878</v>
      </c>
      <c r="AB597" t="s">
        <v>1879</v>
      </c>
      <c r="AC597" t="s">
        <v>1880</v>
      </c>
      <c r="AD597" t="s">
        <v>365</v>
      </c>
      <c r="AE597" t="s">
        <v>1881</v>
      </c>
      <c r="AF597" t="s">
        <v>1882</v>
      </c>
      <c r="AG597" t="s">
        <v>102</v>
      </c>
      <c r="AH597" t="s">
        <v>1883</v>
      </c>
      <c r="AI597">
        <v>46172</v>
      </c>
      <c r="AJ597">
        <v>46170</v>
      </c>
      <c r="AK597" t="s">
        <v>137</v>
      </c>
      <c r="AL597" t="s">
        <v>105</v>
      </c>
      <c r="AM597" t="s">
        <v>1887</v>
      </c>
      <c r="AN597" t="s">
        <v>107</v>
      </c>
      <c r="AO597" t="s">
        <v>107</v>
      </c>
      <c r="AP597">
        <v>47000</v>
      </c>
      <c r="AQ597">
        <v>10000</v>
      </c>
      <c r="AR597">
        <v>0</v>
      </c>
      <c r="AS597" t="s">
        <v>107</v>
      </c>
      <c r="AT597" t="s">
        <v>108</v>
      </c>
      <c r="AU597" t="s">
        <v>109</v>
      </c>
      <c r="AV597" t="s">
        <v>110</v>
      </c>
      <c r="AW597" t="s">
        <v>111</v>
      </c>
      <c r="AY597" t="s">
        <v>1888</v>
      </c>
      <c r="AZ597" t="s">
        <v>113</v>
      </c>
      <c r="BB597" t="s">
        <v>114</v>
      </c>
      <c r="BC597" t="s">
        <v>115</v>
      </c>
      <c r="BN597" t="s">
        <v>116</v>
      </c>
      <c r="BO597" t="s">
        <v>1885</v>
      </c>
      <c r="BP597" t="s">
        <v>1869</v>
      </c>
      <c r="BR597" t="s">
        <v>707</v>
      </c>
      <c r="BS597" t="s">
        <v>1889</v>
      </c>
      <c r="BW597" t="s">
        <v>1157</v>
      </c>
      <c r="BX597" t="s">
        <v>1158</v>
      </c>
      <c r="BY597" t="s">
        <v>123</v>
      </c>
      <c r="BZ597" t="s">
        <v>124</v>
      </c>
    </row>
    <row r="598" spans="1:78" x14ac:dyDescent="0.3">
      <c r="A598" t="s">
        <v>2</v>
      </c>
      <c r="B598" t="s">
        <v>92</v>
      </c>
      <c r="C598" t="s">
        <v>93</v>
      </c>
      <c r="D598" t="s">
        <v>94</v>
      </c>
      <c r="E598" t="s">
        <v>95</v>
      </c>
      <c r="F598" t="s">
        <v>1876</v>
      </c>
      <c r="G598">
        <v>478700</v>
      </c>
      <c r="H598">
        <v>417000</v>
      </c>
      <c r="I598" t="s">
        <v>93</v>
      </c>
      <c r="J598" t="s">
        <v>94</v>
      </c>
      <c r="K598" t="s">
        <v>202</v>
      </c>
      <c r="L598" t="s">
        <v>1877</v>
      </c>
      <c r="M598">
        <v>61000</v>
      </c>
      <c r="N598">
        <v>61000</v>
      </c>
      <c r="AA598" t="s">
        <v>1878</v>
      </c>
      <c r="AB598" t="s">
        <v>1879</v>
      </c>
      <c r="AC598" t="s">
        <v>1880</v>
      </c>
      <c r="AD598" t="s">
        <v>365</v>
      </c>
      <c r="AE598" t="s">
        <v>1881</v>
      </c>
      <c r="AF598" t="s">
        <v>1882</v>
      </c>
      <c r="AG598" t="s">
        <v>102</v>
      </c>
      <c r="AH598" t="s">
        <v>1883</v>
      </c>
      <c r="AI598">
        <v>46172</v>
      </c>
      <c r="AJ598">
        <v>46170</v>
      </c>
      <c r="AK598" t="s">
        <v>137</v>
      </c>
      <c r="AL598" t="s">
        <v>105</v>
      </c>
      <c r="AM598" t="s">
        <v>107</v>
      </c>
      <c r="AN598" t="s">
        <v>107</v>
      </c>
      <c r="AO598" t="s">
        <v>107</v>
      </c>
      <c r="AP598">
        <v>0</v>
      </c>
      <c r="AQ598">
        <v>20000</v>
      </c>
      <c r="AR598">
        <v>0</v>
      </c>
      <c r="AS598" t="s">
        <v>107</v>
      </c>
      <c r="AT598" t="s">
        <v>108</v>
      </c>
      <c r="AU598" t="s">
        <v>109</v>
      </c>
      <c r="AV598" t="s">
        <v>110</v>
      </c>
      <c r="AW598" t="s">
        <v>111</v>
      </c>
      <c r="AY598" t="s">
        <v>1890</v>
      </c>
      <c r="AZ598" t="s">
        <v>113</v>
      </c>
      <c r="BB598" t="s">
        <v>114</v>
      </c>
      <c r="BC598" t="s">
        <v>115</v>
      </c>
      <c r="BN598" t="s">
        <v>116</v>
      </c>
      <c r="BO598" t="s">
        <v>1885</v>
      </c>
      <c r="BP598" t="s">
        <v>1869</v>
      </c>
      <c r="BR598" t="s">
        <v>707</v>
      </c>
      <c r="BS598" t="s">
        <v>1891</v>
      </c>
      <c r="BW598" t="s">
        <v>1157</v>
      </c>
      <c r="BX598" t="s">
        <v>1158</v>
      </c>
      <c r="BY598" t="s">
        <v>123</v>
      </c>
      <c r="BZ598" t="s">
        <v>124</v>
      </c>
    </row>
    <row r="599" spans="1:78" x14ac:dyDescent="0.3">
      <c r="A599" t="s">
        <v>2</v>
      </c>
      <c r="B599" t="s">
        <v>92</v>
      </c>
      <c r="C599" t="s">
        <v>93</v>
      </c>
      <c r="D599" t="s">
        <v>94</v>
      </c>
      <c r="E599" t="s">
        <v>95</v>
      </c>
      <c r="F599" t="s">
        <v>1876</v>
      </c>
      <c r="G599">
        <v>478700</v>
      </c>
      <c r="H599">
        <v>417000</v>
      </c>
      <c r="I599" t="s">
        <v>93</v>
      </c>
      <c r="J599" t="s">
        <v>94</v>
      </c>
      <c r="K599" t="s">
        <v>202</v>
      </c>
      <c r="L599" t="s">
        <v>1877</v>
      </c>
      <c r="M599">
        <v>61000</v>
      </c>
      <c r="N599">
        <v>61000</v>
      </c>
      <c r="AA599" t="s">
        <v>1878</v>
      </c>
      <c r="AB599" t="s">
        <v>1879</v>
      </c>
      <c r="AC599" t="s">
        <v>1880</v>
      </c>
      <c r="AD599" t="s">
        <v>365</v>
      </c>
      <c r="AE599" t="s">
        <v>1881</v>
      </c>
      <c r="AF599" t="s">
        <v>1882</v>
      </c>
      <c r="AG599" t="s">
        <v>102</v>
      </c>
      <c r="AH599" t="s">
        <v>1883</v>
      </c>
      <c r="AI599">
        <v>46172</v>
      </c>
      <c r="AJ599">
        <v>46171</v>
      </c>
      <c r="AK599" t="s">
        <v>137</v>
      </c>
      <c r="AL599" t="s">
        <v>105</v>
      </c>
      <c r="AM599" t="s">
        <v>107</v>
      </c>
      <c r="AN599" t="s">
        <v>107</v>
      </c>
      <c r="AO599" t="s">
        <v>107</v>
      </c>
      <c r="AP599">
        <v>0</v>
      </c>
      <c r="AQ599">
        <v>17000</v>
      </c>
      <c r="AR599">
        <v>0</v>
      </c>
      <c r="AS599" t="s">
        <v>107</v>
      </c>
      <c r="AT599" t="s">
        <v>108</v>
      </c>
      <c r="AU599" t="s">
        <v>109</v>
      </c>
      <c r="AV599" t="s">
        <v>110</v>
      </c>
      <c r="AW599" t="s">
        <v>111</v>
      </c>
      <c r="AY599" t="s">
        <v>1892</v>
      </c>
      <c r="AZ599" t="s">
        <v>113</v>
      </c>
      <c r="BB599" t="s">
        <v>114</v>
      </c>
      <c r="BC599" t="s">
        <v>115</v>
      </c>
      <c r="BN599" t="s">
        <v>116</v>
      </c>
      <c r="BO599" t="s">
        <v>1885</v>
      </c>
      <c r="BP599" t="s">
        <v>1869</v>
      </c>
      <c r="BR599" t="s">
        <v>707</v>
      </c>
      <c r="BS599" t="s">
        <v>1893</v>
      </c>
      <c r="BW599" t="s">
        <v>1157</v>
      </c>
      <c r="BX599" t="s">
        <v>1158</v>
      </c>
      <c r="BY599" t="s">
        <v>123</v>
      </c>
      <c r="BZ599" t="s">
        <v>124</v>
      </c>
    </row>
    <row r="600" spans="1:78" x14ac:dyDescent="0.3">
      <c r="A600" t="s">
        <v>2</v>
      </c>
      <c r="B600" t="s">
        <v>92</v>
      </c>
      <c r="C600" t="s">
        <v>93</v>
      </c>
      <c r="D600" t="s">
        <v>94</v>
      </c>
      <c r="E600" t="s">
        <v>95</v>
      </c>
      <c r="F600" t="s">
        <v>1876</v>
      </c>
      <c r="G600">
        <v>478700</v>
      </c>
      <c r="H600">
        <v>417000</v>
      </c>
      <c r="I600" t="s">
        <v>93</v>
      </c>
      <c r="J600" t="s">
        <v>94</v>
      </c>
      <c r="K600" t="s">
        <v>202</v>
      </c>
      <c r="L600" t="s">
        <v>1877</v>
      </c>
      <c r="M600">
        <v>61000</v>
      </c>
      <c r="N600">
        <v>61000</v>
      </c>
      <c r="AA600" t="s">
        <v>1878</v>
      </c>
      <c r="AB600" t="s">
        <v>1879</v>
      </c>
      <c r="AC600" t="s">
        <v>1880</v>
      </c>
      <c r="AD600" t="s">
        <v>365</v>
      </c>
      <c r="AE600" t="s">
        <v>1881</v>
      </c>
      <c r="AF600" t="s">
        <v>1882</v>
      </c>
      <c r="AG600" t="s">
        <v>102</v>
      </c>
      <c r="AH600" t="s">
        <v>1883</v>
      </c>
      <c r="AI600">
        <v>46203</v>
      </c>
      <c r="AJ600">
        <v>46196</v>
      </c>
      <c r="AK600" t="s">
        <v>137</v>
      </c>
      <c r="AL600" t="s">
        <v>142</v>
      </c>
      <c r="AM600" t="s">
        <v>558</v>
      </c>
      <c r="AN600" t="s">
        <v>107</v>
      </c>
      <c r="AO600" t="s">
        <v>107</v>
      </c>
      <c r="AP600">
        <v>50000</v>
      </c>
      <c r="AQ600">
        <v>50000</v>
      </c>
      <c r="AR600">
        <v>0</v>
      </c>
      <c r="AS600" t="s">
        <v>107</v>
      </c>
      <c r="AT600" t="s">
        <v>108</v>
      </c>
      <c r="AU600" t="s">
        <v>109</v>
      </c>
      <c r="AV600" t="s">
        <v>110</v>
      </c>
      <c r="AW600" t="s">
        <v>111</v>
      </c>
      <c r="AY600" t="s">
        <v>1894</v>
      </c>
      <c r="AZ600" t="s">
        <v>113</v>
      </c>
      <c r="BB600" t="s">
        <v>114</v>
      </c>
      <c r="BC600" t="s">
        <v>115</v>
      </c>
      <c r="BN600" t="s">
        <v>116</v>
      </c>
      <c r="BO600" t="s">
        <v>1885</v>
      </c>
      <c r="BP600" t="s">
        <v>1869</v>
      </c>
      <c r="BR600" t="s">
        <v>707</v>
      </c>
      <c r="BS600" t="s">
        <v>1895</v>
      </c>
      <c r="BW600" t="s">
        <v>1157</v>
      </c>
      <c r="BX600" t="s">
        <v>1158</v>
      </c>
      <c r="BY600" t="s">
        <v>123</v>
      </c>
      <c r="BZ600" t="s">
        <v>124</v>
      </c>
    </row>
    <row r="601" spans="1:78" x14ac:dyDescent="0.3">
      <c r="A601" t="s">
        <v>2</v>
      </c>
      <c r="B601" t="s">
        <v>92</v>
      </c>
      <c r="C601" t="s">
        <v>93</v>
      </c>
      <c r="D601" t="s">
        <v>94</v>
      </c>
      <c r="E601" t="s">
        <v>95</v>
      </c>
      <c r="F601" t="s">
        <v>1876</v>
      </c>
      <c r="G601">
        <v>478700</v>
      </c>
      <c r="H601">
        <v>417000</v>
      </c>
      <c r="I601" t="s">
        <v>93</v>
      </c>
      <c r="J601" t="s">
        <v>94</v>
      </c>
      <c r="K601" t="s">
        <v>202</v>
      </c>
      <c r="L601" t="s">
        <v>1877</v>
      </c>
      <c r="M601">
        <v>61000</v>
      </c>
      <c r="N601">
        <v>61000</v>
      </c>
      <c r="AA601" t="s">
        <v>1878</v>
      </c>
      <c r="AB601" t="s">
        <v>1879</v>
      </c>
      <c r="AC601" t="s">
        <v>1880</v>
      </c>
      <c r="AD601" t="s">
        <v>365</v>
      </c>
      <c r="AE601" t="s">
        <v>1881</v>
      </c>
      <c r="AF601" t="s">
        <v>1882</v>
      </c>
      <c r="AG601" t="s">
        <v>102</v>
      </c>
      <c r="AH601" t="s">
        <v>1883</v>
      </c>
      <c r="AI601">
        <v>46203</v>
      </c>
      <c r="AJ601">
        <v>46198</v>
      </c>
      <c r="AK601" t="s">
        <v>218</v>
      </c>
      <c r="AL601" t="s">
        <v>105</v>
      </c>
      <c r="AM601" t="s">
        <v>1896</v>
      </c>
      <c r="AN601" t="s">
        <v>107</v>
      </c>
      <c r="AO601" t="s">
        <v>107</v>
      </c>
      <c r="AP601">
        <v>189000</v>
      </c>
      <c r="AQ601">
        <v>178000</v>
      </c>
      <c r="AR601">
        <v>11000</v>
      </c>
      <c r="AS601" t="s">
        <v>107</v>
      </c>
      <c r="AT601" t="s">
        <v>108</v>
      </c>
      <c r="AU601" t="s">
        <v>109</v>
      </c>
      <c r="AV601" t="s">
        <v>110</v>
      </c>
      <c r="AW601" t="s">
        <v>111</v>
      </c>
      <c r="AY601" t="s">
        <v>1897</v>
      </c>
      <c r="AZ601" t="s">
        <v>113</v>
      </c>
      <c r="BB601" t="s">
        <v>114</v>
      </c>
      <c r="BC601" t="s">
        <v>543</v>
      </c>
      <c r="BN601" t="s">
        <v>116</v>
      </c>
      <c r="BO601" t="s">
        <v>1885</v>
      </c>
      <c r="BP601" t="s">
        <v>1869</v>
      </c>
      <c r="BR601" t="s">
        <v>707</v>
      </c>
      <c r="BS601" t="s">
        <v>1898</v>
      </c>
      <c r="BW601" t="s">
        <v>1157</v>
      </c>
      <c r="BX601" t="s">
        <v>1158</v>
      </c>
      <c r="BY601" t="s">
        <v>123</v>
      </c>
      <c r="BZ601" t="s">
        <v>124</v>
      </c>
    </row>
    <row r="602" spans="1:78" x14ac:dyDescent="0.3">
      <c r="A602" t="s">
        <v>2</v>
      </c>
      <c r="B602" t="s">
        <v>92</v>
      </c>
      <c r="C602" t="s">
        <v>93</v>
      </c>
      <c r="D602" t="s">
        <v>94</v>
      </c>
      <c r="E602" t="s">
        <v>95</v>
      </c>
      <c r="F602" t="s">
        <v>1876</v>
      </c>
      <c r="G602">
        <v>478700</v>
      </c>
      <c r="H602">
        <v>417000</v>
      </c>
      <c r="I602" t="s">
        <v>93</v>
      </c>
      <c r="J602" t="s">
        <v>94</v>
      </c>
      <c r="K602" t="s">
        <v>202</v>
      </c>
      <c r="L602" t="s">
        <v>1877</v>
      </c>
      <c r="M602">
        <v>61000</v>
      </c>
      <c r="N602">
        <v>61000</v>
      </c>
      <c r="AA602" t="s">
        <v>1878</v>
      </c>
      <c r="AB602" t="s">
        <v>1879</v>
      </c>
      <c r="AC602" t="s">
        <v>1880</v>
      </c>
      <c r="AD602" t="s">
        <v>365</v>
      </c>
      <c r="AE602" t="s">
        <v>1881</v>
      </c>
      <c r="AF602" t="s">
        <v>1882</v>
      </c>
      <c r="AG602" t="s">
        <v>102</v>
      </c>
      <c r="AH602" t="s">
        <v>1883</v>
      </c>
      <c r="AI602">
        <v>46233</v>
      </c>
      <c r="AK602" t="s">
        <v>218</v>
      </c>
      <c r="AL602" t="s">
        <v>142</v>
      </c>
      <c r="AM602" t="s">
        <v>1896</v>
      </c>
      <c r="AN602" t="s">
        <v>107</v>
      </c>
      <c r="AO602" t="s">
        <v>107</v>
      </c>
      <c r="AP602">
        <v>189000</v>
      </c>
      <c r="AQ602">
        <v>0</v>
      </c>
      <c r="AR602">
        <v>189000</v>
      </c>
      <c r="AT602" t="s">
        <v>108</v>
      </c>
      <c r="AZ602" t="s">
        <v>113</v>
      </c>
      <c r="BC602" t="s">
        <v>1160</v>
      </c>
      <c r="BN602" t="s">
        <v>113</v>
      </c>
      <c r="BO602" t="s">
        <v>1885</v>
      </c>
      <c r="BP602" t="s">
        <v>1869</v>
      </c>
      <c r="BR602" t="s">
        <v>707</v>
      </c>
      <c r="BW602" t="s">
        <v>1157</v>
      </c>
      <c r="BX602" t="s">
        <v>1158</v>
      </c>
      <c r="BY602" t="s">
        <v>123</v>
      </c>
      <c r="BZ602" t="s">
        <v>124</v>
      </c>
    </row>
    <row r="603" spans="1:78" x14ac:dyDescent="0.3">
      <c r="A603" t="s">
        <v>12</v>
      </c>
      <c r="B603" t="s">
        <v>92</v>
      </c>
      <c r="C603" t="s">
        <v>93</v>
      </c>
      <c r="D603" t="s">
        <v>94</v>
      </c>
      <c r="E603" t="s">
        <v>95</v>
      </c>
      <c r="F603" t="s">
        <v>1069</v>
      </c>
      <c r="G603">
        <v>573000</v>
      </c>
      <c r="H603">
        <v>573000</v>
      </c>
      <c r="I603" t="s">
        <v>93</v>
      </c>
      <c r="J603" t="s">
        <v>94</v>
      </c>
      <c r="K603" t="s">
        <v>202</v>
      </c>
      <c r="L603" t="s">
        <v>1070</v>
      </c>
      <c r="M603">
        <v>51000</v>
      </c>
      <c r="N603">
        <v>51000</v>
      </c>
      <c r="AA603" t="s">
        <v>1071</v>
      </c>
      <c r="AB603" t="s">
        <v>1072</v>
      </c>
      <c r="AC603" t="s">
        <v>1073</v>
      </c>
      <c r="AD603" t="s">
        <v>365</v>
      </c>
      <c r="AE603" t="s">
        <v>1074</v>
      </c>
      <c r="AF603" t="s">
        <v>1075</v>
      </c>
      <c r="AG603" t="s">
        <v>1076</v>
      </c>
      <c r="AH603" t="s">
        <v>1076</v>
      </c>
      <c r="AI603">
        <v>46203</v>
      </c>
      <c r="AK603" t="s">
        <v>137</v>
      </c>
      <c r="AL603" t="s">
        <v>146</v>
      </c>
      <c r="AM603" t="s">
        <v>1899</v>
      </c>
      <c r="AN603" t="s">
        <v>107</v>
      </c>
      <c r="AO603" t="s">
        <v>107</v>
      </c>
      <c r="AP603">
        <v>119900</v>
      </c>
      <c r="AQ603">
        <v>0</v>
      </c>
      <c r="AR603">
        <v>119900</v>
      </c>
      <c r="AT603" t="s">
        <v>161</v>
      </c>
      <c r="AZ603" t="s">
        <v>113</v>
      </c>
      <c r="BC603" t="s">
        <v>543</v>
      </c>
      <c r="BN603" t="s">
        <v>113</v>
      </c>
      <c r="BO603" t="s">
        <v>1078</v>
      </c>
      <c r="BP603" t="s">
        <v>370</v>
      </c>
      <c r="BR603" t="s">
        <v>512</v>
      </c>
      <c r="BW603" t="s">
        <v>1157</v>
      </c>
      <c r="BX603" t="s">
        <v>1158</v>
      </c>
      <c r="BY603" t="s">
        <v>123</v>
      </c>
      <c r="BZ603" t="s">
        <v>124</v>
      </c>
    </row>
    <row r="604" spans="1:78" x14ac:dyDescent="0.3">
      <c r="A604" t="s">
        <v>12</v>
      </c>
      <c r="B604" t="s">
        <v>92</v>
      </c>
      <c r="C604" t="s">
        <v>93</v>
      </c>
      <c r="D604" t="s">
        <v>94</v>
      </c>
      <c r="E604" t="s">
        <v>95</v>
      </c>
      <c r="F604" t="s">
        <v>1069</v>
      </c>
      <c r="G604">
        <v>573000</v>
      </c>
      <c r="H604">
        <v>573000</v>
      </c>
      <c r="I604" t="s">
        <v>93</v>
      </c>
      <c r="J604" t="s">
        <v>94</v>
      </c>
      <c r="K604" t="s">
        <v>202</v>
      </c>
      <c r="L604" t="s">
        <v>1070</v>
      </c>
      <c r="M604">
        <v>51000</v>
      </c>
      <c r="N604">
        <v>51000</v>
      </c>
      <c r="AA604" t="s">
        <v>1071</v>
      </c>
      <c r="AB604" t="s">
        <v>1072</v>
      </c>
      <c r="AC604" t="s">
        <v>1073</v>
      </c>
      <c r="AD604" t="s">
        <v>365</v>
      </c>
      <c r="AE604" t="s">
        <v>1074</v>
      </c>
      <c r="AF604" t="s">
        <v>1075</v>
      </c>
      <c r="AG604" t="s">
        <v>1076</v>
      </c>
      <c r="AH604" t="s">
        <v>1076</v>
      </c>
      <c r="AI604">
        <v>46234</v>
      </c>
      <c r="AK604" t="s">
        <v>218</v>
      </c>
      <c r="AL604" t="s">
        <v>105</v>
      </c>
      <c r="AM604" t="s">
        <v>1900</v>
      </c>
      <c r="AN604" t="s">
        <v>107</v>
      </c>
      <c r="AO604" t="s">
        <v>107</v>
      </c>
      <c r="AP604">
        <v>24266.67</v>
      </c>
      <c r="AQ604">
        <v>0</v>
      </c>
      <c r="AR604">
        <v>24266.67</v>
      </c>
      <c r="AT604" t="s">
        <v>161</v>
      </c>
      <c r="AZ604" t="s">
        <v>113</v>
      </c>
      <c r="BC604" t="s">
        <v>1160</v>
      </c>
      <c r="BN604" t="s">
        <v>113</v>
      </c>
      <c r="BO604" t="s">
        <v>1078</v>
      </c>
      <c r="BP604" t="s">
        <v>370</v>
      </c>
      <c r="BR604" t="s">
        <v>512</v>
      </c>
      <c r="BW604" t="s">
        <v>1157</v>
      </c>
      <c r="BX604" t="s">
        <v>1158</v>
      </c>
      <c r="BY604" t="s">
        <v>123</v>
      </c>
      <c r="BZ604" t="s">
        <v>124</v>
      </c>
    </row>
    <row r="605" spans="1:78" x14ac:dyDescent="0.3">
      <c r="A605" t="s">
        <v>12</v>
      </c>
      <c r="B605" t="s">
        <v>92</v>
      </c>
      <c r="C605" t="s">
        <v>93</v>
      </c>
      <c r="D605" t="s">
        <v>94</v>
      </c>
      <c r="E605" t="s">
        <v>95</v>
      </c>
      <c r="F605" t="s">
        <v>1069</v>
      </c>
      <c r="G605">
        <v>573000</v>
      </c>
      <c r="H605">
        <v>573000</v>
      </c>
      <c r="I605" t="s">
        <v>93</v>
      </c>
      <c r="J605" t="s">
        <v>94</v>
      </c>
      <c r="K605" t="s">
        <v>202</v>
      </c>
      <c r="L605" t="s">
        <v>1070</v>
      </c>
      <c r="M605">
        <v>51000</v>
      </c>
      <c r="N605">
        <v>51000</v>
      </c>
      <c r="AA605" t="s">
        <v>1071</v>
      </c>
      <c r="AB605" t="s">
        <v>1072</v>
      </c>
      <c r="AC605" t="s">
        <v>1073</v>
      </c>
      <c r="AD605" t="s">
        <v>365</v>
      </c>
      <c r="AE605" t="s">
        <v>1074</v>
      </c>
      <c r="AF605" t="s">
        <v>1075</v>
      </c>
      <c r="AG605" t="s">
        <v>1076</v>
      </c>
      <c r="AH605" t="s">
        <v>1076</v>
      </c>
      <c r="AI605">
        <v>46265</v>
      </c>
      <c r="AK605" t="s">
        <v>218</v>
      </c>
      <c r="AL605" t="s">
        <v>142</v>
      </c>
      <c r="AM605" t="s">
        <v>1900</v>
      </c>
      <c r="AN605" t="s">
        <v>107</v>
      </c>
      <c r="AO605" t="s">
        <v>107</v>
      </c>
      <c r="AP605">
        <v>24266.67</v>
      </c>
      <c r="AQ605">
        <v>0</v>
      </c>
      <c r="AR605">
        <v>24266.67</v>
      </c>
      <c r="AT605" t="s">
        <v>161</v>
      </c>
      <c r="AZ605" t="s">
        <v>113</v>
      </c>
      <c r="BC605" t="s">
        <v>1160</v>
      </c>
      <c r="BN605" t="s">
        <v>113</v>
      </c>
      <c r="BO605" t="s">
        <v>1078</v>
      </c>
      <c r="BP605" t="s">
        <v>370</v>
      </c>
      <c r="BR605" t="s">
        <v>512</v>
      </c>
      <c r="BW605" t="s">
        <v>1157</v>
      </c>
      <c r="BX605" t="s">
        <v>1158</v>
      </c>
      <c r="BY605" t="s">
        <v>123</v>
      </c>
      <c r="BZ605" t="s">
        <v>124</v>
      </c>
    </row>
    <row r="606" spans="1:78" x14ac:dyDescent="0.3">
      <c r="A606" t="s">
        <v>12</v>
      </c>
      <c r="B606" t="s">
        <v>92</v>
      </c>
      <c r="C606" t="s">
        <v>93</v>
      </c>
      <c r="D606" t="s">
        <v>94</v>
      </c>
      <c r="E606" t="s">
        <v>95</v>
      </c>
      <c r="F606" t="s">
        <v>1069</v>
      </c>
      <c r="G606">
        <v>573000</v>
      </c>
      <c r="H606">
        <v>573000</v>
      </c>
      <c r="I606" t="s">
        <v>93</v>
      </c>
      <c r="J606" t="s">
        <v>94</v>
      </c>
      <c r="K606" t="s">
        <v>202</v>
      </c>
      <c r="L606" t="s">
        <v>1070</v>
      </c>
      <c r="M606">
        <v>51000</v>
      </c>
      <c r="N606">
        <v>51000</v>
      </c>
      <c r="AA606" t="s">
        <v>1071</v>
      </c>
      <c r="AB606" t="s">
        <v>1072</v>
      </c>
      <c r="AC606" t="s">
        <v>1073</v>
      </c>
      <c r="AD606" t="s">
        <v>365</v>
      </c>
      <c r="AE606" t="s">
        <v>1074</v>
      </c>
      <c r="AF606" t="s">
        <v>1075</v>
      </c>
      <c r="AG606" t="s">
        <v>1076</v>
      </c>
      <c r="AH606" t="s">
        <v>1076</v>
      </c>
      <c r="AI606">
        <v>46295</v>
      </c>
      <c r="AK606" t="s">
        <v>218</v>
      </c>
      <c r="AL606" t="s">
        <v>146</v>
      </c>
      <c r="AM606" t="s">
        <v>1900</v>
      </c>
      <c r="AN606" t="s">
        <v>107</v>
      </c>
      <c r="AO606" t="s">
        <v>107</v>
      </c>
      <c r="AP606">
        <v>24266.67</v>
      </c>
      <c r="AQ606">
        <v>0</v>
      </c>
      <c r="AR606">
        <v>24266.67</v>
      </c>
      <c r="AT606" t="s">
        <v>161</v>
      </c>
      <c r="AZ606" t="s">
        <v>113</v>
      </c>
      <c r="BC606" t="s">
        <v>1160</v>
      </c>
      <c r="BN606" t="s">
        <v>113</v>
      </c>
      <c r="BO606" t="s">
        <v>1078</v>
      </c>
      <c r="BP606" t="s">
        <v>370</v>
      </c>
      <c r="BR606" t="s">
        <v>512</v>
      </c>
      <c r="BW606" t="s">
        <v>1157</v>
      </c>
      <c r="BX606" t="s">
        <v>1158</v>
      </c>
      <c r="BY606" t="s">
        <v>123</v>
      </c>
      <c r="BZ606" t="s">
        <v>124</v>
      </c>
    </row>
    <row r="607" spans="1:78" x14ac:dyDescent="0.3">
      <c r="A607" t="s">
        <v>12</v>
      </c>
      <c r="B607" t="s">
        <v>92</v>
      </c>
      <c r="C607" t="s">
        <v>93</v>
      </c>
      <c r="D607" t="s">
        <v>94</v>
      </c>
      <c r="E607" t="s">
        <v>95</v>
      </c>
      <c r="F607" t="s">
        <v>1069</v>
      </c>
      <c r="G607">
        <v>573000</v>
      </c>
      <c r="H607">
        <v>573000</v>
      </c>
      <c r="I607" t="s">
        <v>93</v>
      </c>
      <c r="J607" t="s">
        <v>94</v>
      </c>
      <c r="K607" t="s">
        <v>202</v>
      </c>
      <c r="L607" t="s">
        <v>1070</v>
      </c>
      <c r="M607">
        <v>51000</v>
      </c>
      <c r="N607">
        <v>51000</v>
      </c>
      <c r="AA607" t="s">
        <v>1071</v>
      </c>
      <c r="AB607" t="s">
        <v>1072</v>
      </c>
      <c r="AC607" t="s">
        <v>1073</v>
      </c>
      <c r="AD607" t="s">
        <v>365</v>
      </c>
      <c r="AE607" t="s">
        <v>1074</v>
      </c>
      <c r="AF607" t="s">
        <v>1075</v>
      </c>
      <c r="AG607" t="s">
        <v>1076</v>
      </c>
      <c r="AH607" t="s">
        <v>1076</v>
      </c>
      <c r="AI607">
        <v>46326</v>
      </c>
      <c r="AK607" t="s">
        <v>218</v>
      </c>
      <c r="AL607" t="s">
        <v>152</v>
      </c>
      <c r="AM607" t="s">
        <v>1900</v>
      </c>
      <c r="AN607" t="s">
        <v>107</v>
      </c>
      <c r="AO607" t="s">
        <v>107</v>
      </c>
      <c r="AP607">
        <v>24266.67</v>
      </c>
      <c r="AQ607">
        <v>0</v>
      </c>
      <c r="AR607">
        <v>24266.67</v>
      </c>
      <c r="AT607" t="s">
        <v>161</v>
      </c>
      <c r="AZ607" t="s">
        <v>113</v>
      </c>
      <c r="BC607" t="s">
        <v>1160</v>
      </c>
      <c r="BN607" t="s">
        <v>113</v>
      </c>
      <c r="BO607" t="s">
        <v>1078</v>
      </c>
      <c r="BP607" t="s">
        <v>370</v>
      </c>
      <c r="BR607" t="s">
        <v>512</v>
      </c>
      <c r="BW607" t="s">
        <v>1157</v>
      </c>
      <c r="BX607" t="s">
        <v>1158</v>
      </c>
      <c r="BY607" t="s">
        <v>123</v>
      </c>
      <c r="BZ607" t="s">
        <v>124</v>
      </c>
    </row>
    <row r="608" spans="1:78" x14ac:dyDescent="0.3">
      <c r="A608" t="s">
        <v>12</v>
      </c>
      <c r="B608" t="s">
        <v>92</v>
      </c>
      <c r="C608" t="s">
        <v>93</v>
      </c>
      <c r="D608" t="s">
        <v>94</v>
      </c>
      <c r="E608" t="s">
        <v>95</v>
      </c>
      <c r="F608" t="s">
        <v>1069</v>
      </c>
      <c r="G608">
        <v>573000</v>
      </c>
      <c r="H608">
        <v>573000</v>
      </c>
      <c r="I608" t="s">
        <v>93</v>
      </c>
      <c r="J608" t="s">
        <v>94</v>
      </c>
      <c r="K608" t="s">
        <v>202</v>
      </c>
      <c r="L608" t="s">
        <v>1070</v>
      </c>
      <c r="M608">
        <v>51000</v>
      </c>
      <c r="N608">
        <v>51000</v>
      </c>
      <c r="AA608" t="s">
        <v>1071</v>
      </c>
      <c r="AB608" t="s">
        <v>1072</v>
      </c>
      <c r="AC608" t="s">
        <v>1073</v>
      </c>
      <c r="AD608" t="s">
        <v>365</v>
      </c>
      <c r="AE608" t="s">
        <v>1074</v>
      </c>
      <c r="AF608" t="s">
        <v>1075</v>
      </c>
      <c r="AG608" t="s">
        <v>1076</v>
      </c>
      <c r="AH608" t="s">
        <v>1076</v>
      </c>
      <c r="AI608">
        <v>46356</v>
      </c>
      <c r="AK608" t="s">
        <v>218</v>
      </c>
      <c r="AL608" t="s">
        <v>584</v>
      </c>
      <c r="AM608" t="s">
        <v>1900</v>
      </c>
      <c r="AN608" t="s">
        <v>107</v>
      </c>
      <c r="AO608" t="s">
        <v>107</v>
      </c>
      <c r="AP608">
        <v>24266.67</v>
      </c>
      <c r="AQ608">
        <v>0</v>
      </c>
      <c r="AR608">
        <v>24266.67</v>
      </c>
      <c r="AT608" t="s">
        <v>161</v>
      </c>
      <c r="AZ608" t="s">
        <v>113</v>
      </c>
      <c r="BC608" t="s">
        <v>1160</v>
      </c>
      <c r="BN608" t="s">
        <v>113</v>
      </c>
      <c r="BO608" t="s">
        <v>1078</v>
      </c>
      <c r="BP608" t="s">
        <v>370</v>
      </c>
      <c r="BR608" t="s">
        <v>512</v>
      </c>
      <c r="BW608" t="s">
        <v>1157</v>
      </c>
      <c r="BX608" t="s">
        <v>1158</v>
      </c>
      <c r="BY608" t="s">
        <v>123</v>
      </c>
      <c r="BZ608" t="s">
        <v>124</v>
      </c>
    </row>
    <row r="609" spans="1:78" x14ac:dyDescent="0.3">
      <c r="A609" t="s">
        <v>12</v>
      </c>
      <c r="B609" t="s">
        <v>92</v>
      </c>
      <c r="C609" t="s">
        <v>93</v>
      </c>
      <c r="D609" t="s">
        <v>94</v>
      </c>
      <c r="E609" t="s">
        <v>95</v>
      </c>
      <c r="F609" t="s">
        <v>1069</v>
      </c>
      <c r="G609">
        <v>573000</v>
      </c>
      <c r="H609">
        <v>573000</v>
      </c>
      <c r="I609" t="s">
        <v>93</v>
      </c>
      <c r="J609" t="s">
        <v>94</v>
      </c>
      <c r="K609" t="s">
        <v>202</v>
      </c>
      <c r="L609" t="s">
        <v>1070</v>
      </c>
      <c r="M609">
        <v>51000</v>
      </c>
      <c r="N609">
        <v>51000</v>
      </c>
      <c r="AA609" t="s">
        <v>1071</v>
      </c>
      <c r="AB609" t="s">
        <v>1072</v>
      </c>
      <c r="AC609" t="s">
        <v>1073</v>
      </c>
      <c r="AD609" t="s">
        <v>365</v>
      </c>
      <c r="AE609" t="s">
        <v>1074</v>
      </c>
      <c r="AF609" t="s">
        <v>1075</v>
      </c>
      <c r="AG609" t="s">
        <v>1076</v>
      </c>
      <c r="AH609" t="s">
        <v>1076</v>
      </c>
      <c r="AI609">
        <v>46387</v>
      </c>
      <c r="AK609" t="s">
        <v>218</v>
      </c>
      <c r="AL609" t="s">
        <v>397</v>
      </c>
      <c r="AM609" t="s">
        <v>1900</v>
      </c>
      <c r="AN609" t="s">
        <v>107</v>
      </c>
      <c r="AO609" t="s">
        <v>107</v>
      </c>
      <c r="AP609">
        <v>24266.67</v>
      </c>
      <c r="AQ609">
        <v>0</v>
      </c>
      <c r="AR609">
        <v>24266.67</v>
      </c>
      <c r="AT609" t="s">
        <v>161</v>
      </c>
      <c r="AZ609" t="s">
        <v>113</v>
      </c>
      <c r="BC609" t="s">
        <v>1160</v>
      </c>
      <c r="BN609" t="s">
        <v>113</v>
      </c>
      <c r="BO609" t="s">
        <v>1078</v>
      </c>
      <c r="BP609" t="s">
        <v>370</v>
      </c>
      <c r="BR609" t="s">
        <v>512</v>
      </c>
      <c r="BW609" t="s">
        <v>1157</v>
      </c>
      <c r="BX609" t="s">
        <v>1158</v>
      </c>
      <c r="BY609" t="s">
        <v>123</v>
      </c>
      <c r="BZ609" t="s">
        <v>124</v>
      </c>
    </row>
    <row r="610" spans="1:78" x14ac:dyDescent="0.3">
      <c r="A610" t="s">
        <v>11</v>
      </c>
      <c r="B610" t="s">
        <v>92</v>
      </c>
      <c r="C610" t="s">
        <v>93</v>
      </c>
      <c r="D610" t="s">
        <v>94</v>
      </c>
      <c r="E610" t="s">
        <v>95</v>
      </c>
      <c r="F610" t="s">
        <v>1901</v>
      </c>
      <c r="G610">
        <v>532100</v>
      </c>
      <c r="H610">
        <v>510000</v>
      </c>
      <c r="AA610" t="s">
        <v>1902</v>
      </c>
      <c r="AB610" t="s">
        <v>1903</v>
      </c>
      <c r="AC610" t="s">
        <v>1904</v>
      </c>
      <c r="AD610" t="s">
        <v>365</v>
      </c>
      <c r="AE610" t="s">
        <v>1905</v>
      </c>
      <c r="AF610" t="s">
        <v>1906</v>
      </c>
      <c r="AG610" t="s">
        <v>102</v>
      </c>
      <c r="AH610" t="s">
        <v>187</v>
      </c>
      <c r="AI610">
        <v>46166</v>
      </c>
      <c r="AJ610">
        <v>46166</v>
      </c>
      <c r="AK610" t="s">
        <v>104</v>
      </c>
      <c r="AL610" t="s">
        <v>105</v>
      </c>
      <c r="AM610" t="s">
        <v>106</v>
      </c>
      <c r="AN610" t="s">
        <v>107</v>
      </c>
      <c r="AO610" t="s">
        <v>107</v>
      </c>
      <c r="AP610">
        <v>3000</v>
      </c>
      <c r="AQ610">
        <v>3000</v>
      </c>
      <c r="AR610">
        <v>0</v>
      </c>
      <c r="AS610" t="s">
        <v>107</v>
      </c>
      <c r="AT610" t="s">
        <v>243</v>
      </c>
      <c r="AU610" t="s">
        <v>162</v>
      </c>
      <c r="AV610" t="s">
        <v>1907</v>
      </c>
      <c r="AW610" t="s">
        <v>111</v>
      </c>
      <c r="AY610" t="s">
        <v>1908</v>
      </c>
      <c r="AZ610" t="s">
        <v>113</v>
      </c>
      <c r="BB610" t="s">
        <v>114</v>
      </c>
      <c r="BC610" t="s">
        <v>115</v>
      </c>
      <c r="BN610" t="s">
        <v>113</v>
      </c>
      <c r="BO610" t="s">
        <v>1909</v>
      </c>
      <c r="BP610" t="s">
        <v>166</v>
      </c>
      <c r="BR610" t="s">
        <v>1491</v>
      </c>
      <c r="BS610" t="s">
        <v>1910</v>
      </c>
      <c r="BW610" t="s">
        <v>1157</v>
      </c>
      <c r="BX610" t="s">
        <v>1158</v>
      </c>
      <c r="BY610" t="s">
        <v>123</v>
      </c>
      <c r="BZ610" t="s">
        <v>124</v>
      </c>
    </row>
    <row r="611" spans="1:78" x14ac:dyDescent="0.3">
      <c r="A611" t="s">
        <v>11</v>
      </c>
      <c r="B611" t="s">
        <v>92</v>
      </c>
      <c r="C611" t="s">
        <v>93</v>
      </c>
      <c r="D611" t="s">
        <v>94</v>
      </c>
      <c r="E611" t="s">
        <v>95</v>
      </c>
      <c r="F611" t="s">
        <v>1901</v>
      </c>
      <c r="G611">
        <v>532100</v>
      </c>
      <c r="H611">
        <v>510000</v>
      </c>
      <c r="AA611" t="s">
        <v>1902</v>
      </c>
      <c r="AB611" t="s">
        <v>1903</v>
      </c>
      <c r="AC611" t="s">
        <v>1904</v>
      </c>
      <c r="AD611" t="s">
        <v>365</v>
      </c>
      <c r="AE611" t="s">
        <v>1905</v>
      </c>
      <c r="AF611" t="s">
        <v>1906</v>
      </c>
      <c r="AG611" t="s">
        <v>102</v>
      </c>
      <c r="AH611" t="s">
        <v>187</v>
      </c>
      <c r="AI611">
        <v>46188</v>
      </c>
      <c r="AK611" t="s">
        <v>137</v>
      </c>
      <c r="AL611" t="s">
        <v>105</v>
      </c>
      <c r="AM611" t="s">
        <v>1560</v>
      </c>
      <c r="AN611" t="s">
        <v>107</v>
      </c>
      <c r="AO611" t="s">
        <v>107</v>
      </c>
      <c r="AP611">
        <v>57000</v>
      </c>
      <c r="AQ611">
        <v>0</v>
      </c>
      <c r="AR611">
        <v>57000</v>
      </c>
      <c r="AT611" t="s">
        <v>243</v>
      </c>
      <c r="AZ611" t="s">
        <v>113</v>
      </c>
      <c r="BC611" t="s">
        <v>543</v>
      </c>
      <c r="BN611" t="s">
        <v>113</v>
      </c>
      <c r="BO611" t="s">
        <v>1909</v>
      </c>
      <c r="BP611" t="s">
        <v>166</v>
      </c>
      <c r="BR611" t="s">
        <v>1491</v>
      </c>
      <c r="BW611" t="s">
        <v>1157</v>
      </c>
      <c r="BX611" t="s">
        <v>1158</v>
      </c>
      <c r="BY611" t="s">
        <v>123</v>
      </c>
      <c r="BZ611" t="s">
        <v>124</v>
      </c>
    </row>
    <row r="612" spans="1:78" x14ac:dyDescent="0.3">
      <c r="A612" t="s">
        <v>11</v>
      </c>
      <c r="B612" t="s">
        <v>92</v>
      </c>
      <c r="C612" t="s">
        <v>93</v>
      </c>
      <c r="D612" t="s">
        <v>94</v>
      </c>
      <c r="E612" t="s">
        <v>95</v>
      </c>
      <c r="F612" t="s">
        <v>1901</v>
      </c>
      <c r="G612">
        <v>532100</v>
      </c>
      <c r="H612">
        <v>510000</v>
      </c>
      <c r="AA612" t="s">
        <v>1902</v>
      </c>
      <c r="AB612" t="s">
        <v>1903</v>
      </c>
      <c r="AC612" t="s">
        <v>1904</v>
      </c>
      <c r="AD612" t="s">
        <v>365</v>
      </c>
      <c r="AE612" t="s">
        <v>1905</v>
      </c>
      <c r="AF612" t="s">
        <v>1906</v>
      </c>
      <c r="AG612" t="s">
        <v>102</v>
      </c>
      <c r="AH612" t="s">
        <v>187</v>
      </c>
      <c r="AI612">
        <v>46356</v>
      </c>
      <c r="AK612" t="s">
        <v>137</v>
      </c>
      <c r="AL612" t="s">
        <v>142</v>
      </c>
      <c r="AM612" t="s">
        <v>1911</v>
      </c>
      <c r="AN612" t="s">
        <v>107</v>
      </c>
      <c r="AO612" t="s">
        <v>107</v>
      </c>
      <c r="AP612">
        <v>42000</v>
      </c>
      <c r="AQ612">
        <v>0</v>
      </c>
      <c r="AR612">
        <v>42000</v>
      </c>
      <c r="AT612" t="s">
        <v>243</v>
      </c>
      <c r="AZ612" t="s">
        <v>113</v>
      </c>
      <c r="BC612" t="s">
        <v>1160</v>
      </c>
      <c r="BN612" t="s">
        <v>113</v>
      </c>
      <c r="BO612" t="s">
        <v>1909</v>
      </c>
      <c r="BP612" t="s">
        <v>166</v>
      </c>
      <c r="BR612" t="s">
        <v>1491</v>
      </c>
      <c r="BW612" t="s">
        <v>1157</v>
      </c>
      <c r="BX612" t="s">
        <v>1158</v>
      </c>
      <c r="BY612" t="s">
        <v>123</v>
      </c>
      <c r="BZ612" t="s">
        <v>124</v>
      </c>
    </row>
    <row r="613" spans="1:78" x14ac:dyDescent="0.3">
      <c r="A613" t="s">
        <v>2</v>
      </c>
      <c r="B613" t="s">
        <v>92</v>
      </c>
      <c r="C613" t="s">
        <v>93</v>
      </c>
      <c r="D613" t="s">
        <v>94</v>
      </c>
      <c r="E613" t="s">
        <v>95</v>
      </c>
      <c r="F613" t="s">
        <v>1442</v>
      </c>
      <c r="G613">
        <v>517000</v>
      </c>
      <c r="H613">
        <v>457600</v>
      </c>
      <c r="I613" t="s">
        <v>93</v>
      </c>
      <c r="J613" t="s">
        <v>94</v>
      </c>
      <c r="K613" t="s">
        <v>202</v>
      </c>
      <c r="L613" t="s">
        <v>1912</v>
      </c>
      <c r="M613">
        <v>54400</v>
      </c>
      <c r="N613">
        <v>54400</v>
      </c>
      <c r="AA613" t="s">
        <v>1913</v>
      </c>
      <c r="AB613" t="s">
        <v>1914</v>
      </c>
      <c r="AC613" t="s">
        <v>1915</v>
      </c>
      <c r="AD613" t="s">
        <v>365</v>
      </c>
      <c r="AE613" t="s">
        <v>1916</v>
      </c>
      <c r="AF613" t="s">
        <v>1917</v>
      </c>
      <c r="AG613" t="s">
        <v>102</v>
      </c>
      <c r="AH613" t="s">
        <v>1918</v>
      </c>
      <c r="AI613">
        <v>46159</v>
      </c>
      <c r="AJ613">
        <v>46159</v>
      </c>
      <c r="AK613" t="s">
        <v>104</v>
      </c>
      <c r="AL613" t="s">
        <v>105</v>
      </c>
      <c r="AM613" t="s">
        <v>106</v>
      </c>
      <c r="AN613" t="s">
        <v>107</v>
      </c>
      <c r="AO613" t="s">
        <v>107</v>
      </c>
      <c r="AP613">
        <v>3000</v>
      </c>
      <c r="AQ613">
        <v>3000</v>
      </c>
      <c r="AR613">
        <v>0</v>
      </c>
      <c r="AS613" t="s">
        <v>107</v>
      </c>
      <c r="AT613" t="s">
        <v>243</v>
      </c>
      <c r="AU613" t="s">
        <v>109</v>
      </c>
      <c r="AV613" t="s">
        <v>110</v>
      </c>
      <c r="AW613" t="s">
        <v>209</v>
      </c>
      <c r="AX613" t="s">
        <v>1914</v>
      </c>
      <c r="AY613" t="s">
        <v>1919</v>
      </c>
      <c r="AZ613" t="s">
        <v>113</v>
      </c>
      <c r="BA613" t="s">
        <v>133</v>
      </c>
      <c r="BB613" t="s">
        <v>114</v>
      </c>
      <c r="BC613" t="s">
        <v>115</v>
      </c>
      <c r="BN613" t="s">
        <v>116</v>
      </c>
      <c r="BO613" t="s">
        <v>1920</v>
      </c>
      <c r="BP613" t="s">
        <v>370</v>
      </c>
      <c r="BR613" t="s">
        <v>1451</v>
      </c>
      <c r="BS613" t="s">
        <v>1921</v>
      </c>
      <c r="BW613" t="s">
        <v>1157</v>
      </c>
      <c r="BX613" t="s">
        <v>1158</v>
      </c>
      <c r="BY613" t="s">
        <v>123</v>
      </c>
      <c r="BZ613" t="s">
        <v>124</v>
      </c>
    </row>
    <row r="614" spans="1:78" x14ac:dyDescent="0.3">
      <c r="A614" t="s">
        <v>2</v>
      </c>
      <c r="B614" t="s">
        <v>92</v>
      </c>
      <c r="C614" t="s">
        <v>93</v>
      </c>
      <c r="D614" t="s">
        <v>94</v>
      </c>
      <c r="E614" t="s">
        <v>95</v>
      </c>
      <c r="F614" t="s">
        <v>1442</v>
      </c>
      <c r="G614">
        <v>517000</v>
      </c>
      <c r="H614">
        <v>457600</v>
      </c>
      <c r="I614" t="s">
        <v>93</v>
      </c>
      <c r="J614" t="s">
        <v>94</v>
      </c>
      <c r="K614" t="s">
        <v>202</v>
      </c>
      <c r="L614" t="s">
        <v>1912</v>
      </c>
      <c r="M614">
        <v>54400</v>
      </c>
      <c r="N614">
        <v>54400</v>
      </c>
      <c r="AA614" t="s">
        <v>1913</v>
      </c>
      <c r="AB614" t="s">
        <v>1914</v>
      </c>
      <c r="AC614" t="s">
        <v>1915</v>
      </c>
      <c r="AD614" t="s">
        <v>365</v>
      </c>
      <c r="AE614" t="s">
        <v>1916</v>
      </c>
      <c r="AF614" t="s">
        <v>1917</v>
      </c>
      <c r="AG614" t="s">
        <v>102</v>
      </c>
      <c r="AH614" t="s">
        <v>1918</v>
      </c>
      <c r="AI614">
        <v>46167</v>
      </c>
      <c r="AJ614">
        <v>46165</v>
      </c>
      <c r="AK614" t="s">
        <v>137</v>
      </c>
      <c r="AL614" t="s">
        <v>105</v>
      </c>
      <c r="AM614" t="s">
        <v>1922</v>
      </c>
      <c r="AN614" t="s">
        <v>107</v>
      </c>
      <c r="AO614" t="s">
        <v>107</v>
      </c>
      <c r="AP614">
        <v>22600</v>
      </c>
      <c r="AQ614">
        <v>22600</v>
      </c>
      <c r="AR614">
        <v>0</v>
      </c>
      <c r="AS614" t="s">
        <v>107</v>
      </c>
      <c r="AT614" t="s">
        <v>243</v>
      </c>
      <c r="AU614" t="s">
        <v>109</v>
      </c>
      <c r="AV614" t="s">
        <v>110</v>
      </c>
      <c r="AW614" t="s">
        <v>111</v>
      </c>
      <c r="AY614" t="s">
        <v>1923</v>
      </c>
      <c r="AZ614" t="s">
        <v>113</v>
      </c>
      <c r="BB614" t="s">
        <v>114</v>
      </c>
      <c r="BC614" t="s">
        <v>115</v>
      </c>
      <c r="BN614" t="s">
        <v>116</v>
      </c>
      <c r="BO614" t="s">
        <v>1920</v>
      </c>
      <c r="BP614" t="s">
        <v>370</v>
      </c>
      <c r="BR614" t="s">
        <v>1451</v>
      </c>
      <c r="BS614" t="s">
        <v>1924</v>
      </c>
      <c r="BW614" t="s">
        <v>1157</v>
      </c>
      <c r="BX614" t="s">
        <v>1158</v>
      </c>
      <c r="BY614" t="s">
        <v>123</v>
      </c>
      <c r="BZ614" t="s">
        <v>124</v>
      </c>
    </row>
    <row r="615" spans="1:78" x14ac:dyDescent="0.3">
      <c r="A615" t="s">
        <v>2</v>
      </c>
      <c r="B615" t="s">
        <v>92</v>
      </c>
      <c r="C615" t="s">
        <v>93</v>
      </c>
      <c r="D615" t="s">
        <v>94</v>
      </c>
      <c r="E615" t="s">
        <v>95</v>
      </c>
      <c r="F615" t="s">
        <v>1442</v>
      </c>
      <c r="G615">
        <v>517000</v>
      </c>
      <c r="H615">
        <v>457600</v>
      </c>
      <c r="I615" t="s">
        <v>93</v>
      </c>
      <c r="J615" t="s">
        <v>94</v>
      </c>
      <c r="K615" t="s">
        <v>202</v>
      </c>
      <c r="L615" t="s">
        <v>1912</v>
      </c>
      <c r="M615">
        <v>54400</v>
      </c>
      <c r="N615">
        <v>54400</v>
      </c>
      <c r="AA615" t="s">
        <v>1913</v>
      </c>
      <c r="AB615" t="s">
        <v>1914</v>
      </c>
      <c r="AC615" t="s">
        <v>1915</v>
      </c>
      <c r="AD615" t="s">
        <v>365</v>
      </c>
      <c r="AE615" t="s">
        <v>1916</v>
      </c>
      <c r="AF615" t="s">
        <v>1917</v>
      </c>
      <c r="AG615" t="s">
        <v>102</v>
      </c>
      <c r="AH615" t="s">
        <v>1918</v>
      </c>
      <c r="AI615">
        <v>46265</v>
      </c>
      <c r="AK615" t="s">
        <v>1122</v>
      </c>
      <c r="AL615" t="s">
        <v>142</v>
      </c>
      <c r="AM615" t="s">
        <v>1925</v>
      </c>
      <c r="AN615" t="s">
        <v>107</v>
      </c>
      <c r="AO615" t="s">
        <v>107</v>
      </c>
      <c r="AP615">
        <v>25600</v>
      </c>
      <c r="AQ615">
        <v>0</v>
      </c>
      <c r="AR615">
        <v>25600</v>
      </c>
      <c r="AT615" t="s">
        <v>243</v>
      </c>
      <c r="AZ615" t="s">
        <v>113</v>
      </c>
      <c r="BC615" t="s">
        <v>1160</v>
      </c>
      <c r="BN615" t="s">
        <v>113</v>
      </c>
      <c r="BO615" t="s">
        <v>1920</v>
      </c>
      <c r="BP615" t="s">
        <v>370</v>
      </c>
      <c r="BR615" t="s">
        <v>1451</v>
      </c>
      <c r="BW615" t="s">
        <v>1157</v>
      </c>
      <c r="BX615" t="s">
        <v>1158</v>
      </c>
      <c r="BY615" t="s">
        <v>123</v>
      </c>
      <c r="BZ615" t="s">
        <v>124</v>
      </c>
    </row>
    <row r="616" spans="1:78" x14ac:dyDescent="0.3">
      <c r="A616" t="s">
        <v>2</v>
      </c>
      <c r="B616" t="s">
        <v>92</v>
      </c>
      <c r="C616" t="s">
        <v>93</v>
      </c>
      <c r="D616" t="s">
        <v>94</v>
      </c>
      <c r="E616" t="s">
        <v>95</v>
      </c>
      <c r="F616" t="s">
        <v>1442</v>
      </c>
      <c r="G616">
        <v>517000</v>
      </c>
      <c r="H616">
        <v>457600</v>
      </c>
      <c r="I616" t="s">
        <v>93</v>
      </c>
      <c r="J616" t="s">
        <v>94</v>
      </c>
      <c r="K616" t="s">
        <v>202</v>
      </c>
      <c r="L616" t="s">
        <v>1912</v>
      </c>
      <c r="M616">
        <v>54400</v>
      </c>
      <c r="N616">
        <v>54400</v>
      </c>
      <c r="AA616" t="s">
        <v>1913</v>
      </c>
      <c r="AB616" t="s">
        <v>1914</v>
      </c>
      <c r="AC616" t="s">
        <v>1915</v>
      </c>
      <c r="AD616" t="s">
        <v>365</v>
      </c>
      <c r="AE616" t="s">
        <v>1916</v>
      </c>
      <c r="AF616" t="s">
        <v>1917</v>
      </c>
      <c r="AG616" t="s">
        <v>102</v>
      </c>
      <c r="AH616" t="s">
        <v>1918</v>
      </c>
      <c r="AI616">
        <v>46295</v>
      </c>
      <c r="AK616" t="s">
        <v>218</v>
      </c>
      <c r="AL616" t="s">
        <v>105</v>
      </c>
      <c r="AM616" t="s">
        <v>1926</v>
      </c>
      <c r="AN616" t="s">
        <v>107</v>
      </c>
      <c r="AO616" t="s">
        <v>107</v>
      </c>
      <c r="AP616">
        <v>460800</v>
      </c>
      <c r="AQ616">
        <v>0</v>
      </c>
      <c r="AR616">
        <v>460800</v>
      </c>
      <c r="AT616" t="s">
        <v>243</v>
      </c>
      <c r="AZ616" t="s">
        <v>113</v>
      </c>
      <c r="BC616" t="s">
        <v>1160</v>
      </c>
      <c r="BN616" t="s">
        <v>113</v>
      </c>
      <c r="BO616" t="s">
        <v>1920</v>
      </c>
      <c r="BP616" t="s">
        <v>370</v>
      </c>
      <c r="BR616" t="s">
        <v>1451</v>
      </c>
      <c r="BW616" t="s">
        <v>1157</v>
      </c>
      <c r="BX616" t="s">
        <v>1158</v>
      </c>
      <c r="BY616" t="s">
        <v>123</v>
      </c>
      <c r="BZ616" t="s">
        <v>124</v>
      </c>
    </row>
    <row r="617" spans="1:78" x14ac:dyDescent="0.3">
      <c r="A617" t="s">
        <v>11</v>
      </c>
      <c r="B617" t="s">
        <v>92</v>
      </c>
      <c r="C617" t="s">
        <v>93</v>
      </c>
      <c r="D617" t="s">
        <v>94</v>
      </c>
      <c r="E617" t="s">
        <v>95</v>
      </c>
      <c r="F617" t="s">
        <v>564</v>
      </c>
      <c r="G617">
        <v>474700</v>
      </c>
      <c r="H617">
        <v>474700</v>
      </c>
      <c r="I617" t="s">
        <v>93</v>
      </c>
      <c r="J617" t="s">
        <v>94</v>
      </c>
      <c r="K617" t="s">
        <v>95</v>
      </c>
      <c r="L617" t="s">
        <v>444</v>
      </c>
      <c r="M617">
        <v>468000</v>
      </c>
      <c r="N617">
        <v>468000</v>
      </c>
      <c r="AA617" t="s">
        <v>1927</v>
      </c>
      <c r="AB617" t="s">
        <v>1928</v>
      </c>
      <c r="AC617" t="s">
        <v>1929</v>
      </c>
      <c r="AE617" t="s">
        <v>1930</v>
      </c>
      <c r="AF617" t="s">
        <v>1931</v>
      </c>
      <c r="AG617" t="s">
        <v>102</v>
      </c>
      <c r="AH617" t="s">
        <v>131</v>
      </c>
      <c r="AI617">
        <v>46202.362500000003</v>
      </c>
      <c r="AK617" t="s">
        <v>137</v>
      </c>
      <c r="AL617" t="s">
        <v>105</v>
      </c>
      <c r="AM617" t="s">
        <v>1932</v>
      </c>
      <c r="AN617" t="s">
        <v>107</v>
      </c>
      <c r="AO617" t="s">
        <v>107</v>
      </c>
      <c r="AP617">
        <v>117090</v>
      </c>
      <c r="AQ617">
        <v>0</v>
      </c>
      <c r="AR617">
        <v>117090</v>
      </c>
      <c r="AT617" t="s">
        <v>108</v>
      </c>
      <c r="AZ617" t="s">
        <v>113</v>
      </c>
      <c r="BC617" t="s">
        <v>543</v>
      </c>
      <c r="BN617" t="s">
        <v>113</v>
      </c>
      <c r="BO617" t="s">
        <v>1933</v>
      </c>
      <c r="BP617" t="s">
        <v>118</v>
      </c>
      <c r="BR617" t="s">
        <v>329</v>
      </c>
      <c r="BW617" t="s">
        <v>1157</v>
      </c>
      <c r="BX617" t="s">
        <v>1158</v>
      </c>
      <c r="BY617" t="s">
        <v>123</v>
      </c>
      <c r="BZ617" t="s">
        <v>124</v>
      </c>
    </row>
    <row r="618" spans="1:78" x14ac:dyDescent="0.3">
      <c r="A618" t="s">
        <v>11</v>
      </c>
      <c r="B618" t="s">
        <v>92</v>
      </c>
      <c r="C618" t="s">
        <v>93</v>
      </c>
      <c r="D618" t="s">
        <v>94</v>
      </c>
      <c r="E618" t="s">
        <v>95</v>
      </c>
      <c r="F618" t="s">
        <v>564</v>
      </c>
      <c r="G618">
        <v>474700</v>
      </c>
      <c r="H618">
        <v>474700</v>
      </c>
      <c r="I618" t="s">
        <v>93</v>
      </c>
      <c r="J618" t="s">
        <v>94</v>
      </c>
      <c r="K618" t="s">
        <v>95</v>
      </c>
      <c r="L618" t="s">
        <v>444</v>
      </c>
      <c r="M618">
        <v>468000</v>
      </c>
      <c r="N618">
        <v>468000</v>
      </c>
      <c r="AA618" t="s">
        <v>1927</v>
      </c>
      <c r="AB618" t="s">
        <v>1928</v>
      </c>
      <c r="AC618" t="s">
        <v>1929</v>
      </c>
      <c r="AE618" t="s">
        <v>1930</v>
      </c>
      <c r="AF618" t="s">
        <v>1931</v>
      </c>
      <c r="AG618" t="s">
        <v>102</v>
      </c>
      <c r="AH618" t="s">
        <v>131</v>
      </c>
      <c r="AI618">
        <v>46232.362500000003</v>
      </c>
      <c r="AK618" t="s">
        <v>218</v>
      </c>
      <c r="AL618" t="s">
        <v>105</v>
      </c>
      <c r="AM618" t="s">
        <v>1934</v>
      </c>
      <c r="AN618" t="s">
        <v>107</v>
      </c>
      <c r="AO618" t="s">
        <v>107</v>
      </c>
      <c r="AP618">
        <v>825610</v>
      </c>
      <c r="AQ618">
        <v>0</v>
      </c>
      <c r="AR618">
        <v>825610</v>
      </c>
      <c r="AT618" t="s">
        <v>108</v>
      </c>
      <c r="AZ618" t="s">
        <v>113</v>
      </c>
      <c r="BC618" t="s">
        <v>1160</v>
      </c>
      <c r="BN618" t="s">
        <v>113</v>
      </c>
      <c r="BO618" t="s">
        <v>1933</v>
      </c>
      <c r="BP618" t="s">
        <v>118</v>
      </c>
      <c r="BR618" t="s">
        <v>329</v>
      </c>
      <c r="BW618" t="s">
        <v>1157</v>
      </c>
      <c r="BX618" t="s">
        <v>1158</v>
      </c>
      <c r="BY618" t="s">
        <v>123</v>
      </c>
      <c r="BZ618" t="s">
        <v>124</v>
      </c>
    </row>
    <row r="619" spans="1:78" x14ac:dyDescent="0.3">
      <c r="A619" t="s">
        <v>11</v>
      </c>
      <c r="B619" t="s">
        <v>92</v>
      </c>
      <c r="C619" t="s">
        <v>93</v>
      </c>
      <c r="D619" t="s">
        <v>94</v>
      </c>
      <c r="E619" t="s">
        <v>95</v>
      </c>
      <c r="F619" t="s">
        <v>416</v>
      </c>
      <c r="G619">
        <v>498000</v>
      </c>
      <c r="H619">
        <v>464400</v>
      </c>
      <c r="I619" t="s">
        <v>93</v>
      </c>
      <c r="J619" t="s">
        <v>94</v>
      </c>
      <c r="K619" t="s">
        <v>202</v>
      </c>
      <c r="L619" t="s">
        <v>1084</v>
      </c>
      <c r="M619">
        <v>45600</v>
      </c>
      <c r="N619">
        <v>45600</v>
      </c>
      <c r="AA619" t="s">
        <v>1085</v>
      </c>
      <c r="AB619" t="s">
        <v>1086</v>
      </c>
      <c r="AC619" t="s">
        <v>1087</v>
      </c>
      <c r="AD619" t="s">
        <v>365</v>
      </c>
      <c r="AE619" t="s">
        <v>1088</v>
      </c>
      <c r="AF619" t="s">
        <v>1089</v>
      </c>
      <c r="AG619" t="s">
        <v>102</v>
      </c>
      <c r="AH619" t="s">
        <v>1090</v>
      </c>
      <c r="AI619">
        <v>46071</v>
      </c>
      <c r="AK619" t="s">
        <v>137</v>
      </c>
      <c r="AL619" t="s">
        <v>105</v>
      </c>
      <c r="AM619" t="s">
        <v>1935</v>
      </c>
      <c r="AN619" t="s">
        <v>107</v>
      </c>
      <c r="AO619" t="s">
        <v>107</v>
      </c>
      <c r="AP619">
        <v>49500</v>
      </c>
      <c r="AQ619">
        <v>0</v>
      </c>
      <c r="AR619">
        <v>49500</v>
      </c>
      <c r="AT619" t="s">
        <v>243</v>
      </c>
      <c r="AZ619" t="s">
        <v>113</v>
      </c>
      <c r="BC619" t="s">
        <v>543</v>
      </c>
      <c r="BN619" t="s">
        <v>113</v>
      </c>
      <c r="BO619" t="s">
        <v>1092</v>
      </c>
      <c r="BP619" t="s">
        <v>370</v>
      </c>
      <c r="BR619" t="s">
        <v>231</v>
      </c>
      <c r="BW619" t="s">
        <v>1157</v>
      </c>
      <c r="BX619" t="s">
        <v>1158</v>
      </c>
      <c r="BY619" t="s">
        <v>123</v>
      </c>
      <c r="BZ619" t="s">
        <v>124</v>
      </c>
    </row>
    <row r="620" spans="1:78" x14ac:dyDescent="0.3">
      <c r="A620" t="s">
        <v>11</v>
      </c>
      <c r="B620" t="s">
        <v>92</v>
      </c>
      <c r="C620" t="s">
        <v>93</v>
      </c>
      <c r="D620" t="s">
        <v>94</v>
      </c>
      <c r="E620" t="s">
        <v>95</v>
      </c>
      <c r="F620" t="s">
        <v>416</v>
      </c>
      <c r="G620">
        <v>498000</v>
      </c>
      <c r="H620">
        <v>464400</v>
      </c>
      <c r="I620" t="s">
        <v>93</v>
      </c>
      <c r="J620" t="s">
        <v>94</v>
      </c>
      <c r="K620" t="s">
        <v>202</v>
      </c>
      <c r="L620" t="s">
        <v>1084</v>
      </c>
      <c r="M620">
        <v>45600</v>
      </c>
      <c r="N620">
        <v>45600</v>
      </c>
      <c r="AA620" t="s">
        <v>1085</v>
      </c>
      <c r="AB620" t="s">
        <v>1086</v>
      </c>
      <c r="AC620" t="s">
        <v>1087</v>
      </c>
      <c r="AD620" t="s">
        <v>365</v>
      </c>
      <c r="AE620" t="s">
        <v>1088</v>
      </c>
      <c r="AF620" t="s">
        <v>1089</v>
      </c>
      <c r="AG620" t="s">
        <v>102</v>
      </c>
      <c r="AH620" t="s">
        <v>1090</v>
      </c>
      <c r="AI620">
        <v>46233</v>
      </c>
      <c r="AK620" t="s">
        <v>137</v>
      </c>
      <c r="AL620" t="s">
        <v>142</v>
      </c>
      <c r="AM620" t="s">
        <v>1935</v>
      </c>
      <c r="AN620" t="s">
        <v>107</v>
      </c>
      <c r="AO620" t="s">
        <v>107</v>
      </c>
      <c r="AP620">
        <v>49500</v>
      </c>
      <c r="AQ620">
        <v>0</v>
      </c>
      <c r="AR620">
        <v>49500</v>
      </c>
      <c r="AT620" t="s">
        <v>243</v>
      </c>
      <c r="AZ620" t="s">
        <v>113</v>
      </c>
      <c r="BC620" t="s">
        <v>1160</v>
      </c>
      <c r="BN620" t="s">
        <v>113</v>
      </c>
      <c r="BO620" t="s">
        <v>1092</v>
      </c>
      <c r="BP620" t="s">
        <v>370</v>
      </c>
      <c r="BR620" t="s">
        <v>231</v>
      </c>
      <c r="BW620" t="s">
        <v>1157</v>
      </c>
      <c r="BX620" t="s">
        <v>1158</v>
      </c>
      <c r="BY620" t="s">
        <v>123</v>
      </c>
      <c r="BZ620" t="s">
        <v>124</v>
      </c>
    </row>
    <row r="621" spans="1:78" x14ac:dyDescent="0.3">
      <c r="A621" t="s">
        <v>11</v>
      </c>
      <c r="B621" t="s">
        <v>92</v>
      </c>
      <c r="C621" t="s">
        <v>93</v>
      </c>
      <c r="D621" t="s">
        <v>94</v>
      </c>
      <c r="E621" t="s">
        <v>95</v>
      </c>
      <c r="F621" t="s">
        <v>416</v>
      </c>
      <c r="G621">
        <v>498000</v>
      </c>
      <c r="H621">
        <v>464400</v>
      </c>
      <c r="I621" t="s">
        <v>93</v>
      </c>
      <c r="J621" t="s">
        <v>94</v>
      </c>
      <c r="K621" t="s">
        <v>202</v>
      </c>
      <c r="L621" t="s">
        <v>1084</v>
      </c>
      <c r="M621">
        <v>45600</v>
      </c>
      <c r="N621">
        <v>45600</v>
      </c>
      <c r="AA621" t="s">
        <v>1085</v>
      </c>
      <c r="AB621" t="s">
        <v>1086</v>
      </c>
      <c r="AC621" t="s">
        <v>1087</v>
      </c>
      <c r="AD621" t="s">
        <v>365</v>
      </c>
      <c r="AE621" t="s">
        <v>1088</v>
      </c>
      <c r="AF621" t="s">
        <v>1089</v>
      </c>
      <c r="AG621" t="s">
        <v>102</v>
      </c>
      <c r="AH621" t="s">
        <v>1090</v>
      </c>
      <c r="AI621">
        <v>46295</v>
      </c>
      <c r="AK621" t="s">
        <v>218</v>
      </c>
      <c r="AL621" t="s">
        <v>105</v>
      </c>
      <c r="AM621" t="s">
        <v>1936</v>
      </c>
      <c r="AN621" t="s">
        <v>107</v>
      </c>
      <c r="AO621" t="s">
        <v>107</v>
      </c>
      <c r="AP621">
        <v>408000</v>
      </c>
      <c r="AQ621">
        <v>0</v>
      </c>
      <c r="AR621">
        <v>408000</v>
      </c>
      <c r="AT621" t="s">
        <v>243</v>
      </c>
      <c r="AZ621" t="s">
        <v>113</v>
      </c>
      <c r="BC621" t="s">
        <v>1160</v>
      </c>
      <c r="BN621" t="s">
        <v>113</v>
      </c>
      <c r="BO621" t="s">
        <v>1092</v>
      </c>
      <c r="BP621" t="s">
        <v>370</v>
      </c>
      <c r="BR621" t="s">
        <v>231</v>
      </c>
      <c r="BW621" t="s">
        <v>1157</v>
      </c>
      <c r="BX621" t="s">
        <v>1158</v>
      </c>
      <c r="BY621" t="s">
        <v>123</v>
      </c>
      <c r="BZ621" t="s">
        <v>124</v>
      </c>
    </row>
    <row r="622" spans="1:78" x14ac:dyDescent="0.3">
      <c r="A622" t="s">
        <v>2</v>
      </c>
      <c r="B622" t="s">
        <v>92</v>
      </c>
      <c r="C622" t="s">
        <v>93</v>
      </c>
      <c r="D622" t="s">
        <v>94</v>
      </c>
      <c r="E622" t="s">
        <v>95</v>
      </c>
      <c r="F622" t="s">
        <v>975</v>
      </c>
      <c r="G622">
        <v>480000</v>
      </c>
      <c r="H622">
        <v>480000</v>
      </c>
      <c r="AA622" t="s">
        <v>1937</v>
      </c>
      <c r="AB622" t="s">
        <v>1938</v>
      </c>
      <c r="AC622" t="s">
        <v>1939</v>
      </c>
      <c r="AD622" t="s">
        <v>1940</v>
      </c>
      <c r="AE622" t="s">
        <v>1940</v>
      </c>
      <c r="AF622" t="s">
        <v>1941</v>
      </c>
      <c r="AG622" t="s">
        <v>102</v>
      </c>
      <c r="AH622" t="s">
        <v>393</v>
      </c>
      <c r="AI622">
        <v>46111</v>
      </c>
      <c r="AJ622">
        <v>46111</v>
      </c>
      <c r="AK622" t="s">
        <v>104</v>
      </c>
      <c r="AL622" t="s">
        <v>105</v>
      </c>
      <c r="AM622" t="s">
        <v>106</v>
      </c>
      <c r="AN622" t="s">
        <v>107</v>
      </c>
      <c r="AO622" t="s">
        <v>107</v>
      </c>
      <c r="AP622">
        <v>3000</v>
      </c>
      <c r="AQ622">
        <v>3000</v>
      </c>
      <c r="AR622">
        <v>0</v>
      </c>
      <c r="AS622" t="s">
        <v>107</v>
      </c>
      <c r="AT622" t="s">
        <v>108</v>
      </c>
      <c r="AU622" t="s">
        <v>109</v>
      </c>
      <c r="AV622" t="s">
        <v>110</v>
      </c>
      <c r="AW622" t="s">
        <v>111</v>
      </c>
      <c r="AY622" t="s">
        <v>1942</v>
      </c>
      <c r="AZ622" t="s">
        <v>113</v>
      </c>
      <c r="BB622" t="s">
        <v>114</v>
      </c>
      <c r="BC622" t="s">
        <v>115</v>
      </c>
      <c r="BN622" t="s">
        <v>116</v>
      </c>
      <c r="BO622" t="s">
        <v>1943</v>
      </c>
      <c r="BP622" t="s">
        <v>118</v>
      </c>
      <c r="BR622" t="s">
        <v>1944</v>
      </c>
      <c r="BS622" t="s">
        <v>1945</v>
      </c>
      <c r="BW622" t="s">
        <v>1157</v>
      </c>
      <c r="BX622" t="s">
        <v>1158</v>
      </c>
      <c r="BY622" t="s">
        <v>123</v>
      </c>
      <c r="BZ622" t="s">
        <v>124</v>
      </c>
    </row>
    <row r="623" spans="1:78" x14ac:dyDescent="0.3">
      <c r="A623" t="s">
        <v>2</v>
      </c>
      <c r="B623" t="s">
        <v>92</v>
      </c>
      <c r="C623" t="s">
        <v>93</v>
      </c>
      <c r="D623" t="s">
        <v>94</v>
      </c>
      <c r="E623" t="s">
        <v>95</v>
      </c>
      <c r="F623" t="s">
        <v>975</v>
      </c>
      <c r="G623">
        <v>480000</v>
      </c>
      <c r="H623">
        <v>480000</v>
      </c>
      <c r="AA623" t="s">
        <v>1937</v>
      </c>
      <c r="AB623" t="s">
        <v>1938</v>
      </c>
      <c r="AC623" t="s">
        <v>1939</v>
      </c>
      <c r="AD623" t="s">
        <v>1940</v>
      </c>
      <c r="AE623" t="s">
        <v>1940</v>
      </c>
      <c r="AF623" t="s">
        <v>1941</v>
      </c>
      <c r="AG623" t="s">
        <v>102</v>
      </c>
      <c r="AH623" t="s">
        <v>393</v>
      </c>
      <c r="AI623">
        <v>46112</v>
      </c>
      <c r="AJ623">
        <v>46112</v>
      </c>
      <c r="AK623" t="s">
        <v>137</v>
      </c>
      <c r="AL623" t="s">
        <v>105</v>
      </c>
      <c r="AM623" t="s">
        <v>398</v>
      </c>
      <c r="AN623" t="s">
        <v>107</v>
      </c>
      <c r="AO623" t="s">
        <v>107</v>
      </c>
      <c r="AP623">
        <v>10000</v>
      </c>
      <c r="AQ623">
        <v>10000</v>
      </c>
      <c r="AR623">
        <v>0</v>
      </c>
      <c r="AS623" t="s">
        <v>107</v>
      </c>
      <c r="AT623" t="s">
        <v>108</v>
      </c>
      <c r="AU623" t="s">
        <v>109</v>
      </c>
      <c r="AV623" t="s">
        <v>529</v>
      </c>
      <c r="AW623" t="s">
        <v>111</v>
      </c>
      <c r="AX623" t="s">
        <v>1938</v>
      </c>
      <c r="AY623" t="s">
        <v>1946</v>
      </c>
      <c r="AZ623" t="s">
        <v>113</v>
      </c>
      <c r="BA623" t="s">
        <v>133</v>
      </c>
      <c r="BB623" t="s">
        <v>114</v>
      </c>
      <c r="BC623" t="s">
        <v>115</v>
      </c>
      <c r="BN623" t="s">
        <v>116</v>
      </c>
      <c r="BO623" t="s">
        <v>1943</v>
      </c>
      <c r="BP623" t="s">
        <v>118</v>
      </c>
      <c r="BR623" t="s">
        <v>1944</v>
      </c>
      <c r="BS623" t="s">
        <v>1947</v>
      </c>
      <c r="BW623" t="s">
        <v>1157</v>
      </c>
      <c r="BX623" t="s">
        <v>1158</v>
      </c>
      <c r="BY623" t="s">
        <v>123</v>
      </c>
      <c r="BZ623" t="s">
        <v>124</v>
      </c>
    </row>
    <row r="624" spans="1:78" x14ac:dyDescent="0.3">
      <c r="A624" t="s">
        <v>2</v>
      </c>
      <c r="B624" t="s">
        <v>92</v>
      </c>
      <c r="C624" t="s">
        <v>93</v>
      </c>
      <c r="D624" t="s">
        <v>94</v>
      </c>
      <c r="E624" t="s">
        <v>95</v>
      </c>
      <c r="F624" t="s">
        <v>975</v>
      </c>
      <c r="G624">
        <v>480000</v>
      </c>
      <c r="H624">
        <v>480000</v>
      </c>
      <c r="AA624" t="s">
        <v>1937</v>
      </c>
      <c r="AB624" t="s">
        <v>1938</v>
      </c>
      <c r="AC624" t="s">
        <v>1939</v>
      </c>
      <c r="AD624" t="s">
        <v>1940</v>
      </c>
      <c r="AE624" t="s">
        <v>1940</v>
      </c>
      <c r="AF624" t="s">
        <v>1941</v>
      </c>
      <c r="AG624" t="s">
        <v>102</v>
      </c>
      <c r="AH624" t="s">
        <v>393</v>
      </c>
      <c r="AI624">
        <v>46142</v>
      </c>
      <c r="AJ624">
        <v>46140</v>
      </c>
      <c r="AK624" t="s">
        <v>137</v>
      </c>
      <c r="AL624" t="s">
        <v>142</v>
      </c>
      <c r="AM624" t="s">
        <v>1948</v>
      </c>
      <c r="AN624" t="s">
        <v>107</v>
      </c>
      <c r="AO624" t="s">
        <v>107</v>
      </c>
      <c r="AP624">
        <v>11000</v>
      </c>
      <c r="AQ624">
        <v>11000</v>
      </c>
      <c r="AR624">
        <v>0</v>
      </c>
      <c r="AS624" t="s">
        <v>107</v>
      </c>
      <c r="AT624" t="s">
        <v>108</v>
      </c>
      <c r="AU624" t="s">
        <v>109</v>
      </c>
      <c r="AV624" t="s">
        <v>110</v>
      </c>
      <c r="AW624" t="s">
        <v>111</v>
      </c>
      <c r="AX624" t="s">
        <v>1938</v>
      </c>
      <c r="AY624" t="s">
        <v>1949</v>
      </c>
      <c r="AZ624" t="s">
        <v>113</v>
      </c>
      <c r="BA624" t="s">
        <v>133</v>
      </c>
      <c r="BB624" t="s">
        <v>114</v>
      </c>
      <c r="BC624" t="s">
        <v>115</v>
      </c>
      <c r="BN624" t="s">
        <v>116</v>
      </c>
      <c r="BO624" t="s">
        <v>1943</v>
      </c>
      <c r="BP624" t="s">
        <v>118</v>
      </c>
      <c r="BR624" t="s">
        <v>1944</v>
      </c>
      <c r="BS624" t="s">
        <v>1950</v>
      </c>
      <c r="BW624" t="s">
        <v>1157</v>
      </c>
      <c r="BX624" t="s">
        <v>1158</v>
      </c>
      <c r="BY624" t="s">
        <v>123</v>
      </c>
      <c r="BZ624" t="s">
        <v>124</v>
      </c>
    </row>
    <row r="625" spans="1:78" x14ac:dyDescent="0.3">
      <c r="A625" t="s">
        <v>2</v>
      </c>
      <c r="B625" t="s">
        <v>92</v>
      </c>
      <c r="C625" t="s">
        <v>93</v>
      </c>
      <c r="D625" t="s">
        <v>94</v>
      </c>
      <c r="E625" t="s">
        <v>95</v>
      </c>
      <c r="F625" t="s">
        <v>975</v>
      </c>
      <c r="G625">
        <v>480000</v>
      </c>
      <c r="H625">
        <v>480000</v>
      </c>
      <c r="AA625" t="s">
        <v>1937</v>
      </c>
      <c r="AB625" t="s">
        <v>1938</v>
      </c>
      <c r="AC625" t="s">
        <v>1939</v>
      </c>
      <c r="AD625" t="s">
        <v>1940</v>
      </c>
      <c r="AE625" t="s">
        <v>1940</v>
      </c>
      <c r="AF625" t="s">
        <v>1941</v>
      </c>
      <c r="AG625" t="s">
        <v>102</v>
      </c>
      <c r="AH625" t="s">
        <v>393</v>
      </c>
      <c r="AI625">
        <v>46203</v>
      </c>
      <c r="AK625" t="s">
        <v>137</v>
      </c>
      <c r="AL625" t="s">
        <v>146</v>
      </c>
      <c r="AM625" t="s">
        <v>1529</v>
      </c>
      <c r="AN625" t="s">
        <v>107</v>
      </c>
      <c r="AO625" t="s">
        <v>107</v>
      </c>
      <c r="AP625">
        <v>24000</v>
      </c>
      <c r="AQ625">
        <v>0</v>
      </c>
      <c r="AR625">
        <v>24000</v>
      </c>
      <c r="AT625" t="s">
        <v>108</v>
      </c>
      <c r="AZ625" t="s">
        <v>113</v>
      </c>
      <c r="BC625" t="s">
        <v>543</v>
      </c>
      <c r="BN625" t="s">
        <v>113</v>
      </c>
      <c r="BO625" t="s">
        <v>1943</v>
      </c>
      <c r="BP625" t="s">
        <v>118</v>
      </c>
      <c r="BR625" t="s">
        <v>1944</v>
      </c>
      <c r="BW625" t="s">
        <v>1157</v>
      </c>
      <c r="BX625" t="s">
        <v>1158</v>
      </c>
      <c r="BY625" t="s">
        <v>123</v>
      </c>
      <c r="BZ625" t="s">
        <v>124</v>
      </c>
    </row>
    <row r="626" spans="1:78" x14ac:dyDescent="0.3">
      <c r="A626" t="s">
        <v>2</v>
      </c>
      <c r="B626" t="s">
        <v>92</v>
      </c>
      <c r="C626" t="s">
        <v>93</v>
      </c>
      <c r="D626" t="s">
        <v>94</v>
      </c>
      <c r="E626" t="s">
        <v>95</v>
      </c>
      <c r="F626" t="s">
        <v>975</v>
      </c>
      <c r="G626">
        <v>480000</v>
      </c>
      <c r="H626">
        <v>480000</v>
      </c>
      <c r="AA626" t="s">
        <v>1937</v>
      </c>
      <c r="AB626" t="s">
        <v>1938</v>
      </c>
      <c r="AC626" t="s">
        <v>1939</v>
      </c>
      <c r="AD626" t="s">
        <v>1940</v>
      </c>
      <c r="AE626" t="s">
        <v>1940</v>
      </c>
      <c r="AF626" t="s">
        <v>1941</v>
      </c>
      <c r="AG626" t="s">
        <v>102</v>
      </c>
      <c r="AH626" t="s">
        <v>393</v>
      </c>
      <c r="AI626">
        <v>46233</v>
      </c>
      <c r="AK626" t="s">
        <v>218</v>
      </c>
      <c r="AL626" t="s">
        <v>105</v>
      </c>
      <c r="AM626" t="s">
        <v>1951</v>
      </c>
      <c r="AN626" t="s">
        <v>107</v>
      </c>
      <c r="AO626" t="s">
        <v>107</v>
      </c>
      <c r="AP626">
        <v>432000</v>
      </c>
      <c r="AQ626">
        <v>0</v>
      </c>
      <c r="AR626">
        <v>432000</v>
      </c>
      <c r="AT626" t="s">
        <v>108</v>
      </c>
      <c r="AZ626" t="s">
        <v>113</v>
      </c>
      <c r="BC626" t="s">
        <v>1160</v>
      </c>
      <c r="BN626" t="s">
        <v>113</v>
      </c>
      <c r="BO626" t="s">
        <v>1943</v>
      </c>
      <c r="BP626" t="s">
        <v>118</v>
      </c>
      <c r="BR626" t="s">
        <v>1944</v>
      </c>
      <c r="BW626" t="s">
        <v>1157</v>
      </c>
      <c r="BX626" t="s">
        <v>1158</v>
      </c>
      <c r="BY626" t="s">
        <v>123</v>
      </c>
      <c r="BZ626" t="s">
        <v>124</v>
      </c>
    </row>
    <row r="627" spans="1:78" x14ac:dyDescent="0.3">
      <c r="A627" t="s">
        <v>2</v>
      </c>
      <c r="B627" t="s">
        <v>92</v>
      </c>
      <c r="C627" t="s">
        <v>93</v>
      </c>
      <c r="D627" t="s">
        <v>94</v>
      </c>
      <c r="E627" t="s">
        <v>95</v>
      </c>
      <c r="F627" t="s">
        <v>765</v>
      </c>
      <c r="G627">
        <v>470500</v>
      </c>
      <c r="H627">
        <v>470500</v>
      </c>
      <c r="AA627" t="s">
        <v>1101</v>
      </c>
      <c r="AB627" t="s">
        <v>1102</v>
      </c>
      <c r="AC627" t="s">
        <v>1103</v>
      </c>
      <c r="AD627" t="s">
        <v>365</v>
      </c>
      <c r="AE627" t="s">
        <v>1104</v>
      </c>
      <c r="AF627" t="s">
        <v>1105</v>
      </c>
      <c r="AG627" t="s">
        <v>422</v>
      </c>
      <c r="AH627" t="s">
        <v>423</v>
      </c>
      <c r="AI627">
        <v>46234</v>
      </c>
      <c r="AK627" t="s">
        <v>1122</v>
      </c>
      <c r="AL627" t="s">
        <v>142</v>
      </c>
      <c r="AM627" t="s">
        <v>1952</v>
      </c>
      <c r="AN627" t="s">
        <v>107</v>
      </c>
      <c r="AO627" t="s">
        <v>107</v>
      </c>
      <c r="AP627">
        <v>58000</v>
      </c>
      <c r="AQ627">
        <v>0</v>
      </c>
      <c r="AR627">
        <v>58000</v>
      </c>
      <c r="AT627" t="s">
        <v>243</v>
      </c>
      <c r="AZ627" t="s">
        <v>113</v>
      </c>
      <c r="BC627" t="s">
        <v>1160</v>
      </c>
      <c r="BN627" t="s">
        <v>113</v>
      </c>
      <c r="BO627" t="s">
        <v>1107</v>
      </c>
      <c r="BP627" t="s">
        <v>370</v>
      </c>
      <c r="BR627" t="s">
        <v>1108</v>
      </c>
      <c r="BW627" t="s">
        <v>1157</v>
      </c>
      <c r="BX627" t="s">
        <v>1158</v>
      </c>
      <c r="BY627" t="s">
        <v>123</v>
      </c>
      <c r="BZ627" t="s">
        <v>124</v>
      </c>
    </row>
    <row r="628" spans="1:78" x14ac:dyDescent="0.3">
      <c r="A628" t="s">
        <v>2</v>
      </c>
      <c r="B628" t="s">
        <v>92</v>
      </c>
      <c r="C628" t="s">
        <v>93</v>
      </c>
      <c r="D628" t="s">
        <v>94</v>
      </c>
      <c r="E628" t="s">
        <v>95</v>
      </c>
      <c r="F628" t="s">
        <v>765</v>
      </c>
      <c r="G628">
        <v>470500</v>
      </c>
      <c r="H628">
        <v>470500</v>
      </c>
      <c r="AA628" t="s">
        <v>1101</v>
      </c>
      <c r="AB628" t="s">
        <v>1102</v>
      </c>
      <c r="AC628" t="s">
        <v>1103</v>
      </c>
      <c r="AD628" t="s">
        <v>365</v>
      </c>
      <c r="AE628" t="s">
        <v>1104</v>
      </c>
      <c r="AF628" t="s">
        <v>1105</v>
      </c>
      <c r="AG628" t="s">
        <v>422</v>
      </c>
      <c r="AH628" t="s">
        <v>423</v>
      </c>
      <c r="AI628">
        <v>46265</v>
      </c>
      <c r="AK628" t="s">
        <v>218</v>
      </c>
      <c r="AL628" t="s">
        <v>105</v>
      </c>
      <c r="AM628" t="s">
        <v>1953</v>
      </c>
      <c r="AN628" t="s">
        <v>107</v>
      </c>
      <c r="AO628" t="s">
        <v>107</v>
      </c>
      <c r="AP628">
        <v>370500</v>
      </c>
      <c r="AQ628">
        <v>0</v>
      </c>
      <c r="AR628">
        <v>370500</v>
      </c>
      <c r="AT628" t="s">
        <v>243</v>
      </c>
      <c r="AZ628" t="s">
        <v>113</v>
      </c>
      <c r="BC628" t="s">
        <v>1160</v>
      </c>
      <c r="BN628" t="s">
        <v>113</v>
      </c>
      <c r="BO628" t="s">
        <v>1107</v>
      </c>
      <c r="BP628" t="s">
        <v>370</v>
      </c>
      <c r="BR628" t="s">
        <v>1108</v>
      </c>
      <c r="BW628" t="s">
        <v>1157</v>
      </c>
      <c r="BX628" t="s">
        <v>1158</v>
      </c>
      <c r="BY628" t="s">
        <v>123</v>
      </c>
      <c r="BZ628" t="s">
        <v>124</v>
      </c>
    </row>
    <row r="629" spans="1:78" x14ac:dyDescent="0.3">
      <c r="A629" t="s">
        <v>11</v>
      </c>
      <c r="B629" t="s">
        <v>92</v>
      </c>
      <c r="C629" t="s">
        <v>93</v>
      </c>
      <c r="D629" t="s">
        <v>94</v>
      </c>
      <c r="E629" t="s">
        <v>95</v>
      </c>
      <c r="F629" t="s">
        <v>544</v>
      </c>
      <c r="G629">
        <v>531100</v>
      </c>
      <c r="H629">
        <v>518500</v>
      </c>
      <c r="AA629" t="s">
        <v>1113</v>
      </c>
      <c r="AB629" t="s">
        <v>1114</v>
      </c>
      <c r="AC629" t="s">
        <v>1115</v>
      </c>
      <c r="AD629" t="s">
        <v>365</v>
      </c>
      <c r="AE629" t="s">
        <v>1116</v>
      </c>
      <c r="AF629" t="s">
        <v>1117</v>
      </c>
      <c r="AG629" t="s">
        <v>102</v>
      </c>
      <c r="AH629" t="s">
        <v>781</v>
      </c>
      <c r="AI629">
        <v>46053</v>
      </c>
      <c r="AK629" t="s">
        <v>1580</v>
      </c>
      <c r="AL629" t="s">
        <v>146</v>
      </c>
      <c r="AM629" t="s">
        <v>1954</v>
      </c>
      <c r="AN629" t="s">
        <v>107</v>
      </c>
      <c r="AO629" t="s">
        <v>107</v>
      </c>
      <c r="AP629">
        <v>12125</v>
      </c>
      <c r="AQ629">
        <v>0</v>
      </c>
      <c r="AR629">
        <v>12125</v>
      </c>
      <c r="AT629" t="s">
        <v>243</v>
      </c>
      <c r="AZ629" t="s">
        <v>113</v>
      </c>
      <c r="BC629" t="s">
        <v>543</v>
      </c>
      <c r="BN629" t="s">
        <v>113</v>
      </c>
      <c r="BO629" t="s">
        <v>1119</v>
      </c>
      <c r="BP629" t="s">
        <v>370</v>
      </c>
      <c r="BR629" t="s">
        <v>945</v>
      </c>
      <c r="BW629" t="s">
        <v>1157</v>
      </c>
      <c r="BX629" t="s">
        <v>1158</v>
      </c>
      <c r="BY629" t="s">
        <v>123</v>
      </c>
      <c r="BZ629" t="s">
        <v>124</v>
      </c>
    </row>
    <row r="630" spans="1:78" x14ac:dyDescent="0.3">
      <c r="A630" t="s">
        <v>11</v>
      </c>
      <c r="B630" t="s">
        <v>92</v>
      </c>
      <c r="C630" t="s">
        <v>93</v>
      </c>
      <c r="D630" t="s">
        <v>94</v>
      </c>
      <c r="E630" t="s">
        <v>95</v>
      </c>
      <c r="F630" t="s">
        <v>544</v>
      </c>
      <c r="G630">
        <v>531100</v>
      </c>
      <c r="H630">
        <v>518500</v>
      </c>
      <c r="AA630" t="s">
        <v>1113</v>
      </c>
      <c r="AB630" t="s">
        <v>1114</v>
      </c>
      <c r="AC630" t="s">
        <v>1115</v>
      </c>
      <c r="AD630" t="s">
        <v>365</v>
      </c>
      <c r="AE630" t="s">
        <v>1116</v>
      </c>
      <c r="AF630" t="s">
        <v>1117</v>
      </c>
      <c r="AG630" t="s">
        <v>102</v>
      </c>
      <c r="AH630" t="s">
        <v>781</v>
      </c>
      <c r="AI630">
        <v>46053</v>
      </c>
      <c r="AK630" t="s">
        <v>218</v>
      </c>
      <c r="AL630" t="s">
        <v>105</v>
      </c>
      <c r="AM630" t="s">
        <v>1955</v>
      </c>
      <c r="AN630" t="s">
        <v>107</v>
      </c>
      <c r="AO630" t="s">
        <v>107</v>
      </c>
      <c r="AP630">
        <v>466650</v>
      </c>
      <c r="AQ630">
        <v>0</v>
      </c>
      <c r="AR630">
        <v>466650</v>
      </c>
      <c r="AT630" t="s">
        <v>243</v>
      </c>
      <c r="AZ630" t="s">
        <v>113</v>
      </c>
      <c r="BC630" t="s">
        <v>543</v>
      </c>
      <c r="BN630" t="s">
        <v>113</v>
      </c>
      <c r="BO630" t="s">
        <v>1119</v>
      </c>
      <c r="BP630" t="s">
        <v>370</v>
      </c>
      <c r="BR630" t="s">
        <v>945</v>
      </c>
      <c r="BW630" t="s">
        <v>1157</v>
      </c>
      <c r="BX630" t="s">
        <v>1158</v>
      </c>
      <c r="BY630" t="s">
        <v>123</v>
      </c>
      <c r="BZ630" t="s">
        <v>124</v>
      </c>
    </row>
    <row r="631" spans="1:78" x14ac:dyDescent="0.3">
      <c r="A631" t="s">
        <v>11</v>
      </c>
      <c r="B631" t="s">
        <v>92</v>
      </c>
      <c r="C631" t="s">
        <v>93</v>
      </c>
      <c r="D631" t="s">
        <v>94</v>
      </c>
      <c r="E631" t="s">
        <v>95</v>
      </c>
      <c r="F631" t="s">
        <v>169</v>
      </c>
      <c r="G631">
        <v>587000</v>
      </c>
      <c r="H631">
        <v>577000</v>
      </c>
      <c r="AA631" t="s">
        <v>362</v>
      </c>
      <c r="AB631" t="s">
        <v>363</v>
      </c>
      <c r="AC631" t="s">
        <v>364</v>
      </c>
      <c r="AD631" t="s">
        <v>365</v>
      </c>
      <c r="AE631" t="s">
        <v>366</v>
      </c>
      <c r="AF631" t="s">
        <v>367</v>
      </c>
      <c r="AG631" t="s">
        <v>102</v>
      </c>
      <c r="AH631" t="s">
        <v>131</v>
      </c>
      <c r="AI631">
        <v>46188</v>
      </c>
      <c r="AK631" t="s">
        <v>137</v>
      </c>
      <c r="AL631" t="s">
        <v>142</v>
      </c>
      <c r="AM631" t="s">
        <v>1956</v>
      </c>
      <c r="AN631" t="s">
        <v>107</v>
      </c>
      <c r="AO631" t="s">
        <v>107</v>
      </c>
      <c r="AP631">
        <v>27600</v>
      </c>
      <c r="AQ631">
        <v>0</v>
      </c>
      <c r="AR631">
        <v>27600</v>
      </c>
      <c r="AT631" t="s">
        <v>243</v>
      </c>
      <c r="AZ631" t="s">
        <v>113</v>
      </c>
      <c r="BC631" t="s">
        <v>543</v>
      </c>
      <c r="BN631" t="s">
        <v>113</v>
      </c>
      <c r="BO631" t="s">
        <v>369</v>
      </c>
      <c r="BP631" t="s">
        <v>370</v>
      </c>
      <c r="BR631" t="s">
        <v>371</v>
      </c>
      <c r="BW631" t="s">
        <v>1157</v>
      </c>
      <c r="BX631" t="s">
        <v>1158</v>
      </c>
      <c r="BY631" t="s">
        <v>123</v>
      </c>
      <c r="BZ631" t="s">
        <v>124</v>
      </c>
    </row>
    <row r="632" spans="1:78" x14ac:dyDescent="0.3">
      <c r="A632" t="s">
        <v>11</v>
      </c>
      <c r="B632" t="s">
        <v>92</v>
      </c>
      <c r="C632" t="s">
        <v>93</v>
      </c>
      <c r="D632" t="s">
        <v>94</v>
      </c>
      <c r="E632" t="s">
        <v>95</v>
      </c>
      <c r="F632" t="s">
        <v>169</v>
      </c>
      <c r="G632">
        <v>587000</v>
      </c>
      <c r="H632">
        <v>577000</v>
      </c>
      <c r="AA632" t="s">
        <v>362</v>
      </c>
      <c r="AB632" t="s">
        <v>363</v>
      </c>
      <c r="AC632" t="s">
        <v>364</v>
      </c>
      <c r="AD632" t="s">
        <v>365</v>
      </c>
      <c r="AE632" t="s">
        <v>366</v>
      </c>
      <c r="AF632" t="s">
        <v>367</v>
      </c>
      <c r="AG632" t="s">
        <v>102</v>
      </c>
      <c r="AH632" t="s">
        <v>131</v>
      </c>
      <c r="AI632">
        <v>46234</v>
      </c>
      <c r="AK632" t="s">
        <v>218</v>
      </c>
      <c r="AL632" t="s">
        <v>105</v>
      </c>
      <c r="AM632" t="s">
        <v>1957</v>
      </c>
      <c r="AN632" t="s">
        <v>107</v>
      </c>
      <c r="AO632" t="s">
        <v>107</v>
      </c>
      <c r="AP632">
        <v>457000</v>
      </c>
      <c r="AQ632">
        <v>0</v>
      </c>
      <c r="AR632">
        <v>457000</v>
      </c>
      <c r="AT632" t="s">
        <v>243</v>
      </c>
      <c r="AZ632" t="s">
        <v>113</v>
      </c>
      <c r="BC632" t="s">
        <v>1160</v>
      </c>
      <c r="BN632" t="s">
        <v>113</v>
      </c>
      <c r="BO632" t="s">
        <v>369</v>
      </c>
      <c r="BP632" t="s">
        <v>370</v>
      </c>
      <c r="BR632" t="s">
        <v>371</v>
      </c>
      <c r="BW632" t="s">
        <v>1157</v>
      </c>
      <c r="BX632" t="s">
        <v>1158</v>
      </c>
      <c r="BY632" t="s">
        <v>123</v>
      </c>
      <c r="BZ632" t="s">
        <v>124</v>
      </c>
    </row>
    <row r="633" spans="1:78" x14ac:dyDescent="0.3">
      <c r="A633" t="s">
        <v>12</v>
      </c>
      <c r="B633" t="s">
        <v>92</v>
      </c>
      <c r="C633" t="s">
        <v>93</v>
      </c>
      <c r="D633" t="s">
        <v>94</v>
      </c>
      <c r="E633" t="s">
        <v>95</v>
      </c>
      <c r="F633" t="s">
        <v>1442</v>
      </c>
      <c r="G633">
        <v>623000</v>
      </c>
      <c r="H633">
        <v>623000</v>
      </c>
      <c r="AA633" t="s">
        <v>1958</v>
      </c>
      <c r="AB633" t="s">
        <v>1959</v>
      </c>
      <c r="AC633" t="s">
        <v>1960</v>
      </c>
      <c r="AD633" t="s">
        <v>365</v>
      </c>
      <c r="AE633" t="s">
        <v>1961</v>
      </c>
      <c r="AF633" t="s">
        <v>1962</v>
      </c>
      <c r="AG633" t="s">
        <v>102</v>
      </c>
      <c r="AH633" t="s">
        <v>1488</v>
      </c>
      <c r="AI633">
        <v>46041</v>
      </c>
      <c r="AJ633">
        <v>46041</v>
      </c>
      <c r="AK633" t="s">
        <v>104</v>
      </c>
      <c r="AL633" t="s">
        <v>105</v>
      </c>
      <c r="AM633" t="s">
        <v>106</v>
      </c>
      <c r="AN633" t="s">
        <v>107</v>
      </c>
      <c r="AO633" t="s">
        <v>107</v>
      </c>
      <c r="AP633">
        <v>3000</v>
      </c>
      <c r="AQ633">
        <v>3000</v>
      </c>
      <c r="AR633">
        <v>0</v>
      </c>
      <c r="AS633" t="s">
        <v>107</v>
      </c>
      <c r="AT633" t="s">
        <v>243</v>
      </c>
      <c r="AU633" t="s">
        <v>109</v>
      </c>
      <c r="AV633" t="s">
        <v>451</v>
      </c>
      <c r="AW633" t="s">
        <v>111</v>
      </c>
      <c r="AY633" t="s">
        <v>1963</v>
      </c>
      <c r="AZ633" t="s">
        <v>113</v>
      </c>
      <c r="BB633" t="s">
        <v>114</v>
      </c>
      <c r="BC633" t="s">
        <v>115</v>
      </c>
      <c r="BN633" t="s">
        <v>113</v>
      </c>
      <c r="BO633" t="s">
        <v>1964</v>
      </c>
      <c r="BP633" t="s">
        <v>370</v>
      </c>
      <c r="BR633" t="s">
        <v>1965</v>
      </c>
      <c r="BS633" t="s">
        <v>1966</v>
      </c>
      <c r="BW633" t="s">
        <v>1157</v>
      </c>
      <c r="BX633" t="s">
        <v>1158</v>
      </c>
      <c r="BY633" t="s">
        <v>123</v>
      </c>
      <c r="BZ633" t="s">
        <v>124</v>
      </c>
    </row>
    <row r="634" spans="1:78" x14ac:dyDescent="0.3">
      <c r="A634" t="s">
        <v>12</v>
      </c>
      <c r="B634" t="s">
        <v>92</v>
      </c>
      <c r="C634" t="s">
        <v>93</v>
      </c>
      <c r="D634" t="s">
        <v>94</v>
      </c>
      <c r="E634" t="s">
        <v>95</v>
      </c>
      <c r="F634" t="s">
        <v>1442</v>
      </c>
      <c r="G634">
        <v>623000</v>
      </c>
      <c r="H634">
        <v>623000</v>
      </c>
      <c r="AA634" t="s">
        <v>1958</v>
      </c>
      <c r="AB634" t="s">
        <v>1959</v>
      </c>
      <c r="AC634" t="s">
        <v>1960</v>
      </c>
      <c r="AD634" t="s">
        <v>365</v>
      </c>
      <c r="AE634" t="s">
        <v>1961</v>
      </c>
      <c r="AF634" t="s">
        <v>1962</v>
      </c>
      <c r="AG634" t="s">
        <v>102</v>
      </c>
      <c r="AH634" t="s">
        <v>1488</v>
      </c>
      <c r="AI634">
        <v>46071</v>
      </c>
      <c r="AJ634">
        <v>46071</v>
      </c>
      <c r="AK634" t="s">
        <v>137</v>
      </c>
      <c r="AL634" t="s">
        <v>105</v>
      </c>
      <c r="AM634" t="s">
        <v>410</v>
      </c>
      <c r="AN634" t="s">
        <v>107</v>
      </c>
      <c r="AO634" t="s">
        <v>107</v>
      </c>
      <c r="AP634">
        <v>7000</v>
      </c>
      <c r="AQ634">
        <v>7000</v>
      </c>
      <c r="AR634">
        <v>0</v>
      </c>
      <c r="AS634" t="s">
        <v>107</v>
      </c>
      <c r="AT634" t="s">
        <v>243</v>
      </c>
      <c r="AU634" t="s">
        <v>109</v>
      </c>
      <c r="AV634" t="s">
        <v>451</v>
      </c>
      <c r="AW634" t="s">
        <v>111</v>
      </c>
      <c r="AY634" t="s">
        <v>1967</v>
      </c>
      <c r="AZ634" t="s">
        <v>113</v>
      </c>
      <c r="BB634" t="s">
        <v>114</v>
      </c>
      <c r="BC634" t="s">
        <v>115</v>
      </c>
      <c r="BN634" t="s">
        <v>113</v>
      </c>
      <c r="BO634" t="s">
        <v>1964</v>
      </c>
      <c r="BP634" t="s">
        <v>370</v>
      </c>
      <c r="BR634" t="s">
        <v>1965</v>
      </c>
      <c r="BS634" t="s">
        <v>1968</v>
      </c>
      <c r="BW634" t="s">
        <v>1157</v>
      </c>
      <c r="BX634" t="s">
        <v>1158</v>
      </c>
      <c r="BY634" t="s">
        <v>123</v>
      </c>
      <c r="BZ634" t="s">
        <v>124</v>
      </c>
    </row>
    <row r="635" spans="1:78" x14ac:dyDescent="0.3">
      <c r="A635" t="s">
        <v>12</v>
      </c>
      <c r="B635" t="s">
        <v>92</v>
      </c>
      <c r="C635" t="s">
        <v>93</v>
      </c>
      <c r="D635" t="s">
        <v>94</v>
      </c>
      <c r="E635" t="s">
        <v>95</v>
      </c>
      <c r="F635" t="s">
        <v>1442</v>
      </c>
      <c r="G635">
        <v>623000</v>
      </c>
      <c r="H635">
        <v>623000</v>
      </c>
      <c r="AA635" t="s">
        <v>1958</v>
      </c>
      <c r="AB635" t="s">
        <v>1959</v>
      </c>
      <c r="AC635" t="s">
        <v>1960</v>
      </c>
      <c r="AD635" t="s">
        <v>365</v>
      </c>
      <c r="AE635" t="s">
        <v>1961</v>
      </c>
      <c r="AF635" t="s">
        <v>1962</v>
      </c>
      <c r="AG635" t="s">
        <v>102</v>
      </c>
      <c r="AH635" t="s">
        <v>1488</v>
      </c>
      <c r="AI635">
        <v>46234</v>
      </c>
      <c r="AK635" t="s">
        <v>1122</v>
      </c>
      <c r="AL635" t="s">
        <v>142</v>
      </c>
      <c r="AM635" t="s">
        <v>1969</v>
      </c>
      <c r="AN635" t="s">
        <v>107</v>
      </c>
      <c r="AO635" t="s">
        <v>107</v>
      </c>
      <c r="AP635">
        <v>52300</v>
      </c>
      <c r="AQ635">
        <v>0</v>
      </c>
      <c r="AR635">
        <v>52300</v>
      </c>
      <c r="AT635" t="s">
        <v>243</v>
      </c>
      <c r="AZ635" t="s">
        <v>113</v>
      </c>
      <c r="BC635" t="s">
        <v>1160</v>
      </c>
      <c r="BN635" t="s">
        <v>113</v>
      </c>
      <c r="BO635" t="s">
        <v>1964</v>
      </c>
      <c r="BP635" t="s">
        <v>370</v>
      </c>
      <c r="BR635" t="s">
        <v>1965</v>
      </c>
      <c r="BW635" t="s">
        <v>1157</v>
      </c>
      <c r="BX635" t="s">
        <v>1158</v>
      </c>
      <c r="BY635" t="s">
        <v>123</v>
      </c>
      <c r="BZ635" t="s">
        <v>124</v>
      </c>
    </row>
    <row r="636" spans="1:78" x14ac:dyDescent="0.3">
      <c r="A636" t="s">
        <v>12</v>
      </c>
      <c r="B636" t="s">
        <v>92</v>
      </c>
      <c r="C636" t="s">
        <v>93</v>
      </c>
      <c r="D636" t="s">
        <v>94</v>
      </c>
      <c r="E636" t="s">
        <v>95</v>
      </c>
      <c r="F636" t="s">
        <v>1442</v>
      </c>
      <c r="G636">
        <v>623000</v>
      </c>
      <c r="H636">
        <v>623000</v>
      </c>
      <c r="AA636" t="s">
        <v>1958</v>
      </c>
      <c r="AB636" t="s">
        <v>1959</v>
      </c>
      <c r="AC636" t="s">
        <v>1960</v>
      </c>
      <c r="AD636" t="s">
        <v>365</v>
      </c>
      <c r="AE636" t="s">
        <v>1961</v>
      </c>
      <c r="AF636" t="s">
        <v>1962</v>
      </c>
      <c r="AG636" t="s">
        <v>102</v>
      </c>
      <c r="AH636" t="s">
        <v>1488</v>
      </c>
      <c r="AI636">
        <v>46249</v>
      </c>
      <c r="AK636" t="s">
        <v>137</v>
      </c>
      <c r="AL636" t="s">
        <v>146</v>
      </c>
      <c r="AM636" t="s">
        <v>1628</v>
      </c>
      <c r="AN636" t="s">
        <v>107</v>
      </c>
      <c r="AO636" t="s">
        <v>107</v>
      </c>
      <c r="AP636">
        <v>23000</v>
      </c>
      <c r="AQ636">
        <v>0</v>
      </c>
      <c r="AR636">
        <v>23000</v>
      </c>
      <c r="AT636" t="s">
        <v>243</v>
      </c>
      <c r="AZ636" t="s">
        <v>113</v>
      </c>
      <c r="BC636" t="s">
        <v>1160</v>
      </c>
      <c r="BN636" t="s">
        <v>113</v>
      </c>
      <c r="BO636" t="s">
        <v>1964</v>
      </c>
      <c r="BP636" t="s">
        <v>370</v>
      </c>
      <c r="BR636" t="s">
        <v>1965</v>
      </c>
      <c r="BW636" t="s">
        <v>1157</v>
      </c>
      <c r="BX636" t="s">
        <v>1158</v>
      </c>
      <c r="BY636" t="s">
        <v>123</v>
      </c>
      <c r="BZ636" t="s">
        <v>124</v>
      </c>
    </row>
    <row r="637" spans="1:78" x14ac:dyDescent="0.3">
      <c r="A637" t="s">
        <v>12</v>
      </c>
      <c r="B637" t="s">
        <v>92</v>
      </c>
      <c r="C637" t="s">
        <v>93</v>
      </c>
      <c r="D637" t="s">
        <v>94</v>
      </c>
      <c r="E637" t="s">
        <v>95</v>
      </c>
      <c r="F637" t="s">
        <v>1442</v>
      </c>
      <c r="G637">
        <v>623000</v>
      </c>
      <c r="H637">
        <v>623000</v>
      </c>
      <c r="AA637" t="s">
        <v>1958</v>
      </c>
      <c r="AB637" t="s">
        <v>1959</v>
      </c>
      <c r="AC637" t="s">
        <v>1960</v>
      </c>
      <c r="AD637" t="s">
        <v>365</v>
      </c>
      <c r="AE637" t="s">
        <v>1961</v>
      </c>
      <c r="AF637" t="s">
        <v>1962</v>
      </c>
      <c r="AG637" t="s">
        <v>102</v>
      </c>
      <c r="AH637" t="s">
        <v>1488</v>
      </c>
      <c r="AI637">
        <v>46295</v>
      </c>
      <c r="AK637" t="s">
        <v>218</v>
      </c>
      <c r="AL637" t="s">
        <v>105</v>
      </c>
      <c r="AM637" t="s">
        <v>1970</v>
      </c>
      <c r="AN637" t="s">
        <v>107</v>
      </c>
      <c r="AO637" t="s">
        <v>107</v>
      </c>
      <c r="AP637">
        <v>537700</v>
      </c>
      <c r="AQ637">
        <v>0</v>
      </c>
      <c r="AR637">
        <v>537700</v>
      </c>
      <c r="AT637" t="s">
        <v>243</v>
      </c>
      <c r="AZ637" t="s">
        <v>113</v>
      </c>
      <c r="BC637" t="s">
        <v>1160</v>
      </c>
      <c r="BN637" t="s">
        <v>113</v>
      </c>
      <c r="BO637" t="s">
        <v>1964</v>
      </c>
      <c r="BP637" t="s">
        <v>370</v>
      </c>
      <c r="BR637" t="s">
        <v>1965</v>
      </c>
      <c r="BW637" t="s">
        <v>1157</v>
      </c>
      <c r="BX637" t="s">
        <v>1158</v>
      </c>
      <c r="BY637" t="s">
        <v>123</v>
      </c>
      <c r="BZ637" t="s">
        <v>124</v>
      </c>
    </row>
    <row r="638" spans="1:78" x14ac:dyDescent="0.3">
      <c r="A638" t="s">
        <v>11</v>
      </c>
      <c r="B638" t="s">
        <v>92</v>
      </c>
      <c r="C638" t="s">
        <v>93</v>
      </c>
      <c r="D638" t="s">
        <v>94</v>
      </c>
      <c r="E638" t="s">
        <v>95</v>
      </c>
      <c r="F638" t="s">
        <v>1127</v>
      </c>
      <c r="G638">
        <v>430000</v>
      </c>
      <c r="H638">
        <v>382000</v>
      </c>
      <c r="AA638" t="s">
        <v>1128</v>
      </c>
      <c r="AB638" t="s">
        <v>1129</v>
      </c>
      <c r="AC638" t="s">
        <v>1130</v>
      </c>
      <c r="AD638" t="s">
        <v>1131</v>
      </c>
      <c r="AE638" t="s">
        <v>1131</v>
      </c>
      <c r="AF638" t="s">
        <v>1132</v>
      </c>
      <c r="AG638" t="s">
        <v>102</v>
      </c>
      <c r="AH638" t="s">
        <v>771</v>
      </c>
      <c r="AI638">
        <v>46032</v>
      </c>
      <c r="AJ638">
        <v>46031</v>
      </c>
      <c r="AK638" t="s">
        <v>137</v>
      </c>
      <c r="AL638" t="s">
        <v>105</v>
      </c>
      <c r="AM638" t="s">
        <v>398</v>
      </c>
      <c r="AN638" t="s">
        <v>107</v>
      </c>
      <c r="AO638" t="s">
        <v>107</v>
      </c>
      <c r="AP638">
        <v>10000</v>
      </c>
      <c r="AQ638">
        <v>10000</v>
      </c>
      <c r="AR638">
        <v>0</v>
      </c>
      <c r="AS638" t="s">
        <v>107</v>
      </c>
      <c r="AT638" t="s">
        <v>108</v>
      </c>
      <c r="AU638" t="s">
        <v>162</v>
      </c>
      <c r="AV638" t="s">
        <v>163</v>
      </c>
      <c r="AW638" t="s">
        <v>111</v>
      </c>
      <c r="AY638" t="s">
        <v>1971</v>
      </c>
      <c r="AZ638" t="s">
        <v>113</v>
      </c>
      <c r="BB638" t="s">
        <v>114</v>
      </c>
      <c r="BC638" t="s">
        <v>115</v>
      </c>
      <c r="BN638" t="s">
        <v>113</v>
      </c>
      <c r="BO638" t="s">
        <v>1134</v>
      </c>
      <c r="BP638" t="s">
        <v>370</v>
      </c>
      <c r="BR638" t="s">
        <v>1135</v>
      </c>
      <c r="BS638" t="s">
        <v>1972</v>
      </c>
      <c r="BW638" t="s">
        <v>1157</v>
      </c>
      <c r="BX638" t="s">
        <v>1158</v>
      </c>
      <c r="BY638" t="s">
        <v>123</v>
      </c>
      <c r="BZ638" t="s">
        <v>124</v>
      </c>
    </row>
    <row r="639" spans="1:78" x14ac:dyDescent="0.3">
      <c r="A639" t="s">
        <v>11</v>
      </c>
      <c r="B639" t="s">
        <v>92</v>
      </c>
      <c r="C639" t="s">
        <v>93</v>
      </c>
      <c r="D639" t="s">
        <v>94</v>
      </c>
      <c r="E639" t="s">
        <v>95</v>
      </c>
      <c r="F639" t="s">
        <v>1127</v>
      </c>
      <c r="G639">
        <v>430000</v>
      </c>
      <c r="H639">
        <v>382000</v>
      </c>
      <c r="AA639" t="s">
        <v>1128</v>
      </c>
      <c r="AB639" t="s">
        <v>1129</v>
      </c>
      <c r="AC639" t="s">
        <v>1130</v>
      </c>
      <c r="AD639" t="s">
        <v>1131</v>
      </c>
      <c r="AE639" t="s">
        <v>1131</v>
      </c>
      <c r="AF639" t="s">
        <v>1132</v>
      </c>
      <c r="AG639" t="s">
        <v>102</v>
      </c>
      <c r="AH639" t="s">
        <v>771</v>
      </c>
      <c r="AI639">
        <v>46063</v>
      </c>
      <c r="AJ639">
        <v>46031</v>
      </c>
      <c r="AK639" t="s">
        <v>137</v>
      </c>
      <c r="AL639" t="s">
        <v>142</v>
      </c>
      <c r="AM639" t="s">
        <v>398</v>
      </c>
      <c r="AN639" t="s">
        <v>107</v>
      </c>
      <c r="AO639" t="s">
        <v>107</v>
      </c>
      <c r="AP639">
        <v>10000</v>
      </c>
      <c r="AQ639">
        <v>10000</v>
      </c>
      <c r="AR639">
        <v>0</v>
      </c>
      <c r="AS639" t="s">
        <v>107</v>
      </c>
      <c r="AT639" t="s">
        <v>108</v>
      </c>
      <c r="AU639" t="s">
        <v>162</v>
      </c>
      <c r="AV639" t="s">
        <v>163</v>
      </c>
      <c r="AW639" t="s">
        <v>111</v>
      </c>
      <c r="AY639" t="s">
        <v>1973</v>
      </c>
      <c r="AZ639" t="s">
        <v>113</v>
      </c>
      <c r="BB639" t="s">
        <v>114</v>
      </c>
      <c r="BC639" t="s">
        <v>115</v>
      </c>
      <c r="BN639" t="s">
        <v>113</v>
      </c>
      <c r="BO639" t="s">
        <v>1134</v>
      </c>
      <c r="BP639" t="s">
        <v>370</v>
      </c>
      <c r="BR639" t="s">
        <v>1135</v>
      </c>
      <c r="BS639" t="s">
        <v>1972</v>
      </c>
      <c r="BW639" t="s">
        <v>1157</v>
      </c>
      <c r="BX639" t="s">
        <v>1158</v>
      </c>
      <c r="BY639" t="s">
        <v>123</v>
      </c>
      <c r="BZ639" t="s">
        <v>124</v>
      </c>
    </row>
    <row r="640" spans="1:78" x14ac:dyDescent="0.3">
      <c r="A640" t="s">
        <v>11</v>
      </c>
      <c r="B640" t="s">
        <v>92</v>
      </c>
      <c r="C640" t="s">
        <v>93</v>
      </c>
      <c r="D640" t="s">
        <v>94</v>
      </c>
      <c r="E640" t="s">
        <v>95</v>
      </c>
      <c r="F640" t="s">
        <v>1127</v>
      </c>
      <c r="G640">
        <v>430000</v>
      </c>
      <c r="H640">
        <v>382000</v>
      </c>
      <c r="AA640" t="s">
        <v>1128</v>
      </c>
      <c r="AB640" t="s">
        <v>1129</v>
      </c>
      <c r="AC640" t="s">
        <v>1130</v>
      </c>
      <c r="AD640" t="s">
        <v>1131</v>
      </c>
      <c r="AE640" t="s">
        <v>1131</v>
      </c>
      <c r="AF640" t="s">
        <v>1132</v>
      </c>
      <c r="AG640" t="s">
        <v>102</v>
      </c>
      <c r="AH640" t="s">
        <v>771</v>
      </c>
      <c r="AI640">
        <v>46091</v>
      </c>
      <c r="AJ640">
        <v>46108</v>
      </c>
      <c r="AK640" t="s">
        <v>137</v>
      </c>
      <c r="AL640" t="s">
        <v>146</v>
      </c>
      <c r="AM640" t="s">
        <v>1874</v>
      </c>
      <c r="AN640" t="s">
        <v>107</v>
      </c>
      <c r="AO640" t="s">
        <v>107</v>
      </c>
      <c r="AP640">
        <v>15200</v>
      </c>
      <c r="AQ640">
        <v>7000</v>
      </c>
      <c r="AR640">
        <v>0</v>
      </c>
      <c r="AS640" t="s">
        <v>107</v>
      </c>
      <c r="AT640" t="s">
        <v>108</v>
      </c>
      <c r="AU640" t="s">
        <v>162</v>
      </c>
      <c r="AV640" t="s">
        <v>163</v>
      </c>
      <c r="AW640" t="s">
        <v>111</v>
      </c>
      <c r="AY640" t="s">
        <v>1974</v>
      </c>
      <c r="AZ640" t="s">
        <v>113</v>
      </c>
      <c r="BB640" t="s">
        <v>114</v>
      </c>
      <c r="BC640" t="s">
        <v>115</v>
      </c>
      <c r="BN640" t="s">
        <v>113</v>
      </c>
      <c r="BO640" t="s">
        <v>1134</v>
      </c>
      <c r="BP640" t="s">
        <v>370</v>
      </c>
      <c r="BR640" t="s">
        <v>1135</v>
      </c>
      <c r="BS640" t="s">
        <v>1975</v>
      </c>
      <c r="BW640" t="s">
        <v>1157</v>
      </c>
      <c r="BX640" t="s">
        <v>1158</v>
      </c>
      <c r="BY640" t="s">
        <v>123</v>
      </c>
      <c r="BZ640" t="s">
        <v>124</v>
      </c>
    </row>
    <row r="641" spans="1:78" x14ac:dyDescent="0.3">
      <c r="A641" t="s">
        <v>11</v>
      </c>
      <c r="B641" t="s">
        <v>92</v>
      </c>
      <c r="C641" t="s">
        <v>93</v>
      </c>
      <c r="D641" t="s">
        <v>94</v>
      </c>
      <c r="E641" t="s">
        <v>95</v>
      </c>
      <c r="F641" t="s">
        <v>1127</v>
      </c>
      <c r="G641">
        <v>430000</v>
      </c>
      <c r="H641">
        <v>382000</v>
      </c>
      <c r="AA641" t="s">
        <v>1128</v>
      </c>
      <c r="AB641" t="s">
        <v>1129</v>
      </c>
      <c r="AC641" t="s">
        <v>1130</v>
      </c>
      <c r="AD641" t="s">
        <v>1131</v>
      </c>
      <c r="AE641" t="s">
        <v>1131</v>
      </c>
      <c r="AF641" t="s">
        <v>1132</v>
      </c>
      <c r="AG641" t="s">
        <v>102</v>
      </c>
      <c r="AH641" t="s">
        <v>771</v>
      </c>
      <c r="AI641">
        <v>46091</v>
      </c>
      <c r="AJ641">
        <v>46169</v>
      </c>
      <c r="AK641" t="s">
        <v>137</v>
      </c>
      <c r="AL641" t="s">
        <v>146</v>
      </c>
      <c r="AM641" t="s">
        <v>107</v>
      </c>
      <c r="AN641" t="s">
        <v>107</v>
      </c>
      <c r="AO641" t="s">
        <v>107</v>
      </c>
      <c r="AP641">
        <v>0</v>
      </c>
      <c r="AQ641">
        <v>8200</v>
      </c>
      <c r="AR641">
        <v>0</v>
      </c>
      <c r="AS641" t="s">
        <v>107</v>
      </c>
      <c r="AT641" t="s">
        <v>108</v>
      </c>
      <c r="AU641" t="s">
        <v>162</v>
      </c>
      <c r="AV641" t="s">
        <v>163</v>
      </c>
      <c r="AW641" t="s">
        <v>111</v>
      </c>
      <c r="AY641" t="s">
        <v>1976</v>
      </c>
      <c r="AZ641" t="s">
        <v>113</v>
      </c>
      <c r="BB641" t="s">
        <v>114</v>
      </c>
      <c r="BC641" t="s">
        <v>115</v>
      </c>
      <c r="BN641" t="s">
        <v>113</v>
      </c>
      <c r="BO641" t="s">
        <v>1134</v>
      </c>
      <c r="BP641" t="s">
        <v>370</v>
      </c>
      <c r="BR641" t="s">
        <v>1135</v>
      </c>
      <c r="BS641" t="s">
        <v>1977</v>
      </c>
      <c r="BW641" t="s">
        <v>1157</v>
      </c>
      <c r="BX641" t="s">
        <v>1158</v>
      </c>
      <c r="BY641" t="s">
        <v>123</v>
      </c>
      <c r="BZ641" t="s">
        <v>124</v>
      </c>
    </row>
    <row r="642" spans="1:78" x14ac:dyDescent="0.3">
      <c r="A642" t="s">
        <v>11</v>
      </c>
      <c r="B642" t="s">
        <v>92</v>
      </c>
      <c r="C642" t="s">
        <v>93</v>
      </c>
      <c r="D642" t="s">
        <v>94</v>
      </c>
      <c r="E642" t="s">
        <v>95</v>
      </c>
      <c r="F642" t="s">
        <v>1127</v>
      </c>
      <c r="G642">
        <v>430000</v>
      </c>
      <c r="H642">
        <v>382000</v>
      </c>
      <c r="AA642" t="s">
        <v>1128</v>
      </c>
      <c r="AB642" t="s">
        <v>1129</v>
      </c>
      <c r="AC642" t="s">
        <v>1130</v>
      </c>
      <c r="AD642" t="s">
        <v>1131</v>
      </c>
      <c r="AE642" t="s">
        <v>1131</v>
      </c>
      <c r="AF642" t="s">
        <v>1132</v>
      </c>
      <c r="AG642" t="s">
        <v>102</v>
      </c>
      <c r="AH642" t="s">
        <v>771</v>
      </c>
      <c r="AI642">
        <v>46084</v>
      </c>
      <c r="AK642" t="s">
        <v>218</v>
      </c>
      <c r="AL642" t="s">
        <v>105</v>
      </c>
      <c r="AM642" t="s">
        <v>1978</v>
      </c>
      <c r="AN642" t="s">
        <v>107</v>
      </c>
      <c r="AO642" t="s">
        <v>107</v>
      </c>
      <c r="AP642">
        <v>343800</v>
      </c>
      <c r="AQ642">
        <v>0</v>
      </c>
      <c r="AR642">
        <v>343800</v>
      </c>
      <c r="AT642" t="s">
        <v>108</v>
      </c>
      <c r="AZ642" t="s">
        <v>113</v>
      </c>
      <c r="BC642" t="s">
        <v>543</v>
      </c>
      <c r="BN642" t="s">
        <v>113</v>
      </c>
      <c r="BO642" t="s">
        <v>1134</v>
      </c>
      <c r="BP642" t="s">
        <v>370</v>
      </c>
      <c r="BR642" t="s">
        <v>1135</v>
      </c>
      <c r="BW642" t="s">
        <v>1157</v>
      </c>
      <c r="BX642" t="s">
        <v>1158</v>
      </c>
      <c r="BY642" t="s">
        <v>123</v>
      </c>
      <c r="BZ642" t="s">
        <v>124</v>
      </c>
    </row>
    <row r="643" spans="1:78" x14ac:dyDescent="0.3">
      <c r="A643" t="s">
        <v>11</v>
      </c>
      <c r="B643" t="s">
        <v>92</v>
      </c>
      <c r="C643" t="s">
        <v>93</v>
      </c>
      <c r="D643" t="s">
        <v>94</v>
      </c>
      <c r="E643" t="s">
        <v>95</v>
      </c>
      <c r="F643" t="s">
        <v>293</v>
      </c>
      <c r="G643">
        <v>504700</v>
      </c>
      <c r="H643">
        <v>478000</v>
      </c>
      <c r="I643" t="s">
        <v>93</v>
      </c>
      <c r="J643" t="s">
        <v>94</v>
      </c>
      <c r="K643" t="s">
        <v>202</v>
      </c>
      <c r="L643" t="s">
        <v>1979</v>
      </c>
      <c r="M643">
        <v>50000</v>
      </c>
      <c r="N643">
        <v>50000</v>
      </c>
      <c r="AA643" t="s">
        <v>1980</v>
      </c>
      <c r="AB643" t="s">
        <v>1981</v>
      </c>
      <c r="AC643" t="s">
        <v>1982</v>
      </c>
      <c r="AD643" t="s">
        <v>365</v>
      </c>
      <c r="AE643" t="s">
        <v>1447</v>
      </c>
      <c r="AF643" t="s">
        <v>1448</v>
      </c>
      <c r="AG643" t="s">
        <v>102</v>
      </c>
      <c r="AH643" t="s">
        <v>187</v>
      </c>
      <c r="AI643">
        <v>46096</v>
      </c>
      <c r="AJ643">
        <v>46096</v>
      </c>
      <c r="AK643" t="s">
        <v>104</v>
      </c>
      <c r="AL643" t="s">
        <v>105</v>
      </c>
      <c r="AM643" t="s">
        <v>106</v>
      </c>
      <c r="AN643" t="s">
        <v>107</v>
      </c>
      <c r="AO643" t="s">
        <v>107</v>
      </c>
      <c r="AP643">
        <v>3000</v>
      </c>
      <c r="AQ643">
        <v>3000</v>
      </c>
      <c r="AR643">
        <v>0</v>
      </c>
      <c r="AS643" t="s">
        <v>107</v>
      </c>
      <c r="AT643" t="s">
        <v>243</v>
      </c>
      <c r="AU643" t="s">
        <v>162</v>
      </c>
      <c r="AV643" t="s">
        <v>163</v>
      </c>
      <c r="AW643" t="s">
        <v>209</v>
      </c>
      <c r="AY643" t="s">
        <v>1983</v>
      </c>
      <c r="AZ643" t="s">
        <v>113</v>
      </c>
      <c r="BB643" t="s">
        <v>114</v>
      </c>
      <c r="BC643" t="s">
        <v>115</v>
      </c>
      <c r="BN643" t="s">
        <v>113</v>
      </c>
      <c r="BO643" t="s">
        <v>1984</v>
      </c>
      <c r="BP643" t="s">
        <v>370</v>
      </c>
      <c r="BR643" t="s">
        <v>1307</v>
      </c>
      <c r="BS643" t="s">
        <v>1985</v>
      </c>
      <c r="BW643" t="s">
        <v>1157</v>
      </c>
      <c r="BX643" t="s">
        <v>1158</v>
      </c>
      <c r="BY643" t="s">
        <v>123</v>
      </c>
      <c r="BZ643" t="s">
        <v>124</v>
      </c>
    </row>
    <row r="644" spans="1:78" x14ac:dyDescent="0.3">
      <c r="A644" t="s">
        <v>11</v>
      </c>
      <c r="B644" t="s">
        <v>92</v>
      </c>
      <c r="C644" t="s">
        <v>93</v>
      </c>
      <c r="D644" t="s">
        <v>94</v>
      </c>
      <c r="E644" t="s">
        <v>95</v>
      </c>
      <c r="F644" t="s">
        <v>293</v>
      </c>
      <c r="G644">
        <v>504700</v>
      </c>
      <c r="H644">
        <v>478000</v>
      </c>
      <c r="I644" t="s">
        <v>93</v>
      </c>
      <c r="J644" t="s">
        <v>94</v>
      </c>
      <c r="K644" t="s">
        <v>202</v>
      </c>
      <c r="L644" t="s">
        <v>1979</v>
      </c>
      <c r="M644">
        <v>50000</v>
      </c>
      <c r="N644">
        <v>50000</v>
      </c>
      <c r="AA644" t="s">
        <v>1980</v>
      </c>
      <c r="AB644" t="s">
        <v>1981</v>
      </c>
      <c r="AC644" t="s">
        <v>1982</v>
      </c>
      <c r="AD644" t="s">
        <v>365</v>
      </c>
      <c r="AE644" t="s">
        <v>1447</v>
      </c>
      <c r="AF644" t="s">
        <v>1448</v>
      </c>
      <c r="AG644" t="s">
        <v>102</v>
      </c>
      <c r="AH644" t="s">
        <v>187</v>
      </c>
      <c r="AI644">
        <v>46197.589583333327</v>
      </c>
      <c r="AK644" t="s">
        <v>137</v>
      </c>
      <c r="AL644" t="s">
        <v>105</v>
      </c>
      <c r="AM644" t="s">
        <v>1986</v>
      </c>
      <c r="AN644" t="s">
        <v>107</v>
      </c>
      <c r="AO644" t="s">
        <v>107</v>
      </c>
      <c r="AP644">
        <v>1000</v>
      </c>
      <c r="AQ644">
        <v>0</v>
      </c>
      <c r="AR644">
        <v>1000</v>
      </c>
      <c r="AT644" t="s">
        <v>243</v>
      </c>
      <c r="AZ644" t="s">
        <v>113</v>
      </c>
      <c r="BC644" t="s">
        <v>543</v>
      </c>
      <c r="BH644" t="s">
        <v>1975</v>
      </c>
      <c r="BI644" t="s">
        <v>1987</v>
      </c>
      <c r="BJ644" t="s">
        <v>1702</v>
      </c>
      <c r="BL644" t="s">
        <v>1988</v>
      </c>
      <c r="BM644" t="s">
        <v>370</v>
      </c>
      <c r="BN644" t="s">
        <v>113</v>
      </c>
      <c r="BO644" t="s">
        <v>1984</v>
      </c>
      <c r="BP644" t="s">
        <v>370</v>
      </c>
      <c r="BR644" t="s">
        <v>1307</v>
      </c>
      <c r="BW644" t="s">
        <v>1157</v>
      </c>
      <c r="BX644" t="s">
        <v>1158</v>
      </c>
      <c r="BY644" t="s">
        <v>123</v>
      </c>
      <c r="BZ644" t="s">
        <v>124</v>
      </c>
    </row>
    <row r="645" spans="1:78" x14ac:dyDescent="0.3">
      <c r="A645" t="s">
        <v>11</v>
      </c>
      <c r="B645" t="s">
        <v>92</v>
      </c>
      <c r="C645" t="s">
        <v>93</v>
      </c>
      <c r="D645" t="s">
        <v>94</v>
      </c>
      <c r="E645" t="s">
        <v>95</v>
      </c>
      <c r="F645" t="s">
        <v>293</v>
      </c>
      <c r="G645">
        <v>504700</v>
      </c>
      <c r="H645">
        <v>478000</v>
      </c>
      <c r="I645" t="s">
        <v>93</v>
      </c>
      <c r="J645" t="s">
        <v>94</v>
      </c>
      <c r="K645" t="s">
        <v>202</v>
      </c>
      <c r="L645" t="s">
        <v>1979</v>
      </c>
      <c r="M645">
        <v>50000</v>
      </c>
      <c r="N645">
        <v>50000</v>
      </c>
      <c r="AA645" t="s">
        <v>1980</v>
      </c>
      <c r="AB645" t="s">
        <v>1981</v>
      </c>
      <c r="AC645" t="s">
        <v>1982</v>
      </c>
      <c r="AD645" t="s">
        <v>365</v>
      </c>
      <c r="AE645" t="s">
        <v>1447</v>
      </c>
      <c r="AF645" t="s">
        <v>1448</v>
      </c>
      <c r="AG645" t="s">
        <v>102</v>
      </c>
      <c r="AH645" t="s">
        <v>187</v>
      </c>
      <c r="AI645">
        <v>46227.589583333327</v>
      </c>
      <c r="AK645" t="s">
        <v>218</v>
      </c>
      <c r="AL645" t="s">
        <v>105</v>
      </c>
      <c r="AM645" t="s">
        <v>1989</v>
      </c>
      <c r="AN645" t="s">
        <v>107</v>
      </c>
      <c r="AO645" t="s">
        <v>107</v>
      </c>
      <c r="AP645">
        <v>524000</v>
      </c>
      <c r="AQ645">
        <v>0</v>
      </c>
      <c r="AR645">
        <v>524000</v>
      </c>
      <c r="AT645" t="s">
        <v>243</v>
      </c>
      <c r="AZ645" t="s">
        <v>113</v>
      </c>
      <c r="BC645" t="s">
        <v>1160</v>
      </c>
      <c r="BN645" t="s">
        <v>113</v>
      </c>
      <c r="BO645" t="s">
        <v>1984</v>
      </c>
      <c r="BP645" t="s">
        <v>370</v>
      </c>
      <c r="BR645" t="s">
        <v>1307</v>
      </c>
      <c r="BW645" t="s">
        <v>1157</v>
      </c>
      <c r="BX645" t="s">
        <v>1158</v>
      </c>
      <c r="BY645" t="s">
        <v>123</v>
      </c>
      <c r="BZ645" t="s">
        <v>124</v>
      </c>
    </row>
    <row r="646" spans="1:78" x14ac:dyDescent="0.3">
      <c r="A646" t="s">
        <v>2</v>
      </c>
      <c r="B646" t="s">
        <v>92</v>
      </c>
      <c r="C646" t="s">
        <v>93</v>
      </c>
      <c r="D646" t="s">
        <v>94</v>
      </c>
      <c r="E646" t="s">
        <v>95</v>
      </c>
      <c r="F646" t="s">
        <v>1901</v>
      </c>
      <c r="G646">
        <v>489000</v>
      </c>
      <c r="H646">
        <v>489000</v>
      </c>
      <c r="I646" t="s">
        <v>93</v>
      </c>
      <c r="J646" t="s">
        <v>94</v>
      </c>
      <c r="K646" t="s">
        <v>202</v>
      </c>
      <c r="L646" t="s">
        <v>1990</v>
      </c>
      <c r="M646">
        <v>46000</v>
      </c>
      <c r="N646">
        <v>46000</v>
      </c>
      <c r="AA646" t="s">
        <v>1991</v>
      </c>
      <c r="AB646" t="s">
        <v>1992</v>
      </c>
      <c r="AC646" t="s">
        <v>1993</v>
      </c>
      <c r="AD646" t="s">
        <v>365</v>
      </c>
      <c r="AE646" t="s">
        <v>1994</v>
      </c>
      <c r="AF646" t="s">
        <v>1995</v>
      </c>
      <c r="AG646" t="s">
        <v>102</v>
      </c>
      <c r="AH646" t="s">
        <v>781</v>
      </c>
      <c r="AI646">
        <v>46033</v>
      </c>
      <c r="AJ646">
        <v>46027</v>
      </c>
      <c r="AK646" t="s">
        <v>137</v>
      </c>
      <c r="AL646" t="s">
        <v>105</v>
      </c>
      <c r="AM646" t="s">
        <v>1996</v>
      </c>
      <c r="AN646" t="s">
        <v>107</v>
      </c>
      <c r="AO646" t="s">
        <v>107</v>
      </c>
      <c r="AP646">
        <v>53500</v>
      </c>
      <c r="AQ646">
        <v>3000</v>
      </c>
      <c r="AR646">
        <v>0</v>
      </c>
      <c r="AS646" t="s">
        <v>107</v>
      </c>
      <c r="AT646" t="s">
        <v>108</v>
      </c>
      <c r="AU646" t="s">
        <v>109</v>
      </c>
      <c r="AV646" t="s">
        <v>110</v>
      </c>
      <c r="AW646" t="s">
        <v>111</v>
      </c>
      <c r="AY646" t="s">
        <v>1997</v>
      </c>
      <c r="AZ646" t="s">
        <v>113</v>
      </c>
      <c r="BB646" t="s">
        <v>114</v>
      </c>
      <c r="BC646" t="s">
        <v>115</v>
      </c>
      <c r="BN646" t="s">
        <v>116</v>
      </c>
      <c r="BO646" t="s">
        <v>1998</v>
      </c>
      <c r="BP646" t="s">
        <v>370</v>
      </c>
      <c r="BR646" t="s">
        <v>1999</v>
      </c>
      <c r="BS646" t="s">
        <v>2000</v>
      </c>
      <c r="BW646" t="s">
        <v>1157</v>
      </c>
      <c r="BX646" t="s">
        <v>1158</v>
      </c>
      <c r="BY646" t="s">
        <v>123</v>
      </c>
      <c r="BZ646" t="s">
        <v>124</v>
      </c>
    </row>
    <row r="647" spans="1:78" x14ac:dyDescent="0.3">
      <c r="A647" t="s">
        <v>2</v>
      </c>
      <c r="B647" t="s">
        <v>92</v>
      </c>
      <c r="C647" t="s">
        <v>93</v>
      </c>
      <c r="D647" t="s">
        <v>94</v>
      </c>
      <c r="E647" t="s">
        <v>95</v>
      </c>
      <c r="F647" t="s">
        <v>1901</v>
      </c>
      <c r="G647">
        <v>489000</v>
      </c>
      <c r="H647">
        <v>489000</v>
      </c>
      <c r="I647" t="s">
        <v>93</v>
      </c>
      <c r="J647" t="s">
        <v>94</v>
      </c>
      <c r="K647" t="s">
        <v>202</v>
      </c>
      <c r="L647" t="s">
        <v>1990</v>
      </c>
      <c r="M647">
        <v>46000</v>
      </c>
      <c r="N647">
        <v>46000</v>
      </c>
      <c r="AA647" t="s">
        <v>1991</v>
      </c>
      <c r="AB647" t="s">
        <v>1992</v>
      </c>
      <c r="AC647" t="s">
        <v>1993</v>
      </c>
      <c r="AD647" t="s">
        <v>365</v>
      </c>
      <c r="AE647" t="s">
        <v>1994</v>
      </c>
      <c r="AF647" t="s">
        <v>1995</v>
      </c>
      <c r="AG647" t="s">
        <v>102</v>
      </c>
      <c r="AH647" t="s">
        <v>781</v>
      </c>
      <c r="AI647">
        <v>46033</v>
      </c>
      <c r="AJ647">
        <v>46033</v>
      </c>
      <c r="AK647" t="s">
        <v>137</v>
      </c>
      <c r="AL647" t="s">
        <v>105</v>
      </c>
      <c r="AM647" t="s">
        <v>107</v>
      </c>
      <c r="AN647" t="s">
        <v>107</v>
      </c>
      <c r="AO647" t="s">
        <v>107</v>
      </c>
      <c r="AP647">
        <v>0</v>
      </c>
      <c r="AQ647">
        <v>50500</v>
      </c>
      <c r="AR647">
        <v>0</v>
      </c>
      <c r="AS647" t="s">
        <v>107</v>
      </c>
      <c r="AT647" t="s">
        <v>108</v>
      </c>
      <c r="AU647" t="s">
        <v>109</v>
      </c>
      <c r="AV647" t="s">
        <v>110</v>
      </c>
      <c r="AW647" t="s">
        <v>111</v>
      </c>
      <c r="AY647" t="s">
        <v>2001</v>
      </c>
      <c r="AZ647" t="s">
        <v>113</v>
      </c>
      <c r="BB647" t="s">
        <v>114</v>
      </c>
      <c r="BC647" t="s">
        <v>115</v>
      </c>
      <c r="BN647" t="s">
        <v>116</v>
      </c>
      <c r="BO647" t="s">
        <v>1998</v>
      </c>
      <c r="BP647" t="s">
        <v>370</v>
      </c>
      <c r="BR647" t="s">
        <v>1999</v>
      </c>
      <c r="BS647" t="s">
        <v>2002</v>
      </c>
      <c r="BW647" t="s">
        <v>1157</v>
      </c>
      <c r="BX647" t="s">
        <v>1158</v>
      </c>
      <c r="BY647" t="s">
        <v>123</v>
      </c>
      <c r="BZ647" t="s">
        <v>124</v>
      </c>
    </row>
    <row r="648" spans="1:78" x14ac:dyDescent="0.3">
      <c r="A648" t="s">
        <v>2</v>
      </c>
      <c r="B648" t="s">
        <v>92</v>
      </c>
      <c r="C648" t="s">
        <v>93</v>
      </c>
      <c r="D648" t="s">
        <v>94</v>
      </c>
      <c r="E648" t="s">
        <v>95</v>
      </c>
      <c r="F648" t="s">
        <v>1901</v>
      </c>
      <c r="G648">
        <v>489000</v>
      </c>
      <c r="H648">
        <v>489000</v>
      </c>
      <c r="I648" t="s">
        <v>93</v>
      </c>
      <c r="J648" t="s">
        <v>94</v>
      </c>
      <c r="K648" t="s">
        <v>202</v>
      </c>
      <c r="L648" t="s">
        <v>1990</v>
      </c>
      <c r="M648">
        <v>46000</v>
      </c>
      <c r="N648">
        <v>46000</v>
      </c>
      <c r="AA648" t="s">
        <v>1991</v>
      </c>
      <c r="AB648" t="s">
        <v>1992</v>
      </c>
      <c r="AC648" t="s">
        <v>1993</v>
      </c>
      <c r="AD648" t="s">
        <v>365</v>
      </c>
      <c r="AE648" t="s">
        <v>1994</v>
      </c>
      <c r="AF648" t="s">
        <v>1995</v>
      </c>
      <c r="AG648" t="s">
        <v>102</v>
      </c>
      <c r="AH648" t="s">
        <v>781</v>
      </c>
      <c r="AI648">
        <v>46081</v>
      </c>
      <c r="AJ648">
        <v>46053</v>
      </c>
      <c r="AK648" t="s">
        <v>218</v>
      </c>
      <c r="AL648" t="s">
        <v>105</v>
      </c>
      <c r="AM648" t="s">
        <v>2003</v>
      </c>
      <c r="AN648" t="s">
        <v>107</v>
      </c>
      <c r="AO648" t="s">
        <v>107</v>
      </c>
      <c r="AP648">
        <v>481500</v>
      </c>
      <c r="AQ648">
        <v>481500</v>
      </c>
      <c r="AR648">
        <v>0</v>
      </c>
      <c r="AS648" t="s">
        <v>107</v>
      </c>
      <c r="AT648" t="s">
        <v>108</v>
      </c>
      <c r="AU648" t="s">
        <v>109</v>
      </c>
      <c r="AV648" t="s">
        <v>110</v>
      </c>
      <c r="AW648" t="s">
        <v>111</v>
      </c>
      <c r="AY648" t="s">
        <v>2004</v>
      </c>
      <c r="AZ648" t="s">
        <v>113</v>
      </c>
      <c r="BB648" t="s">
        <v>114</v>
      </c>
      <c r="BC648" t="s">
        <v>115</v>
      </c>
      <c r="BN648" t="s">
        <v>116</v>
      </c>
      <c r="BO648" t="s">
        <v>1998</v>
      </c>
      <c r="BP648" t="s">
        <v>370</v>
      </c>
      <c r="BR648" t="s">
        <v>1999</v>
      </c>
      <c r="BS648" t="s">
        <v>2005</v>
      </c>
      <c r="BW648" t="s">
        <v>1157</v>
      </c>
      <c r="BX648" t="s">
        <v>1158</v>
      </c>
      <c r="BY648" t="s">
        <v>123</v>
      </c>
      <c r="BZ648" t="s">
        <v>124</v>
      </c>
    </row>
    <row r="649" spans="1:78" x14ac:dyDescent="0.3">
      <c r="A649" t="s">
        <v>2</v>
      </c>
      <c r="B649" t="s">
        <v>92</v>
      </c>
      <c r="C649" t="s">
        <v>93</v>
      </c>
      <c r="D649" t="s">
        <v>94</v>
      </c>
      <c r="E649" t="s">
        <v>95</v>
      </c>
      <c r="F649" t="s">
        <v>444</v>
      </c>
      <c r="G649">
        <v>417700</v>
      </c>
      <c r="H649">
        <v>417700</v>
      </c>
      <c r="AA649" t="s">
        <v>1148</v>
      </c>
      <c r="AB649" t="s">
        <v>1149</v>
      </c>
      <c r="AC649" t="s">
        <v>1150</v>
      </c>
      <c r="AD649" t="s">
        <v>1151</v>
      </c>
      <c r="AE649" t="s">
        <v>1152</v>
      </c>
      <c r="AF649" t="s">
        <v>1153</v>
      </c>
      <c r="AG649" t="s">
        <v>102</v>
      </c>
      <c r="AH649" t="s">
        <v>131</v>
      </c>
      <c r="AI649">
        <v>46241.503472222219</v>
      </c>
      <c r="AJ649">
        <v>45887</v>
      </c>
      <c r="AK649" t="s">
        <v>137</v>
      </c>
      <c r="AL649" t="s">
        <v>105</v>
      </c>
      <c r="AM649" t="s">
        <v>1887</v>
      </c>
      <c r="AN649" t="s">
        <v>107</v>
      </c>
      <c r="AO649" t="s">
        <v>107</v>
      </c>
      <c r="AP649">
        <v>47000</v>
      </c>
      <c r="AQ649">
        <v>47000</v>
      </c>
      <c r="AR649">
        <v>0</v>
      </c>
      <c r="AS649" t="s">
        <v>107</v>
      </c>
      <c r="AT649" t="s">
        <v>108</v>
      </c>
      <c r="AU649" t="s">
        <v>109</v>
      </c>
      <c r="AV649" t="s">
        <v>110</v>
      </c>
      <c r="AW649" t="s">
        <v>111</v>
      </c>
      <c r="AY649" t="s">
        <v>2006</v>
      </c>
      <c r="AZ649" t="s">
        <v>113</v>
      </c>
      <c r="BB649" t="s">
        <v>114</v>
      </c>
      <c r="BC649" t="s">
        <v>115</v>
      </c>
      <c r="BN649" t="s">
        <v>116</v>
      </c>
      <c r="BO649" t="s">
        <v>1155</v>
      </c>
      <c r="BP649" t="s">
        <v>166</v>
      </c>
      <c r="BR649" t="s">
        <v>985</v>
      </c>
      <c r="BS649" t="s">
        <v>2007</v>
      </c>
      <c r="BW649" t="s">
        <v>1157</v>
      </c>
      <c r="BX649" t="s">
        <v>1158</v>
      </c>
      <c r="BY649" t="s">
        <v>123</v>
      </c>
      <c r="BZ649" t="s">
        <v>124</v>
      </c>
    </row>
    <row r="650" spans="1:78" x14ac:dyDescent="0.3">
      <c r="A650" t="s">
        <v>2</v>
      </c>
      <c r="B650" t="s">
        <v>92</v>
      </c>
      <c r="C650" t="s">
        <v>93</v>
      </c>
      <c r="D650" t="s">
        <v>94</v>
      </c>
      <c r="E650" t="s">
        <v>95</v>
      </c>
      <c r="F650" t="s">
        <v>444</v>
      </c>
      <c r="G650">
        <v>417700</v>
      </c>
      <c r="H650">
        <v>417700</v>
      </c>
      <c r="AA650" t="s">
        <v>1148</v>
      </c>
      <c r="AB650" t="s">
        <v>1149</v>
      </c>
      <c r="AC650" t="s">
        <v>1150</v>
      </c>
      <c r="AD650" t="s">
        <v>1151</v>
      </c>
      <c r="AE650" t="s">
        <v>1152</v>
      </c>
      <c r="AF650" t="s">
        <v>1153</v>
      </c>
      <c r="AG650" t="s">
        <v>102</v>
      </c>
      <c r="AH650" t="s">
        <v>131</v>
      </c>
      <c r="AI650">
        <v>46272.503472222219</v>
      </c>
      <c r="AJ650">
        <v>45929</v>
      </c>
      <c r="AK650" t="s">
        <v>218</v>
      </c>
      <c r="AL650" t="s">
        <v>105</v>
      </c>
      <c r="AM650" t="s">
        <v>2008</v>
      </c>
      <c r="AN650" t="s">
        <v>107</v>
      </c>
      <c r="AO650" t="s">
        <v>107</v>
      </c>
      <c r="AP650">
        <v>367700</v>
      </c>
      <c r="AQ650">
        <v>367700</v>
      </c>
      <c r="AR650">
        <v>0</v>
      </c>
      <c r="AS650" t="s">
        <v>107</v>
      </c>
      <c r="AT650" t="s">
        <v>108</v>
      </c>
      <c r="AU650" t="s">
        <v>109</v>
      </c>
      <c r="AV650" t="s">
        <v>110</v>
      </c>
      <c r="AW650" t="s">
        <v>111</v>
      </c>
      <c r="AY650" t="s">
        <v>2009</v>
      </c>
      <c r="AZ650" t="s">
        <v>113</v>
      </c>
      <c r="BB650" t="s">
        <v>114</v>
      </c>
      <c r="BC650" t="s">
        <v>115</v>
      </c>
      <c r="BN650" t="s">
        <v>116</v>
      </c>
      <c r="BO650" t="s">
        <v>1155</v>
      </c>
      <c r="BP650" t="s">
        <v>166</v>
      </c>
      <c r="BR650" t="s">
        <v>985</v>
      </c>
      <c r="BS650" t="s">
        <v>2010</v>
      </c>
      <c r="BW650" t="s">
        <v>1157</v>
      </c>
      <c r="BX650" t="s">
        <v>1158</v>
      </c>
      <c r="BY650" t="s">
        <v>123</v>
      </c>
      <c r="BZ650" t="s">
        <v>124</v>
      </c>
    </row>
    <row r="651" spans="1:78" x14ac:dyDescent="0.3">
      <c r="A651" t="s">
        <v>11</v>
      </c>
      <c r="B651" t="s">
        <v>92</v>
      </c>
      <c r="C651" t="s">
        <v>93</v>
      </c>
      <c r="D651" t="s">
        <v>94</v>
      </c>
      <c r="E651" t="s">
        <v>95</v>
      </c>
      <c r="F651" t="s">
        <v>1161</v>
      </c>
      <c r="G651">
        <v>482100</v>
      </c>
      <c r="H651">
        <v>482100</v>
      </c>
      <c r="I651" t="s">
        <v>93</v>
      </c>
      <c r="J651" t="s">
        <v>94</v>
      </c>
      <c r="K651" t="s">
        <v>202</v>
      </c>
      <c r="L651" t="s">
        <v>1162</v>
      </c>
      <c r="M651">
        <v>54000</v>
      </c>
      <c r="N651">
        <v>54000</v>
      </c>
      <c r="AA651" t="s">
        <v>1163</v>
      </c>
      <c r="AB651" t="s">
        <v>1164</v>
      </c>
      <c r="AC651" t="s">
        <v>1165</v>
      </c>
      <c r="AD651" t="s">
        <v>365</v>
      </c>
      <c r="AE651" t="s">
        <v>1166</v>
      </c>
      <c r="AF651" t="s">
        <v>1167</v>
      </c>
      <c r="AG651" t="s">
        <v>102</v>
      </c>
      <c r="AH651" t="s">
        <v>489</v>
      </c>
      <c r="AI651">
        <v>46446</v>
      </c>
      <c r="AK651" t="s">
        <v>218</v>
      </c>
      <c r="AL651" t="s">
        <v>105</v>
      </c>
      <c r="AM651" t="s">
        <v>2011</v>
      </c>
      <c r="AN651" t="s">
        <v>107</v>
      </c>
      <c r="AO651" t="s">
        <v>107</v>
      </c>
      <c r="AP651">
        <v>428880</v>
      </c>
      <c r="AQ651">
        <v>0</v>
      </c>
      <c r="AR651">
        <v>428880</v>
      </c>
      <c r="AT651" t="s">
        <v>243</v>
      </c>
      <c r="AZ651" t="s">
        <v>113</v>
      </c>
      <c r="BC651" t="s">
        <v>1160</v>
      </c>
      <c r="BN651" t="s">
        <v>113</v>
      </c>
      <c r="BO651" t="s">
        <v>1169</v>
      </c>
      <c r="BP651" t="s">
        <v>370</v>
      </c>
      <c r="BR651" t="s">
        <v>532</v>
      </c>
      <c r="BW651" t="s">
        <v>2012</v>
      </c>
      <c r="BX651" t="s">
        <v>2013</v>
      </c>
      <c r="BY651" t="s">
        <v>123</v>
      </c>
      <c r="BZ651" t="s">
        <v>124</v>
      </c>
    </row>
    <row r="652" spans="1:78" x14ac:dyDescent="0.3">
      <c r="A652" t="s">
        <v>11</v>
      </c>
      <c r="B652" t="s">
        <v>92</v>
      </c>
      <c r="C652" t="s">
        <v>93</v>
      </c>
      <c r="D652" t="s">
        <v>94</v>
      </c>
      <c r="E652" t="s">
        <v>95</v>
      </c>
      <c r="F652" t="s">
        <v>1233</v>
      </c>
      <c r="G652">
        <v>504700</v>
      </c>
      <c r="H652">
        <v>455000</v>
      </c>
      <c r="I652" t="s">
        <v>93</v>
      </c>
      <c r="J652" t="s">
        <v>94</v>
      </c>
      <c r="K652" t="s">
        <v>202</v>
      </c>
      <c r="L652" t="s">
        <v>1234</v>
      </c>
      <c r="M652">
        <v>47500</v>
      </c>
      <c r="N652">
        <v>47500</v>
      </c>
      <c r="AA652" t="s">
        <v>1235</v>
      </c>
      <c r="AB652" t="s">
        <v>1236</v>
      </c>
      <c r="AC652" t="s">
        <v>1237</v>
      </c>
      <c r="AD652" t="s">
        <v>365</v>
      </c>
      <c r="AE652" t="s">
        <v>1238</v>
      </c>
      <c r="AF652" t="s">
        <v>1239</v>
      </c>
      <c r="AG652" t="s">
        <v>102</v>
      </c>
      <c r="AH652" t="s">
        <v>131</v>
      </c>
      <c r="AI652">
        <v>46446</v>
      </c>
      <c r="AK652" t="s">
        <v>137</v>
      </c>
      <c r="AL652" t="s">
        <v>152</v>
      </c>
      <c r="AM652" t="s">
        <v>558</v>
      </c>
      <c r="AN652" t="s">
        <v>107</v>
      </c>
      <c r="AO652" t="s">
        <v>107</v>
      </c>
      <c r="AP652">
        <v>50000</v>
      </c>
      <c r="AQ652">
        <v>0</v>
      </c>
      <c r="AR652">
        <v>50000</v>
      </c>
      <c r="AT652" t="s">
        <v>108</v>
      </c>
      <c r="AZ652" t="s">
        <v>113</v>
      </c>
      <c r="BC652" t="s">
        <v>1160</v>
      </c>
      <c r="BN652" t="s">
        <v>113</v>
      </c>
      <c r="BO652" t="s">
        <v>1241</v>
      </c>
      <c r="BP652" t="s">
        <v>118</v>
      </c>
      <c r="BR652" t="s">
        <v>554</v>
      </c>
      <c r="BW652" t="s">
        <v>2012</v>
      </c>
      <c r="BX652" t="s">
        <v>2013</v>
      </c>
      <c r="BY652" t="s">
        <v>123</v>
      </c>
      <c r="BZ652" t="s">
        <v>124</v>
      </c>
    </row>
    <row r="653" spans="1:78" x14ac:dyDescent="0.3">
      <c r="A653" t="s">
        <v>11</v>
      </c>
      <c r="B653" t="s">
        <v>92</v>
      </c>
      <c r="C653" t="s">
        <v>93</v>
      </c>
      <c r="D653" t="s">
        <v>94</v>
      </c>
      <c r="E653" t="s">
        <v>95</v>
      </c>
      <c r="F653" t="s">
        <v>1233</v>
      </c>
      <c r="G653">
        <v>504700</v>
      </c>
      <c r="H653">
        <v>455000</v>
      </c>
      <c r="I653" t="s">
        <v>93</v>
      </c>
      <c r="J653" t="s">
        <v>94</v>
      </c>
      <c r="K653" t="s">
        <v>202</v>
      </c>
      <c r="L653" t="s">
        <v>1234</v>
      </c>
      <c r="M653">
        <v>47500</v>
      </c>
      <c r="N653">
        <v>47500</v>
      </c>
      <c r="AA653" t="s">
        <v>1235</v>
      </c>
      <c r="AB653" t="s">
        <v>1236</v>
      </c>
      <c r="AC653" t="s">
        <v>1237</v>
      </c>
      <c r="AD653" t="s">
        <v>365</v>
      </c>
      <c r="AE653" t="s">
        <v>1238</v>
      </c>
      <c r="AF653" t="s">
        <v>1239</v>
      </c>
      <c r="AG653" t="s">
        <v>102</v>
      </c>
      <c r="AH653" t="s">
        <v>131</v>
      </c>
      <c r="AI653">
        <v>46598</v>
      </c>
      <c r="AK653" t="s">
        <v>218</v>
      </c>
      <c r="AL653" t="s">
        <v>105</v>
      </c>
      <c r="AM653" t="s">
        <v>2014</v>
      </c>
      <c r="AN653" t="s">
        <v>107</v>
      </c>
      <c r="AO653" t="s">
        <v>107</v>
      </c>
      <c r="AP653">
        <v>352250</v>
      </c>
      <c r="AQ653">
        <v>0</v>
      </c>
      <c r="AR653">
        <v>352250</v>
      </c>
      <c r="AT653" t="s">
        <v>108</v>
      </c>
      <c r="AZ653" t="s">
        <v>113</v>
      </c>
      <c r="BC653" t="s">
        <v>1160</v>
      </c>
      <c r="BN653" t="s">
        <v>113</v>
      </c>
      <c r="BO653" t="s">
        <v>1241</v>
      </c>
      <c r="BP653" t="s">
        <v>118</v>
      </c>
      <c r="BR653" t="s">
        <v>554</v>
      </c>
      <c r="BW653" t="s">
        <v>2012</v>
      </c>
      <c r="BX653" t="s">
        <v>2013</v>
      </c>
      <c r="BY653" t="s">
        <v>123</v>
      </c>
      <c r="BZ653" t="s">
        <v>124</v>
      </c>
    </row>
    <row r="654" spans="1:78" x14ac:dyDescent="0.3">
      <c r="A654" t="s">
        <v>11</v>
      </c>
      <c r="B654" t="s">
        <v>92</v>
      </c>
      <c r="C654" t="s">
        <v>93</v>
      </c>
      <c r="D654" t="s">
        <v>94</v>
      </c>
      <c r="E654" t="s">
        <v>95</v>
      </c>
      <c r="F654" t="s">
        <v>1267</v>
      </c>
      <c r="G654">
        <v>422000</v>
      </c>
      <c r="H654">
        <v>370000</v>
      </c>
      <c r="AA654" t="s">
        <v>1268</v>
      </c>
      <c r="AB654" t="s">
        <v>1269</v>
      </c>
      <c r="AC654" t="s">
        <v>1270</v>
      </c>
      <c r="AD654" t="s">
        <v>365</v>
      </c>
      <c r="AE654" t="s">
        <v>1271</v>
      </c>
      <c r="AF654" t="s">
        <v>1272</v>
      </c>
      <c r="AG654" t="s">
        <v>102</v>
      </c>
      <c r="AH654" t="s">
        <v>771</v>
      </c>
      <c r="AI654">
        <v>46598</v>
      </c>
      <c r="AK654" t="s">
        <v>218</v>
      </c>
      <c r="AL654" t="s">
        <v>142</v>
      </c>
      <c r="AM654" t="s">
        <v>2015</v>
      </c>
      <c r="AN654" t="s">
        <v>107</v>
      </c>
      <c r="AO654" t="s">
        <v>107</v>
      </c>
      <c r="AP654">
        <v>240500</v>
      </c>
      <c r="AQ654">
        <v>0</v>
      </c>
      <c r="AR654">
        <v>240500</v>
      </c>
      <c r="AT654" t="s">
        <v>161</v>
      </c>
      <c r="AZ654" t="s">
        <v>113</v>
      </c>
      <c r="BC654" t="s">
        <v>1160</v>
      </c>
      <c r="BN654" t="s">
        <v>113</v>
      </c>
      <c r="BO654" t="s">
        <v>1274</v>
      </c>
      <c r="BP654" t="s">
        <v>370</v>
      </c>
      <c r="BR654" t="s">
        <v>985</v>
      </c>
      <c r="BW654" t="s">
        <v>2012</v>
      </c>
      <c r="BX654" t="s">
        <v>2013</v>
      </c>
      <c r="BY654" t="s">
        <v>123</v>
      </c>
      <c r="BZ654" t="s">
        <v>124</v>
      </c>
    </row>
    <row r="655" spans="1:78" x14ac:dyDescent="0.3">
      <c r="A655" t="s">
        <v>11</v>
      </c>
      <c r="B655" t="s">
        <v>92</v>
      </c>
      <c r="C655" t="s">
        <v>93</v>
      </c>
      <c r="D655" t="s">
        <v>94</v>
      </c>
      <c r="E655" t="s">
        <v>95</v>
      </c>
      <c r="F655" t="s">
        <v>1039</v>
      </c>
      <c r="G655">
        <v>504700</v>
      </c>
      <c r="H655">
        <v>470000</v>
      </c>
      <c r="I655" t="s">
        <v>93</v>
      </c>
      <c r="J655" t="s">
        <v>94</v>
      </c>
      <c r="K655" t="s">
        <v>202</v>
      </c>
      <c r="L655" t="s">
        <v>1355</v>
      </c>
      <c r="M655">
        <v>51500</v>
      </c>
      <c r="N655">
        <v>51500</v>
      </c>
      <c r="AA655" t="s">
        <v>1356</v>
      </c>
      <c r="AB655" t="s">
        <v>1357</v>
      </c>
      <c r="AC655" t="s">
        <v>1358</v>
      </c>
      <c r="AD655" t="s">
        <v>365</v>
      </c>
      <c r="AE655" t="s">
        <v>1359</v>
      </c>
      <c r="AF655" t="s">
        <v>1360</v>
      </c>
      <c r="AG655" t="s">
        <v>102</v>
      </c>
      <c r="AH655" t="s">
        <v>781</v>
      </c>
      <c r="AI655">
        <v>46477</v>
      </c>
      <c r="AK655" t="s">
        <v>218</v>
      </c>
      <c r="AL655" t="s">
        <v>146</v>
      </c>
      <c r="AM655" t="s">
        <v>1365</v>
      </c>
      <c r="AN655" t="s">
        <v>107</v>
      </c>
      <c r="AO655" t="s">
        <v>107</v>
      </c>
      <c r="AP655">
        <v>107750</v>
      </c>
      <c r="AQ655">
        <v>0</v>
      </c>
      <c r="AR655">
        <v>107750</v>
      </c>
      <c r="AT655" t="s">
        <v>108</v>
      </c>
      <c r="AZ655" t="s">
        <v>113</v>
      </c>
      <c r="BC655" t="s">
        <v>1160</v>
      </c>
      <c r="BN655" t="s">
        <v>113</v>
      </c>
      <c r="BO655" t="s">
        <v>1362</v>
      </c>
      <c r="BP655" t="s">
        <v>370</v>
      </c>
      <c r="BR655" t="s">
        <v>119</v>
      </c>
      <c r="BW655" t="s">
        <v>2012</v>
      </c>
      <c r="BX655" t="s">
        <v>2013</v>
      </c>
      <c r="BY655" t="s">
        <v>123</v>
      </c>
      <c r="BZ655" t="s">
        <v>124</v>
      </c>
    </row>
    <row r="656" spans="1:78" x14ac:dyDescent="0.3">
      <c r="A656" t="s">
        <v>11</v>
      </c>
      <c r="B656" t="s">
        <v>92</v>
      </c>
      <c r="C656" t="s">
        <v>93</v>
      </c>
      <c r="D656" t="s">
        <v>94</v>
      </c>
      <c r="E656" t="s">
        <v>95</v>
      </c>
      <c r="F656" t="s">
        <v>1039</v>
      </c>
      <c r="G656">
        <v>504700</v>
      </c>
      <c r="H656">
        <v>470000</v>
      </c>
      <c r="I656" t="s">
        <v>93</v>
      </c>
      <c r="J656" t="s">
        <v>94</v>
      </c>
      <c r="K656" t="s">
        <v>202</v>
      </c>
      <c r="L656" t="s">
        <v>1355</v>
      </c>
      <c r="M656">
        <v>51500</v>
      </c>
      <c r="N656">
        <v>51500</v>
      </c>
      <c r="AA656" t="s">
        <v>1356</v>
      </c>
      <c r="AB656" t="s">
        <v>1357</v>
      </c>
      <c r="AC656" t="s">
        <v>1358</v>
      </c>
      <c r="AD656" t="s">
        <v>365</v>
      </c>
      <c r="AE656" t="s">
        <v>1359</v>
      </c>
      <c r="AF656" t="s">
        <v>1360</v>
      </c>
      <c r="AG656" t="s">
        <v>102</v>
      </c>
      <c r="AH656" t="s">
        <v>781</v>
      </c>
      <c r="AI656">
        <v>46599</v>
      </c>
      <c r="AK656" t="s">
        <v>218</v>
      </c>
      <c r="AL656" t="s">
        <v>152</v>
      </c>
      <c r="AM656" t="s">
        <v>1365</v>
      </c>
      <c r="AN656" t="s">
        <v>107</v>
      </c>
      <c r="AO656" t="s">
        <v>107</v>
      </c>
      <c r="AP656">
        <v>107750</v>
      </c>
      <c r="AQ656">
        <v>0</v>
      </c>
      <c r="AR656">
        <v>107750</v>
      </c>
      <c r="AT656" t="s">
        <v>108</v>
      </c>
      <c r="AZ656" t="s">
        <v>113</v>
      </c>
      <c r="BC656" t="s">
        <v>1160</v>
      </c>
      <c r="BN656" t="s">
        <v>113</v>
      </c>
      <c r="BO656" t="s">
        <v>1362</v>
      </c>
      <c r="BP656" t="s">
        <v>370</v>
      </c>
      <c r="BR656" t="s">
        <v>119</v>
      </c>
      <c r="BW656" t="s">
        <v>2012</v>
      </c>
      <c r="BX656" t="s">
        <v>2013</v>
      </c>
      <c r="BY656" t="s">
        <v>123</v>
      </c>
      <c r="BZ656" t="s">
        <v>124</v>
      </c>
    </row>
    <row r="657" spans="1:78" x14ac:dyDescent="0.3">
      <c r="A657" t="s">
        <v>11</v>
      </c>
      <c r="B657" t="s">
        <v>92</v>
      </c>
      <c r="C657" t="s">
        <v>93</v>
      </c>
      <c r="D657" t="s">
        <v>94</v>
      </c>
      <c r="E657" t="s">
        <v>95</v>
      </c>
      <c r="F657" t="s">
        <v>1385</v>
      </c>
      <c r="G657">
        <v>520100</v>
      </c>
      <c r="H657">
        <v>467100</v>
      </c>
      <c r="AA657" t="s">
        <v>1386</v>
      </c>
      <c r="AB657" t="s">
        <v>1387</v>
      </c>
      <c r="AC657" t="s">
        <v>1388</v>
      </c>
      <c r="AD657" t="s">
        <v>365</v>
      </c>
      <c r="AE657" t="s">
        <v>1389</v>
      </c>
      <c r="AF657" t="s">
        <v>1390</v>
      </c>
      <c r="AG657" t="s">
        <v>102</v>
      </c>
      <c r="AH657" t="s">
        <v>634</v>
      </c>
      <c r="AI657">
        <v>46417</v>
      </c>
      <c r="AK657" t="s">
        <v>218</v>
      </c>
      <c r="AL657" t="s">
        <v>597</v>
      </c>
      <c r="AM657" t="s">
        <v>398</v>
      </c>
      <c r="AN657" t="s">
        <v>107</v>
      </c>
      <c r="AO657" t="s">
        <v>107</v>
      </c>
      <c r="AP657">
        <v>10000</v>
      </c>
      <c r="AQ657">
        <v>0</v>
      </c>
      <c r="AR657">
        <v>10000</v>
      </c>
      <c r="AT657" t="s">
        <v>161</v>
      </c>
      <c r="AZ657" t="s">
        <v>113</v>
      </c>
      <c r="BC657" t="s">
        <v>1160</v>
      </c>
      <c r="BN657" t="s">
        <v>113</v>
      </c>
      <c r="BO657" t="s">
        <v>1392</v>
      </c>
      <c r="BP657" t="s">
        <v>370</v>
      </c>
      <c r="BR657" t="s">
        <v>454</v>
      </c>
      <c r="BW657" t="s">
        <v>2012</v>
      </c>
      <c r="BX657" t="s">
        <v>2013</v>
      </c>
      <c r="BY657" t="s">
        <v>123</v>
      </c>
      <c r="BZ657" t="s">
        <v>124</v>
      </c>
    </row>
    <row r="658" spans="1:78" x14ac:dyDescent="0.3">
      <c r="A658" t="s">
        <v>11</v>
      </c>
      <c r="B658" t="s">
        <v>92</v>
      </c>
      <c r="C658" t="s">
        <v>93</v>
      </c>
      <c r="D658" t="s">
        <v>94</v>
      </c>
      <c r="E658" t="s">
        <v>95</v>
      </c>
      <c r="F658" t="s">
        <v>1385</v>
      </c>
      <c r="G658">
        <v>520100</v>
      </c>
      <c r="H658">
        <v>467100</v>
      </c>
      <c r="AA658" t="s">
        <v>1386</v>
      </c>
      <c r="AB658" t="s">
        <v>1387</v>
      </c>
      <c r="AC658" t="s">
        <v>1388</v>
      </c>
      <c r="AD658" t="s">
        <v>365</v>
      </c>
      <c r="AE658" t="s">
        <v>1389</v>
      </c>
      <c r="AF658" t="s">
        <v>1390</v>
      </c>
      <c r="AG658" t="s">
        <v>102</v>
      </c>
      <c r="AH658" t="s">
        <v>634</v>
      </c>
      <c r="AI658">
        <v>46446</v>
      </c>
      <c r="AK658" t="s">
        <v>218</v>
      </c>
      <c r="AL658" t="s">
        <v>599</v>
      </c>
      <c r="AM658" t="s">
        <v>398</v>
      </c>
      <c r="AN658" t="s">
        <v>107</v>
      </c>
      <c r="AO658" t="s">
        <v>107</v>
      </c>
      <c r="AP658">
        <v>10000</v>
      </c>
      <c r="AQ658">
        <v>0</v>
      </c>
      <c r="AR658">
        <v>10000</v>
      </c>
      <c r="AT658" t="s">
        <v>161</v>
      </c>
      <c r="AZ658" t="s">
        <v>113</v>
      </c>
      <c r="BC658" t="s">
        <v>1160</v>
      </c>
      <c r="BN658" t="s">
        <v>113</v>
      </c>
      <c r="BO658" t="s">
        <v>1392</v>
      </c>
      <c r="BP658" t="s">
        <v>370</v>
      </c>
      <c r="BR658" t="s">
        <v>454</v>
      </c>
      <c r="BW658" t="s">
        <v>2012</v>
      </c>
      <c r="BX658" t="s">
        <v>2013</v>
      </c>
      <c r="BY658" t="s">
        <v>123</v>
      </c>
      <c r="BZ658" t="s">
        <v>124</v>
      </c>
    </row>
    <row r="659" spans="1:78" x14ac:dyDescent="0.3">
      <c r="A659" t="s">
        <v>11</v>
      </c>
      <c r="B659" t="s">
        <v>92</v>
      </c>
      <c r="C659" t="s">
        <v>93</v>
      </c>
      <c r="D659" t="s">
        <v>94</v>
      </c>
      <c r="E659" t="s">
        <v>95</v>
      </c>
      <c r="F659" t="s">
        <v>1385</v>
      </c>
      <c r="G659">
        <v>520100</v>
      </c>
      <c r="H659">
        <v>467100</v>
      </c>
      <c r="AA659" t="s">
        <v>1386</v>
      </c>
      <c r="AB659" t="s">
        <v>1387</v>
      </c>
      <c r="AC659" t="s">
        <v>1388</v>
      </c>
      <c r="AD659" t="s">
        <v>365</v>
      </c>
      <c r="AE659" t="s">
        <v>1389</v>
      </c>
      <c r="AF659" t="s">
        <v>1390</v>
      </c>
      <c r="AG659" t="s">
        <v>102</v>
      </c>
      <c r="AH659" t="s">
        <v>634</v>
      </c>
      <c r="AI659">
        <v>46476</v>
      </c>
      <c r="AK659" t="s">
        <v>218</v>
      </c>
      <c r="AL659" t="s">
        <v>1262</v>
      </c>
      <c r="AM659" t="s">
        <v>398</v>
      </c>
      <c r="AN659" t="s">
        <v>107</v>
      </c>
      <c r="AO659" t="s">
        <v>107</v>
      </c>
      <c r="AP659">
        <v>10000</v>
      </c>
      <c r="AQ659">
        <v>0</v>
      </c>
      <c r="AR659">
        <v>10000</v>
      </c>
      <c r="AT659" t="s">
        <v>161</v>
      </c>
      <c r="AZ659" t="s">
        <v>113</v>
      </c>
      <c r="BC659" t="s">
        <v>1160</v>
      </c>
      <c r="BN659" t="s">
        <v>113</v>
      </c>
      <c r="BO659" t="s">
        <v>1392</v>
      </c>
      <c r="BP659" t="s">
        <v>370</v>
      </c>
      <c r="BR659" t="s">
        <v>454</v>
      </c>
      <c r="BW659" t="s">
        <v>2012</v>
      </c>
      <c r="BX659" t="s">
        <v>2013</v>
      </c>
      <c r="BY659" t="s">
        <v>123</v>
      </c>
      <c r="BZ659" t="s">
        <v>124</v>
      </c>
    </row>
    <row r="660" spans="1:78" x14ac:dyDescent="0.3">
      <c r="A660" t="s">
        <v>11</v>
      </c>
      <c r="B660" t="s">
        <v>92</v>
      </c>
      <c r="C660" t="s">
        <v>93</v>
      </c>
      <c r="D660" t="s">
        <v>94</v>
      </c>
      <c r="E660" t="s">
        <v>95</v>
      </c>
      <c r="F660" t="s">
        <v>1385</v>
      </c>
      <c r="G660">
        <v>520100</v>
      </c>
      <c r="H660">
        <v>467100</v>
      </c>
      <c r="AA660" t="s">
        <v>1386</v>
      </c>
      <c r="AB660" t="s">
        <v>1387</v>
      </c>
      <c r="AC660" t="s">
        <v>1388</v>
      </c>
      <c r="AD660" t="s">
        <v>365</v>
      </c>
      <c r="AE660" t="s">
        <v>1389</v>
      </c>
      <c r="AF660" t="s">
        <v>1390</v>
      </c>
      <c r="AG660" t="s">
        <v>102</v>
      </c>
      <c r="AH660" t="s">
        <v>634</v>
      </c>
      <c r="AI660">
        <v>46507</v>
      </c>
      <c r="AK660" t="s">
        <v>218</v>
      </c>
      <c r="AL660" t="s">
        <v>1382</v>
      </c>
      <c r="AM660" t="s">
        <v>398</v>
      </c>
      <c r="AN660" t="s">
        <v>107</v>
      </c>
      <c r="AO660" t="s">
        <v>107</v>
      </c>
      <c r="AP660">
        <v>10000</v>
      </c>
      <c r="AQ660">
        <v>0</v>
      </c>
      <c r="AR660">
        <v>10000</v>
      </c>
      <c r="AT660" t="s">
        <v>161</v>
      </c>
      <c r="AZ660" t="s">
        <v>113</v>
      </c>
      <c r="BC660" t="s">
        <v>1160</v>
      </c>
      <c r="BN660" t="s">
        <v>113</v>
      </c>
      <c r="BO660" t="s">
        <v>1392</v>
      </c>
      <c r="BP660" t="s">
        <v>370</v>
      </c>
      <c r="BR660" t="s">
        <v>454</v>
      </c>
      <c r="BW660" t="s">
        <v>2012</v>
      </c>
      <c r="BX660" t="s">
        <v>2013</v>
      </c>
      <c r="BY660" t="s">
        <v>123</v>
      </c>
      <c r="BZ660" t="s">
        <v>124</v>
      </c>
    </row>
    <row r="661" spans="1:78" x14ac:dyDescent="0.3">
      <c r="A661" t="s">
        <v>11</v>
      </c>
      <c r="B661" t="s">
        <v>92</v>
      </c>
      <c r="C661" t="s">
        <v>93</v>
      </c>
      <c r="D661" t="s">
        <v>94</v>
      </c>
      <c r="E661" t="s">
        <v>95</v>
      </c>
      <c r="F661" t="s">
        <v>1385</v>
      </c>
      <c r="G661">
        <v>520100</v>
      </c>
      <c r="H661">
        <v>467100</v>
      </c>
      <c r="AA661" t="s">
        <v>1386</v>
      </c>
      <c r="AB661" t="s">
        <v>1387</v>
      </c>
      <c r="AC661" t="s">
        <v>1388</v>
      </c>
      <c r="AD661" t="s">
        <v>365</v>
      </c>
      <c r="AE661" t="s">
        <v>1389</v>
      </c>
      <c r="AF661" t="s">
        <v>1390</v>
      </c>
      <c r="AG661" t="s">
        <v>102</v>
      </c>
      <c r="AH661" t="s">
        <v>634</v>
      </c>
      <c r="AI661">
        <v>46537</v>
      </c>
      <c r="AK661" t="s">
        <v>218</v>
      </c>
      <c r="AL661" t="s">
        <v>1383</v>
      </c>
      <c r="AM661" t="s">
        <v>398</v>
      </c>
      <c r="AN661" t="s">
        <v>107</v>
      </c>
      <c r="AO661" t="s">
        <v>107</v>
      </c>
      <c r="AP661">
        <v>10000</v>
      </c>
      <c r="AQ661">
        <v>0</v>
      </c>
      <c r="AR661">
        <v>10000</v>
      </c>
      <c r="AT661" t="s">
        <v>161</v>
      </c>
      <c r="AZ661" t="s">
        <v>113</v>
      </c>
      <c r="BC661" t="s">
        <v>1160</v>
      </c>
      <c r="BN661" t="s">
        <v>113</v>
      </c>
      <c r="BO661" t="s">
        <v>1392</v>
      </c>
      <c r="BP661" t="s">
        <v>370</v>
      </c>
      <c r="BR661" t="s">
        <v>454</v>
      </c>
      <c r="BW661" t="s">
        <v>2012</v>
      </c>
      <c r="BX661" t="s">
        <v>2013</v>
      </c>
      <c r="BY661" t="s">
        <v>123</v>
      </c>
      <c r="BZ661" t="s">
        <v>124</v>
      </c>
    </row>
    <row r="662" spans="1:78" x14ac:dyDescent="0.3">
      <c r="A662" t="s">
        <v>11</v>
      </c>
      <c r="B662" t="s">
        <v>92</v>
      </c>
      <c r="C662" t="s">
        <v>93</v>
      </c>
      <c r="D662" t="s">
        <v>94</v>
      </c>
      <c r="E662" t="s">
        <v>95</v>
      </c>
      <c r="F662" t="s">
        <v>1385</v>
      </c>
      <c r="G662">
        <v>520100</v>
      </c>
      <c r="H662">
        <v>467100</v>
      </c>
      <c r="AA662" t="s">
        <v>1386</v>
      </c>
      <c r="AB662" t="s">
        <v>1387</v>
      </c>
      <c r="AC662" t="s">
        <v>1388</v>
      </c>
      <c r="AD662" t="s">
        <v>365</v>
      </c>
      <c r="AE662" t="s">
        <v>1389</v>
      </c>
      <c r="AF662" t="s">
        <v>1390</v>
      </c>
      <c r="AG662" t="s">
        <v>102</v>
      </c>
      <c r="AH662" t="s">
        <v>634</v>
      </c>
      <c r="AI662">
        <v>46568</v>
      </c>
      <c r="AK662" t="s">
        <v>218</v>
      </c>
      <c r="AL662" t="s">
        <v>1384</v>
      </c>
      <c r="AM662" t="s">
        <v>2016</v>
      </c>
      <c r="AN662" t="s">
        <v>107</v>
      </c>
      <c r="AO662" t="s">
        <v>107</v>
      </c>
      <c r="AP662">
        <v>217630</v>
      </c>
      <c r="AQ662">
        <v>0</v>
      </c>
      <c r="AR662">
        <v>217630</v>
      </c>
      <c r="AT662" t="s">
        <v>161</v>
      </c>
      <c r="AZ662" t="s">
        <v>113</v>
      </c>
      <c r="BC662" t="s">
        <v>1160</v>
      </c>
      <c r="BN662" t="s">
        <v>113</v>
      </c>
      <c r="BO662" t="s">
        <v>1392</v>
      </c>
      <c r="BP662" t="s">
        <v>370</v>
      </c>
      <c r="BR662" t="s">
        <v>454</v>
      </c>
      <c r="BW662" t="s">
        <v>2012</v>
      </c>
      <c r="BX662" t="s">
        <v>2013</v>
      </c>
      <c r="BY662" t="s">
        <v>123</v>
      </c>
      <c r="BZ662" t="s">
        <v>124</v>
      </c>
    </row>
    <row r="663" spans="1:78" x14ac:dyDescent="0.3">
      <c r="A663" t="s">
        <v>11</v>
      </c>
      <c r="B663" t="s">
        <v>92</v>
      </c>
      <c r="C663" t="s">
        <v>93</v>
      </c>
      <c r="D663" t="s">
        <v>94</v>
      </c>
      <c r="E663" t="s">
        <v>95</v>
      </c>
      <c r="F663" t="s">
        <v>1442</v>
      </c>
      <c r="G663">
        <v>430000</v>
      </c>
      <c r="H663">
        <v>400000</v>
      </c>
      <c r="I663" t="s">
        <v>93</v>
      </c>
      <c r="J663" t="s">
        <v>94</v>
      </c>
      <c r="K663" t="s">
        <v>202</v>
      </c>
      <c r="L663" t="s">
        <v>1443</v>
      </c>
      <c r="M663">
        <v>48500</v>
      </c>
      <c r="N663">
        <v>48500</v>
      </c>
      <c r="AA663" t="s">
        <v>1444</v>
      </c>
      <c r="AB663" t="s">
        <v>1445</v>
      </c>
      <c r="AC663" t="s">
        <v>1446</v>
      </c>
      <c r="AD663" t="s">
        <v>365</v>
      </c>
      <c r="AE663" t="s">
        <v>1447</v>
      </c>
      <c r="AF663" t="s">
        <v>1448</v>
      </c>
      <c r="AG663" t="s">
        <v>102</v>
      </c>
      <c r="AH663" t="s">
        <v>187</v>
      </c>
      <c r="AI663">
        <v>46476</v>
      </c>
      <c r="AK663" t="s">
        <v>218</v>
      </c>
      <c r="AL663" t="s">
        <v>142</v>
      </c>
      <c r="AM663" t="s">
        <v>1453</v>
      </c>
      <c r="AN663" t="s">
        <v>107</v>
      </c>
      <c r="AO663" t="s">
        <v>107</v>
      </c>
      <c r="AP663">
        <v>98375</v>
      </c>
      <c r="AQ663">
        <v>0</v>
      </c>
      <c r="AR663">
        <v>98375</v>
      </c>
      <c r="AT663" t="s">
        <v>243</v>
      </c>
      <c r="AZ663" t="s">
        <v>113</v>
      </c>
      <c r="BC663" t="s">
        <v>1160</v>
      </c>
      <c r="BN663" t="s">
        <v>113</v>
      </c>
      <c r="BO663" t="s">
        <v>1450</v>
      </c>
      <c r="BP663" t="s">
        <v>370</v>
      </c>
      <c r="BR663" t="s">
        <v>1451</v>
      </c>
      <c r="BW663" t="s">
        <v>2012</v>
      </c>
      <c r="BX663" t="s">
        <v>2013</v>
      </c>
      <c r="BY663" t="s">
        <v>123</v>
      </c>
      <c r="BZ663" t="s">
        <v>124</v>
      </c>
    </row>
    <row r="664" spans="1:78" x14ac:dyDescent="0.3">
      <c r="A664" t="s">
        <v>11</v>
      </c>
      <c r="B664" t="s">
        <v>92</v>
      </c>
      <c r="C664" t="s">
        <v>93</v>
      </c>
      <c r="D664" t="s">
        <v>94</v>
      </c>
      <c r="E664" t="s">
        <v>95</v>
      </c>
      <c r="F664" t="s">
        <v>1442</v>
      </c>
      <c r="G664">
        <v>430000</v>
      </c>
      <c r="H664">
        <v>400000</v>
      </c>
      <c r="I664" t="s">
        <v>93</v>
      </c>
      <c r="J664" t="s">
        <v>94</v>
      </c>
      <c r="K664" t="s">
        <v>202</v>
      </c>
      <c r="L664" t="s">
        <v>1443</v>
      </c>
      <c r="M664">
        <v>48500</v>
      </c>
      <c r="N664">
        <v>48500</v>
      </c>
      <c r="AA664" t="s">
        <v>1444</v>
      </c>
      <c r="AB664" t="s">
        <v>1445</v>
      </c>
      <c r="AC664" t="s">
        <v>1446</v>
      </c>
      <c r="AD664" t="s">
        <v>365</v>
      </c>
      <c r="AE664" t="s">
        <v>1447</v>
      </c>
      <c r="AF664" t="s">
        <v>1448</v>
      </c>
      <c r="AG664" t="s">
        <v>102</v>
      </c>
      <c r="AH664" t="s">
        <v>187</v>
      </c>
      <c r="AI664">
        <v>46568</v>
      </c>
      <c r="AK664" t="s">
        <v>218</v>
      </c>
      <c r="AL664" t="s">
        <v>146</v>
      </c>
      <c r="AM664" t="s">
        <v>1453</v>
      </c>
      <c r="AN664" t="s">
        <v>107</v>
      </c>
      <c r="AO664" t="s">
        <v>107</v>
      </c>
      <c r="AP664">
        <v>98375</v>
      </c>
      <c r="AQ664">
        <v>0</v>
      </c>
      <c r="AR664">
        <v>98375</v>
      </c>
      <c r="AT664" t="s">
        <v>243</v>
      </c>
      <c r="AZ664" t="s">
        <v>113</v>
      </c>
      <c r="BC664" t="s">
        <v>1160</v>
      </c>
      <c r="BN664" t="s">
        <v>113</v>
      </c>
      <c r="BO664" t="s">
        <v>1450</v>
      </c>
      <c r="BP664" t="s">
        <v>370</v>
      </c>
      <c r="BR664" t="s">
        <v>1451</v>
      </c>
      <c r="BW664" t="s">
        <v>2012</v>
      </c>
      <c r="BX664" t="s">
        <v>2013</v>
      </c>
      <c r="BY664" t="s">
        <v>123</v>
      </c>
      <c r="BZ664" t="s">
        <v>124</v>
      </c>
    </row>
    <row r="665" spans="1:78" x14ac:dyDescent="0.3">
      <c r="A665" t="s">
        <v>11</v>
      </c>
      <c r="B665" t="s">
        <v>92</v>
      </c>
      <c r="C665" t="s">
        <v>93</v>
      </c>
      <c r="D665" t="s">
        <v>94</v>
      </c>
      <c r="E665" t="s">
        <v>95</v>
      </c>
      <c r="F665" t="s">
        <v>1442</v>
      </c>
      <c r="G665">
        <v>430000</v>
      </c>
      <c r="H665">
        <v>400000</v>
      </c>
      <c r="I665" t="s">
        <v>93</v>
      </c>
      <c r="J665" t="s">
        <v>94</v>
      </c>
      <c r="K665" t="s">
        <v>202</v>
      </c>
      <c r="L665" t="s">
        <v>1443</v>
      </c>
      <c r="M665">
        <v>48500</v>
      </c>
      <c r="N665">
        <v>48500</v>
      </c>
      <c r="AA665" t="s">
        <v>1444</v>
      </c>
      <c r="AB665" t="s">
        <v>1445</v>
      </c>
      <c r="AC665" t="s">
        <v>1446</v>
      </c>
      <c r="AD665" t="s">
        <v>365</v>
      </c>
      <c r="AE665" t="s">
        <v>1447</v>
      </c>
      <c r="AF665" t="s">
        <v>1448</v>
      </c>
      <c r="AG665" t="s">
        <v>102</v>
      </c>
      <c r="AH665" t="s">
        <v>187</v>
      </c>
      <c r="AI665">
        <v>46598</v>
      </c>
      <c r="AK665" t="s">
        <v>218</v>
      </c>
      <c r="AL665" t="s">
        <v>152</v>
      </c>
      <c r="AM665" t="s">
        <v>1453</v>
      </c>
      <c r="AN665" t="s">
        <v>107</v>
      </c>
      <c r="AO665" t="s">
        <v>107</v>
      </c>
      <c r="AP665">
        <v>98375</v>
      </c>
      <c r="AQ665">
        <v>0</v>
      </c>
      <c r="AR665">
        <v>98375</v>
      </c>
      <c r="AT665" t="s">
        <v>243</v>
      </c>
      <c r="AZ665" t="s">
        <v>113</v>
      </c>
      <c r="BC665" t="s">
        <v>1160</v>
      </c>
      <c r="BN665" t="s">
        <v>113</v>
      </c>
      <c r="BO665" t="s">
        <v>1450</v>
      </c>
      <c r="BP665" t="s">
        <v>370</v>
      </c>
      <c r="BR665" t="s">
        <v>1451</v>
      </c>
      <c r="BW665" t="s">
        <v>2012</v>
      </c>
      <c r="BX665" t="s">
        <v>2013</v>
      </c>
      <c r="BY665" t="s">
        <v>123</v>
      </c>
      <c r="BZ665" t="s">
        <v>124</v>
      </c>
    </row>
    <row r="666" spans="1:78" x14ac:dyDescent="0.3">
      <c r="A666" t="s">
        <v>11</v>
      </c>
      <c r="B666" t="s">
        <v>92</v>
      </c>
      <c r="C666" t="s">
        <v>93</v>
      </c>
      <c r="D666" t="s">
        <v>94</v>
      </c>
      <c r="E666" t="s">
        <v>95</v>
      </c>
      <c r="F666" t="s">
        <v>1536</v>
      </c>
      <c r="G666">
        <v>531100</v>
      </c>
      <c r="H666">
        <v>483000</v>
      </c>
      <c r="AA666" t="s">
        <v>1537</v>
      </c>
      <c r="AB666" t="s">
        <v>1538</v>
      </c>
      <c r="AC666" t="s">
        <v>1539</v>
      </c>
      <c r="AD666" t="s">
        <v>365</v>
      </c>
      <c r="AE666" t="s">
        <v>1540</v>
      </c>
      <c r="AF666" t="s">
        <v>1541</v>
      </c>
      <c r="AG666" t="s">
        <v>102</v>
      </c>
      <c r="AH666" t="s">
        <v>326</v>
      </c>
      <c r="AI666">
        <v>46445</v>
      </c>
      <c r="AK666" t="s">
        <v>218</v>
      </c>
      <c r="AL666" t="s">
        <v>105</v>
      </c>
      <c r="AM666" t="s">
        <v>2017</v>
      </c>
      <c r="AN666" t="s">
        <v>107</v>
      </c>
      <c r="AO666" t="s">
        <v>107</v>
      </c>
      <c r="AP666">
        <v>363000</v>
      </c>
      <c r="AQ666">
        <v>0</v>
      </c>
      <c r="AR666">
        <v>363000</v>
      </c>
      <c r="AT666" t="s">
        <v>108</v>
      </c>
      <c r="AZ666" t="s">
        <v>113</v>
      </c>
      <c r="BC666" t="s">
        <v>1160</v>
      </c>
      <c r="BN666" t="s">
        <v>113</v>
      </c>
      <c r="BO666" t="s">
        <v>1543</v>
      </c>
      <c r="BP666" t="s">
        <v>166</v>
      </c>
      <c r="BR666" t="s">
        <v>1544</v>
      </c>
      <c r="BW666" t="s">
        <v>2012</v>
      </c>
      <c r="BX666" t="s">
        <v>2013</v>
      </c>
      <c r="BY666" t="s">
        <v>123</v>
      </c>
      <c r="BZ666" t="s">
        <v>124</v>
      </c>
    </row>
    <row r="667" spans="1:78" x14ac:dyDescent="0.3">
      <c r="A667" t="s">
        <v>11</v>
      </c>
      <c r="B667" t="s">
        <v>92</v>
      </c>
      <c r="C667" t="s">
        <v>93</v>
      </c>
      <c r="D667" t="s">
        <v>94</v>
      </c>
      <c r="E667" t="s">
        <v>95</v>
      </c>
      <c r="F667" t="s">
        <v>503</v>
      </c>
      <c r="G667">
        <v>518500</v>
      </c>
      <c r="H667">
        <v>470000</v>
      </c>
      <c r="I667" t="s">
        <v>93</v>
      </c>
      <c r="J667" t="s">
        <v>94</v>
      </c>
      <c r="K667" t="s">
        <v>202</v>
      </c>
      <c r="L667" t="s">
        <v>788</v>
      </c>
      <c r="M667">
        <v>54500</v>
      </c>
      <c r="N667">
        <v>54500</v>
      </c>
      <c r="AA667" t="s">
        <v>789</v>
      </c>
      <c r="AB667" t="s">
        <v>790</v>
      </c>
      <c r="AC667" t="s">
        <v>791</v>
      </c>
      <c r="AD667" t="s">
        <v>365</v>
      </c>
      <c r="AE667" t="s">
        <v>792</v>
      </c>
      <c r="AF667" t="s">
        <v>793</v>
      </c>
      <c r="AG667" t="s">
        <v>102</v>
      </c>
      <c r="AH667" t="s">
        <v>393</v>
      </c>
      <c r="AI667">
        <v>46417</v>
      </c>
      <c r="AK667" t="s">
        <v>218</v>
      </c>
      <c r="AL667" t="s">
        <v>591</v>
      </c>
      <c r="AM667" t="s">
        <v>1581</v>
      </c>
      <c r="AN667" t="s">
        <v>107</v>
      </c>
      <c r="AO667" t="s">
        <v>107</v>
      </c>
      <c r="AP667">
        <v>36269.230000000003</v>
      </c>
      <c r="AQ667">
        <v>0</v>
      </c>
      <c r="AR667">
        <v>36269.230000000003</v>
      </c>
      <c r="AT667" t="s">
        <v>108</v>
      </c>
      <c r="AZ667" t="s">
        <v>113</v>
      </c>
      <c r="BC667" t="s">
        <v>1160</v>
      </c>
      <c r="BN667" t="s">
        <v>113</v>
      </c>
      <c r="BO667" t="s">
        <v>795</v>
      </c>
      <c r="BP667" t="s">
        <v>370</v>
      </c>
      <c r="BR667" t="s">
        <v>319</v>
      </c>
      <c r="BW667" t="s">
        <v>2012</v>
      </c>
      <c r="BX667" t="s">
        <v>2013</v>
      </c>
      <c r="BY667" t="s">
        <v>123</v>
      </c>
      <c r="BZ667" t="s">
        <v>124</v>
      </c>
    </row>
    <row r="668" spans="1:78" x14ac:dyDescent="0.3">
      <c r="A668" t="s">
        <v>11</v>
      </c>
      <c r="B668" t="s">
        <v>92</v>
      </c>
      <c r="C668" t="s">
        <v>93</v>
      </c>
      <c r="D668" t="s">
        <v>94</v>
      </c>
      <c r="E668" t="s">
        <v>95</v>
      </c>
      <c r="F668" t="s">
        <v>503</v>
      </c>
      <c r="G668">
        <v>518500</v>
      </c>
      <c r="H668">
        <v>470000</v>
      </c>
      <c r="I668" t="s">
        <v>93</v>
      </c>
      <c r="J668" t="s">
        <v>94</v>
      </c>
      <c r="K668" t="s">
        <v>202</v>
      </c>
      <c r="L668" t="s">
        <v>788</v>
      </c>
      <c r="M668">
        <v>54500</v>
      </c>
      <c r="N668">
        <v>54500</v>
      </c>
      <c r="AA668" t="s">
        <v>789</v>
      </c>
      <c r="AB668" t="s">
        <v>790</v>
      </c>
      <c r="AC668" t="s">
        <v>791</v>
      </c>
      <c r="AD668" t="s">
        <v>365</v>
      </c>
      <c r="AE668" t="s">
        <v>792</v>
      </c>
      <c r="AF668" t="s">
        <v>793</v>
      </c>
      <c r="AG668" t="s">
        <v>102</v>
      </c>
      <c r="AH668" t="s">
        <v>393</v>
      </c>
      <c r="AI668">
        <v>46446</v>
      </c>
      <c r="AK668" t="s">
        <v>218</v>
      </c>
      <c r="AL668" t="s">
        <v>594</v>
      </c>
      <c r="AM668" t="s">
        <v>1581</v>
      </c>
      <c r="AN668" t="s">
        <v>107</v>
      </c>
      <c r="AO668" t="s">
        <v>107</v>
      </c>
      <c r="AP668">
        <v>36269.230000000003</v>
      </c>
      <c r="AQ668">
        <v>0</v>
      </c>
      <c r="AR668">
        <v>36269.230000000003</v>
      </c>
      <c r="AT668" t="s">
        <v>108</v>
      </c>
      <c r="AZ668" t="s">
        <v>113</v>
      </c>
      <c r="BC668" t="s">
        <v>1160</v>
      </c>
      <c r="BN668" t="s">
        <v>113</v>
      </c>
      <c r="BO668" t="s">
        <v>795</v>
      </c>
      <c r="BP668" t="s">
        <v>370</v>
      </c>
      <c r="BR668" t="s">
        <v>319</v>
      </c>
      <c r="BW668" t="s">
        <v>2012</v>
      </c>
      <c r="BX668" t="s">
        <v>2013</v>
      </c>
      <c r="BY668" t="s">
        <v>123</v>
      </c>
      <c r="BZ668" t="s">
        <v>124</v>
      </c>
    </row>
    <row r="669" spans="1:78" x14ac:dyDescent="0.3">
      <c r="A669" t="s">
        <v>11</v>
      </c>
      <c r="B669" t="s">
        <v>92</v>
      </c>
      <c r="C669" t="s">
        <v>93</v>
      </c>
      <c r="D669" t="s">
        <v>94</v>
      </c>
      <c r="E669" t="s">
        <v>95</v>
      </c>
      <c r="F669" t="s">
        <v>503</v>
      </c>
      <c r="G669">
        <v>518500</v>
      </c>
      <c r="H669">
        <v>470000</v>
      </c>
      <c r="I669" t="s">
        <v>93</v>
      </c>
      <c r="J669" t="s">
        <v>94</v>
      </c>
      <c r="K669" t="s">
        <v>202</v>
      </c>
      <c r="L669" t="s">
        <v>788</v>
      </c>
      <c r="M669">
        <v>54500</v>
      </c>
      <c r="N669">
        <v>54500</v>
      </c>
      <c r="AA669" t="s">
        <v>789</v>
      </c>
      <c r="AB669" t="s">
        <v>790</v>
      </c>
      <c r="AC669" t="s">
        <v>791</v>
      </c>
      <c r="AD669" t="s">
        <v>365</v>
      </c>
      <c r="AE669" t="s">
        <v>792</v>
      </c>
      <c r="AF669" t="s">
        <v>793</v>
      </c>
      <c r="AG669" t="s">
        <v>102</v>
      </c>
      <c r="AH669" t="s">
        <v>393</v>
      </c>
      <c r="AI669">
        <v>46476</v>
      </c>
      <c r="AK669" t="s">
        <v>218</v>
      </c>
      <c r="AL669" t="s">
        <v>597</v>
      </c>
      <c r="AM669" t="s">
        <v>1581</v>
      </c>
      <c r="AN669" t="s">
        <v>107</v>
      </c>
      <c r="AO669" t="s">
        <v>107</v>
      </c>
      <c r="AP669">
        <v>36269.230000000003</v>
      </c>
      <c r="AQ669">
        <v>0</v>
      </c>
      <c r="AR669">
        <v>36269.230000000003</v>
      </c>
      <c r="AT669" t="s">
        <v>108</v>
      </c>
      <c r="AZ669" t="s">
        <v>113</v>
      </c>
      <c r="BC669" t="s">
        <v>1160</v>
      </c>
      <c r="BN669" t="s">
        <v>113</v>
      </c>
      <c r="BO669" t="s">
        <v>795</v>
      </c>
      <c r="BP669" t="s">
        <v>370</v>
      </c>
      <c r="BR669" t="s">
        <v>319</v>
      </c>
      <c r="BW669" t="s">
        <v>2012</v>
      </c>
      <c r="BX669" t="s">
        <v>2013</v>
      </c>
      <c r="BY669" t="s">
        <v>123</v>
      </c>
      <c r="BZ669" t="s">
        <v>124</v>
      </c>
    </row>
    <row r="670" spans="1:78" x14ac:dyDescent="0.3">
      <c r="A670" t="s">
        <v>11</v>
      </c>
      <c r="B670" t="s">
        <v>92</v>
      </c>
      <c r="C670" t="s">
        <v>93</v>
      </c>
      <c r="D670" t="s">
        <v>94</v>
      </c>
      <c r="E670" t="s">
        <v>95</v>
      </c>
      <c r="F670" t="s">
        <v>503</v>
      </c>
      <c r="G670">
        <v>518500</v>
      </c>
      <c r="H670">
        <v>470000</v>
      </c>
      <c r="I670" t="s">
        <v>93</v>
      </c>
      <c r="J670" t="s">
        <v>94</v>
      </c>
      <c r="K670" t="s">
        <v>202</v>
      </c>
      <c r="L670" t="s">
        <v>788</v>
      </c>
      <c r="M670">
        <v>54500</v>
      </c>
      <c r="N670">
        <v>54500</v>
      </c>
      <c r="AA670" t="s">
        <v>789</v>
      </c>
      <c r="AB670" t="s">
        <v>790</v>
      </c>
      <c r="AC670" t="s">
        <v>791</v>
      </c>
      <c r="AD670" t="s">
        <v>365</v>
      </c>
      <c r="AE670" t="s">
        <v>792</v>
      </c>
      <c r="AF670" t="s">
        <v>793</v>
      </c>
      <c r="AG670" t="s">
        <v>102</v>
      </c>
      <c r="AH670" t="s">
        <v>393</v>
      </c>
      <c r="AI670">
        <v>46507</v>
      </c>
      <c r="AK670" t="s">
        <v>218</v>
      </c>
      <c r="AL670" t="s">
        <v>599</v>
      </c>
      <c r="AM670" t="s">
        <v>1581</v>
      </c>
      <c r="AN670" t="s">
        <v>107</v>
      </c>
      <c r="AO670" t="s">
        <v>107</v>
      </c>
      <c r="AP670">
        <v>36269.230000000003</v>
      </c>
      <c r="AQ670">
        <v>0</v>
      </c>
      <c r="AR670">
        <v>36269.230000000003</v>
      </c>
      <c r="AT670" t="s">
        <v>108</v>
      </c>
      <c r="AZ670" t="s">
        <v>113</v>
      </c>
      <c r="BC670" t="s">
        <v>1160</v>
      </c>
      <c r="BN670" t="s">
        <v>113</v>
      </c>
      <c r="BO670" t="s">
        <v>795</v>
      </c>
      <c r="BP670" t="s">
        <v>370</v>
      </c>
      <c r="BR670" t="s">
        <v>319</v>
      </c>
      <c r="BW670" t="s">
        <v>2012</v>
      </c>
      <c r="BX670" t="s">
        <v>2013</v>
      </c>
      <c r="BY670" t="s">
        <v>123</v>
      </c>
      <c r="BZ670" t="s">
        <v>124</v>
      </c>
    </row>
    <row r="671" spans="1:78" x14ac:dyDescent="0.3">
      <c r="A671" t="s">
        <v>11</v>
      </c>
      <c r="B671" t="s">
        <v>92</v>
      </c>
      <c r="C671" t="s">
        <v>93</v>
      </c>
      <c r="D671" t="s">
        <v>94</v>
      </c>
      <c r="E671" t="s">
        <v>95</v>
      </c>
      <c r="F671" t="s">
        <v>503</v>
      </c>
      <c r="G671">
        <v>518500</v>
      </c>
      <c r="H671">
        <v>470000</v>
      </c>
      <c r="I671" t="s">
        <v>93</v>
      </c>
      <c r="J671" t="s">
        <v>94</v>
      </c>
      <c r="K671" t="s">
        <v>202</v>
      </c>
      <c r="L671" t="s">
        <v>788</v>
      </c>
      <c r="M671">
        <v>54500</v>
      </c>
      <c r="N671">
        <v>54500</v>
      </c>
      <c r="AA671" t="s">
        <v>789</v>
      </c>
      <c r="AB671" t="s">
        <v>790</v>
      </c>
      <c r="AC671" t="s">
        <v>791</v>
      </c>
      <c r="AD671" t="s">
        <v>365</v>
      </c>
      <c r="AE671" t="s">
        <v>792</v>
      </c>
      <c r="AF671" t="s">
        <v>793</v>
      </c>
      <c r="AG671" t="s">
        <v>102</v>
      </c>
      <c r="AH671" t="s">
        <v>393</v>
      </c>
      <c r="AI671">
        <v>46537</v>
      </c>
      <c r="AK671" t="s">
        <v>218</v>
      </c>
      <c r="AL671" t="s">
        <v>1262</v>
      </c>
      <c r="AM671" t="s">
        <v>1581</v>
      </c>
      <c r="AN671" t="s">
        <v>107</v>
      </c>
      <c r="AO671" t="s">
        <v>107</v>
      </c>
      <c r="AP671">
        <v>36269.230000000003</v>
      </c>
      <c r="AQ671">
        <v>0</v>
      </c>
      <c r="AR671">
        <v>36269.230000000003</v>
      </c>
      <c r="AT671" t="s">
        <v>108</v>
      </c>
      <c r="AZ671" t="s">
        <v>113</v>
      </c>
      <c r="BC671" t="s">
        <v>1160</v>
      </c>
      <c r="BN671" t="s">
        <v>113</v>
      </c>
      <c r="BO671" t="s">
        <v>795</v>
      </c>
      <c r="BP671" t="s">
        <v>370</v>
      </c>
      <c r="BR671" t="s">
        <v>319</v>
      </c>
      <c r="BW671" t="s">
        <v>2012</v>
      </c>
      <c r="BX671" t="s">
        <v>2013</v>
      </c>
      <c r="BY671" t="s">
        <v>123</v>
      </c>
      <c r="BZ671" t="s">
        <v>124</v>
      </c>
    </row>
    <row r="672" spans="1:78" x14ac:dyDescent="0.3">
      <c r="A672" t="s">
        <v>11</v>
      </c>
      <c r="B672" t="s">
        <v>92</v>
      </c>
      <c r="C672" t="s">
        <v>93</v>
      </c>
      <c r="D672" t="s">
        <v>94</v>
      </c>
      <c r="E672" t="s">
        <v>95</v>
      </c>
      <c r="F672" t="s">
        <v>503</v>
      </c>
      <c r="G672">
        <v>518500</v>
      </c>
      <c r="H672">
        <v>470000</v>
      </c>
      <c r="I672" t="s">
        <v>93</v>
      </c>
      <c r="J672" t="s">
        <v>94</v>
      </c>
      <c r="K672" t="s">
        <v>202</v>
      </c>
      <c r="L672" t="s">
        <v>788</v>
      </c>
      <c r="M672">
        <v>54500</v>
      </c>
      <c r="N672">
        <v>54500</v>
      </c>
      <c r="AA672" t="s">
        <v>789</v>
      </c>
      <c r="AB672" t="s">
        <v>790</v>
      </c>
      <c r="AC672" t="s">
        <v>791</v>
      </c>
      <c r="AD672" t="s">
        <v>365</v>
      </c>
      <c r="AE672" t="s">
        <v>792</v>
      </c>
      <c r="AF672" t="s">
        <v>793</v>
      </c>
      <c r="AG672" t="s">
        <v>102</v>
      </c>
      <c r="AH672" t="s">
        <v>393</v>
      </c>
      <c r="AI672">
        <v>46568</v>
      </c>
      <c r="AK672" t="s">
        <v>218</v>
      </c>
      <c r="AL672" t="s">
        <v>1382</v>
      </c>
      <c r="AM672" t="s">
        <v>2018</v>
      </c>
      <c r="AN672" t="s">
        <v>107</v>
      </c>
      <c r="AO672" t="s">
        <v>107</v>
      </c>
      <c r="AP672">
        <v>36269.24</v>
      </c>
      <c r="AQ672">
        <v>0</v>
      </c>
      <c r="AR672">
        <v>36269.24</v>
      </c>
      <c r="AT672" t="s">
        <v>108</v>
      </c>
      <c r="AZ672" t="s">
        <v>113</v>
      </c>
      <c r="BC672" t="s">
        <v>1160</v>
      </c>
      <c r="BN672" t="s">
        <v>113</v>
      </c>
      <c r="BO672" t="s">
        <v>795</v>
      </c>
      <c r="BP672" t="s">
        <v>370</v>
      </c>
      <c r="BR672" t="s">
        <v>319</v>
      </c>
      <c r="BW672" t="s">
        <v>2012</v>
      </c>
      <c r="BX672" t="s">
        <v>2013</v>
      </c>
      <c r="BY672" t="s">
        <v>123</v>
      </c>
      <c r="BZ672" t="s">
        <v>124</v>
      </c>
    </row>
    <row r="673" spans="1:78" x14ac:dyDescent="0.3">
      <c r="A673" t="s">
        <v>11</v>
      </c>
      <c r="B673" t="s">
        <v>92</v>
      </c>
      <c r="C673" t="s">
        <v>93</v>
      </c>
      <c r="D673" t="s">
        <v>94</v>
      </c>
      <c r="E673" t="s">
        <v>95</v>
      </c>
      <c r="F673" t="s">
        <v>1051</v>
      </c>
      <c r="G673">
        <v>532100</v>
      </c>
      <c r="H673">
        <v>501100</v>
      </c>
      <c r="AA673" t="s">
        <v>1582</v>
      </c>
      <c r="AB673" t="s">
        <v>1583</v>
      </c>
      <c r="AC673" t="s">
        <v>1584</v>
      </c>
      <c r="AD673" t="s">
        <v>365</v>
      </c>
      <c r="AE673" t="s">
        <v>1585</v>
      </c>
      <c r="AF673" t="s">
        <v>1586</v>
      </c>
      <c r="AG673" t="s">
        <v>102</v>
      </c>
      <c r="AH673" t="s">
        <v>175</v>
      </c>
      <c r="AI673">
        <v>46446</v>
      </c>
      <c r="AK673" t="s">
        <v>1122</v>
      </c>
      <c r="AL673" t="s">
        <v>142</v>
      </c>
      <c r="AM673" t="s">
        <v>2019</v>
      </c>
      <c r="AN673" t="s">
        <v>107</v>
      </c>
      <c r="AO673" t="s">
        <v>107</v>
      </c>
      <c r="AP673">
        <v>25055</v>
      </c>
      <c r="AQ673">
        <v>0</v>
      </c>
      <c r="AR673">
        <v>25055</v>
      </c>
      <c r="AT673" t="s">
        <v>243</v>
      </c>
      <c r="AZ673" t="s">
        <v>113</v>
      </c>
      <c r="BC673" t="s">
        <v>1160</v>
      </c>
      <c r="BN673" t="s">
        <v>113</v>
      </c>
      <c r="BO673" t="s">
        <v>1588</v>
      </c>
      <c r="BP673" t="s">
        <v>1521</v>
      </c>
      <c r="BR673" t="s">
        <v>396</v>
      </c>
      <c r="BW673" t="s">
        <v>2012</v>
      </c>
      <c r="BX673" t="s">
        <v>2013</v>
      </c>
      <c r="BY673" t="s">
        <v>123</v>
      </c>
      <c r="BZ673" t="s">
        <v>124</v>
      </c>
    </row>
    <row r="674" spans="1:78" x14ac:dyDescent="0.3">
      <c r="A674" t="s">
        <v>11</v>
      </c>
      <c r="B674" t="s">
        <v>92</v>
      </c>
      <c r="C674" t="s">
        <v>93</v>
      </c>
      <c r="D674" t="s">
        <v>94</v>
      </c>
      <c r="E674" t="s">
        <v>95</v>
      </c>
      <c r="F674" t="s">
        <v>1051</v>
      </c>
      <c r="G674">
        <v>532100</v>
      </c>
      <c r="H674">
        <v>501100</v>
      </c>
      <c r="AA674" t="s">
        <v>1582</v>
      </c>
      <c r="AB674" t="s">
        <v>1583</v>
      </c>
      <c r="AC674" t="s">
        <v>1584</v>
      </c>
      <c r="AD674" t="s">
        <v>365</v>
      </c>
      <c r="AE674" t="s">
        <v>1585</v>
      </c>
      <c r="AF674" t="s">
        <v>1586</v>
      </c>
      <c r="AG674" t="s">
        <v>102</v>
      </c>
      <c r="AH674" t="s">
        <v>175</v>
      </c>
      <c r="AI674">
        <v>46477</v>
      </c>
      <c r="AK674" t="s">
        <v>218</v>
      </c>
      <c r="AL674" t="s">
        <v>105</v>
      </c>
      <c r="AM674" t="s">
        <v>2020</v>
      </c>
      <c r="AN674" t="s">
        <v>107</v>
      </c>
      <c r="AO674" t="s">
        <v>107</v>
      </c>
      <c r="AP674">
        <v>450990</v>
      </c>
      <c r="AQ674">
        <v>0</v>
      </c>
      <c r="AR674">
        <v>450990</v>
      </c>
      <c r="AT674" t="s">
        <v>243</v>
      </c>
      <c r="AZ674" t="s">
        <v>113</v>
      </c>
      <c r="BC674" t="s">
        <v>1160</v>
      </c>
      <c r="BN674" t="s">
        <v>113</v>
      </c>
      <c r="BO674" t="s">
        <v>1588</v>
      </c>
      <c r="BP674" t="s">
        <v>1521</v>
      </c>
      <c r="BR674" t="s">
        <v>396</v>
      </c>
      <c r="BW674" t="s">
        <v>2012</v>
      </c>
      <c r="BX674" t="s">
        <v>2013</v>
      </c>
      <c r="BY674" t="s">
        <v>123</v>
      </c>
      <c r="BZ674" t="s">
        <v>124</v>
      </c>
    </row>
    <row r="675" spans="1:78" x14ac:dyDescent="0.3">
      <c r="A675" t="s">
        <v>11</v>
      </c>
      <c r="B675" t="s">
        <v>92</v>
      </c>
      <c r="C675" t="s">
        <v>93</v>
      </c>
      <c r="D675" t="s">
        <v>94</v>
      </c>
      <c r="E675" t="s">
        <v>95</v>
      </c>
      <c r="F675" t="s">
        <v>902</v>
      </c>
      <c r="G675">
        <v>510000</v>
      </c>
      <c r="H675">
        <v>476700</v>
      </c>
      <c r="I675" t="s">
        <v>93</v>
      </c>
      <c r="J675" t="s">
        <v>94</v>
      </c>
      <c r="K675" t="s">
        <v>202</v>
      </c>
      <c r="L675" t="s">
        <v>1593</v>
      </c>
      <c r="M675">
        <v>48600</v>
      </c>
      <c r="N675">
        <v>48600</v>
      </c>
      <c r="AA675" t="s">
        <v>1594</v>
      </c>
      <c r="AB675" t="s">
        <v>1595</v>
      </c>
      <c r="AC675" t="s">
        <v>1596</v>
      </c>
      <c r="AD675" t="s">
        <v>365</v>
      </c>
      <c r="AE675" t="s">
        <v>1597</v>
      </c>
      <c r="AF675" t="s">
        <v>1596</v>
      </c>
      <c r="AG675" t="s">
        <v>102</v>
      </c>
      <c r="AH675" t="s">
        <v>393</v>
      </c>
      <c r="AI675">
        <v>46568</v>
      </c>
      <c r="AK675" t="s">
        <v>218</v>
      </c>
      <c r="AL675" t="s">
        <v>142</v>
      </c>
      <c r="AM675" t="s">
        <v>2021</v>
      </c>
      <c r="AN675" t="s">
        <v>107</v>
      </c>
      <c r="AO675" t="s">
        <v>107</v>
      </c>
      <c r="AP675">
        <v>262650</v>
      </c>
      <c r="AQ675">
        <v>0</v>
      </c>
      <c r="AR675">
        <v>262650</v>
      </c>
      <c r="AT675" t="s">
        <v>161</v>
      </c>
      <c r="AZ675" t="s">
        <v>113</v>
      </c>
      <c r="BC675" t="s">
        <v>1160</v>
      </c>
      <c r="BN675" t="s">
        <v>113</v>
      </c>
      <c r="BO675" t="s">
        <v>1599</v>
      </c>
      <c r="BP675" t="s">
        <v>370</v>
      </c>
      <c r="BR675" t="s">
        <v>1600</v>
      </c>
      <c r="BW675" t="s">
        <v>2012</v>
      </c>
      <c r="BX675" t="s">
        <v>2013</v>
      </c>
      <c r="BY675" t="s">
        <v>123</v>
      </c>
      <c r="BZ675" t="s">
        <v>124</v>
      </c>
    </row>
    <row r="676" spans="1:78" x14ac:dyDescent="0.3">
      <c r="A676" t="s">
        <v>12</v>
      </c>
      <c r="B676" t="s">
        <v>92</v>
      </c>
      <c r="C676" t="s">
        <v>93</v>
      </c>
      <c r="D676" t="s">
        <v>94</v>
      </c>
      <c r="E676" t="s">
        <v>202</v>
      </c>
      <c r="F676" t="s">
        <v>1612</v>
      </c>
      <c r="G676">
        <v>54000</v>
      </c>
      <c r="H676">
        <v>54000</v>
      </c>
      <c r="AA676" t="s">
        <v>1613</v>
      </c>
      <c r="AB676" t="s">
        <v>799</v>
      </c>
      <c r="AC676" t="s">
        <v>800</v>
      </c>
      <c r="AD676" t="s">
        <v>365</v>
      </c>
      <c r="AE676" t="s">
        <v>801</v>
      </c>
      <c r="AF676" t="s">
        <v>802</v>
      </c>
      <c r="AG676" t="s">
        <v>102</v>
      </c>
      <c r="AH676" t="s">
        <v>131</v>
      </c>
      <c r="AI676">
        <v>46417</v>
      </c>
      <c r="AK676" t="s">
        <v>218</v>
      </c>
      <c r="AL676" t="s">
        <v>591</v>
      </c>
      <c r="AM676" t="s">
        <v>1619</v>
      </c>
      <c r="AN676" t="s">
        <v>107</v>
      </c>
      <c r="AO676" t="s">
        <v>107</v>
      </c>
      <c r="AP676">
        <v>3666.67</v>
      </c>
      <c r="AQ676">
        <v>0</v>
      </c>
      <c r="AR676">
        <v>3666.67</v>
      </c>
      <c r="AT676" t="s">
        <v>161</v>
      </c>
      <c r="AZ676" t="s">
        <v>113</v>
      </c>
      <c r="BC676" t="s">
        <v>1160</v>
      </c>
      <c r="BN676" t="s">
        <v>113</v>
      </c>
      <c r="BO676" t="s">
        <v>1615</v>
      </c>
      <c r="BP676" t="s">
        <v>370</v>
      </c>
      <c r="BR676" t="s">
        <v>774</v>
      </c>
      <c r="BW676" t="s">
        <v>2012</v>
      </c>
      <c r="BX676" t="s">
        <v>2013</v>
      </c>
      <c r="BY676" t="s">
        <v>123</v>
      </c>
      <c r="BZ676" t="s">
        <v>124</v>
      </c>
    </row>
    <row r="677" spans="1:78" x14ac:dyDescent="0.3">
      <c r="A677" t="s">
        <v>12</v>
      </c>
      <c r="B677" t="s">
        <v>92</v>
      </c>
      <c r="C677" t="s">
        <v>93</v>
      </c>
      <c r="D677" t="s">
        <v>94</v>
      </c>
      <c r="E677" t="s">
        <v>202</v>
      </c>
      <c r="F677" t="s">
        <v>1612</v>
      </c>
      <c r="G677">
        <v>54000</v>
      </c>
      <c r="H677">
        <v>54000</v>
      </c>
      <c r="AA677" t="s">
        <v>1613</v>
      </c>
      <c r="AB677" t="s">
        <v>799</v>
      </c>
      <c r="AC677" t="s">
        <v>800</v>
      </c>
      <c r="AD677" t="s">
        <v>365</v>
      </c>
      <c r="AE677" t="s">
        <v>801</v>
      </c>
      <c r="AF677" t="s">
        <v>802</v>
      </c>
      <c r="AG677" t="s">
        <v>102</v>
      </c>
      <c r="AH677" t="s">
        <v>131</v>
      </c>
      <c r="AI677">
        <v>46446</v>
      </c>
      <c r="AK677" t="s">
        <v>218</v>
      </c>
      <c r="AL677" t="s">
        <v>594</v>
      </c>
      <c r="AM677" t="s">
        <v>1619</v>
      </c>
      <c r="AN677" t="s">
        <v>107</v>
      </c>
      <c r="AO677" t="s">
        <v>107</v>
      </c>
      <c r="AP677">
        <v>3666.67</v>
      </c>
      <c r="AQ677">
        <v>0</v>
      </c>
      <c r="AR677">
        <v>3666.67</v>
      </c>
      <c r="AT677" t="s">
        <v>161</v>
      </c>
      <c r="AZ677" t="s">
        <v>113</v>
      </c>
      <c r="BC677" t="s">
        <v>1160</v>
      </c>
      <c r="BN677" t="s">
        <v>113</v>
      </c>
      <c r="BO677" t="s">
        <v>1615</v>
      </c>
      <c r="BP677" t="s">
        <v>370</v>
      </c>
      <c r="BR677" t="s">
        <v>774</v>
      </c>
      <c r="BW677" t="s">
        <v>2012</v>
      </c>
      <c r="BX677" t="s">
        <v>2013</v>
      </c>
      <c r="BY677" t="s">
        <v>123</v>
      </c>
      <c r="BZ677" t="s">
        <v>124</v>
      </c>
    </row>
    <row r="678" spans="1:78" x14ac:dyDescent="0.3">
      <c r="A678" t="s">
        <v>12</v>
      </c>
      <c r="B678" t="s">
        <v>92</v>
      </c>
      <c r="C678" t="s">
        <v>93</v>
      </c>
      <c r="D678" t="s">
        <v>94</v>
      </c>
      <c r="E678" t="s">
        <v>202</v>
      </c>
      <c r="F678" t="s">
        <v>1612</v>
      </c>
      <c r="G678">
        <v>54000</v>
      </c>
      <c r="H678">
        <v>54000</v>
      </c>
      <c r="AA678" t="s">
        <v>1613</v>
      </c>
      <c r="AB678" t="s">
        <v>799</v>
      </c>
      <c r="AC678" t="s">
        <v>800</v>
      </c>
      <c r="AD678" t="s">
        <v>365</v>
      </c>
      <c r="AE678" t="s">
        <v>801</v>
      </c>
      <c r="AF678" t="s">
        <v>802</v>
      </c>
      <c r="AG678" t="s">
        <v>102</v>
      </c>
      <c r="AH678" t="s">
        <v>131</v>
      </c>
      <c r="AI678">
        <v>46476</v>
      </c>
      <c r="AK678" t="s">
        <v>218</v>
      </c>
      <c r="AL678" t="s">
        <v>597</v>
      </c>
      <c r="AM678" t="s">
        <v>1619</v>
      </c>
      <c r="AN678" t="s">
        <v>107</v>
      </c>
      <c r="AO678" t="s">
        <v>107</v>
      </c>
      <c r="AP678">
        <v>3666.67</v>
      </c>
      <c r="AQ678">
        <v>0</v>
      </c>
      <c r="AR678">
        <v>3666.67</v>
      </c>
      <c r="AT678" t="s">
        <v>161</v>
      </c>
      <c r="AZ678" t="s">
        <v>113</v>
      </c>
      <c r="BC678" t="s">
        <v>1160</v>
      </c>
      <c r="BN678" t="s">
        <v>113</v>
      </c>
      <c r="BO678" t="s">
        <v>1615</v>
      </c>
      <c r="BP678" t="s">
        <v>370</v>
      </c>
      <c r="BR678" t="s">
        <v>774</v>
      </c>
      <c r="BW678" t="s">
        <v>2012</v>
      </c>
      <c r="BX678" t="s">
        <v>2013</v>
      </c>
      <c r="BY678" t="s">
        <v>123</v>
      </c>
      <c r="BZ678" t="s">
        <v>124</v>
      </c>
    </row>
    <row r="679" spans="1:78" x14ac:dyDescent="0.3">
      <c r="A679" t="s">
        <v>12</v>
      </c>
      <c r="B679" t="s">
        <v>92</v>
      </c>
      <c r="C679" t="s">
        <v>93</v>
      </c>
      <c r="D679" t="s">
        <v>94</v>
      </c>
      <c r="E679" t="s">
        <v>202</v>
      </c>
      <c r="F679" t="s">
        <v>1612</v>
      </c>
      <c r="G679">
        <v>54000</v>
      </c>
      <c r="H679">
        <v>54000</v>
      </c>
      <c r="AA679" t="s">
        <v>1613</v>
      </c>
      <c r="AB679" t="s">
        <v>799</v>
      </c>
      <c r="AC679" t="s">
        <v>800</v>
      </c>
      <c r="AD679" t="s">
        <v>365</v>
      </c>
      <c r="AE679" t="s">
        <v>801</v>
      </c>
      <c r="AF679" t="s">
        <v>802</v>
      </c>
      <c r="AG679" t="s">
        <v>102</v>
      </c>
      <c r="AH679" t="s">
        <v>131</v>
      </c>
      <c r="AI679">
        <v>46507</v>
      </c>
      <c r="AK679" t="s">
        <v>218</v>
      </c>
      <c r="AL679" t="s">
        <v>599</v>
      </c>
      <c r="AM679" t="s">
        <v>1619</v>
      </c>
      <c r="AN679" t="s">
        <v>107</v>
      </c>
      <c r="AO679" t="s">
        <v>107</v>
      </c>
      <c r="AP679">
        <v>3666.67</v>
      </c>
      <c r="AQ679">
        <v>0</v>
      </c>
      <c r="AR679">
        <v>3666.67</v>
      </c>
      <c r="AT679" t="s">
        <v>161</v>
      </c>
      <c r="AZ679" t="s">
        <v>113</v>
      </c>
      <c r="BC679" t="s">
        <v>1160</v>
      </c>
      <c r="BN679" t="s">
        <v>113</v>
      </c>
      <c r="BO679" t="s">
        <v>1615</v>
      </c>
      <c r="BP679" t="s">
        <v>370</v>
      </c>
      <c r="BR679" t="s">
        <v>774</v>
      </c>
      <c r="BW679" t="s">
        <v>2012</v>
      </c>
      <c r="BX679" t="s">
        <v>2013</v>
      </c>
      <c r="BY679" t="s">
        <v>123</v>
      </c>
      <c r="BZ679" t="s">
        <v>124</v>
      </c>
    </row>
    <row r="680" spans="1:78" x14ac:dyDescent="0.3">
      <c r="A680" t="s">
        <v>12</v>
      </c>
      <c r="B680" t="s">
        <v>92</v>
      </c>
      <c r="C680" t="s">
        <v>93</v>
      </c>
      <c r="D680" t="s">
        <v>94</v>
      </c>
      <c r="E680" t="s">
        <v>202</v>
      </c>
      <c r="F680" t="s">
        <v>1612</v>
      </c>
      <c r="G680">
        <v>54000</v>
      </c>
      <c r="H680">
        <v>54000</v>
      </c>
      <c r="AA680" t="s">
        <v>1613</v>
      </c>
      <c r="AB680" t="s">
        <v>799</v>
      </c>
      <c r="AC680" t="s">
        <v>800</v>
      </c>
      <c r="AD680" t="s">
        <v>365</v>
      </c>
      <c r="AE680" t="s">
        <v>801</v>
      </c>
      <c r="AF680" t="s">
        <v>802</v>
      </c>
      <c r="AG680" t="s">
        <v>102</v>
      </c>
      <c r="AH680" t="s">
        <v>131</v>
      </c>
      <c r="AI680">
        <v>46537</v>
      </c>
      <c r="AK680" t="s">
        <v>218</v>
      </c>
      <c r="AL680" t="s">
        <v>1262</v>
      </c>
      <c r="AM680" t="s">
        <v>2022</v>
      </c>
      <c r="AN680" t="s">
        <v>107</v>
      </c>
      <c r="AO680" t="s">
        <v>107</v>
      </c>
      <c r="AP680">
        <v>3666.63</v>
      </c>
      <c r="AQ680">
        <v>0</v>
      </c>
      <c r="AR680">
        <v>3666.63</v>
      </c>
      <c r="AT680" t="s">
        <v>161</v>
      </c>
      <c r="AZ680" t="s">
        <v>113</v>
      </c>
      <c r="BC680" t="s">
        <v>1160</v>
      </c>
      <c r="BN680" t="s">
        <v>113</v>
      </c>
      <c r="BO680" t="s">
        <v>1615</v>
      </c>
      <c r="BP680" t="s">
        <v>370</v>
      </c>
      <c r="BR680" t="s">
        <v>774</v>
      </c>
      <c r="BW680" t="s">
        <v>2012</v>
      </c>
      <c r="BX680" t="s">
        <v>2013</v>
      </c>
      <c r="BY680" t="s">
        <v>123</v>
      </c>
      <c r="BZ680" t="s">
        <v>124</v>
      </c>
    </row>
    <row r="681" spans="1:78" x14ac:dyDescent="0.3">
      <c r="A681" t="s">
        <v>11</v>
      </c>
      <c r="B681" t="s">
        <v>92</v>
      </c>
      <c r="C681" t="s">
        <v>93</v>
      </c>
      <c r="D681" t="s">
        <v>94</v>
      </c>
      <c r="E681" t="s">
        <v>95</v>
      </c>
      <c r="F681" t="s">
        <v>673</v>
      </c>
      <c r="G681">
        <v>498000</v>
      </c>
      <c r="H681">
        <v>460000</v>
      </c>
      <c r="I681" t="s">
        <v>93</v>
      </c>
      <c r="J681" t="s">
        <v>94</v>
      </c>
      <c r="K681" t="s">
        <v>202</v>
      </c>
      <c r="L681" t="s">
        <v>819</v>
      </c>
      <c r="M681">
        <v>51300</v>
      </c>
      <c r="N681">
        <v>51300</v>
      </c>
      <c r="AA681" t="s">
        <v>820</v>
      </c>
      <c r="AB681" t="s">
        <v>821</v>
      </c>
      <c r="AC681" t="s">
        <v>822</v>
      </c>
      <c r="AD681" t="s">
        <v>365</v>
      </c>
      <c r="AE681" t="s">
        <v>823</v>
      </c>
      <c r="AF681" t="s">
        <v>824</v>
      </c>
      <c r="AG681" t="s">
        <v>102</v>
      </c>
      <c r="AH681" t="s">
        <v>160</v>
      </c>
      <c r="AI681">
        <v>46418</v>
      </c>
      <c r="AK681" t="s">
        <v>218</v>
      </c>
      <c r="AL681" t="s">
        <v>594</v>
      </c>
      <c r="AM681" t="s">
        <v>1629</v>
      </c>
      <c r="AN681" t="s">
        <v>107</v>
      </c>
      <c r="AO681" t="s">
        <v>107</v>
      </c>
      <c r="AP681">
        <v>33235.71</v>
      </c>
      <c r="AQ681">
        <v>0</v>
      </c>
      <c r="AR681">
        <v>33235.71</v>
      </c>
      <c r="AT681" t="s">
        <v>243</v>
      </c>
      <c r="AZ681" t="s">
        <v>113</v>
      </c>
      <c r="BC681" t="s">
        <v>1160</v>
      </c>
      <c r="BN681" t="s">
        <v>113</v>
      </c>
      <c r="BO681" t="s">
        <v>826</v>
      </c>
      <c r="BP681" t="s">
        <v>370</v>
      </c>
      <c r="BR681" t="s">
        <v>827</v>
      </c>
      <c r="BW681" t="s">
        <v>2012</v>
      </c>
      <c r="BX681" t="s">
        <v>2013</v>
      </c>
      <c r="BY681" t="s">
        <v>123</v>
      </c>
      <c r="BZ681" t="s">
        <v>124</v>
      </c>
    </row>
    <row r="682" spans="1:78" x14ac:dyDescent="0.3">
      <c r="A682" t="s">
        <v>11</v>
      </c>
      <c r="B682" t="s">
        <v>92</v>
      </c>
      <c r="C682" t="s">
        <v>93</v>
      </c>
      <c r="D682" t="s">
        <v>94</v>
      </c>
      <c r="E682" t="s">
        <v>95</v>
      </c>
      <c r="F682" t="s">
        <v>673</v>
      </c>
      <c r="G682">
        <v>498000</v>
      </c>
      <c r="H682">
        <v>460000</v>
      </c>
      <c r="I682" t="s">
        <v>93</v>
      </c>
      <c r="J682" t="s">
        <v>94</v>
      </c>
      <c r="K682" t="s">
        <v>202</v>
      </c>
      <c r="L682" t="s">
        <v>819</v>
      </c>
      <c r="M682">
        <v>51300</v>
      </c>
      <c r="N682">
        <v>51300</v>
      </c>
      <c r="AA682" t="s">
        <v>820</v>
      </c>
      <c r="AB682" t="s">
        <v>821</v>
      </c>
      <c r="AC682" t="s">
        <v>822</v>
      </c>
      <c r="AD682" t="s">
        <v>365</v>
      </c>
      <c r="AE682" t="s">
        <v>823</v>
      </c>
      <c r="AF682" t="s">
        <v>824</v>
      </c>
      <c r="AG682" t="s">
        <v>102</v>
      </c>
      <c r="AH682" t="s">
        <v>160</v>
      </c>
      <c r="AI682">
        <v>46446</v>
      </c>
      <c r="AK682" t="s">
        <v>218</v>
      </c>
      <c r="AL682" t="s">
        <v>597</v>
      </c>
      <c r="AM682" t="s">
        <v>1629</v>
      </c>
      <c r="AN682" t="s">
        <v>107</v>
      </c>
      <c r="AO682" t="s">
        <v>107</v>
      </c>
      <c r="AP682">
        <v>33235.71</v>
      </c>
      <c r="AQ682">
        <v>0</v>
      </c>
      <c r="AR682">
        <v>33235.71</v>
      </c>
      <c r="AT682" t="s">
        <v>243</v>
      </c>
      <c r="AZ682" t="s">
        <v>113</v>
      </c>
      <c r="BC682" t="s">
        <v>1160</v>
      </c>
      <c r="BN682" t="s">
        <v>113</v>
      </c>
      <c r="BO682" t="s">
        <v>826</v>
      </c>
      <c r="BP682" t="s">
        <v>370</v>
      </c>
      <c r="BR682" t="s">
        <v>827</v>
      </c>
      <c r="BW682" t="s">
        <v>2012</v>
      </c>
      <c r="BX682" t="s">
        <v>2013</v>
      </c>
      <c r="BY682" t="s">
        <v>123</v>
      </c>
      <c r="BZ682" t="s">
        <v>124</v>
      </c>
    </row>
    <row r="683" spans="1:78" x14ac:dyDescent="0.3">
      <c r="A683" t="s">
        <v>11</v>
      </c>
      <c r="B683" t="s">
        <v>92</v>
      </c>
      <c r="C683" t="s">
        <v>93</v>
      </c>
      <c r="D683" t="s">
        <v>94</v>
      </c>
      <c r="E683" t="s">
        <v>95</v>
      </c>
      <c r="F683" t="s">
        <v>673</v>
      </c>
      <c r="G683">
        <v>498000</v>
      </c>
      <c r="H683">
        <v>460000</v>
      </c>
      <c r="I683" t="s">
        <v>93</v>
      </c>
      <c r="J683" t="s">
        <v>94</v>
      </c>
      <c r="K683" t="s">
        <v>202</v>
      </c>
      <c r="L683" t="s">
        <v>819</v>
      </c>
      <c r="M683">
        <v>51300</v>
      </c>
      <c r="N683">
        <v>51300</v>
      </c>
      <c r="AA683" t="s">
        <v>820</v>
      </c>
      <c r="AB683" t="s">
        <v>821</v>
      </c>
      <c r="AC683" t="s">
        <v>822</v>
      </c>
      <c r="AD683" t="s">
        <v>365</v>
      </c>
      <c r="AE683" t="s">
        <v>823</v>
      </c>
      <c r="AF683" t="s">
        <v>824</v>
      </c>
      <c r="AG683" t="s">
        <v>102</v>
      </c>
      <c r="AH683" t="s">
        <v>160</v>
      </c>
      <c r="AI683">
        <v>46477</v>
      </c>
      <c r="AK683" t="s">
        <v>218</v>
      </c>
      <c r="AL683" t="s">
        <v>599</v>
      </c>
      <c r="AM683" t="s">
        <v>1629</v>
      </c>
      <c r="AN683" t="s">
        <v>107</v>
      </c>
      <c r="AO683" t="s">
        <v>107</v>
      </c>
      <c r="AP683">
        <v>33235.71</v>
      </c>
      <c r="AQ683">
        <v>0</v>
      </c>
      <c r="AR683">
        <v>33235.71</v>
      </c>
      <c r="AT683" t="s">
        <v>243</v>
      </c>
      <c r="AZ683" t="s">
        <v>113</v>
      </c>
      <c r="BC683" t="s">
        <v>1160</v>
      </c>
      <c r="BN683" t="s">
        <v>113</v>
      </c>
      <c r="BO683" t="s">
        <v>826</v>
      </c>
      <c r="BP683" t="s">
        <v>370</v>
      </c>
      <c r="BR683" t="s">
        <v>827</v>
      </c>
      <c r="BW683" t="s">
        <v>2012</v>
      </c>
      <c r="BX683" t="s">
        <v>2013</v>
      </c>
      <c r="BY683" t="s">
        <v>123</v>
      </c>
      <c r="BZ683" t="s">
        <v>124</v>
      </c>
    </row>
    <row r="684" spans="1:78" x14ac:dyDescent="0.3">
      <c r="A684" t="s">
        <v>11</v>
      </c>
      <c r="B684" t="s">
        <v>92</v>
      </c>
      <c r="C684" t="s">
        <v>93</v>
      </c>
      <c r="D684" t="s">
        <v>94</v>
      </c>
      <c r="E684" t="s">
        <v>95</v>
      </c>
      <c r="F684" t="s">
        <v>673</v>
      </c>
      <c r="G684">
        <v>498000</v>
      </c>
      <c r="H684">
        <v>460000</v>
      </c>
      <c r="I684" t="s">
        <v>93</v>
      </c>
      <c r="J684" t="s">
        <v>94</v>
      </c>
      <c r="K684" t="s">
        <v>202</v>
      </c>
      <c r="L684" t="s">
        <v>819</v>
      </c>
      <c r="M684">
        <v>51300</v>
      </c>
      <c r="N684">
        <v>51300</v>
      </c>
      <c r="AA684" t="s">
        <v>820</v>
      </c>
      <c r="AB684" t="s">
        <v>821</v>
      </c>
      <c r="AC684" t="s">
        <v>822</v>
      </c>
      <c r="AD684" t="s">
        <v>365</v>
      </c>
      <c r="AE684" t="s">
        <v>823</v>
      </c>
      <c r="AF684" t="s">
        <v>824</v>
      </c>
      <c r="AG684" t="s">
        <v>102</v>
      </c>
      <c r="AH684" t="s">
        <v>160</v>
      </c>
      <c r="AI684">
        <v>46507</v>
      </c>
      <c r="AK684" t="s">
        <v>218</v>
      </c>
      <c r="AL684" t="s">
        <v>1262</v>
      </c>
      <c r="AM684" t="s">
        <v>1629</v>
      </c>
      <c r="AN684" t="s">
        <v>107</v>
      </c>
      <c r="AO684" t="s">
        <v>107</v>
      </c>
      <c r="AP684">
        <v>33235.71</v>
      </c>
      <c r="AQ684">
        <v>0</v>
      </c>
      <c r="AR684">
        <v>33235.71</v>
      </c>
      <c r="AT684" t="s">
        <v>243</v>
      </c>
      <c r="AZ684" t="s">
        <v>113</v>
      </c>
      <c r="BC684" t="s">
        <v>1160</v>
      </c>
      <c r="BN684" t="s">
        <v>113</v>
      </c>
      <c r="BO684" t="s">
        <v>826</v>
      </c>
      <c r="BP684" t="s">
        <v>370</v>
      </c>
      <c r="BR684" t="s">
        <v>827</v>
      </c>
      <c r="BW684" t="s">
        <v>2012</v>
      </c>
      <c r="BX684" t="s">
        <v>2013</v>
      </c>
      <c r="BY684" t="s">
        <v>123</v>
      </c>
      <c r="BZ684" t="s">
        <v>124</v>
      </c>
    </row>
    <row r="685" spans="1:78" x14ac:dyDescent="0.3">
      <c r="A685" t="s">
        <v>11</v>
      </c>
      <c r="B685" t="s">
        <v>92</v>
      </c>
      <c r="C685" t="s">
        <v>93</v>
      </c>
      <c r="D685" t="s">
        <v>94</v>
      </c>
      <c r="E685" t="s">
        <v>95</v>
      </c>
      <c r="F685" t="s">
        <v>673</v>
      </c>
      <c r="G685">
        <v>498000</v>
      </c>
      <c r="H685">
        <v>460000</v>
      </c>
      <c r="I685" t="s">
        <v>93</v>
      </c>
      <c r="J685" t="s">
        <v>94</v>
      </c>
      <c r="K685" t="s">
        <v>202</v>
      </c>
      <c r="L685" t="s">
        <v>819</v>
      </c>
      <c r="M685">
        <v>51300</v>
      </c>
      <c r="N685">
        <v>51300</v>
      </c>
      <c r="AA685" t="s">
        <v>820</v>
      </c>
      <c r="AB685" t="s">
        <v>821</v>
      </c>
      <c r="AC685" t="s">
        <v>822</v>
      </c>
      <c r="AD685" t="s">
        <v>365</v>
      </c>
      <c r="AE685" t="s">
        <v>823</v>
      </c>
      <c r="AF685" t="s">
        <v>824</v>
      </c>
      <c r="AG685" t="s">
        <v>102</v>
      </c>
      <c r="AH685" t="s">
        <v>160</v>
      </c>
      <c r="AI685">
        <v>46538</v>
      </c>
      <c r="AK685" t="s">
        <v>218</v>
      </c>
      <c r="AL685" t="s">
        <v>1382</v>
      </c>
      <c r="AM685" t="s">
        <v>1629</v>
      </c>
      <c r="AN685" t="s">
        <v>107</v>
      </c>
      <c r="AO685" t="s">
        <v>107</v>
      </c>
      <c r="AP685">
        <v>33235.71</v>
      </c>
      <c r="AQ685">
        <v>0</v>
      </c>
      <c r="AR685">
        <v>33235.71</v>
      </c>
      <c r="AT685" t="s">
        <v>243</v>
      </c>
      <c r="AZ685" t="s">
        <v>113</v>
      </c>
      <c r="BC685" t="s">
        <v>1160</v>
      </c>
      <c r="BN685" t="s">
        <v>113</v>
      </c>
      <c r="BO685" t="s">
        <v>826</v>
      </c>
      <c r="BP685" t="s">
        <v>370</v>
      </c>
      <c r="BR685" t="s">
        <v>827</v>
      </c>
      <c r="BW685" t="s">
        <v>2012</v>
      </c>
      <c r="BX685" t="s">
        <v>2013</v>
      </c>
      <c r="BY685" t="s">
        <v>123</v>
      </c>
      <c r="BZ685" t="s">
        <v>124</v>
      </c>
    </row>
    <row r="686" spans="1:78" x14ac:dyDescent="0.3">
      <c r="A686" t="s">
        <v>11</v>
      </c>
      <c r="B686" t="s">
        <v>92</v>
      </c>
      <c r="C686" t="s">
        <v>93</v>
      </c>
      <c r="D686" t="s">
        <v>94</v>
      </c>
      <c r="E686" t="s">
        <v>95</v>
      </c>
      <c r="F686" t="s">
        <v>673</v>
      </c>
      <c r="G686">
        <v>498000</v>
      </c>
      <c r="H686">
        <v>460000</v>
      </c>
      <c r="I686" t="s">
        <v>93</v>
      </c>
      <c r="J686" t="s">
        <v>94</v>
      </c>
      <c r="K686" t="s">
        <v>202</v>
      </c>
      <c r="L686" t="s">
        <v>819</v>
      </c>
      <c r="M686">
        <v>51300</v>
      </c>
      <c r="N686">
        <v>51300</v>
      </c>
      <c r="AA686" t="s">
        <v>820</v>
      </c>
      <c r="AB686" t="s">
        <v>821</v>
      </c>
      <c r="AC686" t="s">
        <v>822</v>
      </c>
      <c r="AD686" t="s">
        <v>365</v>
      </c>
      <c r="AE686" t="s">
        <v>823</v>
      </c>
      <c r="AF686" t="s">
        <v>824</v>
      </c>
      <c r="AG686" t="s">
        <v>102</v>
      </c>
      <c r="AH686" t="s">
        <v>160</v>
      </c>
      <c r="AI686">
        <v>46568</v>
      </c>
      <c r="AK686" t="s">
        <v>218</v>
      </c>
      <c r="AL686" t="s">
        <v>1383</v>
      </c>
      <c r="AM686" t="s">
        <v>2023</v>
      </c>
      <c r="AN686" t="s">
        <v>107</v>
      </c>
      <c r="AO686" t="s">
        <v>107</v>
      </c>
      <c r="AP686">
        <v>33235.769999999997</v>
      </c>
      <c r="AQ686">
        <v>0</v>
      </c>
      <c r="AR686">
        <v>33235.769999999997</v>
      </c>
      <c r="AT686" t="s">
        <v>243</v>
      </c>
      <c r="AZ686" t="s">
        <v>113</v>
      </c>
      <c r="BC686" t="s">
        <v>1160</v>
      </c>
      <c r="BN686" t="s">
        <v>113</v>
      </c>
      <c r="BO686" t="s">
        <v>826</v>
      </c>
      <c r="BP686" t="s">
        <v>370</v>
      </c>
      <c r="BR686" t="s">
        <v>827</v>
      </c>
      <c r="BW686" t="s">
        <v>2012</v>
      </c>
      <c r="BX686" t="s">
        <v>2013</v>
      </c>
      <c r="BY686" t="s">
        <v>123</v>
      </c>
      <c r="BZ686" t="s">
        <v>124</v>
      </c>
    </row>
    <row r="687" spans="1:78" x14ac:dyDescent="0.3">
      <c r="A687" t="s">
        <v>11</v>
      </c>
      <c r="B687" t="s">
        <v>92</v>
      </c>
      <c r="C687" t="s">
        <v>93</v>
      </c>
      <c r="D687" t="s">
        <v>94</v>
      </c>
      <c r="E687" t="s">
        <v>95</v>
      </c>
      <c r="F687" t="s">
        <v>748</v>
      </c>
      <c r="G687">
        <v>518500</v>
      </c>
      <c r="H687">
        <v>470000</v>
      </c>
      <c r="I687" t="s">
        <v>93</v>
      </c>
      <c r="J687" t="s">
        <v>94</v>
      </c>
      <c r="K687" t="s">
        <v>202</v>
      </c>
      <c r="L687" t="s">
        <v>872</v>
      </c>
      <c r="M687">
        <v>50000</v>
      </c>
      <c r="N687">
        <v>50000</v>
      </c>
      <c r="AA687" t="s">
        <v>873</v>
      </c>
      <c r="AB687" t="s">
        <v>874</v>
      </c>
      <c r="AC687" t="s">
        <v>875</v>
      </c>
      <c r="AD687" t="s">
        <v>365</v>
      </c>
      <c r="AE687" t="s">
        <v>876</v>
      </c>
      <c r="AF687" t="s">
        <v>877</v>
      </c>
      <c r="AG687" t="s">
        <v>102</v>
      </c>
      <c r="AH687" t="s">
        <v>103</v>
      </c>
      <c r="AI687">
        <v>46568</v>
      </c>
      <c r="AK687" t="s">
        <v>218</v>
      </c>
      <c r="AL687" t="s">
        <v>152</v>
      </c>
      <c r="AM687" t="s">
        <v>1684</v>
      </c>
      <c r="AN687" t="s">
        <v>107</v>
      </c>
      <c r="AO687" t="s">
        <v>107</v>
      </c>
      <c r="AP687">
        <v>73800</v>
      </c>
      <c r="AQ687">
        <v>0</v>
      </c>
      <c r="AR687">
        <v>73800</v>
      </c>
      <c r="AT687" t="s">
        <v>161</v>
      </c>
      <c r="AZ687" t="s">
        <v>113</v>
      </c>
      <c r="BC687" t="s">
        <v>1160</v>
      </c>
      <c r="BN687" t="s">
        <v>113</v>
      </c>
      <c r="BO687" t="s">
        <v>879</v>
      </c>
      <c r="BP687" t="s">
        <v>370</v>
      </c>
      <c r="BR687" t="s">
        <v>637</v>
      </c>
      <c r="BW687" t="s">
        <v>2012</v>
      </c>
      <c r="BX687" t="s">
        <v>2013</v>
      </c>
      <c r="BY687" t="s">
        <v>123</v>
      </c>
      <c r="BZ687" t="s">
        <v>124</v>
      </c>
    </row>
    <row r="688" spans="1:78" x14ac:dyDescent="0.3">
      <c r="A688" t="s">
        <v>11</v>
      </c>
      <c r="B688" t="s">
        <v>92</v>
      </c>
      <c r="C688" t="s">
        <v>93</v>
      </c>
      <c r="D688" t="s">
        <v>94</v>
      </c>
      <c r="E688" t="s">
        <v>95</v>
      </c>
      <c r="F688" t="s">
        <v>748</v>
      </c>
      <c r="G688">
        <v>518500</v>
      </c>
      <c r="H688">
        <v>470000</v>
      </c>
      <c r="I688" t="s">
        <v>93</v>
      </c>
      <c r="J688" t="s">
        <v>94</v>
      </c>
      <c r="K688" t="s">
        <v>202</v>
      </c>
      <c r="L688" t="s">
        <v>872</v>
      </c>
      <c r="M688">
        <v>50000</v>
      </c>
      <c r="N688">
        <v>50000</v>
      </c>
      <c r="AA688" t="s">
        <v>873</v>
      </c>
      <c r="AB688" t="s">
        <v>874</v>
      </c>
      <c r="AC688" t="s">
        <v>875</v>
      </c>
      <c r="AD688" t="s">
        <v>365</v>
      </c>
      <c r="AE688" t="s">
        <v>876</v>
      </c>
      <c r="AF688" t="s">
        <v>877</v>
      </c>
      <c r="AG688" t="s">
        <v>102</v>
      </c>
      <c r="AH688" t="s">
        <v>103</v>
      </c>
      <c r="AI688">
        <v>46568</v>
      </c>
      <c r="AK688" t="s">
        <v>218</v>
      </c>
      <c r="AL688" t="s">
        <v>584</v>
      </c>
      <c r="AM688" t="s">
        <v>1684</v>
      </c>
      <c r="AN688" t="s">
        <v>107</v>
      </c>
      <c r="AO688" t="s">
        <v>107</v>
      </c>
      <c r="AP688">
        <v>73800</v>
      </c>
      <c r="AQ688">
        <v>0</v>
      </c>
      <c r="AR688">
        <v>73800</v>
      </c>
      <c r="AT688" t="s">
        <v>161</v>
      </c>
      <c r="AZ688" t="s">
        <v>113</v>
      </c>
      <c r="BC688" t="s">
        <v>1160</v>
      </c>
      <c r="BN688" t="s">
        <v>113</v>
      </c>
      <c r="BO688" t="s">
        <v>879</v>
      </c>
      <c r="BP688" t="s">
        <v>370</v>
      </c>
      <c r="BR688" t="s">
        <v>637</v>
      </c>
      <c r="BW688" t="s">
        <v>2012</v>
      </c>
      <c r="BX688" t="s">
        <v>2013</v>
      </c>
      <c r="BY688" t="s">
        <v>123</v>
      </c>
      <c r="BZ688" t="s">
        <v>124</v>
      </c>
    </row>
    <row r="689" spans="1:78" x14ac:dyDescent="0.3">
      <c r="A689" t="s">
        <v>11</v>
      </c>
      <c r="B689" t="s">
        <v>92</v>
      </c>
      <c r="C689" t="s">
        <v>93</v>
      </c>
      <c r="D689" t="s">
        <v>94</v>
      </c>
      <c r="E689" t="s">
        <v>95</v>
      </c>
      <c r="F689" t="s">
        <v>236</v>
      </c>
      <c r="G689">
        <v>518500</v>
      </c>
      <c r="H689">
        <v>469500</v>
      </c>
      <c r="I689" t="s">
        <v>93</v>
      </c>
      <c r="J689" t="s">
        <v>94</v>
      </c>
      <c r="K689" t="s">
        <v>202</v>
      </c>
      <c r="L689" t="s">
        <v>893</v>
      </c>
      <c r="M689">
        <v>50400</v>
      </c>
      <c r="N689">
        <v>50400</v>
      </c>
      <c r="AA689" t="s">
        <v>894</v>
      </c>
      <c r="AB689" t="s">
        <v>895</v>
      </c>
      <c r="AC689" t="s">
        <v>896</v>
      </c>
      <c r="AD689" t="s">
        <v>365</v>
      </c>
      <c r="AE689" t="s">
        <v>897</v>
      </c>
      <c r="AF689" t="s">
        <v>898</v>
      </c>
      <c r="AG689" t="s">
        <v>102</v>
      </c>
      <c r="AH689" t="s">
        <v>131</v>
      </c>
      <c r="AI689">
        <v>46415</v>
      </c>
      <c r="AK689" t="s">
        <v>218</v>
      </c>
      <c r="AL689" t="s">
        <v>588</v>
      </c>
      <c r="AM689" t="s">
        <v>1705</v>
      </c>
      <c r="AN689" t="s">
        <v>107</v>
      </c>
      <c r="AO689" t="s">
        <v>107</v>
      </c>
      <c r="AP689">
        <v>37270.910000000003</v>
      </c>
      <c r="AQ689">
        <v>0</v>
      </c>
      <c r="AR689">
        <v>37270.910000000003</v>
      </c>
      <c r="AT689" t="s">
        <v>161</v>
      </c>
      <c r="AZ689" t="s">
        <v>113</v>
      </c>
      <c r="BC689" t="s">
        <v>1160</v>
      </c>
      <c r="BN689" t="s">
        <v>113</v>
      </c>
      <c r="BO689" t="s">
        <v>900</v>
      </c>
      <c r="BP689" t="s">
        <v>370</v>
      </c>
      <c r="BR689" t="s">
        <v>282</v>
      </c>
      <c r="BW689" t="s">
        <v>2012</v>
      </c>
      <c r="BX689" t="s">
        <v>2013</v>
      </c>
      <c r="BY689" t="s">
        <v>123</v>
      </c>
      <c r="BZ689" t="s">
        <v>124</v>
      </c>
    </row>
    <row r="690" spans="1:78" x14ac:dyDescent="0.3">
      <c r="A690" t="s">
        <v>11</v>
      </c>
      <c r="B690" t="s">
        <v>92</v>
      </c>
      <c r="C690" t="s">
        <v>93</v>
      </c>
      <c r="D690" t="s">
        <v>94</v>
      </c>
      <c r="E690" t="s">
        <v>95</v>
      </c>
      <c r="F690" t="s">
        <v>236</v>
      </c>
      <c r="G690">
        <v>518500</v>
      </c>
      <c r="H690">
        <v>469500</v>
      </c>
      <c r="I690" t="s">
        <v>93</v>
      </c>
      <c r="J690" t="s">
        <v>94</v>
      </c>
      <c r="K690" t="s">
        <v>202</v>
      </c>
      <c r="L690" t="s">
        <v>893</v>
      </c>
      <c r="M690">
        <v>50400</v>
      </c>
      <c r="N690">
        <v>50400</v>
      </c>
      <c r="AA690" t="s">
        <v>894</v>
      </c>
      <c r="AB690" t="s">
        <v>895</v>
      </c>
      <c r="AC690" t="s">
        <v>896</v>
      </c>
      <c r="AD690" t="s">
        <v>365</v>
      </c>
      <c r="AE690" t="s">
        <v>897</v>
      </c>
      <c r="AF690" t="s">
        <v>898</v>
      </c>
      <c r="AG690" t="s">
        <v>102</v>
      </c>
      <c r="AH690" t="s">
        <v>131</v>
      </c>
      <c r="AI690">
        <v>46446</v>
      </c>
      <c r="AK690" t="s">
        <v>218</v>
      </c>
      <c r="AL690" t="s">
        <v>591</v>
      </c>
      <c r="AM690" t="s">
        <v>1705</v>
      </c>
      <c r="AN690" t="s">
        <v>107</v>
      </c>
      <c r="AO690" t="s">
        <v>107</v>
      </c>
      <c r="AP690">
        <v>37270.910000000003</v>
      </c>
      <c r="AQ690">
        <v>0</v>
      </c>
      <c r="AR690">
        <v>37270.910000000003</v>
      </c>
      <c r="AT690" t="s">
        <v>161</v>
      </c>
      <c r="AZ690" t="s">
        <v>113</v>
      </c>
      <c r="BC690" t="s">
        <v>1160</v>
      </c>
      <c r="BN690" t="s">
        <v>113</v>
      </c>
      <c r="BO690" t="s">
        <v>900</v>
      </c>
      <c r="BP690" t="s">
        <v>370</v>
      </c>
      <c r="BR690" t="s">
        <v>282</v>
      </c>
      <c r="BW690" t="s">
        <v>2012</v>
      </c>
      <c r="BX690" t="s">
        <v>2013</v>
      </c>
      <c r="BY690" t="s">
        <v>123</v>
      </c>
      <c r="BZ690" t="s">
        <v>124</v>
      </c>
    </row>
    <row r="691" spans="1:78" x14ac:dyDescent="0.3">
      <c r="A691" t="s">
        <v>11</v>
      </c>
      <c r="B691" t="s">
        <v>92</v>
      </c>
      <c r="C691" t="s">
        <v>93</v>
      </c>
      <c r="D691" t="s">
        <v>94</v>
      </c>
      <c r="E691" t="s">
        <v>95</v>
      </c>
      <c r="F691" t="s">
        <v>236</v>
      </c>
      <c r="G691">
        <v>518500</v>
      </c>
      <c r="H691">
        <v>469500</v>
      </c>
      <c r="I691" t="s">
        <v>93</v>
      </c>
      <c r="J691" t="s">
        <v>94</v>
      </c>
      <c r="K691" t="s">
        <v>202</v>
      </c>
      <c r="L691" t="s">
        <v>893</v>
      </c>
      <c r="M691">
        <v>50400</v>
      </c>
      <c r="N691">
        <v>50400</v>
      </c>
      <c r="AA691" t="s">
        <v>894</v>
      </c>
      <c r="AB691" t="s">
        <v>895</v>
      </c>
      <c r="AC691" t="s">
        <v>896</v>
      </c>
      <c r="AD691" t="s">
        <v>365</v>
      </c>
      <c r="AE691" t="s">
        <v>897</v>
      </c>
      <c r="AF691" t="s">
        <v>898</v>
      </c>
      <c r="AG691" t="s">
        <v>102</v>
      </c>
      <c r="AH691" t="s">
        <v>131</v>
      </c>
      <c r="AI691">
        <v>46474</v>
      </c>
      <c r="AK691" t="s">
        <v>218</v>
      </c>
      <c r="AL691" t="s">
        <v>594</v>
      </c>
      <c r="AM691" t="s">
        <v>1705</v>
      </c>
      <c r="AN691" t="s">
        <v>107</v>
      </c>
      <c r="AO691" t="s">
        <v>107</v>
      </c>
      <c r="AP691">
        <v>37270.910000000003</v>
      </c>
      <c r="AQ691">
        <v>0</v>
      </c>
      <c r="AR691">
        <v>37270.910000000003</v>
      </c>
      <c r="AT691" t="s">
        <v>161</v>
      </c>
      <c r="AZ691" t="s">
        <v>113</v>
      </c>
      <c r="BC691" t="s">
        <v>1160</v>
      </c>
      <c r="BN691" t="s">
        <v>113</v>
      </c>
      <c r="BO691" t="s">
        <v>900</v>
      </c>
      <c r="BP691" t="s">
        <v>370</v>
      </c>
      <c r="BR691" t="s">
        <v>282</v>
      </c>
      <c r="BW691" t="s">
        <v>2012</v>
      </c>
      <c r="BX691" t="s">
        <v>2013</v>
      </c>
      <c r="BY691" t="s">
        <v>123</v>
      </c>
      <c r="BZ691" t="s">
        <v>124</v>
      </c>
    </row>
    <row r="692" spans="1:78" x14ac:dyDescent="0.3">
      <c r="A692" t="s">
        <v>11</v>
      </c>
      <c r="B692" t="s">
        <v>92</v>
      </c>
      <c r="C692" t="s">
        <v>93</v>
      </c>
      <c r="D692" t="s">
        <v>94</v>
      </c>
      <c r="E692" t="s">
        <v>95</v>
      </c>
      <c r="F692" t="s">
        <v>236</v>
      </c>
      <c r="G692">
        <v>518500</v>
      </c>
      <c r="H692">
        <v>469500</v>
      </c>
      <c r="I692" t="s">
        <v>93</v>
      </c>
      <c r="J692" t="s">
        <v>94</v>
      </c>
      <c r="K692" t="s">
        <v>202</v>
      </c>
      <c r="L692" t="s">
        <v>893</v>
      </c>
      <c r="M692">
        <v>50400</v>
      </c>
      <c r="N692">
        <v>50400</v>
      </c>
      <c r="AA692" t="s">
        <v>894</v>
      </c>
      <c r="AB692" t="s">
        <v>895</v>
      </c>
      <c r="AC692" t="s">
        <v>896</v>
      </c>
      <c r="AD692" t="s">
        <v>365</v>
      </c>
      <c r="AE692" t="s">
        <v>897</v>
      </c>
      <c r="AF692" t="s">
        <v>898</v>
      </c>
      <c r="AG692" t="s">
        <v>102</v>
      </c>
      <c r="AH692" t="s">
        <v>131</v>
      </c>
      <c r="AI692">
        <v>46505</v>
      </c>
      <c r="AK692" t="s">
        <v>218</v>
      </c>
      <c r="AL692" t="s">
        <v>597</v>
      </c>
      <c r="AM692" t="s">
        <v>1705</v>
      </c>
      <c r="AN692" t="s">
        <v>107</v>
      </c>
      <c r="AO692" t="s">
        <v>107</v>
      </c>
      <c r="AP692">
        <v>37270.910000000003</v>
      </c>
      <c r="AQ692">
        <v>0</v>
      </c>
      <c r="AR692">
        <v>37270.910000000003</v>
      </c>
      <c r="AT692" t="s">
        <v>161</v>
      </c>
      <c r="AZ692" t="s">
        <v>113</v>
      </c>
      <c r="BC692" t="s">
        <v>1160</v>
      </c>
      <c r="BN692" t="s">
        <v>113</v>
      </c>
      <c r="BO692" t="s">
        <v>900</v>
      </c>
      <c r="BP692" t="s">
        <v>370</v>
      </c>
      <c r="BR692" t="s">
        <v>282</v>
      </c>
      <c r="BW692" t="s">
        <v>2012</v>
      </c>
      <c r="BX692" t="s">
        <v>2013</v>
      </c>
      <c r="BY692" t="s">
        <v>123</v>
      </c>
      <c r="BZ692" t="s">
        <v>124</v>
      </c>
    </row>
    <row r="693" spans="1:78" x14ac:dyDescent="0.3">
      <c r="A693" t="s">
        <v>11</v>
      </c>
      <c r="B693" t="s">
        <v>92</v>
      </c>
      <c r="C693" t="s">
        <v>93</v>
      </c>
      <c r="D693" t="s">
        <v>94</v>
      </c>
      <c r="E693" t="s">
        <v>95</v>
      </c>
      <c r="F693" t="s">
        <v>236</v>
      </c>
      <c r="G693">
        <v>518500</v>
      </c>
      <c r="H693">
        <v>469500</v>
      </c>
      <c r="I693" t="s">
        <v>93</v>
      </c>
      <c r="J693" t="s">
        <v>94</v>
      </c>
      <c r="K693" t="s">
        <v>202</v>
      </c>
      <c r="L693" t="s">
        <v>893</v>
      </c>
      <c r="M693">
        <v>50400</v>
      </c>
      <c r="N693">
        <v>50400</v>
      </c>
      <c r="AA693" t="s">
        <v>894</v>
      </c>
      <c r="AB693" t="s">
        <v>895</v>
      </c>
      <c r="AC693" t="s">
        <v>896</v>
      </c>
      <c r="AD693" t="s">
        <v>365</v>
      </c>
      <c r="AE693" t="s">
        <v>897</v>
      </c>
      <c r="AF693" t="s">
        <v>898</v>
      </c>
      <c r="AG693" t="s">
        <v>102</v>
      </c>
      <c r="AH693" t="s">
        <v>131</v>
      </c>
      <c r="AI693">
        <v>46535</v>
      </c>
      <c r="AK693" t="s">
        <v>218</v>
      </c>
      <c r="AL693" t="s">
        <v>599</v>
      </c>
      <c r="AM693" t="s">
        <v>2024</v>
      </c>
      <c r="AN693" t="s">
        <v>107</v>
      </c>
      <c r="AO693" t="s">
        <v>107</v>
      </c>
      <c r="AP693">
        <v>37270.9</v>
      </c>
      <c r="AQ693">
        <v>0</v>
      </c>
      <c r="AR693">
        <v>37270.9</v>
      </c>
      <c r="AT693" t="s">
        <v>161</v>
      </c>
      <c r="AZ693" t="s">
        <v>113</v>
      </c>
      <c r="BC693" t="s">
        <v>1160</v>
      </c>
      <c r="BN693" t="s">
        <v>113</v>
      </c>
      <c r="BO693" t="s">
        <v>900</v>
      </c>
      <c r="BP693" t="s">
        <v>370</v>
      </c>
      <c r="BR693" t="s">
        <v>282</v>
      </c>
      <c r="BW693" t="s">
        <v>2012</v>
      </c>
      <c r="BX693" t="s">
        <v>2013</v>
      </c>
      <c r="BY693" t="s">
        <v>123</v>
      </c>
      <c r="BZ693" t="s">
        <v>124</v>
      </c>
    </row>
    <row r="694" spans="1:78" x14ac:dyDescent="0.3">
      <c r="A694" t="s">
        <v>11</v>
      </c>
      <c r="B694" t="s">
        <v>92</v>
      </c>
      <c r="C694" t="s">
        <v>93</v>
      </c>
      <c r="D694" t="s">
        <v>94</v>
      </c>
      <c r="E694" t="s">
        <v>95</v>
      </c>
      <c r="F694" t="s">
        <v>519</v>
      </c>
      <c r="G694">
        <v>469000</v>
      </c>
      <c r="H694">
        <v>429000</v>
      </c>
      <c r="AA694" t="s">
        <v>1761</v>
      </c>
      <c r="AB694" t="s">
        <v>1762</v>
      </c>
      <c r="AC694" t="s">
        <v>1763</v>
      </c>
      <c r="AD694" t="s">
        <v>365</v>
      </c>
      <c r="AE694" t="s">
        <v>1764</v>
      </c>
      <c r="AF694" t="s">
        <v>1765</v>
      </c>
      <c r="AG694" t="s">
        <v>102</v>
      </c>
      <c r="AH694" t="s">
        <v>131</v>
      </c>
      <c r="AI694">
        <v>46417</v>
      </c>
      <c r="AK694" t="s">
        <v>218</v>
      </c>
      <c r="AL694" t="s">
        <v>105</v>
      </c>
      <c r="AM694" t="s">
        <v>1222</v>
      </c>
      <c r="AN694" t="s">
        <v>107</v>
      </c>
      <c r="AO694" t="s">
        <v>107</v>
      </c>
      <c r="AP694">
        <v>386100</v>
      </c>
      <c r="AQ694">
        <v>0</v>
      </c>
      <c r="AR694">
        <v>386100</v>
      </c>
      <c r="AT694" t="s">
        <v>243</v>
      </c>
      <c r="AZ694" t="s">
        <v>113</v>
      </c>
      <c r="BC694" t="s">
        <v>1160</v>
      </c>
      <c r="BN694" t="s">
        <v>113</v>
      </c>
      <c r="BO694" t="s">
        <v>1767</v>
      </c>
      <c r="BP694" t="s">
        <v>118</v>
      </c>
      <c r="BR694" t="s">
        <v>718</v>
      </c>
      <c r="BW694" t="s">
        <v>2012</v>
      </c>
      <c r="BX694" t="s">
        <v>2013</v>
      </c>
      <c r="BY694" t="s">
        <v>123</v>
      </c>
      <c r="BZ694" t="s">
        <v>124</v>
      </c>
    </row>
    <row r="695" spans="1:78" x14ac:dyDescent="0.3">
      <c r="A695" t="s">
        <v>11</v>
      </c>
      <c r="B695" t="s">
        <v>92</v>
      </c>
      <c r="C695" t="s">
        <v>93</v>
      </c>
      <c r="D695" t="s">
        <v>94</v>
      </c>
      <c r="E695" t="s">
        <v>95</v>
      </c>
      <c r="F695" t="s">
        <v>1773</v>
      </c>
      <c r="G695">
        <v>430000</v>
      </c>
      <c r="H695">
        <v>369000</v>
      </c>
      <c r="I695" t="s">
        <v>93</v>
      </c>
      <c r="J695" t="s">
        <v>94</v>
      </c>
      <c r="K695" t="s">
        <v>202</v>
      </c>
      <c r="L695" t="s">
        <v>1774</v>
      </c>
      <c r="M695">
        <v>43200</v>
      </c>
      <c r="N695">
        <v>43200</v>
      </c>
      <c r="AA695" t="s">
        <v>1775</v>
      </c>
      <c r="AB695" t="s">
        <v>1776</v>
      </c>
      <c r="AC695" t="s">
        <v>1777</v>
      </c>
      <c r="AD695" t="s">
        <v>365</v>
      </c>
      <c r="AE695" t="s">
        <v>1778</v>
      </c>
      <c r="AF695" t="s">
        <v>1779</v>
      </c>
      <c r="AG695" t="s">
        <v>102</v>
      </c>
      <c r="AH695" t="s">
        <v>781</v>
      </c>
      <c r="AI695">
        <v>46417</v>
      </c>
      <c r="AK695" t="s">
        <v>218</v>
      </c>
      <c r="AL695" t="s">
        <v>594</v>
      </c>
      <c r="AM695" t="s">
        <v>1787</v>
      </c>
      <c r="AN695" t="s">
        <v>107</v>
      </c>
      <c r="AO695" t="s">
        <v>107</v>
      </c>
      <c r="AP695">
        <v>12000</v>
      </c>
      <c r="AQ695">
        <v>0</v>
      </c>
      <c r="AR695">
        <v>12000</v>
      </c>
      <c r="AT695" t="s">
        <v>161</v>
      </c>
      <c r="AZ695" t="s">
        <v>113</v>
      </c>
      <c r="BC695" t="s">
        <v>1160</v>
      </c>
      <c r="BN695" t="s">
        <v>113</v>
      </c>
      <c r="BO695" t="s">
        <v>1781</v>
      </c>
      <c r="BP695" t="s">
        <v>166</v>
      </c>
      <c r="BR695" t="s">
        <v>805</v>
      </c>
      <c r="BW695" t="s">
        <v>2012</v>
      </c>
      <c r="BX695" t="s">
        <v>2013</v>
      </c>
      <c r="BY695" t="s">
        <v>123</v>
      </c>
      <c r="BZ695" t="s">
        <v>124</v>
      </c>
    </row>
    <row r="696" spans="1:78" x14ac:dyDescent="0.3">
      <c r="A696" t="s">
        <v>11</v>
      </c>
      <c r="B696" t="s">
        <v>92</v>
      </c>
      <c r="C696" t="s">
        <v>93</v>
      </c>
      <c r="D696" t="s">
        <v>94</v>
      </c>
      <c r="E696" t="s">
        <v>95</v>
      </c>
      <c r="F696" t="s">
        <v>1773</v>
      </c>
      <c r="G696">
        <v>430000</v>
      </c>
      <c r="H696">
        <v>369000</v>
      </c>
      <c r="I696" t="s">
        <v>93</v>
      </c>
      <c r="J696" t="s">
        <v>94</v>
      </c>
      <c r="K696" t="s">
        <v>202</v>
      </c>
      <c r="L696" t="s">
        <v>1774</v>
      </c>
      <c r="M696">
        <v>43200</v>
      </c>
      <c r="N696">
        <v>43200</v>
      </c>
      <c r="AA696" t="s">
        <v>1775</v>
      </c>
      <c r="AB696" t="s">
        <v>1776</v>
      </c>
      <c r="AC696" t="s">
        <v>1777</v>
      </c>
      <c r="AD696" t="s">
        <v>365</v>
      </c>
      <c r="AE696" t="s">
        <v>1778</v>
      </c>
      <c r="AF696" t="s">
        <v>1779</v>
      </c>
      <c r="AG696" t="s">
        <v>102</v>
      </c>
      <c r="AH696" t="s">
        <v>781</v>
      </c>
      <c r="AI696">
        <v>46446</v>
      </c>
      <c r="AK696" t="s">
        <v>218</v>
      </c>
      <c r="AL696" t="s">
        <v>597</v>
      </c>
      <c r="AM696" t="s">
        <v>1787</v>
      </c>
      <c r="AN696" t="s">
        <v>107</v>
      </c>
      <c r="AO696" t="s">
        <v>107</v>
      </c>
      <c r="AP696">
        <v>12000</v>
      </c>
      <c r="AQ696">
        <v>0</v>
      </c>
      <c r="AR696">
        <v>12000</v>
      </c>
      <c r="AT696" t="s">
        <v>161</v>
      </c>
      <c r="AZ696" t="s">
        <v>113</v>
      </c>
      <c r="BC696" t="s">
        <v>1160</v>
      </c>
      <c r="BN696" t="s">
        <v>113</v>
      </c>
      <c r="BO696" t="s">
        <v>1781</v>
      </c>
      <c r="BP696" t="s">
        <v>166</v>
      </c>
      <c r="BR696" t="s">
        <v>805</v>
      </c>
      <c r="BW696" t="s">
        <v>2012</v>
      </c>
      <c r="BX696" t="s">
        <v>2013</v>
      </c>
      <c r="BY696" t="s">
        <v>123</v>
      </c>
      <c r="BZ696" t="s">
        <v>124</v>
      </c>
    </row>
    <row r="697" spans="1:78" x14ac:dyDescent="0.3">
      <c r="A697" t="s">
        <v>11</v>
      </c>
      <c r="B697" t="s">
        <v>92</v>
      </c>
      <c r="C697" t="s">
        <v>93</v>
      </c>
      <c r="D697" t="s">
        <v>94</v>
      </c>
      <c r="E697" t="s">
        <v>95</v>
      </c>
      <c r="F697" t="s">
        <v>1773</v>
      </c>
      <c r="G697">
        <v>430000</v>
      </c>
      <c r="H697">
        <v>369000</v>
      </c>
      <c r="I697" t="s">
        <v>93</v>
      </c>
      <c r="J697" t="s">
        <v>94</v>
      </c>
      <c r="K697" t="s">
        <v>202</v>
      </c>
      <c r="L697" t="s">
        <v>1774</v>
      </c>
      <c r="M697">
        <v>43200</v>
      </c>
      <c r="N697">
        <v>43200</v>
      </c>
      <c r="AA697" t="s">
        <v>1775</v>
      </c>
      <c r="AB697" t="s">
        <v>1776</v>
      </c>
      <c r="AC697" t="s">
        <v>1777</v>
      </c>
      <c r="AD697" t="s">
        <v>365</v>
      </c>
      <c r="AE697" t="s">
        <v>1778</v>
      </c>
      <c r="AF697" t="s">
        <v>1779</v>
      </c>
      <c r="AG697" t="s">
        <v>102</v>
      </c>
      <c r="AH697" t="s">
        <v>781</v>
      </c>
      <c r="AI697">
        <v>46476</v>
      </c>
      <c r="AK697" t="s">
        <v>218</v>
      </c>
      <c r="AL697" t="s">
        <v>599</v>
      </c>
      <c r="AM697" t="s">
        <v>1787</v>
      </c>
      <c r="AN697" t="s">
        <v>107</v>
      </c>
      <c r="AO697" t="s">
        <v>107</v>
      </c>
      <c r="AP697">
        <v>12000</v>
      </c>
      <c r="AQ697">
        <v>0</v>
      </c>
      <c r="AR697">
        <v>12000</v>
      </c>
      <c r="AT697" t="s">
        <v>161</v>
      </c>
      <c r="AZ697" t="s">
        <v>113</v>
      </c>
      <c r="BC697" t="s">
        <v>1160</v>
      </c>
      <c r="BN697" t="s">
        <v>113</v>
      </c>
      <c r="BO697" t="s">
        <v>1781</v>
      </c>
      <c r="BP697" t="s">
        <v>166</v>
      </c>
      <c r="BR697" t="s">
        <v>805</v>
      </c>
      <c r="BW697" t="s">
        <v>2012</v>
      </c>
      <c r="BX697" t="s">
        <v>2013</v>
      </c>
      <c r="BY697" t="s">
        <v>123</v>
      </c>
      <c r="BZ697" t="s">
        <v>124</v>
      </c>
    </row>
    <row r="698" spans="1:78" x14ac:dyDescent="0.3">
      <c r="A698" t="s">
        <v>11</v>
      </c>
      <c r="B698" t="s">
        <v>92</v>
      </c>
      <c r="C698" t="s">
        <v>93</v>
      </c>
      <c r="D698" t="s">
        <v>94</v>
      </c>
      <c r="E698" t="s">
        <v>95</v>
      </c>
      <c r="F698" t="s">
        <v>1773</v>
      </c>
      <c r="G698">
        <v>430000</v>
      </c>
      <c r="H698">
        <v>369000</v>
      </c>
      <c r="I698" t="s">
        <v>93</v>
      </c>
      <c r="J698" t="s">
        <v>94</v>
      </c>
      <c r="K698" t="s">
        <v>202</v>
      </c>
      <c r="L698" t="s">
        <v>1774</v>
      </c>
      <c r="M698">
        <v>43200</v>
      </c>
      <c r="N698">
        <v>43200</v>
      </c>
      <c r="AA698" t="s">
        <v>1775</v>
      </c>
      <c r="AB698" t="s">
        <v>1776</v>
      </c>
      <c r="AC698" t="s">
        <v>1777</v>
      </c>
      <c r="AD698" t="s">
        <v>365</v>
      </c>
      <c r="AE698" t="s">
        <v>1778</v>
      </c>
      <c r="AF698" t="s">
        <v>1779</v>
      </c>
      <c r="AG698" t="s">
        <v>102</v>
      </c>
      <c r="AH698" t="s">
        <v>781</v>
      </c>
      <c r="AI698">
        <v>46507</v>
      </c>
      <c r="AK698" t="s">
        <v>218</v>
      </c>
      <c r="AL698" t="s">
        <v>1262</v>
      </c>
      <c r="AM698" t="s">
        <v>1787</v>
      </c>
      <c r="AN698" t="s">
        <v>107</v>
      </c>
      <c r="AO698" t="s">
        <v>107</v>
      </c>
      <c r="AP698">
        <v>12000</v>
      </c>
      <c r="AQ698">
        <v>0</v>
      </c>
      <c r="AR698">
        <v>12000</v>
      </c>
      <c r="AT698" t="s">
        <v>161</v>
      </c>
      <c r="AZ698" t="s">
        <v>113</v>
      </c>
      <c r="BC698" t="s">
        <v>1160</v>
      </c>
      <c r="BN698" t="s">
        <v>113</v>
      </c>
      <c r="BO698" t="s">
        <v>1781</v>
      </c>
      <c r="BP698" t="s">
        <v>166</v>
      </c>
      <c r="BR698" t="s">
        <v>805</v>
      </c>
      <c r="BW698" t="s">
        <v>2012</v>
      </c>
      <c r="BX698" t="s">
        <v>2013</v>
      </c>
      <c r="BY698" t="s">
        <v>123</v>
      </c>
      <c r="BZ698" t="s">
        <v>124</v>
      </c>
    </row>
    <row r="699" spans="1:78" x14ac:dyDescent="0.3">
      <c r="A699" t="s">
        <v>11</v>
      </c>
      <c r="B699" t="s">
        <v>92</v>
      </c>
      <c r="C699" t="s">
        <v>93</v>
      </c>
      <c r="D699" t="s">
        <v>94</v>
      </c>
      <c r="E699" t="s">
        <v>95</v>
      </c>
      <c r="F699" t="s">
        <v>1773</v>
      </c>
      <c r="G699">
        <v>430000</v>
      </c>
      <c r="H699">
        <v>369000</v>
      </c>
      <c r="I699" t="s">
        <v>93</v>
      </c>
      <c r="J699" t="s">
        <v>94</v>
      </c>
      <c r="K699" t="s">
        <v>202</v>
      </c>
      <c r="L699" t="s">
        <v>1774</v>
      </c>
      <c r="M699">
        <v>43200</v>
      </c>
      <c r="N699">
        <v>43200</v>
      </c>
      <c r="AA699" t="s">
        <v>1775</v>
      </c>
      <c r="AB699" t="s">
        <v>1776</v>
      </c>
      <c r="AC699" t="s">
        <v>1777</v>
      </c>
      <c r="AD699" t="s">
        <v>365</v>
      </c>
      <c r="AE699" t="s">
        <v>1778</v>
      </c>
      <c r="AF699" t="s">
        <v>1779</v>
      </c>
      <c r="AG699" t="s">
        <v>102</v>
      </c>
      <c r="AH699" t="s">
        <v>781</v>
      </c>
      <c r="AI699">
        <v>46537</v>
      </c>
      <c r="AK699" t="s">
        <v>218</v>
      </c>
      <c r="AL699" t="s">
        <v>1382</v>
      </c>
      <c r="AM699" t="s">
        <v>1787</v>
      </c>
      <c r="AN699" t="s">
        <v>107</v>
      </c>
      <c r="AO699" t="s">
        <v>107</v>
      </c>
      <c r="AP699">
        <v>12000</v>
      </c>
      <c r="AQ699">
        <v>0</v>
      </c>
      <c r="AR699">
        <v>12000</v>
      </c>
      <c r="AT699" t="s">
        <v>161</v>
      </c>
      <c r="AZ699" t="s">
        <v>113</v>
      </c>
      <c r="BC699" t="s">
        <v>1160</v>
      </c>
      <c r="BN699" t="s">
        <v>113</v>
      </c>
      <c r="BO699" t="s">
        <v>1781</v>
      </c>
      <c r="BP699" t="s">
        <v>166</v>
      </c>
      <c r="BR699" t="s">
        <v>805</v>
      </c>
      <c r="BW699" t="s">
        <v>2012</v>
      </c>
      <c r="BX699" t="s">
        <v>2013</v>
      </c>
      <c r="BY699" t="s">
        <v>123</v>
      </c>
      <c r="BZ699" t="s">
        <v>124</v>
      </c>
    </row>
    <row r="700" spans="1:78" x14ac:dyDescent="0.3">
      <c r="A700" t="s">
        <v>11</v>
      </c>
      <c r="B700" t="s">
        <v>92</v>
      </c>
      <c r="C700" t="s">
        <v>93</v>
      </c>
      <c r="D700" t="s">
        <v>94</v>
      </c>
      <c r="E700" t="s">
        <v>95</v>
      </c>
      <c r="F700" t="s">
        <v>1773</v>
      </c>
      <c r="G700">
        <v>430000</v>
      </c>
      <c r="H700">
        <v>369000</v>
      </c>
      <c r="I700" t="s">
        <v>93</v>
      </c>
      <c r="J700" t="s">
        <v>94</v>
      </c>
      <c r="K700" t="s">
        <v>202</v>
      </c>
      <c r="L700" t="s">
        <v>1774</v>
      </c>
      <c r="M700">
        <v>43200</v>
      </c>
      <c r="N700">
        <v>43200</v>
      </c>
      <c r="AA700" t="s">
        <v>1775</v>
      </c>
      <c r="AB700" t="s">
        <v>1776</v>
      </c>
      <c r="AC700" t="s">
        <v>1777</v>
      </c>
      <c r="AD700" t="s">
        <v>365</v>
      </c>
      <c r="AE700" t="s">
        <v>1778</v>
      </c>
      <c r="AF700" t="s">
        <v>1779</v>
      </c>
      <c r="AG700" t="s">
        <v>102</v>
      </c>
      <c r="AH700" t="s">
        <v>781</v>
      </c>
      <c r="AI700">
        <v>46568</v>
      </c>
      <c r="AK700" t="s">
        <v>218</v>
      </c>
      <c r="AL700" t="s">
        <v>1383</v>
      </c>
      <c r="AM700" t="s">
        <v>1787</v>
      </c>
      <c r="AN700" t="s">
        <v>107</v>
      </c>
      <c r="AO700" t="s">
        <v>107</v>
      </c>
      <c r="AP700">
        <v>12000</v>
      </c>
      <c r="AQ700">
        <v>0</v>
      </c>
      <c r="AR700">
        <v>12000</v>
      </c>
      <c r="AT700" t="s">
        <v>161</v>
      </c>
      <c r="AZ700" t="s">
        <v>113</v>
      </c>
      <c r="BC700" t="s">
        <v>1160</v>
      </c>
      <c r="BN700" t="s">
        <v>113</v>
      </c>
      <c r="BO700" t="s">
        <v>1781</v>
      </c>
      <c r="BP700" t="s">
        <v>166</v>
      </c>
      <c r="BR700" t="s">
        <v>805</v>
      </c>
      <c r="BW700" t="s">
        <v>2012</v>
      </c>
      <c r="BX700" t="s">
        <v>2013</v>
      </c>
      <c r="BY700" t="s">
        <v>123</v>
      </c>
      <c r="BZ700" t="s">
        <v>124</v>
      </c>
    </row>
    <row r="701" spans="1:78" x14ac:dyDescent="0.3">
      <c r="A701" t="s">
        <v>11</v>
      </c>
      <c r="B701" t="s">
        <v>92</v>
      </c>
      <c r="C701" t="s">
        <v>93</v>
      </c>
      <c r="D701" t="s">
        <v>94</v>
      </c>
      <c r="E701" t="s">
        <v>95</v>
      </c>
      <c r="F701" t="s">
        <v>1773</v>
      </c>
      <c r="G701">
        <v>430000</v>
      </c>
      <c r="H701">
        <v>369000</v>
      </c>
      <c r="I701" t="s">
        <v>93</v>
      </c>
      <c r="J701" t="s">
        <v>94</v>
      </c>
      <c r="K701" t="s">
        <v>202</v>
      </c>
      <c r="L701" t="s">
        <v>1774</v>
      </c>
      <c r="M701">
        <v>43200</v>
      </c>
      <c r="N701">
        <v>43200</v>
      </c>
      <c r="AA701" t="s">
        <v>1775</v>
      </c>
      <c r="AB701" t="s">
        <v>1776</v>
      </c>
      <c r="AC701" t="s">
        <v>1777</v>
      </c>
      <c r="AD701" t="s">
        <v>365</v>
      </c>
      <c r="AE701" t="s">
        <v>1778</v>
      </c>
      <c r="AF701" t="s">
        <v>1779</v>
      </c>
      <c r="AG701" t="s">
        <v>102</v>
      </c>
      <c r="AH701" t="s">
        <v>781</v>
      </c>
      <c r="AI701">
        <v>46598</v>
      </c>
      <c r="AK701" t="s">
        <v>218</v>
      </c>
      <c r="AL701" t="s">
        <v>1384</v>
      </c>
      <c r="AM701" t="s">
        <v>1787</v>
      </c>
      <c r="AN701" t="s">
        <v>107</v>
      </c>
      <c r="AO701" t="s">
        <v>107</v>
      </c>
      <c r="AP701">
        <v>12000</v>
      </c>
      <c r="AQ701">
        <v>0</v>
      </c>
      <c r="AR701">
        <v>12000</v>
      </c>
      <c r="AT701" t="s">
        <v>161</v>
      </c>
      <c r="AZ701" t="s">
        <v>113</v>
      </c>
      <c r="BC701" t="s">
        <v>1160</v>
      </c>
      <c r="BN701" t="s">
        <v>113</v>
      </c>
      <c r="BO701" t="s">
        <v>1781</v>
      </c>
      <c r="BP701" t="s">
        <v>166</v>
      </c>
      <c r="BR701" t="s">
        <v>805</v>
      </c>
      <c r="BW701" t="s">
        <v>2012</v>
      </c>
      <c r="BX701" t="s">
        <v>2013</v>
      </c>
      <c r="BY701" t="s">
        <v>123</v>
      </c>
      <c r="BZ701" t="s">
        <v>124</v>
      </c>
    </row>
    <row r="702" spans="1:78" x14ac:dyDescent="0.3">
      <c r="A702" t="s">
        <v>11</v>
      </c>
      <c r="B702" t="s">
        <v>92</v>
      </c>
      <c r="C702" t="s">
        <v>93</v>
      </c>
      <c r="D702" t="s">
        <v>94</v>
      </c>
      <c r="E702" t="s">
        <v>95</v>
      </c>
      <c r="F702" t="s">
        <v>1773</v>
      </c>
      <c r="G702">
        <v>430000</v>
      </c>
      <c r="H702">
        <v>369000</v>
      </c>
      <c r="I702" t="s">
        <v>93</v>
      </c>
      <c r="J702" t="s">
        <v>94</v>
      </c>
      <c r="K702" t="s">
        <v>202</v>
      </c>
      <c r="L702" t="s">
        <v>1774</v>
      </c>
      <c r="M702">
        <v>43200</v>
      </c>
      <c r="N702">
        <v>43200</v>
      </c>
      <c r="AA702" t="s">
        <v>1775</v>
      </c>
      <c r="AB702" t="s">
        <v>1776</v>
      </c>
      <c r="AC702" t="s">
        <v>1777</v>
      </c>
      <c r="AD702" t="s">
        <v>365</v>
      </c>
      <c r="AE702" t="s">
        <v>1778</v>
      </c>
      <c r="AF702" t="s">
        <v>1779</v>
      </c>
      <c r="AG702" t="s">
        <v>102</v>
      </c>
      <c r="AH702" t="s">
        <v>781</v>
      </c>
      <c r="AI702">
        <v>46629</v>
      </c>
      <c r="AK702" t="s">
        <v>218</v>
      </c>
      <c r="AL702" t="s">
        <v>1812</v>
      </c>
      <c r="AM702" t="s">
        <v>1787</v>
      </c>
      <c r="AN702" t="s">
        <v>107</v>
      </c>
      <c r="AO702" t="s">
        <v>107</v>
      </c>
      <c r="AP702">
        <v>12000</v>
      </c>
      <c r="AQ702">
        <v>0</v>
      </c>
      <c r="AR702">
        <v>12000</v>
      </c>
      <c r="AT702" t="s">
        <v>161</v>
      </c>
      <c r="AZ702" t="s">
        <v>113</v>
      </c>
      <c r="BC702" t="s">
        <v>1160</v>
      </c>
      <c r="BN702" t="s">
        <v>113</v>
      </c>
      <c r="BO702" t="s">
        <v>1781</v>
      </c>
      <c r="BP702" t="s">
        <v>166</v>
      </c>
      <c r="BR702" t="s">
        <v>805</v>
      </c>
      <c r="BW702" t="s">
        <v>2012</v>
      </c>
      <c r="BX702" t="s">
        <v>2013</v>
      </c>
      <c r="BY702" t="s">
        <v>123</v>
      </c>
      <c r="BZ702" t="s">
        <v>124</v>
      </c>
    </row>
    <row r="703" spans="1:78" x14ac:dyDescent="0.3">
      <c r="A703" t="s">
        <v>11</v>
      </c>
      <c r="B703" t="s">
        <v>92</v>
      </c>
      <c r="C703" t="s">
        <v>93</v>
      </c>
      <c r="D703" t="s">
        <v>94</v>
      </c>
      <c r="E703" t="s">
        <v>95</v>
      </c>
      <c r="F703" t="s">
        <v>1773</v>
      </c>
      <c r="G703">
        <v>430000</v>
      </c>
      <c r="H703">
        <v>369000</v>
      </c>
      <c r="I703" t="s">
        <v>93</v>
      </c>
      <c r="J703" t="s">
        <v>94</v>
      </c>
      <c r="K703" t="s">
        <v>202</v>
      </c>
      <c r="L703" t="s">
        <v>1774</v>
      </c>
      <c r="M703">
        <v>43200</v>
      </c>
      <c r="N703">
        <v>43200</v>
      </c>
      <c r="AA703" t="s">
        <v>1775</v>
      </c>
      <c r="AB703" t="s">
        <v>1776</v>
      </c>
      <c r="AC703" t="s">
        <v>1777</v>
      </c>
      <c r="AD703" t="s">
        <v>365</v>
      </c>
      <c r="AE703" t="s">
        <v>1778</v>
      </c>
      <c r="AF703" t="s">
        <v>1779</v>
      </c>
      <c r="AG703" t="s">
        <v>102</v>
      </c>
      <c r="AH703" t="s">
        <v>781</v>
      </c>
      <c r="AI703">
        <v>46660</v>
      </c>
      <c r="AK703" t="s">
        <v>218</v>
      </c>
      <c r="AL703" t="s">
        <v>2025</v>
      </c>
      <c r="AM703" t="s">
        <v>1787</v>
      </c>
      <c r="AN703" t="s">
        <v>107</v>
      </c>
      <c r="AO703" t="s">
        <v>107</v>
      </c>
      <c r="AP703">
        <v>12000</v>
      </c>
      <c r="AQ703">
        <v>0</v>
      </c>
      <c r="AR703">
        <v>12000</v>
      </c>
      <c r="AT703" t="s">
        <v>161</v>
      </c>
      <c r="AZ703" t="s">
        <v>113</v>
      </c>
      <c r="BC703" t="s">
        <v>1160</v>
      </c>
      <c r="BN703" t="s">
        <v>113</v>
      </c>
      <c r="BO703" t="s">
        <v>1781</v>
      </c>
      <c r="BP703" t="s">
        <v>166</v>
      </c>
      <c r="BR703" t="s">
        <v>805</v>
      </c>
      <c r="BW703" t="s">
        <v>2012</v>
      </c>
      <c r="BX703" t="s">
        <v>2013</v>
      </c>
      <c r="BY703" t="s">
        <v>123</v>
      </c>
      <c r="BZ703" t="s">
        <v>124</v>
      </c>
    </row>
    <row r="704" spans="1:78" x14ac:dyDescent="0.3">
      <c r="A704" t="s">
        <v>11</v>
      </c>
      <c r="B704" t="s">
        <v>92</v>
      </c>
      <c r="C704" t="s">
        <v>93</v>
      </c>
      <c r="D704" t="s">
        <v>94</v>
      </c>
      <c r="E704" t="s">
        <v>95</v>
      </c>
      <c r="F704" t="s">
        <v>1773</v>
      </c>
      <c r="G704">
        <v>430000</v>
      </c>
      <c r="H704">
        <v>369000</v>
      </c>
      <c r="I704" t="s">
        <v>93</v>
      </c>
      <c r="J704" t="s">
        <v>94</v>
      </c>
      <c r="K704" t="s">
        <v>202</v>
      </c>
      <c r="L704" t="s">
        <v>1774</v>
      </c>
      <c r="M704">
        <v>43200</v>
      </c>
      <c r="N704">
        <v>43200</v>
      </c>
      <c r="AA704" t="s">
        <v>1775</v>
      </c>
      <c r="AB704" t="s">
        <v>1776</v>
      </c>
      <c r="AC704" t="s">
        <v>1777</v>
      </c>
      <c r="AD704" t="s">
        <v>365</v>
      </c>
      <c r="AE704" t="s">
        <v>1778</v>
      </c>
      <c r="AF704" t="s">
        <v>1779</v>
      </c>
      <c r="AG704" t="s">
        <v>102</v>
      </c>
      <c r="AH704" t="s">
        <v>781</v>
      </c>
      <c r="AI704">
        <v>46690</v>
      </c>
      <c r="AK704" t="s">
        <v>218</v>
      </c>
      <c r="AL704" t="s">
        <v>2026</v>
      </c>
      <c r="AM704" t="s">
        <v>2027</v>
      </c>
      <c r="AN704" t="s">
        <v>107</v>
      </c>
      <c r="AO704" t="s">
        <v>107</v>
      </c>
      <c r="AP704">
        <v>63930</v>
      </c>
      <c r="AQ704">
        <v>0</v>
      </c>
      <c r="AR704">
        <v>63930</v>
      </c>
      <c r="AT704" t="s">
        <v>161</v>
      </c>
      <c r="AZ704" t="s">
        <v>113</v>
      </c>
      <c r="BC704" t="s">
        <v>1160</v>
      </c>
      <c r="BN704" t="s">
        <v>113</v>
      </c>
      <c r="BO704" t="s">
        <v>1781</v>
      </c>
      <c r="BP704" t="s">
        <v>166</v>
      </c>
      <c r="BR704" t="s">
        <v>805</v>
      </c>
      <c r="BW704" t="s">
        <v>2012</v>
      </c>
      <c r="BX704" t="s">
        <v>2013</v>
      </c>
      <c r="BY704" t="s">
        <v>123</v>
      </c>
      <c r="BZ704" t="s">
        <v>124</v>
      </c>
    </row>
    <row r="705" spans="1:78" x14ac:dyDescent="0.3">
      <c r="A705" t="s">
        <v>11</v>
      </c>
      <c r="B705" t="s">
        <v>92</v>
      </c>
      <c r="C705" t="s">
        <v>93</v>
      </c>
      <c r="D705" t="s">
        <v>94</v>
      </c>
      <c r="E705" t="s">
        <v>95</v>
      </c>
      <c r="F705" t="s">
        <v>1788</v>
      </c>
      <c r="G705">
        <v>493700</v>
      </c>
      <c r="H705">
        <v>436200</v>
      </c>
      <c r="I705" t="s">
        <v>93</v>
      </c>
      <c r="J705" t="s">
        <v>94</v>
      </c>
      <c r="K705" t="s">
        <v>202</v>
      </c>
      <c r="L705" t="s">
        <v>1789</v>
      </c>
      <c r="M705">
        <v>53800</v>
      </c>
      <c r="N705">
        <v>53800</v>
      </c>
      <c r="AA705" t="s">
        <v>1790</v>
      </c>
      <c r="AB705" t="s">
        <v>1791</v>
      </c>
      <c r="AC705" t="s">
        <v>1792</v>
      </c>
      <c r="AD705" t="s">
        <v>365</v>
      </c>
      <c r="AE705" t="s">
        <v>1793</v>
      </c>
      <c r="AF705" t="s">
        <v>1794</v>
      </c>
      <c r="AG705" t="s">
        <v>102</v>
      </c>
      <c r="AH705" t="s">
        <v>771</v>
      </c>
      <c r="AI705">
        <v>46418</v>
      </c>
      <c r="AK705" t="s">
        <v>218</v>
      </c>
      <c r="AL705" t="s">
        <v>397</v>
      </c>
      <c r="AM705" t="s">
        <v>1804</v>
      </c>
      <c r="AN705" t="s">
        <v>107</v>
      </c>
      <c r="AO705" t="s">
        <v>107</v>
      </c>
      <c r="AP705">
        <v>20008.75</v>
      </c>
      <c r="AQ705">
        <v>0</v>
      </c>
      <c r="AR705">
        <v>20008.75</v>
      </c>
      <c r="AT705" t="s">
        <v>161</v>
      </c>
      <c r="AZ705" t="s">
        <v>113</v>
      </c>
      <c r="BC705" t="s">
        <v>1160</v>
      </c>
      <c r="BN705" t="s">
        <v>113</v>
      </c>
      <c r="BO705" t="s">
        <v>1796</v>
      </c>
      <c r="BP705" t="s">
        <v>166</v>
      </c>
      <c r="BR705" t="s">
        <v>439</v>
      </c>
      <c r="BW705" t="s">
        <v>2012</v>
      </c>
      <c r="BX705" t="s">
        <v>2013</v>
      </c>
      <c r="BY705" t="s">
        <v>123</v>
      </c>
      <c r="BZ705" t="s">
        <v>124</v>
      </c>
    </row>
    <row r="706" spans="1:78" x14ac:dyDescent="0.3">
      <c r="A706" t="s">
        <v>11</v>
      </c>
      <c r="B706" t="s">
        <v>92</v>
      </c>
      <c r="C706" t="s">
        <v>93</v>
      </c>
      <c r="D706" t="s">
        <v>94</v>
      </c>
      <c r="E706" t="s">
        <v>95</v>
      </c>
      <c r="F706" t="s">
        <v>1788</v>
      </c>
      <c r="G706">
        <v>493700</v>
      </c>
      <c r="H706">
        <v>436200</v>
      </c>
      <c r="I706" t="s">
        <v>93</v>
      </c>
      <c r="J706" t="s">
        <v>94</v>
      </c>
      <c r="K706" t="s">
        <v>202</v>
      </c>
      <c r="L706" t="s">
        <v>1789</v>
      </c>
      <c r="M706">
        <v>53800</v>
      </c>
      <c r="N706">
        <v>53800</v>
      </c>
      <c r="AA706" t="s">
        <v>1790</v>
      </c>
      <c r="AB706" t="s">
        <v>1791</v>
      </c>
      <c r="AC706" t="s">
        <v>1792</v>
      </c>
      <c r="AD706" t="s">
        <v>365</v>
      </c>
      <c r="AE706" t="s">
        <v>1793</v>
      </c>
      <c r="AF706" t="s">
        <v>1794</v>
      </c>
      <c r="AG706" t="s">
        <v>102</v>
      </c>
      <c r="AH706" t="s">
        <v>771</v>
      </c>
      <c r="AI706">
        <v>46446</v>
      </c>
      <c r="AK706" t="s">
        <v>218</v>
      </c>
      <c r="AL706" t="s">
        <v>588</v>
      </c>
      <c r="AM706" t="s">
        <v>1804</v>
      </c>
      <c r="AN706" t="s">
        <v>107</v>
      </c>
      <c r="AO706" t="s">
        <v>107</v>
      </c>
      <c r="AP706">
        <v>20008.75</v>
      </c>
      <c r="AQ706">
        <v>0</v>
      </c>
      <c r="AR706">
        <v>20008.75</v>
      </c>
      <c r="AT706" t="s">
        <v>161</v>
      </c>
      <c r="AZ706" t="s">
        <v>113</v>
      </c>
      <c r="BC706" t="s">
        <v>1160</v>
      </c>
      <c r="BN706" t="s">
        <v>113</v>
      </c>
      <c r="BO706" t="s">
        <v>1796</v>
      </c>
      <c r="BP706" t="s">
        <v>166</v>
      </c>
      <c r="BR706" t="s">
        <v>439</v>
      </c>
      <c r="BW706" t="s">
        <v>2012</v>
      </c>
      <c r="BX706" t="s">
        <v>2013</v>
      </c>
      <c r="BY706" t="s">
        <v>123</v>
      </c>
      <c r="BZ706" t="s">
        <v>124</v>
      </c>
    </row>
    <row r="707" spans="1:78" x14ac:dyDescent="0.3">
      <c r="A707" t="s">
        <v>11</v>
      </c>
      <c r="B707" t="s">
        <v>92</v>
      </c>
      <c r="C707" t="s">
        <v>93</v>
      </c>
      <c r="D707" t="s">
        <v>94</v>
      </c>
      <c r="E707" t="s">
        <v>95</v>
      </c>
      <c r="F707" t="s">
        <v>1788</v>
      </c>
      <c r="G707">
        <v>493700</v>
      </c>
      <c r="H707">
        <v>436200</v>
      </c>
      <c r="I707" t="s">
        <v>93</v>
      </c>
      <c r="J707" t="s">
        <v>94</v>
      </c>
      <c r="K707" t="s">
        <v>202</v>
      </c>
      <c r="L707" t="s">
        <v>1789</v>
      </c>
      <c r="M707">
        <v>53800</v>
      </c>
      <c r="N707">
        <v>53800</v>
      </c>
      <c r="AA707" t="s">
        <v>1790</v>
      </c>
      <c r="AB707" t="s">
        <v>1791</v>
      </c>
      <c r="AC707" t="s">
        <v>1792</v>
      </c>
      <c r="AD707" t="s">
        <v>365</v>
      </c>
      <c r="AE707" t="s">
        <v>1793</v>
      </c>
      <c r="AF707" t="s">
        <v>1794</v>
      </c>
      <c r="AG707" t="s">
        <v>102</v>
      </c>
      <c r="AH707" t="s">
        <v>771</v>
      </c>
      <c r="AI707">
        <v>46477</v>
      </c>
      <c r="AK707" t="s">
        <v>218</v>
      </c>
      <c r="AL707" t="s">
        <v>591</v>
      </c>
      <c r="AM707" t="s">
        <v>1804</v>
      </c>
      <c r="AN707" t="s">
        <v>107</v>
      </c>
      <c r="AO707" t="s">
        <v>107</v>
      </c>
      <c r="AP707">
        <v>20008.75</v>
      </c>
      <c r="AQ707">
        <v>0</v>
      </c>
      <c r="AR707">
        <v>20008.75</v>
      </c>
      <c r="AT707" t="s">
        <v>161</v>
      </c>
      <c r="AZ707" t="s">
        <v>113</v>
      </c>
      <c r="BC707" t="s">
        <v>1160</v>
      </c>
      <c r="BN707" t="s">
        <v>113</v>
      </c>
      <c r="BO707" t="s">
        <v>1796</v>
      </c>
      <c r="BP707" t="s">
        <v>166</v>
      </c>
      <c r="BR707" t="s">
        <v>439</v>
      </c>
      <c r="BW707" t="s">
        <v>2012</v>
      </c>
      <c r="BX707" t="s">
        <v>2013</v>
      </c>
      <c r="BY707" t="s">
        <v>123</v>
      </c>
      <c r="BZ707" t="s">
        <v>124</v>
      </c>
    </row>
    <row r="708" spans="1:78" x14ac:dyDescent="0.3">
      <c r="A708" t="s">
        <v>11</v>
      </c>
      <c r="B708" t="s">
        <v>92</v>
      </c>
      <c r="C708" t="s">
        <v>93</v>
      </c>
      <c r="D708" t="s">
        <v>94</v>
      </c>
      <c r="E708" t="s">
        <v>95</v>
      </c>
      <c r="F708" t="s">
        <v>1788</v>
      </c>
      <c r="G708">
        <v>493700</v>
      </c>
      <c r="H708">
        <v>436200</v>
      </c>
      <c r="I708" t="s">
        <v>93</v>
      </c>
      <c r="J708" t="s">
        <v>94</v>
      </c>
      <c r="K708" t="s">
        <v>202</v>
      </c>
      <c r="L708" t="s">
        <v>1789</v>
      </c>
      <c r="M708">
        <v>53800</v>
      </c>
      <c r="N708">
        <v>53800</v>
      </c>
      <c r="AA708" t="s">
        <v>1790</v>
      </c>
      <c r="AB708" t="s">
        <v>1791</v>
      </c>
      <c r="AC708" t="s">
        <v>1792</v>
      </c>
      <c r="AD708" t="s">
        <v>365</v>
      </c>
      <c r="AE708" t="s">
        <v>1793</v>
      </c>
      <c r="AF708" t="s">
        <v>1794</v>
      </c>
      <c r="AG708" t="s">
        <v>102</v>
      </c>
      <c r="AH708" t="s">
        <v>771</v>
      </c>
      <c r="AI708">
        <v>46507</v>
      </c>
      <c r="AK708" t="s">
        <v>218</v>
      </c>
      <c r="AL708" t="s">
        <v>594</v>
      </c>
      <c r="AM708" t="s">
        <v>2028</v>
      </c>
      <c r="AN708" t="s">
        <v>107</v>
      </c>
      <c r="AO708" t="s">
        <v>107</v>
      </c>
      <c r="AP708">
        <v>20008.79</v>
      </c>
      <c r="AQ708">
        <v>0</v>
      </c>
      <c r="AR708">
        <v>20008.79</v>
      </c>
      <c r="AT708" t="s">
        <v>161</v>
      </c>
      <c r="AZ708" t="s">
        <v>113</v>
      </c>
      <c r="BC708" t="s">
        <v>1160</v>
      </c>
      <c r="BN708" t="s">
        <v>113</v>
      </c>
      <c r="BO708" t="s">
        <v>1796</v>
      </c>
      <c r="BP708" t="s">
        <v>166</v>
      </c>
      <c r="BR708" t="s">
        <v>439</v>
      </c>
      <c r="BW708" t="s">
        <v>2012</v>
      </c>
      <c r="BX708" t="s">
        <v>2013</v>
      </c>
      <c r="BY708" t="s">
        <v>123</v>
      </c>
      <c r="BZ708" t="s">
        <v>124</v>
      </c>
    </row>
    <row r="709" spans="1:78" x14ac:dyDescent="0.3">
      <c r="A709" t="s">
        <v>12</v>
      </c>
      <c r="B709" t="s">
        <v>92</v>
      </c>
      <c r="C709" t="s">
        <v>93</v>
      </c>
      <c r="D709" t="s">
        <v>94</v>
      </c>
      <c r="E709" t="s">
        <v>95</v>
      </c>
      <c r="F709" t="s">
        <v>503</v>
      </c>
      <c r="G709">
        <v>545000</v>
      </c>
      <c r="H709">
        <v>545000</v>
      </c>
      <c r="I709" t="s">
        <v>93</v>
      </c>
      <c r="J709" t="s">
        <v>94</v>
      </c>
      <c r="K709" t="s">
        <v>202</v>
      </c>
      <c r="L709" t="s">
        <v>987</v>
      </c>
      <c r="M709">
        <v>50800</v>
      </c>
      <c r="N709">
        <v>50800</v>
      </c>
      <c r="AA709" t="s">
        <v>988</v>
      </c>
      <c r="AB709" t="s">
        <v>989</v>
      </c>
      <c r="AC709" t="s">
        <v>990</v>
      </c>
      <c r="AD709" t="s">
        <v>365</v>
      </c>
      <c r="AE709" t="s">
        <v>991</v>
      </c>
      <c r="AF709" t="s">
        <v>992</v>
      </c>
      <c r="AG709" t="s">
        <v>102</v>
      </c>
      <c r="AH709" t="s">
        <v>993</v>
      </c>
      <c r="AI709">
        <v>46417</v>
      </c>
      <c r="AK709" t="s">
        <v>218</v>
      </c>
      <c r="AL709" t="s">
        <v>2025</v>
      </c>
      <c r="AM709" t="s">
        <v>797</v>
      </c>
      <c r="AN709" t="s">
        <v>107</v>
      </c>
      <c r="AO709" t="s">
        <v>107</v>
      </c>
      <c r="AP709">
        <v>6000</v>
      </c>
      <c r="AQ709">
        <v>0</v>
      </c>
      <c r="AR709">
        <v>6000</v>
      </c>
      <c r="AT709" t="s">
        <v>161</v>
      </c>
      <c r="AZ709" t="s">
        <v>113</v>
      </c>
      <c r="BC709" t="s">
        <v>1160</v>
      </c>
      <c r="BN709" t="s">
        <v>113</v>
      </c>
      <c r="BO709" t="s">
        <v>995</v>
      </c>
      <c r="BP709" t="s">
        <v>370</v>
      </c>
      <c r="BR709" t="s">
        <v>302</v>
      </c>
      <c r="BW709" t="s">
        <v>2012</v>
      </c>
      <c r="BX709" t="s">
        <v>2013</v>
      </c>
      <c r="BY709" t="s">
        <v>123</v>
      </c>
      <c r="BZ709" t="s">
        <v>124</v>
      </c>
    </row>
    <row r="710" spans="1:78" x14ac:dyDescent="0.3">
      <c r="A710" t="s">
        <v>12</v>
      </c>
      <c r="B710" t="s">
        <v>92</v>
      </c>
      <c r="C710" t="s">
        <v>93</v>
      </c>
      <c r="D710" t="s">
        <v>94</v>
      </c>
      <c r="E710" t="s">
        <v>95</v>
      </c>
      <c r="F710" t="s">
        <v>503</v>
      </c>
      <c r="G710">
        <v>545000</v>
      </c>
      <c r="H710">
        <v>545000</v>
      </c>
      <c r="I710" t="s">
        <v>93</v>
      </c>
      <c r="J710" t="s">
        <v>94</v>
      </c>
      <c r="K710" t="s">
        <v>202</v>
      </c>
      <c r="L710" t="s">
        <v>987</v>
      </c>
      <c r="M710">
        <v>50800</v>
      </c>
      <c r="N710">
        <v>50800</v>
      </c>
      <c r="AA710" t="s">
        <v>988</v>
      </c>
      <c r="AB710" t="s">
        <v>989</v>
      </c>
      <c r="AC710" t="s">
        <v>990</v>
      </c>
      <c r="AD710" t="s">
        <v>365</v>
      </c>
      <c r="AE710" t="s">
        <v>991</v>
      </c>
      <c r="AF710" t="s">
        <v>992</v>
      </c>
      <c r="AG710" t="s">
        <v>102</v>
      </c>
      <c r="AH710" t="s">
        <v>993</v>
      </c>
      <c r="AI710">
        <v>46446</v>
      </c>
      <c r="AK710" t="s">
        <v>218</v>
      </c>
      <c r="AL710" t="s">
        <v>2026</v>
      </c>
      <c r="AM710" t="s">
        <v>797</v>
      </c>
      <c r="AN710" t="s">
        <v>107</v>
      </c>
      <c r="AO710" t="s">
        <v>107</v>
      </c>
      <c r="AP710">
        <v>6000</v>
      </c>
      <c r="AQ710">
        <v>0</v>
      </c>
      <c r="AR710">
        <v>6000</v>
      </c>
      <c r="AT710" t="s">
        <v>161</v>
      </c>
      <c r="AZ710" t="s">
        <v>113</v>
      </c>
      <c r="BC710" t="s">
        <v>1160</v>
      </c>
      <c r="BN710" t="s">
        <v>113</v>
      </c>
      <c r="BO710" t="s">
        <v>995</v>
      </c>
      <c r="BP710" t="s">
        <v>370</v>
      </c>
      <c r="BR710" t="s">
        <v>302</v>
      </c>
      <c r="BW710" t="s">
        <v>2012</v>
      </c>
      <c r="BX710" t="s">
        <v>2013</v>
      </c>
      <c r="BY710" t="s">
        <v>123</v>
      </c>
      <c r="BZ710" t="s">
        <v>124</v>
      </c>
    </row>
    <row r="711" spans="1:78" x14ac:dyDescent="0.3">
      <c r="A711" t="s">
        <v>12</v>
      </c>
      <c r="B711" t="s">
        <v>92</v>
      </c>
      <c r="C711" t="s">
        <v>93</v>
      </c>
      <c r="D711" t="s">
        <v>94</v>
      </c>
      <c r="E711" t="s">
        <v>95</v>
      </c>
      <c r="F711" t="s">
        <v>503</v>
      </c>
      <c r="G711">
        <v>545000</v>
      </c>
      <c r="H711">
        <v>545000</v>
      </c>
      <c r="I711" t="s">
        <v>93</v>
      </c>
      <c r="J711" t="s">
        <v>94</v>
      </c>
      <c r="K711" t="s">
        <v>202</v>
      </c>
      <c r="L711" t="s">
        <v>987</v>
      </c>
      <c r="M711">
        <v>50800</v>
      </c>
      <c r="N711">
        <v>50800</v>
      </c>
      <c r="AA711" t="s">
        <v>988</v>
      </c>
      <c r="AB711" t="s">
        <v>989</v>
      </c>
      <c r="AC711" t="s">
        <v>990</v>
      </c>
      <c r="AD711" t="s">
        <v>365</v>
      </c>
      <c r="AE711" t="s">
        <v>991</v>
      </c>
      <c r="AF711" t="s">
        <v>992</v>
      </c>
      <c r="AG711" t="s">
        <v>102</v>
      </c>
      <c r="AH711" t="s">
        <v>993</v>
      </c>
      <c r="AI711">
        <v>46476</v>
      </c>
      <c r="AK711" t="s">
        <v>218</v>
      </c>
      <c r="AL711" t="s">
        <v>2029</v>
      </c>
      <c r="AM711" t="s">
        <v>797</v>
      </c>
      <c r="AN711" t="s">
        <v>107</v>
      </c>
      <c r="AO711" t="s">
        <v>107</v>
      </c>
      <c r="AP711">
        <v>6000</v>
      </c>
      <c r="AQ711">
        <v>0</v>
      </c>
      <c r="AR711">
        <v>6000</v>
      </c>
      <c r="AT711" t="s">
        <v>161</v>
      </c>
      <c r="AZ711" t="s">
        <v>113</v>
      </c>
      <c r="BC711" t="s">
        <v>1160</v>
      </c>
      <c r="BN711" t="s">
        <v>113</v>
      </c>
      <c r="BO711" t="s">
        <v>995</v>
      </c>
      <c r="BP711" t="s">
        <v>370</v>
      </c>
      <c r="BR711" t="s">
        <v>302</v>
      </c>
      <c r="BW711" t="s">
        <v>2012</v>
      </c>
      <c r="BX711" t="s">
        <v>2013</v>
      </c>
      <c r="BY711" t="s">
        <v>123</v>
      </c>
      <c r="BZ711" t="s">
        <v>124</v>
      </c>
    </row>
    <row r="712" spans="1:78" x14ac:dyDescent="0.3">
      <c r="A712" t="s">
        <v>12</v>
      </c>
      <c r="B712" t="s">
        <v>92</v>
      </c>
      <c r="C712" t="s">
        <v>93</v>
      </c>
      <c r="D712" t="s">
        <v>94</v>
      </c>
      <c r="E712" t="s">
        <v>95</v>
      </c>
      <c r="F712" t="s">
        <v>503</v>
      </c>
      <c r="G712">
        <v>545000</v>
      </c>
      <c r="H712">
        <v>545000</v>
      </c>
      <c r="I712" t="s">
        <v>93</v>
      </c>
      <c r="J712" t="s">
        <v>94</v>
      </c>
      <c r="K712" t="s">
        <v>202</v>
      </c>
      <c r="L712" t="s">
        <v>987</v>
      </c>
      <c r="M712">
        <v>50800</v>
      </c>
      <c r="N712">
        <v>50800</v>
      </c>
      <c r="AA712" t="s">
        <v>988</v>
      </c>
      <c r="AB712" t="s">
        <v>989</v>
      </c>
      <c r="AC712" t="s">
        <v>990</v>
      </c>
      <c r="AD712" t="s">
        <v>365</v>
      </c>
      <c r="AE712" t="s">
        <v>991</v>
      </c>
      <c r="AF712" t="s">
        <v>992</v>
      </c>
      <c r="AG712" t="s">
        <v>102</v>
      </c>
      <c r="AH712" t="s">
        <v>993</v>
      </c>
      <c r="AI712">
        <v>46507</v>
      </c>
      <c r="AK712" t="s">
        <v>218</v>
      </c>
      <c r="AL712" t="s">
        <v>2030</v>
      </c>
      <c r="AM712" t="s">
        <v>2031</v>
      </c>
      <c r="AN712" t="s">
        <v>107</v>
      </c>
      <c r="AO712" t="s">
        <v>107</v>
      </c>
      <c r="AP712">
        <v>238000</v>
      </c>
      <c r="AQ712">
        <v>0</v>
      </c>
      <c r="AR712">
        <v>238000</v>
      </c>
      <c r="AT712" t="s">
        <v>161</v>
      </c>
      <c r="AZ712" t="s">
        <v>113</v>
      </c>
      <c r="BC712" t="s">
        <v>1160</v>
      </c>
      <c r="BN712" t="s">
        <v>113</v>
      </c>
      <c r="BO712" t="s">
        <v>995</v>
      </c>
      <c r="BP712" t="s">
        <v>370</v>
      </c>
      <c r="BR712" t="s">
        <v>302</v>
      </c>
      <c r="BW712" t="s">
        <v>2012</v>
      </c>
      <c r="BX712" t="s">
        <v>2013</v>
      </c>
      <c r="BY712" t="s">
        <v>123</v>
      </c>
      <c r="BZ712" t="s">
        <v>124</v>
      </c>
    </row>
    <row r="713" spans="1:78" x14ac:dyDescent="0.3">
      <c r="A713" t="s">
        <v>12</v>
      </c>
      <c r="B713" t="s">
        <v>92</v>
      </c>
      <c r="C713" t="s">
        <v>93</v>
      </c>
      <c r="D713" t="s">
        <v>94</v>
      </c>
      <c r="E713" t="s">
        <v>95</v>
      </c>
      <c r="F713" t="s">
        <v>125</v>
      </c>
      <c r="G713">
        <v>623000</v>
      </c>
      <c r="H713">
        <v>600000</v>
      </c>
      <c r="AA713" t="s">
        <v>1828</v>
      </c>
      <c r="AB713" t="s">
        <v>1829</v>
      </c>
      <c r="AC713" t="s">
        <v>1830</v>
      </c>
      <c r="AD713" t="s">
        <v>365</v>
      </c>
      <c r="AE713" t="s">
        <v>1831</v>
      </c>
      <c r="AF713" t="s">
        <v>1832</v>
      </c>
      <c r="AG713" t="s">
        <v>102</v>
      </c>
      <c r="AH713" t="s">
        <v>175</v>
      </c>
      <c r="AI713">
        <v>46416</v>
      </c>
      <c r="AK713" t="s">
        <v>218</v>
      </c>
      <c r="AL713" t="s">
        <v>105</v>
      </c>
      <c r="AM713" t="s">
        <v>2032</v>
      </c>
      <c r="AN713" t="s">
        <v>107</v>
      </c>
      <c r="AO713" t="s">
        <v>107</v>
      </c>
      <c r="AP713">
        <v>540000</v>
      </c>
      <c r="AQ713">
        <v>0</v>
      </c>
      <c r="AR713">
        <v>540000</v>
      </c>
      <c r="AT713" t="s">
        <v>243</v>
      </c>
      <c r="AZ713" t="s">
        <v>113</v>
      </c>
      <c r="BC713" t="s">
        <v>1160</v>
      </c>
      <c r="BN713" t="s">
        <v>113</v>
      </c>
      <c r="BO713" t="s">
        <v>1834</v>
      </c>
      <c r="BP713" t="s">
        <v>370</v>
      </c>
      <c r="BR713" t="s">
        <v>282</v>
      </c>
      <c r="BW713" t="s">
        <v>2012</v>
      </c>
      <c r="BX713" t="s">
        <v>2013</v>
      </c>
      <c r="BY713" t="s">
        <v>123</v>
      </c>
      <c r="BZ713" t="s">
        <v>124</v>
      </c>
    </row>
    <row r="714" spans="1:78" x14ac:dyDescent="0.3">
      <c r="A714" t="s">
        <v>12</v>
      </c>
      <c r="B714" t="s">
        <v>92</v>
      </c>
      <c r="C714" t="s">
        <v>93</v>
      </c>
      <c r="D714" t="s">
        <v>94</v>
      </c>
      <c r="E714" t="s">
        <v>95</v>
      </c>
      <c r="F714" t="s">
        <v>1069</v>
      </c>
      <c r="G714">
        <v>573000</v>
      </c>
      <c r="H714">
        <v>573000</v>
      </c>
      <c r="I714" t="s">
        <v>93</v>
      </c>
      <c r="J714" t="s">
        <v>94</v>
      </c>
      <c r="K714" t="s">
        <v>202</v>
      </c>
      <c r="L714" t="s">
        <v>1070</v>
      </c>
      <c r="M714">
        <v>51000</v>
      </c>
      <c r="N714">
        <v>51000</v>
      </c>
      <c r="AA714" t="s">
        <v>1071</v>
      </c>
      <c r="AB714" t="s">
        <v>1072</v>
      </c>
      <c r="AC714" t="s">
        <v>1073</v>
      </c>
      <c r="AD714" t="s">
        <v>365</v>
      </c>
      <c r="AE714" t="s">
        <v>1074</v>
      </c>
      <c r="AF714" t="s">
        <v>1075</v>
      </c>
      <c r="AG714" t="s">
        <v>1076</v>
      </c>
      <c r="AH714" t="s">
        <v>1076</v>
      </c>
      <c r="AI714">
        <v>46418</v>
      </c>
      <c r="AK714" t="s">
        <v>218</v>
      </c>
      <c r="AL714" t="s">
        <v>588</v>
      </c>
      <c r="AM714" t="s">
        <v>1900</v>
      </c>
      <c r="AN714" t="s">
        <v>107</v>
      </c>
      <c r="AO714" t="s">
        <v>107</v>
      </c>
      <c r="AP714">
        <v>24266.67</v>
      </c>
      <c r="AQ714">
        <v>0</v>
      </c>
      <c r="AR714">
        <v>24266.67</v>
      </c>
      <c r="AT714" t="s">
        <v>161</v>
      </c>
      <c r="AZ714" t="s">
        <v>113</v>
      </c>
      <c r="BC714" t="s">
        <v>1160</v>
      </c>
      <c r="BN714" t="s">
        <v>113</v>
      </c>
      <c r="BO714" t="s">
        <v>1078</v>
      </c>
      <c r="BP714" t="s">
        <v>370</v>
      </c>
      <c r="BR714" t="s">
        <v>512</v>
      </c>
      <c r="BW714" t="s">
        <v>2012</v>
      </c>
      <c r="BX714" t="s">
        <v>2013</v>
      </c>
      <c r="BY714" t="s">
        <v>123</v>
      </c>
      <c r="BZ714" t="s">
        <v>124</v>
      </c>
    </row>
    <row r="715" spans="1:78" x14ac:dyDescent="0.3">
      <c r="A715" t="s">
        <v>12</v>
      </c>
      <c r="B715" t="s">
        <v>92</v>
      </c>
      <c r="C715" t="s">
        <v>93</v>
      </c>
      <c r="D715" t="s">
        <v>94</v>
      </c>
      <c r="E715" t="s">
        <v>95</v>
      </c>
      <c r="F715" t="s">
        <v>1069</v>
      </c>
      <c r="G715">
        <v>573000</v>
      </c>
      <c r="H715">
        <v>573000</v>
      </c>
      <c r="I715" t="s">
        <v>93</v>
      </c>
      <c r="J715" t="s">
        <v>94</v>
      </c>
      <c r="K715" t="s">
        <v>202</v>
      </c>
      <c r="L715" t="s">
        <v>1070</v>
      </c>
      <c r="M715">
        <v>51000</v>
      </c>
      <c r="N715">
        <v>51000</v>
      </c>
      <c r="AA715" t="s">
        <v>1071</v>
      </c>
      <c r="AB715" t="s">
        <v>1072</v>
      </c>
      <c r="AC715" t="s">
        <v>1073</v>
      </c>
      <c r="AD715" t="s">
        <v>365</v>
      </c>
      <c r="AE715" t="s">
        <v>1074</v>
      </c>
      <c r="AF715" t="s">
        <v>1075</v>
      </c>
      <c r="AG715" t="s">
        <v>1076</v>
      </c>
      <c r="AH715" t="s">
        <v>1076</v>
      </c>
      <c r="AI715">
        <v>46446</v>
      </c>
      <c r="AK715" t="s">
        <v>218</v>
      </c>
      <c r="AL715" t="s">
        <v>591</v>
      </c>
      <c r="AM715" t="s">
        <v>1900</v>
      </c>
      <c r="AN715" t="s">
        <v>107</v>
      </c>
      <c r="AO715" t="s">
        <v>107</v>
      </c>
      <c r="AP715">
        <v>24266.67</v>
      </c>
      <c r="AQ715">
        <v>0</v>
      </c>
      <c r="AR715">
        <v>24266.67</v>
      </c>
      <c r="AT715" t="s">
        <v>161</v>
      </c>
      <c r="AZ715" t="s">
        <v>113</v>
      </c>
      <c r="BC715" t="s">
        <v>1160</v>
      </c>
      <c r="BN715" t="s">
        <v>113</v>
      </c>
      <c r="BO715" t="s">
        <v>1078</v>
      </c>
      <c r="BP715" t="s">
        <v>370</v>
      </c>
      <c r="BR715" t="s">
        <v>512</v>
      </c>
      <c r="BW715" t="s">
        <v>2012</v>
      </c>
      <c r="BX715" t="s">
        <v>2013</v>
      </c>
      <c r="BY715" t="s">
        <v>123</v>
      </c>
      <c r="BZ715" t="s">
        <v>124</v>
      </c>
    </row>
    <row r="716" spans="1:78" x14ac:dyDescent="0.3">
      <c r="A716" t="s">
        <v>12</v>
      </c>
      <c r="B716" t="s">
        <v>92</v>
      </c>
      <c r="C716" t="s">
        <v>93</v>
      </c>
      <c r="D716" t="s">
        <v>94</v>
      </c>
      <c r="E716" t="s">
        <v>95</v>
      </c>
      <c r="F716" t="s">
        <v>1069</v>
      </c>
      <c r="G716">
        <v>573000</v>
      </c>
      <c r="H716">
        <v>573000</v>
      </c>
      <c r="I716" t="s">
        <v>93</v>
      </c>
      <c r="J716" t="s">
        <v>94</v>
      </c>
      <c r="K716" t="s">
        <v>202</v>
      </c>
      <c r="L716" t="s">
        <v>1070</v>
      </c>
      <c r="M716">
        <v>51000</v>
      </c>
      <c r="N716">
        <v>51000</v>
      </c>
      <c r="AA716" t="s">
        <v>1071</v>
      </c>
      <c r="AB716" t="s">
        <v>1072</v>
      </c>
      <c r="AC716" t="s">
        <v>1073</v>
      </c>
      <c r="AD716" t="s">
        <v>365</v>
      </c>
      <c r="AE716" t="s">
        <v>1074</v>
      </c>
      <c r="AF716" t="s">
        <v>1075</v>
      </c>
      <c r="AG716" t="s">
        <v>1076</v>
      </c>
      <c r="AH716" t="s">
        <v>1076</v>
      </c>
      <c r="AI716">
        <v>46477</v>
      </c>
      <c r="AK716" t="s">
        <v>218</v>
      </c>
      <c r="AL716" t="s">
        <v>594</v>
      </c>
      <c r="AM716" t="s">
        <v>1900</v>
      </c>
      <c r="AN716" t="s">
        <v>107</v>
      </c>
      <c r="AO716" t="s">
        <v>107</v>
      </c>
      <c r="AP716">
        <v>24266.67</v>
      </c>
      <c r="AQ716">
        <v>0</v>
      </c>
      <c r="AR716">
        <v>24266.67</v>
      </c>
      <c r="AT716" t="s">
        <v>161</v>
      </c>
      <c r="AZ716" t="s">
        <v>113</v>
      </c>
      <c r="BC716" t="s">
        <v>1160</v>
      </c>
      <c r="BN716" t="s">
        <v>113</v>
      </c>
      <c r="BO716" t="s">
        <v>1078</v>
      </c>
      <c r="BP716" t="s">
        <v>370</v>
      </c>
      <c r="BR716" t="s">
        <v>512</v>
      </c>
      <c r="BW716" t="s">
        <v>2012</v>
      </c>
      <c r="BX716" t="s">
        <v>2013</v>
      </c>
      <c r="BY716" t="s">
        <v>123</v>
      </c>
      <c r="BZ716" t="s">
        <v>124</v>
      </c>
    </row>
    <row r="717" spans="1:78" x14ac:dyDescent="0.3">
      <c r="A717" t="s">
        <v>12</v>
      </c>
      <c r="B717" t="s">
        <v>92</v>
      </c>
      <c r="C717" t="s">
        <v>93</v>
      </c>
      <c r="D717" t="s">
        <v>94</v>
      </c>
      <c r="E717" t="s">
        <v>95</v>
      </c>
      <c r="F717" t="s">
        <v>1069</v>
      </c>
      <c r="G717">
        <v>573000</v>
      </c>
      <c r="H717">
        <v>573000</v>
      </c>
      <c r="I717" t="s">
        <v>93</v>
      </c>
      <c r="J717" t="s">
        <v>94</v>
      </c>
      <c r="K717" t="s">
        <v>202</v>
      </c>
      <c r="L717" t="s">
        <v>1070</v>
      </c>
      <c r="M717">
        <v>51000</v>
      </c>
      <c r="N717">
        <v>51000</v>
      </c>
      <c r="AA717" t="s">
        <v>1071</v>
      </c>
      <c r="AB717" t="s">
        <v>1072</v>
      </c>
      <c r="AC717" t="s">
        <v>1073</v>
      </c>
      <c r="AD717" t="s">
        <v>365</v>
      </c>
      <c r="AE717" t="s">
        <v>1074</v>
      </c>
      <c r="AF717" t="s">
        <v>1075</v>
      </c>
      <c r="AG717" t="s">
        <v>1076</v>
      </c>
      <c r="AH717" t="s">
        <v>1076</v>
      </c>
      <c r="AI717">
        <v>46507</v>
      </c>
      <c r="AK717" t="s">
        <v>218</v>
      </c>
      <c r="AL717" t="s">
        <v>597</v>
      </c>
      <c r="AM717" t="s">
        <v>1900</v>
      </c>
      <c r="AN717" t="s">
        <v>107</v>
      </c>
      <c r="AO717" t="s">
        <v>107</v>
      </c>
      <c r="AP717">
        <v>24266.67</v>
      </c>
      <c r="AQ717">
        <v>0</v>
      </c>
      <c r="AR717">
        <v>24266.67</v>
      </c>
      <c r="AT717" t="s">
        <v>161</v>
      </c>
      <c r="AZ717" t="s">
        <v>113</v>
      </c>
      <c r="BC717" t="s">
        <v>1160</v>
      </c>
      <c r="BN717" t="s">
        <v>113</v>
      </c>
      <c r="BO717" t="s">
        <v>1078</v>
      </c>
      <c r="BP717" t="s">
        <v>370</v>
      </c>
      <c r="BR717" t="s">
        <v>512</v>
      </c>
      <c r="BW717" t="s">
        <v>2012</v>
      </c>
      <c r="BX717" t="s">
        <v>2013</v>
      </c>
      <c r="BY717" t="s">
        <v>123</v>
      </c>
      <c r="BZ717" t="s">
        <v>124</v>
      </c>
    </row>
    <row r="718" spans="1:78" x14ac:dyDescent="0.3">
      <c r="A718" t="s">
        <v>12</v>
      </c>
      <c r="B718" t="s">
        <v>92</v>
      </c>
      <c r="C718" t="s">
        <v>93</v>
      </c>
      <c r="D718" t="s">
        <v>94</v>
      </c>
      <c r="E718" t="s">
        <v>95</v>
      </c>
      <c r="F718" t="s">
        <v>1069</v>
      </c>
      <c r="G718">
        <v>573000</v>
      </c>
      <c r="H718">
        <v>573000</v>
      </c>
      <c r="I718" t="s">
        <v>93</v>
      </c>
      <c r="J718" t="s">
        <v>94</v>
      </c>
      <c r="K718" t="s">
        <v>202</v>
      </c>
      <c r="L718" t="s">
        <v>1070</v>
      </c>
      <c r="M718">
        <v>51000</v>
      </c>
      <c r="N718">
        <v>51000</v>
      </c>
      <c r="AA718" t="s">
        <v>1071</v>
      </c>
      <c r="AB718" t="s">
        <v>1072</v>
      </c>
      <c r="AC718" t="s">
        <v>1073</v>
      </c>
      <c r="AD718" t="s">
        <v>365</v>
      </c>
      <c r="AE718" t="s">
        <v>1074</v>
      </c>
      <c r="AF718" t="s">
        <v>1075</v>
      </c>
      <c r="AG718" t="s">
        <v>1076</v>
      </c>
      <c r="AH718" t="s">
        <v>1076</v>
      </c>
      <c r="AI718">
        <v>46538</v>
      </c>
      <c r="AK718" t="s">
        <v>218</v>
      </c>
      <c r="AL718" t="s">
        <v>599</v>
      </c>
      <c r="AM718" t="s">
        <v>1900</v>
      </c>
      <c r="AN718" t="s">
        <v>107</v>
      </c>
      <c r="AO718" t="s">
        <v>107</v>
      </c>
      <c r="AP718">
        <v>24266.67</v>
      </c>
      <c r="AQ718">
        <v>0</v>
      </c>
      <c r="AR718">
        <v>24266.67</v>
      </c>
      <c r="AT718" t="s">
        <v>161</v>
      </c>
      <c r="AZ718" t="s">
        <v>113</v>
      </c>
      <c r="BC718" t="s">
        <v>1160</v>
      </c>
      <c r="BN718" t="s">
        <v>113</v>
      </c>
      <c r="BO718" t="s">
        <v>1078</v>
      </c>
      <c r="BP718" t="s">
        <v>370</v>
      </c>
      <c r="BR718" t="s">
        <v>512</v>
      </c>
      <c r="BW718" t="s">
        <v>2012</v>
      </c>
      <c r="BX718" t="s">
        <v>2013</v>
      </c>
      <c r="BY718" t="s">
        <v>123</v>
      </c>
      <c r="BZ718" t="s">
        <v>124</v>
      </c>
    </row>
    <row r="719" spans="1:78" x14ac:dyDescent="0.3">
      <c r="A719" t="s">
        <v>12</v>
      </c>
      <c r="B719" t="s">
        <v>92</v>
      </c>
      <c r="C719" t="s">
        <v>93</v>
      </c>
      <c r="D719" t="s">
        <v>94</v>
      </c>
      <c r="E719" t="s">
        <v>95</v>
      </c>
      <c r="F719" t="s">
        <v>1069</v>
      </c>
      <c r="G719">
        <v>573000</v>
      </c>
      <c r="H719">
        <v>573000</v>
      </c>
      <c r="I719" t="s">
        <v>93</v>
      </c>
      <c r="J719" t="s">
        <v>94</v>
      </c>
      <c r="K719" t="s">
        <v>202</v>
      </c>
      <c r="L719" t="s">
        <v>1070</v>
      </c>
      <c r="M719">
        <v>51000</v>
      </c>
      <c r="N719">
        <v>51000</v>
      </c>
      <c r="AA719" t="s">
        <v>1071</v>
      </c>
      <c r="AB719" t="s">
        <v>1072</v>
      </c>
      <c r="AC719" t="s">
        <v>1073</v>
      </c>
      <c r="AD719" t="s">
        <v>365</v>
      </c>
      <c r="AE719" t="s">
        <v>1074</v>
      </c>
      <c r="AF719" t="s">
        <v>1075</v>
      </c>
      <c r="AG719" t="s">
        <v>1076</v>
      </c>
      <c r="AH719" t="s">
        <v>1076</v>
      </c>
      <c r="AI719">
        <v>46568</v>
      </c>
      <c r="AK719" t="s">
        <v>218</v>
      </c>
      <c r="AL719" t="s">
        <v>1262</v>
      </c>
      <c r="AM719" t="s">
        <v>1900</v>
      </c>
      <c r="AN719" t="s">
        <v>107</v>
      </c>
      <c r="AO719" t="s">
        <v>107</v>
      </c>
      <c r="AP719">
        <v>24266.67</v>
      </c>
      <c r="AQ719">
        <v>0</v>
      </c>
      <c r="AR719">
        <v>24266.67</v>
      </c>
      <c r="AT719" t="s">
        <v>161</v>
      </c>
      <c r="AZ719" t="s">
        <v>113</v>
      </c>
      <c r="BC719" t="s">
        <v>1160</v>
      </c>
      <c r="BN719" t="s">
        <v>113</v>
      </c>
      <c r="BO719" t="s">
        <v>1078</v>
      </c>
      <c r="BP719" t="s">
        <v>370</v>
      </c>
      <c r="BR719" t="s">
        <v>512</v>
      </c>
      <c r="BW719" t="s">
        <v>2012</v>
      </c>
      <c r="BX719" t="s">
        <v>2013</v>
      </c>
      <c r="BY719" t="s">
        <v>123</v>
      </c>
      <c r="BZ719" t="s">
        <v>124</v>
      </c>
    </row>
    <row r="720" spans="1:78" x14ac:dyDescent="0.3">
      <c r="A720" t="s">
        <v>12</v>
      </c>
      <c r="B720" t="s">
        <v>92</v>
      </c>
      <c r="C720" t="s">
        <v>93</v>
      </c>
      <c r="D720" t="s">
        <v>94</v>
      </c>
      <c r="E720" t="s">
        <v>95</v>
      </c>
      <c r="F720" t="s">
        <v>1069</v>
      </c>
      <c r="G720">
        <v>573000</v>
      </c>
      <c r="H720">
        <v>573000</v>
      </c>
      <c r="I720" t="s">
        <v>93</v>
      </c>
      <c r="J720" t="s">
        <v>94</v>
      </c>
      <c r="K720" t="s">
        <v>202</v>
      </c>
      <c r="L720" t="s">
        <v>1070</v>
      </c>
      <c r="M720">
        <v>51000</v>
      </c>
      <c r="N720">
        <v>51000</v>
      </c>
      <c r="AA720" t="s">
        <v>1071</v>
      </c>
      <c r="AB720" t="s">
        <v>1072</v>
      </c>
      <c r="AC720" t="s">
        <v>1073</v>
      </c>
      <c r="AD720" t="s">
        <v>365</v>
      </c>
      <c r="AE720" t="s">
        <v>1074</v>
      </c>
      <c r="AF720" t="s">
        <v>1075</v>
      </c>
      <c r="AG720" t="s">
        <v>1076</v>
      </c>
      <c r="AH720" t="s">
        <v>1076</v>
      </c>
      <c r="AI720">
        <v>46599</v>
      </c>
      <c r="AK720" t="s">
        <v>218</v>
      </c>
      <c r="AL720" t="s">
        <v>1382</v>
      </c>
      <c r="AM720" t="s">
        <v>1900</v>
      </c>
      <c r="AN720" t="s">
        <v>107</v>
      </c>
      <c r="AO720" t="s">
        <v>107</v>
      </c>
      <c r="AP720">
        <v>24266.67</v>
      </c>
      <c r="AQ720">
        <v>0</v>
      </c>
      <c r="AR720">
        <v>24266.67</v>
      </c>
      <c r="AT720" t="s">
        <v>161</v>
      </c>
      <c r="AZ720" t="s">
        <v>113</v>
      </c>
      <c r="BC720" t="s">
        <v>1160</v>
      </c>
      <c r="BN720" t="s">
        <v>113</v>
      </c>
      <c r="BO720" t="s">
        <v>1078</v>
      </c>
      <c r="BP720" t="s">
        <v>370</v>
      </c>
      <c r="BR720" t="s">
        <v>512</v>
      </c>
      <c r="BW720" t="s">
        <v>2012</v>
      </c>
      <c r="BX720" t="s">
        <v>2013</v>
      </c>
      <c r="BY720" t="s">
        <v>123</v>
      </c>
      <c r="BZ720" t="s">
        <v>124</v>
      </c>
    </row>
    <row r="721" spans="1:78" x14ac:dyDescent="0.3">
      <c r="A721" t="s">
        <v>12</v>
      </c>
      <c r="B721" t="s">
        <v>92</v>
      </c>
      <c r="C721" t="s">
        <v>93</v>
      </c>
      <c r="D721" t="s">
        <v>94</v>
      </c>
      <c r="E721" t="s">
        <v>95</v>
      </c>
      <c r="F721" t="s">
        <v>1069</v>
      </c>
      <c r="G721">
        <v>573000</v>
      </c>
      <c r="H721">
        <v>573000</v>
      </c>
      <c r="I721" t="s">
        <v>93</v>
      </c>
      <c r="J721" t="s">
        <v>94</v>
      </c>
      <c r="K721" t="s">
        <v>202</v>
      </c>
      <c r="L721" t="s">
        <v>1070</v>
      </c>
      <c r="M721">
        <v>51000</v>
      </c>
      <c r="N721">
        <v>51000</v>
      </c>
      <c r="AA721" t="s">
        <v>1071</v>
      </c>
      <c r="AB721" t="s">
        <v>1072</v>
      </c>
      <c r="AC721" t="s">
        <v>1073</v>
      </c>
      <c r="AD721" t="s">
        <v>365</v>
      </c>
      <c r="AE721" t="s">
        <v>1074</v>
      </c>
      <c r="AF721" t="s">
        <v>1075</v>
      </c>
      <c r="AG721" t="s">
        <v>1076</v>
      </c>
      <c r="AH721" t="s">
        <v>1076</v>
      </c>
      <c r="AI721">
        <v>46630</v>
      </c>
      <c r="AK721" t="s">
        <v>218</v>
      </c>
      <c r="AL721" t="s">
        <v>1383</v>
      </c>
      <c r="AM721" t="s">
        <v>1900</v>
      </c>
      <c r="AN721" t="s">
        <v>107</v>
      </c>
      <c r="AO721" t="s">
        <v>107</v>
      </c>
      <c r="AP721">
        <v>24266.67</v>
      </c>
      <c r="AQ721">
        <v>0</v>
      </c>
      <c r="AR721">
        <v>24266.67</v>
      </c>
      <c r="AT721" t="s">
        <v>161</v>
      </c>
      <c r="AZ721" t="s">
        <v>113</v>
      </c>
      <c r="BC721" t="s">
        <v>1160</v>
      </c>
      <c r="BN721" t="s">
        <v>113</v>
      </c>
      <c r="BO721" t="s">
        <v>1078</v>
      </c>
      <c r="BP721" t="s">
        <v>370</v>
      </c>
      <c r="BR721" t="s">
        <v>512</v>
      </c>
      <c r="BW721" t="s">
        <v>2012</v>
      </c>
      <c r="BX721" t="s">
        <v>2013</v>
      </c>
      <c r="BY721" t="s">
        <v>123</v>
      </c>
      <c r="BZ721" t="s">
        <v>124</v>
      </c>
    </row>
    <row r="722" spans="1:78" x14ac:dyDescent="0.3">
      <c r="A722" t="s">
        <v>12</v>
      </c>
      <c r="B722" t="s">
        <v>92</v>
      </c>
      <c r="C722" t="s">
        <v>93</v>
      </c>
      <c r="D722" t="s">
        <v>94</v>
      </c>
      <c r="E722" t="s">
        <v>95</v>
      </c>
      <c r="F722" t="s">
        <v>1069</v>
      </c>
      <c r="G722">
        <v>573000</v>
      </c>
      <c r="H722">
        <v>573000</v>
      </c>
      <c r="I722" t="s">
        <v>93</v>
      </c>
      <c r="J722" t="s">
        <v>94</v>
      </c>
      <c r="K722" t="s">
        <v>202</v>
      </c>
      <c r="L722" t="s">
        <v>1070</v>
      </c>
      <c r="M722">
        <v>51000</v>
      </c>
      <c r="N722">
        <v>51000</v>
      </c>
      <c r="AA722" t="s">
        <v>1071</v>
      </c>
      <c r="AB722" t="s">
        <v>1072</v>
      </c>
      <c r="AC722" t="s">
        <v>1073</v>
      </c>
      <c r="AD722" t="s">
        <v>365</v>
      </c>
      <c r="AE722" t="s">
        <v>1074</v>
      </c>
      <c r="AF722" t="s">
        <v>1075</v>
      </c>
      <c r="AG722" t="s">
        <v>1076</v>
      </c>
      <c r="AH722" t="s">
        <v>1076</v>
      </c>
      <c r="AI722">
        <v>46660</v>
      </c>
      <c r="AK722" t="s">
        <v>218</v>
      </c>
      <c r="AL722" t="s">
        <v>1384</v>
      </c>
      <c r="AM722" t="s">
        <v>1900</v>
      </c>
      <c r="AN722" t="s">
        <v>107</v>
      </c>
      <c r="AO722" t="s">
        <v>107</v>
      </c>
      <c r="AP722">
        <v>24266.67</v>
      </c>
      <c r="AQ722">
        <v>0</v>
      </c>
      <c r="AR722">
        <v>24266.67</v>
      </c>
      <c r="AT722" t="s">
        <v>161</v>
      </c>
      <c r="AZ722" t="s">
        <v>113</v>
      </c>
      <c r="BC722" t="s">
        <v>1160</v>
      </c>
      <c r="BN722" t="s">
        <v>113</v>
      </c>
      <c r="BO722" t="s">
        <v>1078</v>
      </c>
      <c r="BP722" t="s">
        <v>370</v>
      </c>
      <c r="BR722" t="s">
        <v>512</v>
      </c>
      <c r="BW722" t="s">
        <v>2012</v>
      </c>
      <c r="BX722" t="s">
        <v>2013</v>
      </c>
      <c r="BY722" t="s">
        <v>123</v>
      </c>
      <c r="BZ722" t="s">
        <v>124</v>
      </c>
    </row>
    <row r="723" spans="1:78" x14ac:dyDescent="0.3">
      <c r="A723" t="s">
        <v>12</v>
      </c>
      <c r="B723" t="s">
        <v>92</v>
      </c>
      <c r="C723" t="s">
        <v>93</v>
      </c>
      <c r="D723" t="s">
        <v>94</v>
      </c>
      <c r="E723" t="s">
        <v>95</v>
      </c>
      <c r="F723" t="s">
        <v>1069</v>
      </c>
      <c r="G723">
        <v>573000</v>
      </c>
      <c r="H723">
        <v>573000</v>
      </c>
      <c r="I723" t="s">
        <v>93</v>
      </c>
      <c r="J723" t="s">
        <v>94</v>
      </c>
      <c r="K723" t="s">
        <v>202</v>
      </c>
      <c r="L723" t="s">
        <v>1070</v>
      </c>
      <c r="M723">
        <v>51000</v>
      </c>
      <c r="N723">
        <v>51000</v>
      </c>
      <c r="AA723" t="s">
        <v>1071</v>
      </c>
      <c r="AB723" t="s">
        <v>1072</v>
      </c>
      <c r="AC723" t="s">
        <v>1073</v>
      </c>
      <c r="AD723" t="s">
        <v>365</v>
      </c>
      <c r="AE723" t="s">
        <v>1074</v>
      </c>
      <c r="AF723" t="s">
        <v>1075</v>
      </c>
      <c r="AG723" t="s">
        <v>1076</v>
      </c>
      <c r="AH723" t="s">
        <v>1076</v>
      </c>
      <c r="AI723">
        <v>46691</v>
      </c>
      <c r="AK723" t="s">
        <v>218</v>
      </c>
      <c r="AL723" t="s">
        <v>1812</v>
      </c>
      <c r="AM723" t="s">
        <v>1900</v>
      </c>
      <c r="AN723" t="s">
        <v>107</v>
      </c>
      <c r="AO723" t="s">
        <v>107</v>
      </c>
      <c r="AP723">
        <v>24266.67</v>
      </c>
      <c r="AQ723">
        <v>0</v>
      </c>
      <c r="AR723">
        <v>24266.67</v>
      </c>
      <c r="AT723" t="s">
        <v>161</v>
      </c>
      <c r="AZ723" t="s">
        <v>113</v>
      </c>
      <c r="BC723" t="s">
        <v>1160</v>
      </c>
      <c r="BN723" t="s">
        <v>113</v>
      </c>
      <c r="BO723" t="s">
        <v>1078</v>
      </c>
      <c r="BP723" t="s">
        <v>370</v>
      </c>
      <c r="BR723" t="s">
        <v>512</v>
      </c>
      <c r="BW723" t="s">
        <v>2012</v>
      </c>
      <c r="BX723" t="s">
        <v>2013</v>
      </c>
      <c r="BY723" t="s">
        <v>123</v>
      </c>
      <c r="BZ723" t="s">
        <v>124</v>
      </c>
    </row>
    <row r="724" spans="1:78" x14ac:dyDescent="0.3">
      <c r="A724" t="s">
        <v>12</v>
      </c>
      <c r="B724" t="s">
        <v>92</v>
      </c>
      <c r="C724" t="s">
        <v>93</v>
      </c>
      <c r="D724" t="s">
        <v>94</v>
      </c>
      <c r="E724" t="s">
        <v>95</v>
      </c>
      <c r="F724" t="s">
        <v>1069</v>
      </c>
      <c r="G724">
        <v>573000</v>
      </c>
      <c r="H724">
        <v>573000</v>
      </c>
      <c r="I724" t="s">
        <v>93</v>
      </c>
      <c r="J724" t="s">
        <v>94</v>
      </c>
      <c r="K724" t="s">
        <v>202</v>
      </c>
      <c r="L724" t="s">
        <v>1070</v>
      </c>
      <c r="M724">
        <v>51000</v>
      </c>
      <c r="N724">
        <v>51000</v>
      </c>
      <c r="AA724" t="s">
        <v>1071</v>
      </c>
      <c r="AB724" t="s">
        <v>1072</v>
      </c>
      <c r="AC724" t="s">
        <v>1073</v>
      </c>
      <c r="AD724" t="s">
        <v>365</v>
      </c>
      <c r="AE724" t="s">
        <v>1074</v>
      </c>
      <c r="AF724" t="s">
        <v>1075</v>
      </c>
      <c r="AG724" t="s">
        <v>1076</v>
      </c>
      <c r="AH724" t="s">
        <v>1076</v>
      </c>
      <c r="AI724">
        <v>46721</v>
      </c>
      <c r="AK724" t="s">
        <v>218</v>
      </c>
      <c r="AL724" t="s">
        <v>2025</v>
      </c>
      <c r="AM724" t="s">
        <v>1900</v>
      </c>
      <c r="AN724" t="s">
        <v>107</v>
      </c>
      <c r="AO724" t="s">
        <v>107</v>
      </c>
      <c r="AP724">
        <v>24266.67</v>
      </c>
      <c r="AQ724">
        <v>0</v>
      </c>
      <c r="AR724">
        <v>24266.67</v>
      </c>
      <c r="AT724" t="s">
        <v>161</v>
      </c>
      <c r="AZ724" t="s">
        <v>113</v>
      </c>
      <c r="BC724" t="s">
        <v>1160</v>
      </c>
      <c r="BN724" t="s">
        <v>113</v>
      </c>
      <c r="BO724" t="s">
        <v>1078</v>
      </c>
      <c r="BP724" t="s">
        <v>370</v>
      </c>
      <c r="BR724" t="s">
        <v>512</v>
      </c>
      <c r="BW724" t="s">
        <v>2012</v>
      </c>
      <c r="BX724" t="s">
        <v>2013</v>
      </c>
      <c r="BY724" t="s">
        <v>123</v>
      </c>
      <c r="BZ724" t="s">
        <v>124</v>
      </c>
    </row>
    <row r="725" spans="1:78" x14ac:dyDescent="0.3">
      <c r="A725" t="s">
        <v>12</v>
      </c>
      <c r="B725" t="s">
        <v>92</v>
      </c>
      <c r="C725" t="s">
        <v>93</v>
      </c>
      <c r="D725" t="s">
        <v>94</v>
      </c>
      <c r="E725" t="s">
        <v>95</v>
      </c>
      <c r="F725" t="s">
        <v>1069</v>
      </c>
      <c r="G725">
        <v>573000</v>
      </c>
      <c r="H725">
        <v>573000</v>
      </c>
      <c r="I725" t="s">
        <v>93</v>
      </c>
      <c r="J725" t="s">
        <v>94</v>
      </c>
      <c r="K725" t="s">
        <v>202</v>
      </c>
      <c r="L725" t="s">
        <v>1070</v>
      </c>
      <c r="M725">
        <v>51000</v>
      </c>
      <c r="N725">
        <v>51000</v>
      </c>
      <c r="AA725" t="s">
        <v>1071</v>
      </c>
      <c r="AB725" t="s">
        <v>1072</v>
      </c>
      <c r="AC725" t="s">
        <v>1073</v>
      </c>
      <c r="AD725" t="s">
        <v>365</v>
      </c>
      <c r="AE725" t="s">
        <v>1074</v>
      </c>
      <c r="AF725" t="s">
        <v>1075</v>
      </c>
      <c r="AG725" t="s">
        <v>1076</v>
      </c>
      <c r="AH725" t="s">
        <v>1076</v>
      </c>
      <c r="AI725">
        <v>46752</v>
      </c>
      <c r="AK725" t="s">
        <v>218</v>
      </c>
      <c r="AL725" t="s">
        <v>2026</v>
      </c>
      <c r="AM725" t="s">
        <v>2033</v>
      </c>
      <c r="AN725" t="s">
        <v>107</v>
      </c>
      <c r="AO725" t="s">
        <v>107</v>
      </c>
      <c r="AP725">
        <v>24266.61</v>
      </c>
      <c r="AQ725">
        <v>0</v>
      </c>
      <c r="AR725">
        <v>24266.61</v>
      </c>
      <c r="AT725" t="s">
        <v>161</v>
      </c>
      <c r="AZ725" t="s">
        <v>113</v>
      </c>
      <c r="BC725" t="s">
        <v>1160</v>
      </c>
      <c r="BN725" t="s">
        <v>113</v>
      </c>
      <c r="BO725" t="s">
        <v>1078</v>
      </c>
      <c r="BP725" t="s">
        <v>370</v>
      </c>
      <c r="BR725" t="s">
        <v>512</v>
      </c>
      <c r="BW725" t="s">
        <v>2012</v>
      </c>
      <c r="BX725" t="s">
        <v>2013</v>
      </c>
      <c r="BY725" t="s">
        <v>123</v>
      </c>
      <c r="BZ725" t="s">
        <v>124</v>
      </c>
    </row>
    <row r="726" spans="1:78" x14ac:dyDescent="0.3">
      <c r="A726" t="s">
        <v>11</v>
      </c>
      <c r="B726" t="s">
        <v>92</v>
      </c>
      <c r="C726" t="s">
        <v>93</v>
      </c>
      <c r="D726" t="s">
        <v>94</v>
      </c>
      <c r="E726" t="s">
        <v>95</v>
      </c>
      <c r="F726" t="s">
        <v>1901</v>
      </c>
      <c r="G726">
        <v>532100</v>
      </c>
      <c r="H726">
        <v>510000</v>
      </c>
      <c r="AA726" t="s">
        <v>1902</v>
      </c>
      <c r="AB726" t="s">
        <v>1903</v>
      </c>
      <c r="AC726" t="s">
        <v>1904</v>
      </c>
      <c r="AD726" t="s">
        <v>365</v>
      </c>
      <c r="AE726" t="s">
        <v>1905</v>
      </c>
      <c r="AF726" t="s">
        <v>1906</v>
      </c>
      <c r="AG726" t="s">
        <v>102</v>
      </c>
      <c r="AH726" t="s">
        <v>187</v>
      </c>
      <c r="AI726">
        <v>46417</v>
      </c>
      <c r="AK726" t="s">
        <v>218</v>
      </c>
      <c r="AL726" t="s">
        <v>105</v>
      </c>
      <c r="AM726" t="s">
        <v>1936</v>
      </c>
      <c r="AN726" t="s">
        <v>107</v>
      </c>
      <c r="AO726" t="s">
        <v>107</v>
      </c>
      <c r="AP726">
        <v>408000</v>
      </c>
      <c r="AQ726">
        <v>0</v>
      </c>
      <c r="AR726">
        <v>408000</v>
      </c>
      <c r="AT726" t="s">
        <v>243</v>
      </c>
      <c r="AZ726" t="s">
        <v>113</v>
      </c>
      <c r="BC726" t="s">
        <v>1160</v>
      </c>
      <c r="BN726" t="s">
        <v>113</v>
      </c>
      <c r="BO726" t="s">
        <v>1909</v>
      </c>
      <c r="BP726" t="s">
        <v>166</v>
      </c>
      <c r="BR726" t="s">
        <v>1491</v>
      </c>
      <c r="BW726" t="s">
        <v>2012</v>
      </c>
      <c r="BX726" t="s">
        <v>2013</v>
      </c>
      <c r="BY726" t="s">
        <v>123</v>
      </c>
      <c r="BZ726" t="s">
        <v>124</v>
      </c>
    </row>
    <row r="727" spans="1:78" x14ac:dyDescent="0.3">
      <c r="A727" t="s">
        <v>11</v>
      </c>
      <c r="B727" t="s">
        <v>92</v>
      </c>
      <c r="C727" t="s">
        <v>93</v>
      </c>
      <c r="D727" t="s">
        <v>94</v>
      </c>
      <c r="E727" t="s">
        <v>95</v>
      </c>
      <c r="F727" t="s">
        <v>387</v>
      </c>
      <c r="G727">
        <v>518500</v>
      </c>
      <c r="H727">
        <v>475000</v>
      </c>
      <c r="I727" t="s">
        <v>93</v>
      </c>
      <c r="J727" t="s">
        <v>94</v>
      </c>
      <c r="K727" t="s">
        <v>202</v>
      </c>
      <c r="L727" t="s">
        <v>1137</v>
      </c>
      <c r="M727">
        <v>52500</v>
      </c>
      <c r="N727">
        <v>52500</v>
      </c>
      <c r="AA727" t="s">
        <v>1138</v>
      </c>
      <c r="AB727" t="s">
        <v>1139</v>
      </c>
      <c r="AC727" t="s">
        <v>1140</v>
      </c>
      <c r="AD727" t="s">
        <v>365</v>
      </c>
      <c r="AE727" t="s">
        <v>1141</v>
      </c>
      <c r="AF727" t="s">
        <v>1142</v>
      </c>
      <c r="AG727" t="s">
        <v>102</v>
      </c>
      <c r="AH727" t="s">
        <v>131</v>
      </c>
      <c r="AI727">
        <v>46417</v>
      </c>
      <c r="AK727" t="s">
        <v>218</v>
      </c>
      <c r="AL727" t="s">
        <v>142</v>
      </c>
      <c r="AM727" t="s">
        <v>1147</v>
      </c>
      <c r="AN727" t="s">
        <v>107</v>
      </c>
      <c r="AO727" t="s">
        <v>107</v>
      </c>
      <c r="AP727">
        <v>52222.22</v>
      </c>
      <c r="AQ727">
        <v>0</v>
      </c>
      <c r="AR727">
        <v>52222.22</v>
      </c>
      <c r="AT727" t="s">
        <v>161</v>
      </c>
      <c r="AZ727" t="s">
        <v>113</v>
      </c>
      <c r="BC727" t="s">
        <v>1160</v>
      </c>
      <c r="BN727" t="s">
        <v>113</v>
      </c>
      <c r="BO727" t="s">
        <v>1144</v>
      </c>
      <c r="BP727" t="s">
        <v>370</v>
      </c>
      <c r="BR727" t="s">
        <v>179</v>
      </c>
      <c r="BW727" t="s">
        <v>2012</v>
      </c>
      <c r="BX727" t="s">
        <v>2013</v>
      </c>
      <c r="BY727" t="s">
        <v>123</v>
      </c>
      <c r="BZ727" t="s">
        <v>124</v>
      </c>
    </row>
    <row r="728" spans="1:78" x14ac:dyDescent="0.3">
      <c r="A728" t="s">
        <v>11</v>
      </c>
      <c r="B728" t="s">
        <v>92</v>
      </c>
      <c r="C728" t="s">
        <v>93</v>
      </c>
      <c r="D728" t="s">
        <v>94</v>
      </c>
      <c r="E728" t="s">
        <v>95</v>
      </c>
      <c r="F728" t="s">
        <v>387</v>
      </c>
      <c r="G728">
        <v>518500</v>
      </c>
      <c r="H728">
        <v>475000</v>
      </c>
      <c r="I728" t="s">
        <v>93</v>
      </c>
      <c r="J728" t="s">
        <v>94</v>
      </c>
      <c r="K728" t="s">
        <v>202</v>
      </c>
      <c r="L728" t="s">
        <v>1137</v>
      </c>
      <c r="M728">
        <v>52500</v>
      </c>
      <c r="N728">
        <v>52500</v>
      </c>
      <c r="AA728" t="s">
        <v>1138</v>
      </c>
      <c r="AB728" t="s">
        <v>1139</v>
      </c>
      <c r="AC728" t="s">
        <v>1140</v>
      </c>
      <c r="AD728" t="s">
        <v>365</v>
      </c>
      <c r="AE728" t="s">
        <v>1141</v>
      </c>
      <c r="AF728" t="s">
        <v>1142</v>
      </c>
      <c r="AG728" t="s">
        <v>102</v>
      </c>
      <c r="AH728" t="s">
        <v>131</v>
      </c>
      <c r="AI728">
        <v>46446</v>
      </c>
      <c r="AK728" t="s">
        <v>218</v>
      </c>
      <c r="AL728" t="s">
        <v>146</v>
      </c>
      <c r="AM728" t="s">
        <v>1147</v>
      </c>
      <c r="AN728" t="s">
        <v>107</v>
      </c>
      <c r="AO728" t="s">
        <v>107</v>
      </c>
      <c r="AP728">
        <v>52222.22</v>
      </c>
      <c r="AQ728">
        <v>0</v>
      </c>
      <c r="AR728">
        <v>52222.22</v>
      </c>
      <c r="AT728" t="s">
        <v>161</v>
      </c>
      <c r="AZ728" t="s">
        <v>113</v>
      </c>
      <c r="BC728" t="s">
        <v>1160</v>
      </c>
      <c r="BN728" t="s">
        <v>113</v>
      </c>
      <c r="BO728" t="s">
        <v>1144</v>
      </c>
      <c r="BP728" t="s">
        <v>370</v>
      </c>
      <c r="BR728" t="s">
        <v>179</v>
      </c>
      <c r="BW728" t="s">
        <v>2012</v>
      </c>
      <c r="BX728" t="s">
        <v>2013</v>
      </c>
      <c r="BY728" t="s">
        <v>123</v>
      </c>
      <c r="BZ728" t="s">
        <v>124</v>
      </c>
    </row>
    <row r="729" spans="1:78" x14ac:dyDescent="0.3">
      <c r="A729" t="s">
        <v>11</v>
      </c>
      <c r="B729" t="s">
        <v>92</v>
      </c>
      <c r="C729" t="s">
        <v>93</v>
      </c>
      <c r="D729" t="s">
        <v>94</v>
      </c>
      <c r="E729" t="s">
        <v>95</v>
      </c>
      <c r="F729" t="s">
        <v>387</v>
      </c>
      <c r="G729">
        <v>518500</v>
      </c>
      <c r="H729">
        <v>475000</v>
      </c>
      <c r="I729" t="s">
        <v>93</v>
      </c>
      <c r="J729" t="s">
        <v>94</v>
      </c>
      <c r="K729" t="s">
        <v>202</v>
      </c>
      <c r="L729" t="s">
        <v>1137</v>
      </c>
      <c r="M729">
        <v>52500</v>
      </c>
      <c r="N729">
        <v>52500</v>
      </c>
      <c r="AA729" t="s">
        <v>1138</v>
      </c>
      <c r="AB729" t="s">
        <v>1139</v>
      </c>
      <c r="AC729" t="s">
        <v>1140</v>
      </c>
      <c r="AD729" t="s">
        <v>365</v>
      </c>
      <c r="AE729" t="s">
        <v>1141</v>
      </c>
      <c r="AF729" t="s">
        <v>1142</v>
      </c>
      <c r="AG729" t="s">
        <v>102</v>
      </c>
      <c r="AH729" t="s">
        <v>131</v>
      </c>
      <c r="AI729">
        <v>46476</v>
      </c>
      <c r="AK729" t="s">
        <v>218</v>
      </c>
      <c r="AL729" t="s">
        <v>152</v>
      </c>
      <c r="AM729" t="s">
        <v>1147</v>
      </c>
      <c r="AN729" t="s">
        <v>107</v>
      </c>
      <c r="AO729" t="s">
        <v>107</v>
      </c>
      <c r="AP729">
        <v>52222.22</v>
      </c>
      <c r="AQ729">
        <v>0</v>
      </c>
      <c r="AR729">
        <v>52222.22</v>
      </c>
      <c r="AT729" t="s">
        <v>161</v>
      </c>
      <c r="AZ729" t="s">
        <v>113</v>
      </c>
      <c r="BC729" t="s">
        <v>1160</v>
      </c>
      <c r="BN729" t="s">
        <v>113</v>
      </c>
      <c r="BO729" t="s">
        <v>1144</v>
      </c>
      <c r="BP729" t="s">
        <v>370</v>
      </c>
      <c r="BR729" t="s">
        <v>179</v>
      </c>
      <c r="BW729" t="s">
        <v>2012</v>
      </c>
      <c r="BX729" t="s">
        <v>2013</v>
      </c>
      <c r="BY729" t="s">
        <v>123</v>
      </c>
      <c r="BZ729" t="s">
        <v>124</v>
      </c>
    </row>
    <row r="730" spans="1:78" x14ac:dyDescent="0.3">
      <c r="A730" t="s">
        <v>11</v>
      </c>
      <c r="B730" t="s">
        <v>92</v>
      </c>
      <c r="C730" t="s">
        <v>93</v>
      </c>
      <c r="D730" t="s">
        <v>94</v>
      </c>
      <c r="E730" t="s">
        <v>95</v>
      </c>
      <c r="F730" t="s">
        <v>387</v>
      </c>
      <c r="G730">
        <v>518500</v>
      </c>
      <c r="H730">
        <v>475000</v>
      </c>
      <c r="I730" t="s">
        <v>93</v>
      </c>
      <c r="J730" t="s">
        <v>94</v>
      </c>
      <c r="K730" t="s">
        <v>202</v>
      </c>
      <c r="L730" t="s">
        <v>1137</v>
      </c>
      <c r="M730">
        <v>52500</v>
      </c>
      <c r="N730">
        <v>52500</v>
      </c>
      <c r="AA730" t="s">
        <v>1138</v>
      </c>
      <c r="AB730" t="s">
        <v>1139</v>
      </c>
      <c r="AC730" t="s">
        <v>1140</v>
      </c>
      <c r="AD730" t="s">
        <v>365</v>
      </c>
      <c r="AE730" t="s">
        <v>1141</v>
      </c>
      <c r="AF730" t="s">
        <v>1142</v>
      </c>
      <c r="AG730" t="s">
        <v>102</v>
      </c>
      <c r="AH730" t="s">
        <v>131</v>
      </c>
      <c r="AI730">
        <v>46507</v>
      </c>
      <c r="AK730" t="s">
        <v>218</v>
      </c>
      <c r="AL730" t="s">
        <v>584</v>
      </c>
      <c r="AM730" t="s">
        <v>1147</v>
      </c>
      <c r="AN730" t="s">
        <v>107</v>
      </c>
      <c r="AO730" t="s">
        <v>107</v>
      </c>
      <c r="AP730">
        <v>52222.22</v>
      </c>
      <c r="AQ730">
        <v>0</v>
      </c>
      <c r="AR730">
        <v>52222.22</v>
      </c>
      <c r="AT730" t="s">
        <v>161</v>
      </c>
      <c r="AZ730" t="s">
        <v>113</v>
      </c>
      <c r="BC730" t="s">
        <v>1160</v>
      </c>
      <c r="BN730" t="s">
        <v>113</v>
      </c>
      <c r="BO730" t="s">
        <v>1144</v>
      </c>
      <c r="BP730" t="s">
        <v>370</v>
      </c>
      <c r="BR730" t="s">
        <v>179</v>
      </c>
      <c r="BW730" t="s">
        <v>2012</v>
      </c>
      <c r="BX730" t="s">
        <v>2013</v>
      </c>
      <c r="BY730" t="s">
        <v>123</v>
      </c>
      <c r="BZ730" t="s">
        <v>124</v>
      </c>
    </row>
    <row r="731" spans="1:78" x14ac:dyDescent="0.3">
      <c r="A731" t="s">
        <v>11</v>
      </c>
      <c r="B731" t="s">
        <v>92</v>
      </c>
      <c r="C731" t="s">
        <v>93</v>
      </c>
      <c r="D731" t="s">
        <v>94</v>
      </c>
      <c r="E731" t="s">
        <v>95</v>
      </c>
      <c r="F731" t="s">
        <v>387</v>
      </c>
      <c r="G731">
        <v>518500</v>
      </c>
      <c r="H731">
        <v>475000</v>
      </c>
      <c r="I731" t="s">
        <v>93</v>
      </c>
      <c r="J731" t="s">
        <v>94</v>
      </c>
      <c r="K731" t="s">
        <v>202</v>
      </c>
      <c r="L731" t="s">
        <v>1137</v>
      </c>
      <c r="M731">
        <v>52500</v>
      </c>
      <c r="N731">
        <v>52500</v>
      </c>
      <c r="AA731" t="s">
        <v>1138</v>
      </c>
      <c r="AB731" t="s">
        <v>1139</v>
      </c>
      <c r="AC731" t="s">
        <v>1140</v>
      </c>
      <c r="AD731" t="s">
        <v>365</v>
      </c>
      <c r="AE731" t="s">
        <v>1141</v>
      </c>
      <c r="AF731" t="s">
        <v>1142</v>
      </c>
      <c r="AG731" t="s">
        <v>102</v>
      </c>
      <c r="AH731" t="s">
        <v>131</v>
      </c>
      <c r="AI731">
        <v>46537</v>
      </c>
      <c r="AK731" t="s">
        <v>218</v>
      </c>
      <c r="AL731" t="s">
        <v>397</v>
      </c>
      <c r="AM731" t="s">
        <v>1147</v>
      </c>
      <c r="AN731" t="s">
        <v>107</v>
      </c>
      <c r="AO731" t="s">
        <v>107</v>
      </c>
      <c r="AP731">
        <v>52222.22</v>
      </c>
      <c r="AQ731">
        <v>0</v>
      </c>
      <c r="AR731">
        <v>52222.22</v>
      </c>
      <c r="AT731" t="s">
        <v>161</v>
      </c>
      <c r="AZ731" t="s">
        <v>113</v>
      </c>
      <c r="BC731" t="s">
        <v>1160</v>
      </c>
      <c r="BN731" t="s">
        <v>113</v>
      </c>
      <c r="BO731" t="s">
        <v>1144</v>
      </c>
      <c r="BP731" t="s">
        <v>370</v>
      </c>
      <c r="BR731" t="s">
        <v>179</v>
      </c>
      <c r="BW731" t="s">
        <v>2012</v>
      </c>
      <c r="BX731" t="s">
        <v>2013</v>
      </c>
      <c r="BY731" t="s">
        <v>123</v>
      </c>
      <c r="BZ731" t="s">
        <v>124</v>
      </c>
    </row>
    <row r="732" spans="1:78" x14ac:dyDescent="0.3">
      <c r="A732" t="s">
        <v>11</v>
      </c>
      <c r="B732" t="s">
        <v>92</v>
      </c>
      <c r="C732" t="s">
        <v>93</v>
      </c>
      <c r="D732" t="s">
        <v>94</v>
      </c>
      <c r="E732" t="s">
        <v>95</v>
      </c>
      <c r="F732" t="s">
        <v>387</v>
      </c>
      <c r="G732">
        <v>518500</v>
      </c>
      <c r="H732">
        <v>475000</v>
      </c>
      <c r="I732" t="s">
        <v>93</v>
      </c>
      <c r="J732" t="s">
        <v>94</v>
      </c>
      <c r="K732" t="s">
        <v>202</v>
      </c>
      <c r="L732" t="s">
        <v>1137</v>
      </c>
      <c r="M732">
        <v>52500</v>
      </c>
      <c r="N732">
        <v>52500</v>
      </c>
      <c r="AA732" t="s">
        <v>1138</v>
      </c>
      <c r="AB732" t="s">
        <v>1139</v>
      </c>
      <c r="AC732" t="s">
        <v>1140</v>
      </c>
      <c r="AD732" t="s">
        <v>365</v>
      </c>
      <c r="AE732" t="s">
        <v>1141</v>
      </c>
      <c r="AF732" t="s">
        <v>1142</v>
      </c>
      <c r="AG732" t="s">
        <v>102</v>
      </c>
      <c r="AH732" t="s">
        <v>131</v>
      </c>
      <c r="AI732">
        <v>46568</v>
      </c>
      <c r="AK732" t="s">
        <v>218</v>
      </c>
      <c r="AL732" t="s">
        <v>588</v>
      </c>
      <c r="AM732" t="s">
        <v>1147</v>
      </c>
      <c r="AN732" t="s">
        <v>107</v>
      </c>
      <c r="AO732" t="s">
        <v>107</v>
      </c>
      <c r="AP732">
        <v>52222.22</v>
      </c>
      <c r="AQ732">
        <v>0</v>
      </c>
      <c r="AR732">
        <v>52222.22</v>
      </c>
      <c r="AT732" t="s">
        <v>161</v>
      </c>
      <c r="AZ732" t="s">
        <v>113</v>
      </c>
      <c r="BC732" t="s">
        <v>1160</v>
      </c>
      <c r="BN732" t="s">
        <v>113</v>
      </c>
      <c r="BO732" t="s">
        <v>1144</v>
      </c>
      <c r="BP732" t="s">
        <v>370</v>
      </c>
      <c r="BR732" t="s">
        <v>179</v>
      </c>
      <c r="BW732" t="s">
        <v>2012</v>
      </c>
      <c r="BX732" t="s">
        <v>2013</v>
      </c>
      <c r="BY732" t="s">
        <v>123</v>
      </c>
      <c r="BZ732" t="s">
        <v>124</v>
      </c>
    </row>
    <row r="733" spans="1:78" x14ac:dyDescent="0.3">
      <c r="A733" t="s">
        <v>11</v>
      </c>
      <c r="B733" t="s">
        <v>92</v>
      </c>
      <c r="C733" t="s">
        <v>93</v>
      </c>
      <c r="D733" t="s">
        <v>94</v>
      </c>
      <c r="E733" t="s">
        <v>95</v>
      </c>
      <c r="F733" t="s">
        <v>387</v>
      </c>
      <c r="G733">
        <v>518500</v>
      </c>
      <c r="H733">
        <v>475000</v>
      </c>
      <c r="I733" t="s">
        <v>93</v>
      </c>
      <c r="J733" t="s">
        <v>94</v>
      </c>
      <c r="K733" t="s">
        <v>202</v>
      </c>
      <c r="L733" t="s">
        <v>1137</v>
      </c>
      <c r="M733">
        <v>52500</v>
      </c>
      <c r="N733">
        <v>52500</v>
      </c>
      <c r="AA733" t="s">
        <v>1138</v>
      </c>
      <c r="AB733" t="s">
        <v>1139</v>
      </c>
      <c r="AC733" t="s">
        <v>1140</v>
      </c>
      <c r="AD733" t="s">
        <v>365</v>
      </c>
      <c r="AE733" t="s">
        <v>1141</v>
      </c>
      <c r="AF733" t="s">
        <v>1142</v>
      </c>
      <c r="AG733" t="s">
        <v>102</v>
      </c>
      <c r="AH733" t="s">
        <v>131</v>
      </c>
      <c r="AI733">
        <v>46598</v>
      </c>
      <c r="AK733" t="s">
        <v>218</v>
      </c>
      <c r="AL733" t="s">
        <v>591</v>
      </c>
      <c r="AM733" t="s">
        <v>1147</v>
      </c>
      <c r="AN733" t="s">
        <v>107</v>
      </c>
      <c r="AO733" t="s">
        <v>107</v>
      </c>
      <c r="AP733">
        <v>52222.22</v>
      </c>
      <c r="AQ733">
        <v>0</v>
      </c>
      <c r="AR733">
        <v>52222.22</v>
      </c>
      <c r="AT733" t="s">
        <v>161</v>
      </c>
      <c r="AZ733" t="s">
        <v>113</v>
      </c>
      <c r="BC733" t="s">
        <v>1160</v>
      </c>
      <c r="BN733" t="s">
        <v>113</v>
      </c>
      <c r="BO733" t="s">
        <v>1144</v>
      </c>
      <c r="BP733" t="s">
        <v>370</v>
      </c>
      <c r="BR733" t="s">
        <v>179</v>
      </c>
      <c r="BW733" t="s">
        <v>2012</v>
      </c>
      <c r="BX733" t="s">
        <v>2013</v>
      </c>
      <c r="BY733" t="s">
        <v>123</v>
      </c>
      <c r="BZ733" t="s">
        <v>124</v>
      </c>
    </row>
    <row r="734" spans="1:78" x14ac:dyDescent="0.3">
      <c r="A734" t="s">
        <v>11</v>
      </c>
      <c r="B734" t="s">
        <v>92</v>
      </c>
      <c r="C734" t="s">
        <v>93</v>
      </c>
      <c r="D734" t="s">
        <v>94</v>
      </c>
      <c r="E734" t="s">
        <v>95</v>
      </c>
      <c r="F734" t="s">
        <v>387</v>
      </c>
      <c r="G734">
        <v>518500</v>
      </c>
      <c r="H734">
        <v>475000</v>
      </c>
      <c r="I734" t="s">
        <v>93</v>
      </c>
      <c r="J734" t="s">
        <v>94</v>
      </c>
      <c r="K734" t="s">
        <v>202</v>
      </c>
      <c r="L734" t="s">
        <v>1137</v>
      </c>
      <c r="M734">
        <v>52500</v>
      </c>
      <c r="N734">
        <v>52500</v>
      </c>
      <c r="AA734" t="s">
        <v>1138</v>
      </c>
      <c r="AB734" t="s">
        <v>1139</v>
      </c>
      <c r="AC734" t="s">
        <v>1140</v>
      </c>
      <c r="AD734" t="s">
        <v>365</v>
      </c>
      <c r="AE734" t="s">
        <v>1141</v>
      </c>
      <c r="AF734" t="s">
        <v>1142</v>
      </c>
      <c r="AG734" t="s">
        <v>102</v>
      </c>
      <c r="AH734" t="s">
        <v>131</v>
      </c>
      <c r="AI734">
        <v>46629</v>
      </c>
      <c r="AK734" t="s">
        <v>218</v>
      </c>
      <c r="AL734" t="s">
        <v>594</v>
      </c>
      <c r="AM734" t="s">
        <v>2034</v>
      </c>
      <c r="AN734" t="s">
        <v>107</v>
      </c>
      <c r="AO734" t="s">
        <v>107</v>
      </c>
      <c r="AP734">
        <v>52222.239999999998</v>
      </c>
      <c r="AQ734">
        <v>0</v>
      </c>
      <c r="AR734">
        <v>52222.239999999998</v>
      </c>
      <c r="AT734" t="s">
        <v>161</v>
      </c>
      <c r="AZ734" t="s">
        <v>113</v>
      </c>
      <c r="BC734" t="s">
        <v>1160</v>
      </c>
      <c r="BN734" t="s">
        <v>113</v>
      </c>
      <c r="BO734" t="s">
        <v>1144</v>
      </c>
      <c r="BP734" t="s">
        <v>370</v>
      </c>
      <c r="BR734" t="s">
        <v>179</v>
      </c>
      <c r="BW734" t="s">
        <v>2012</v>
      </c>
      <c r="BX734" t="s">
        <v>2013</v>
      </c>
      <c r="BY734" t="s">
        <v>123</v>
      </c>
      <c r="BZ734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DC64F-2097-4021-B1D0-46721AD783F5}">
  <dimension ref="A1:M34"/>
  <sheetViews>
    <sheetView showGridLines="0" workbookViewId="0">
      <selection activeCell="M4" sqref="M4"/>
    </sheetView>
  </sheetViews>
  <sheetFormatPr baseColWidth="10" defaultRowHeight="14.4" x14ac:dyDescent="0.3"/>
  <cols>
    <col min="5" max="5" width="13.5546875" customWidth="1"/>
    <col min="6" max="6" width="14.77734375" customWidth="1"/>
    <col min="7" max="9" width="15.6640625" customWidth="1"/>
    <col min="10" max="10" width="14.33203125" customWidth="1"/>
  </cols>
  <sheetData>
    <row r="1" spans="1:13" ht="33" customHeight="1" x14ac:dyDescent="0.3">
      <c r="A1" s="36" t="s">
        <v>2035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30.6" customHeight="1" x14ac:dyDescent="0.3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4" spans="1:13" ht="17.399999999999999" x14ac:dyDescent="0.3">
      <c r="C4" s="38" t="s">
        <v>0</v>
      </c>
      <c r="D4" s="38"/>
      <c r="E4" s="38"/>
      <c r="F4" s="38"/>
      <c r="G4" s="37" t="s">
        <v>1</v>
      </c>
      <c r="H4" s="37"/>
      <c r="I4" s="37"/>
      <c r="J4" s="37"/>
    </row>
    <row r="5" spans="1:13" ht="32.4" customHeight="1" x14ac:dyDescent="0.3">
      <c r="C5" s="39">
        <f>+H7+H17+H27</f>
        <v>0</v>
      </c>
      <c r="D5" s="40"/>
      <c r="E5" s="40"/>
      <c r="F5" s="40"/>
      <c r="G5" s="41">
        <f>+L7+L17+L27</f>
        <v>18</v>
      </c>
      <c r="H5" s="41"/>
      <c r="I5" s="41"/>
      <c r="J5" s="41"/>
    </row>
    <row r="7" spans="1:13" ht="15.6" x14ac:dyDescent="0.3">
      <c r="A7" s="35" t="s">
        <v>2</v>
      </c>
      <c r="B7" s="35"/>
      <c r="C7" s="35"/>
      <c r="D7" s="35"/>
      <c r="E7" s="35"/>
      <c r="F7" s="29" t="s">
        <v>0</v>
      </c>
      <c r="G7" s="29"/>
      <c r="H7" s="30">
        <f>+SUM(J9:K14)</f>
        <v>0</v>
      </c>
      <c r="I7" s="30"/>
      <c r="J7" s="28" t="s">
        <v>13</v>
      </c>
      <c r="K7" s="28"/>
      <c r="L7" s="28">
        <f>+COUNT(A9:A14)</f>
        <v>6</v>
      </c>
      <c r="M7" s="28"/>
    </row>
    <row r="8" spans="1:13" ht="28.8" x14ac:dyDescent="0.3">
      <c r="A8" s="5" t="s">
        <v>7</v>
      </c>
      <c r="B8" s="33" t="s">
        <v>3</v>
      </c>
      <c r="C8" s="33"/>
      <c r="D8" s="33"/>
      <c r="E8" s="33"/>
      <c r="F8" s="5" t="s">
        <v>4</v>
      </c>
      <c r="G8" s="5" t="s">
        <v>10</v>
      </c>
      <c r="H8" s="5" t="s">
        <v>8</v>
      </c>
      <c r="I8" s="5" t="s">
        <v>9</v>
      </c>
      <c r="J8" s="33" t="s">
        <v>5</v>
      </c>
      <c r="K8" s="33"/>
      <c r="L8" s="5" t="s">
        <v>2041</v>
      </c>
      <c r="M8" s="5" t="s">
        <v>6</v>
      </c>
    </row>
    <row r="9" spans="1:13" x14ac:dyDescent="0.3">
      <c r="A9" s="3">
        <v>1</v>
      </c>
      <c r="B9" s="34"/>
      <c r="C9" s="34"/>
      <c r="D9" s="34"/>
      <c r="E9" s="34"/>
      <c r="F9" s="1"/>
      <c r="G9" s="1"/>
      <c r="H9" s="15">
        <v>0</v>
      </c>
      <c r="I9" s="15">
        <v>0</v>
      </c>
      <c r="J9" s="32">
        <v>0</v>
      </c>
      <c r="K9" s="32"/>
      <c r="L9" s="17" t="e">
        <f t="shared" ref="L9:L14" si="0">+J9/H9</f>
        <v>#DIV/0!</v>
      </c>
      <c r="M9" s="2"/>
    </row>
    <row r="10" spans="1:13" x14ac:dyDescent="0.3">
      <c r="A10" s="7">
        <v>2</v>
      </c>
      <c r="B10" s="4"/>
      <c r="C10" s="4"/>
      <c r="D10" s="4"/>
      <c r="E10" s="4"/>
      <c r="F10" s="4"/>
      <c r="G10" s="4"/>
      <c r="H10" s="16">
        <v>0</v>
      </c>
      <c r="I10" s="16">
        <v>0</v>
      </c>
      <c r="J10" s="31">
        <v>0</v>
      </c>
      <c r="K10" s="31"/>
      <c r="L10" s="6" t="e">
        <f t="shared" si="0"/>
        <v>#DIV/0!</v>
      </c>
      <c r="M10" s="4"/>
    </row>
    <row r="11" spans="1:13" x14ac:dyDescent="0.3">
      <c r="A11" s="3">
        <v>3</v>
      </c>
      <c r="B11" s="34"/>
      <c r="C11" s="34"/>
      <c r="D11" s="34"/>
      <c r="E11" s="34"/>
      <c r="F11" s="1"/>
      <c r="G11" s="1"/>
      <c r="H11" s="15">
        <v>0</v>
      </c>
      <c r="I11" s="15">
        <v>0</v>
      </c>
      <c r="J11" s="32">
        <v>0</v>
      </c>
      <c r="K11" s="32"/>
      <c r="L11" s="17" t="e">
        <f t="shared" si="0"/>
        <v>#DIV/0!</v>
      </c>
      <c r="M11" s="2"/>
    </row>
    <row r="12" spans="1:13" x14ac:dyDescent="0.3">
      <c r="A12" s="7">
        <v>4</v>
      </c>
      <c r="B12" s="4"/>
      <c r="C12" s="4"/>
      <c r="D12" s="4"/>
      <c r="E12" s="4"/>
      <c r="F12" s="4"/>
      <c r="G12" s="4"/>
      <c r="H12" s="16">
        <v>0</v>
      </c>
      <c r="I12" s="16">
        <v>0</v>
      </c>
      <c r="J12" s="31">
        <v>0</v>
      </c>
      <c r="K12" s="31"/>
      <c r="L12" s="6" t="e">
        <f t="shared" si="0"/>
        <v>#DIV/0!</v>
      </c>
      <c r="M12" s="4"/>
    </row>
    <row r="13" spans="1:13" x14ac:dyDescent="0.3">
      <c r="A13" s="3">
        <v>5</v>
      </c>
      <c r="B13" s="34"/>
      <c r="C13" s="34"/>
      <c r="D13" s="34"/>
      <c r="E13" s="34"/>
      <c r="F13" s="1"/>
      <c r="G13" s="1"/>
      <c r="H13" s="15">
        <v>0</v>
      </c>
      <c r="I13" s="15">
        <v>0</v>
      </c>
      <c r="J13" s="32">
        <v>0</v>
      </c>
      <c r="K13" s="32"/>
      <c r="L13" s="17" t="e">
        <f t="shared" si="0"/>
        <v>#DIV/0!</v>
      </c>
      <c r="M13" s="2"/>
    </row>
    <row r="14" spans="1:13" x14ac:dyDescent="0.3">
      <c r="A14" s="7">
        <v>6</v>
      </c>
      <c r="B14" s="4"/>
      <c r="C14" s="4"/>
      <c r="D14" s="4"/>
      <c r="E14" s="4"/>
      <c r="F14" s="4"/>
      <c r="G14" s="4"/>
      <c r="H14" s="16">
        <v>0</v>
      </c>
      <c r="I14" s="16">
        <v>0</v>
      </c>
      <c r="J14" s="31">
        <v>0</v>
      </c>
      <c r="K14" s="31"/>
      <c r="L14" s="6" t="e">
        <f t="shared" si="0"/>
        <v>#DIV/0!</v>
      </c>
      <c r="M14" s="4"/>
    </row>
    <row r="17" spans="1:13" ht="15.6" x14ac:dyDescent="0.3">
      <c r="A17" s="35" t="s">
        <v>11</v>
      </c>
      <c r="B17" s="35"/>
      <c r="C17" s="35"/>
      <c r="D17" s="35"/>
      <c r="E17" s="35"/>
      <c r="F17" s="29" t="s">
        <v>0</v>
      </c>
      <c r="G17" s="29"/>
      <c r="H17" s="30">
        <f>+SUM(J19:K24)</f>
        <v>0</v>
      </c>
      <c r="I17" s="30"/>
      <c r="J17" s="28" t="s">
        <v>13</v>
      </c>
      <c r="K17" s="28"/>
      <c r="L17" s="28">
        <f>+COUNT(A19:A24)</f>
        <v>6</v>
      </c>
      <c r="M17" s="28"/>
    </row>
    <row r="18" spans="1:13" ht="28.8" x14ac:dyDescent="0.3">
      <c r="A18" s="5" t="s">
        <v>7</v>
      </c>
      <c r="B18" s="33" t="s">
        <v>3</v>
      </c>
      <c r="C18" s="33"/>
      <c r="D18" s="33"/>
      <c r="E18" s="33"/>
      <c r="F18" s="5" t="s">
        <v>4</v>
      </c>
      <c r="G18" s="5" t="s">
        <v>10</v>
      </c>
      <c r="H18" s="5" t="s">
        <v>8</v>
      </c>
      <c r="I18" s="5" t="s">
        <v>9</v>
      </c>
      <c r="J18" s="33" t="s">
        <v>5</v>
      </c>
      <c r="K18" s="33"/>
      <c r="L18" s="5" t="s">
        <v>2041</v>
      </c>
      <c r="M18" s="5" t="s">
        <v>6</v>
      </c>
    </row>
    <row r="19" spans="1:13" x14ac:dyDescent="0.3">
      <c r="A19" s="3">
        <v>1</v>
      </c>
      <c r="B19" s="34"/>
      <c r="C19" s="34"/>
      <c r="D19" s="34"/>
      <c r="E19" s="34"/>
      <c r="F19" s="1"/>
      <c r="G19" s="1"/>
      <c r="H19" s="15">
        <v>0</v>
      </c>
      <c r="I19" s="15">
        <v>0</v>
      </c>
      <c r="J19" s="32">
        <v>0</v>
      </c>
      <c r="K19" s="32"/>
      <c r="L19" s="17" t="e">
        <f t="shared" ref="L19:L24" si="1">+J19/H19</f>
        <v>#DIV/0!</v>
      </c>
      <c r="M19" s="2"/>
    </row>
    <row r="20" spans="1:13" x14ac:dyDescent="0.3">
      <c r="A20" s="7">
        <v>2</v>
      </c>
      <c r="B20" s="4"/>
      <c r="C20" s="4"/>
      <c r="D20" s="4"/>
      <c r="E20" s="4"/>
      <c r="F20" s="4"/>
      <c r="G20" s="4"/>
      <c r="H20" s="16">
        <v>0</v>
      </c>
      <c r="I20" s="16">
        <v>0</v>
      </c>
      <c r="J20" s="31">
        <v>0</v>
      </c>
      <c r="K20" s="31"/>
      <c r="L20" s="6" t="e">
        <f t="shared" si="1"/>
        <v>#DIV/0!</v>
      </c>
      <c r="M20" s="4"/>
    </row>
    <row r="21" spans="1:13" x14ac:dyDescent="0.3">
      <c r="A21" s="3">
        <v>3</v>
      </c>
      <c r="B21" s="34"/>
      <c r="C21" s="34"/>
      <c r="D21" s="34"/>
      <c r="E21" s="34"/>
      <c r="F21" s="1"/>
      <c r="G21" s="1"/>
      <c r="H21" s="15">
        <v>0</v>
      </c>
      <c r="I21" s="15">
        <v>0</v>
      </c>
      <c r="J21" s="32">
        <v>0</v>
      </c>
      <c r="K21" s="32"/>
      <c r="L21" s="17" t="e">
        <f t="shared" si="1"/>
        <v>#DIV/0!</v>
      </c>
      <c r="M21" s="2"/>
    </row>
    <row r="22" spans="1:13" x14ac:dyDescent="0.3">
      <c r="A22" s="7">
        <v>4</v>
      </c>
      <c r="B22" s="4"/>
      <c r="C22" s="4"/>
      <c r="D22" s="4"/>
      <c r="E22" s="4"/>
      <c r="F22" s="4"/>
      <c r="G22" s="4"/>
      <c r="H22" s="16">
        <v>0</v>
      </c>
      <c r="I22" s="16">
        <v>0</v>
      </c>
      <c r="J22" s="31">
        <v>0</v>
      </c>
      <c r="K22" s="31"/>
      <c r="L22" s="6" t="e">
        <f t="shared" si="1"/>
        <v>#DIV/0!</v>
      </c>
      <c r="M22" s="4"/>
    </row>
    <row r="23" spans="1:13" x14ac:dyDescent="0.3">
      <c r="A23" s="3">
        <v>5</v>
      </c>
      <c r="B23" s="34"/>
      <c r="C23" s="34"/>
      <c r="D23" s="34"/>
      <c r="E23" s="34"/>
      <c r="F23" s="1"/>
      <c r="G23" s="1"/>
      <c r="H23" s="15">
        <v>0</v>
      </c>
      <c r="I23" s="15">
        <v>0</v>
      </c>
      <c r="J23" s="32">
        <v>0</v>
      </c>
      <c r="K23" s="32"/>
      <c r="L23" s="17" t="e">
        <f t="shared" si="1"/>
        <v>#DIV/0!</v>
      </c>
      <c r="M23" s="2"/>
    </row>
    <row r="24" spans="1:13" x14ac:dyDescent="0.3">
      <c r="A24" s="7">
        <v>6</v>
      </c>
      <c r="B24" s="4"/>
      <c r="C24" s="4"/>
      <c r="D24" s="4"/>
      <c r="E24" s="4"/>
      <c r="F24" s="4"/>
      <c r="G24" s="4"/>
      <c r="H24" s="16">
        <v>0</v>
      </c>
      <c r="I24" s="16">
        <v>0</v>
      </c>
      <c r="J24" s="31">
        <v>0</v>
      </c>
      <c r="K24" s="31"/>
      <c r="L24" s="6" t="e">
        <f t="shared" si="1"/>
        <v>#DIV/0!</v>
      </c>
      <c r="M24" s="4"/>
    </row>
    <row r="27" spans="1:13" ht="15.6" x14ac:dyDescent="0.3">
      <c r="A27" s="35" t="s">
        <v>12</v>
      </c>
      <c r="B27" s="35"/>
      <c r="C27" s="35"/>
      <c r="D27" s="35"/>
      <c r="E27" s="35"/>
      <c r="F27" s="29" t="s">
        <v>0</v>
      </c>
      <c r="G27" s="29"/>
      <c r="H27" s="30">
        <f>+SUM(J29:K34)</f>
        <v>0</v>
      </c>
      <c r="I27" s="30"/>
      <c r="J27" s="28" t="s">
        <v>13</v>
      </c>
      <c r="K27" s="28"/>
      <c r="L27" s="28">
        <f>+COUNT(A29:A34)</f>
        <v>6</v>
      </c>
      <c r="M27" s="28"/>
    </row>
    <row r="28" spans="1:13" ht="28.8" x14ac:dyDescent="0.3">
      <c r="A28" s="5" t="s">
        <v>7</v>
      </c>
      <c r="B28" s="33" t="s">
        <v>3</v>
      </c>
      <c r="C28" s="33"/>
      <c r="D28" s="33"/>
      <c r="E28" s="33"/>
      <c r="F28" s="5" t="s">
        <v>4</v>
      </c>
      <c r="G28" s="5" t="s">
        <v>10</v>
      </c>
      <c r="H28" s="5" t="s">
        <v>8</v>
      </c>
      <c r="I28" s="5" t="s">
        <v>9</v>
      </c>
      <c r="J28" s="33" t="s">
        <v>5</v>
      </c>
      <c r="K28" s="33"/>
      <c r="L28" s="5" t="s">
        <v>2041</v>
      </c>
      <c r="M28" s="5" t="s">
        <v>6</v>
      </c>
    </row>
    <row r="29" spans="1:13" x14ac:dyDescent="0.3">
      <c r="A29" s="3">
        <v>1</v>
      </c>
      <c r="B29" s="34"/>
      <c r="C29" s="34"/>
      <c r="D29" s="34"/>
      <c r="E29" s="34"/>
      <c r="F29" s="1"/>
      <c r="G29" s="1"/>
      <c r="H29" s="15">
        <v>0</v>
      </c>
      <c r="I29" s="15">
        <v>0</v>
      </c>
      <c r="J29" s="32">
        <v>0</v>
      </c>
      <c r="K29" s="32"/>
      <c r="L29" s="17" t="e">
        <f t="shared" ref="L29:L34" si="2">+J29/H29</f>
        <v>#DIV/0!</v>
      </c>
      <c r="M29" s="2"/>
    </row>
    <row r="30" spans="1:13" x14ac:dyDescent="0.3">
      <c r="A30" s="7">
        <v>2</v>
      </c>
      <c r="B30" s="4"/>
      <c r="C30" s="4"/>
      <c r="D30" s="4"/>
      <c r="E30" s="4"/>
      <c r="F30" s="4"/>
      <c r="G30" s="4"/>
      <c r="H30" s="16">
        <v>0</v>
      </c>
      <c r="I30" s="16">
        <v>0</v>
      </c>
      <c r="J30" s="31">
        <v>0</v>
      </c>
      <c r="K30" s="31"/>
      <c r="L30" s="6" t="e">
        <f t="shared" si="2"/>
        <v>#DIV/0!</v>
      </c>
      <c r="M30" s="4"/>
    </row>
    <row r="31" spans="1:13" x14ac:dyDescent="0.3">
      <c r="A31" s="3">
        <v>3</v>
      </c>
      <c r="B31" s="34"/>
      <c r="C31" s="34"/>
      <c r="D31" s="34"/>
      <c r="E31" s="34"/>
      <c r="F31" s="1"/>
      <c r="G31" s="1"/>
      <c r="H31" s="15">
        <v>0</v>
      </c>
      <c r="I31" s="15">
        <v>0</v>
      </c>
      <c r="J31" s="32">
        <v>0</v>
      </c>
      <c r="K31" s="32"/>
      <c r="L31" s="17" t="e">
        <f t="shared" si="2"/>
        <v>#DIV/0!</v>
      </c>
      <c r="M31" s="2"/>
    </row>
    <row r="32" spans="1:13" x14ac:dyDescent="0.3">
      <c r="A32" s="7">
        <v>4</v>
      </c>
      <c r="B32" s="4"/>
      <c r="C32" s="4"/>
      <c r="D32" s="4"/>
      <c r="E32" s="4"/>
      <c r="F32" s="4"/>
      <c r="G32" s="4"/>
      <c r="H32" s="16">
        <v>0</v>
      </c>
      <c r="I32" s="16">
        <v>0</v>
      </c>
      <c r="J32" s="31">
        <v>0</v>
      </c>
      <c r="K32" s="31"/>
      <c r="L32" s="6" t="e">
        <f t="shared" si="2"/>
        <v>#DIV/0!</v>
      </c>
      <c r="M32" s="4"/>
    </row>
    <row r="33" spans="1:13" x14ac:dyDescent="0.3">
      <c r="A33" s="3">
        <v>5</v>
      </c>
      <c r="B33" s="34"/>
      <c r="C33" s="34"/>
      <c r="D33" s="34"/>
      <c r="E33" s="34"/>
      <c r="F33" s="1"/>
      <c r="G33" s="1"/>
      <c r="H33" s="15">
        <v>0</v>
      </c>
      <c r="I33" s="15">
        <v>0</v>
      </c>
      <c r="J33" s="32">
        <v>0</v>
      </c>
      <c r="K33" s="32"/>
      <c r="L33" s="17" t="e">
        <f t="shared" si="2"/>
        <v>#DIV/0!</v>
      </c>
      <c r="M33" s="2"/>
    </row>
    <row r="34" spans="1:13" x14ac:dyDescent="0.3">
      <c r="A34" s="7">
        <v>6</v>
      </c>
      <c r="B34" s="4"/>
      <c r="C34" s="4"/>
      <c r="D34" s="4"/>
      <c r="E34" s="4"/>
      <c r="F34" s="4"/>
      <c r="G34" s="4"/>
      <c r="H34" s="16">
        <v>0</v>
      </c>
      <c r="I34" s="16">
        <v>0</v>
      </c>
      <c r="J34" s="31">
        <v>0</v>
      </c>
      <c r="K34" s="31"/>
      <c r="L34" s="6" t="e">
        <f t="shared" si="2"/>
        <v>#DIV/0!</v>
      </c>
      <c r="M34" s="4"/>
    </row>
  </sheetData>
  <mergeCells count="53">
    <mergeCell ref="B13:E13"/>
    <mergeCell ref="B11:E11"/>
    <mergeCell ref="J11:K11"/>
    <mergeCell ref="A1:M2"/>
    <mergeCell ref="G4:J4"/>
    <mergeCell ref="A7:E7"/>
    <mergeCell ref="B8:E8"/>
    <mergeCell ref="C4:F4"/>
    <mergeCell ref="C5:F5"/>
    <mergeCell ref="G5:J5"/>
    <mergeCell ref="B9:E9"/>
    <mergeCell ref="J10:K10"/>
    <mergeCell ref="L7:M7"/>
    <mergeCell ref="A17:E17"/>
    <mergeCell ref="B18:E18"/>
    <mergeCell ref="J18:K18"/>
    <mergeCell ref="B19:E19"/>
    <mergeCell ref="J19:K19"/>
    <mergeCell ref="B21:E21"/>
    <mergeCell ref="J21:K21"/>
    <mergeCell ref="J22:K22"/>
    <mergeCell ref="B23:E23"/>
    <mergeCell ref="J23:K23"/>
    <mergeCell ref="A27:E27"/>
    <mergeCell ref="B28:E28"/>
    <mergeCell ref="J28:K28"/>
    <mergeCell ref="B29:E29"/>
    <mergeCell ref="J29:K29"/>
    <mergeCell ref="B31:E31"/>
    <mergeCell ref="J31:K31"/>
    <mergeCell ref="J32:K32"/>
    <mergeCell ref="B33:E33"/>
    <mergeCell ref="J33:K33"/>
    <mergeCell ref="J34:K34"/>
    <mergeCell ref="J7:K7"/>
    <mergeCell ref="J17:K17"/>
    <mergeCell ref="J27:K27"/>
    <mergeCell ref="J30:K30"/>
    <mergeCell ref="J24:K24"/>
    <mergeCell ref="J20:K20"/>
    <mergeCell ref="J13:K13"/>
    <mergeCell ref="J14:K14"/>
    <mergeCell ref="J9:K9"/>
    <mergeCell ref="J8:K8"/>
    <mergeCell ref="J12:K12"/>
    <mergeCell ref="L17:M17"/>
    <mergeCell ref="L27:M27"/>
    <mergeCell ref="F7:G7"/>
    <mergeCell ref="H7:I7"/>
    <mergeCell ref="F17:G17"/>
    <mergeCell ref="F27:G27"/>
    <mergeCell ref="H17:I17"/>
    <mergeCell ref="H27:I27"/>
  </mergeCells>
  <conditionalFormatting sqref="J9:J14">
    <cfRule type="dataBar" priority="5">
      <dataBar>
        <cfvo type="min"/>
        <cfvo type="max"/>
        <color rgb="FFDC0D22"/>
      </dataBar>
    </cfRule>
    <cfRule type="dataBar" priority="6">
      <dataBar>
        <cfvo type="min"/>
        <cfvo type="max"/>
        <color rgb="FFDC0D22"/>
      </dataBar>
      <extLst>
        <ext xmlns:x14="http://schemas.microsoft.com/office/spreadsheetml/2009/9/main" uri="{B025F937-C7B1-47D3-B67F-A62EFF666E3E}">
          <x14:id>{E9502F32-A892-4481-BC52-423F729B1A9E}</x14:id>
        </ext>
      </extLst>
    </cfRule>
  </conditionalFormatting>
  <conditionalFormatting sqref="J19:J24">
    <cfRule type="dataBar" priority="3">
      <dataBar>
        <cfvo type="min"/>
        <cfvo type="max"/>
        <color rgb="FFDC0D22"/>
      </dataBar>
    </cfRule>
    <cfRule type="dataBar" priority="4">
      <dataBar>
        <cfvo type="min"/>
        <cfvo type="max"/>
        <color rgb="FFDC0D22"/>
      </dataBar>
      <extLst>
        <ext xmlns:x14="http://schemas.microsoft.com/office/spreadsheetml/2009/9/main" uri="{B025F937-C7B1-47D3-B67F-A62EFF666E3E}">
          <x14:id>{E00872A0-0D44-41EA-A6C3-8672CCD09D5D}</x14:id>
        </ext>
      </extLst>
    </cfRule>
  </conditionalFormatting>
  <conditionalFormatting sqref="J29:J34">
    <cfRule type="dataBar" priority="1">
      <dataBar>
        <cfvo type="min"/>
        <cfvo type="max"/>
        <color rgb="FFDC0D22"/>
      </dataBar>
    </cfRule>
    <cfRule type="dataBar" priority="2">
      <dataBar>
        <cfvo type="min"/>
        <cfvo type="max"/>
        <color rgb="FFDC0D22"/>
      </dataBar>
      <extLst>
        <ext xmlns:x14="http://schemas.microsoft.com/office/spreadsheetml/2009/9/main" uri="{B025F937-C7B1-47D3-B67F-A62EFF666E3E}">
          <x14:id>{4536D09E-09BC-4D59-9DE0-1F24B97A9336}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502F32-A892-4481-BC52-423F729B1A9E}">
            <x14:dataBar>
              <x14:cfvo type="min"/>
              <x14:cfvo type="max"/>
              <x14:negativeFillColor auto="1"/>
              <x14:axisColor auto="1"/>
            </x14:dataBar>
          </x14:cfRule>
          <xm:sqref>J9:J14</xm:sqref>
        </x14:conditionalFormatting>
        <x14:conditionalFormatting xmlns:xm="http://schemas.microsoft.com/office/excel/2006/main">
          <x14:cfRule type="dataBar" id="{E00872A0-0D44-41EA-A6C3-8672CCD09D5D}">
            <x14:dataBar>
              <x14:cfvo type="min"/>
              <x14:cfvo type="max"/>
              <x14:negativeFillColor auto="1"/>
              <x14:axisColor auto="1"/>
            </x14:dataBar>
          </x14:cfRule>
          <xm:sqref>J19:J24</xm:sqref>
        </x14:conditionalFormatting>
        <x14:conditionalFormatting xmlns:xm="http://schemas.microsoft.com/office/excel/2006/main">
          <x14:cfRule type="dataBar" id="{4536D09E-09BC-4D59-9DE0-1F24B97A9336}">
            <x14:dataBar>
              <x14:cfvo type="min"/>
              <x14:cfvo type="max"/>
              <x14:negativeFillColor auto="1"/>
              <x14:axisColor auto="1"/>
            </x14:dataBar>
          </x14:cfRule>
          <xm:sqref>J29:J34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869CF-BE8B-4F94-AB8F-4135A919E184}">
  <dimension ref="A1:P12"/>
  <sheetViews>
    <sheetView workbookViewId="0">
      <selection activeCell="A3" sqref="A3"/>
    </sheetView>
  </sheetViews>
  <sheetFormatPr baseColWidth="10" defaultRowHeight="14.4" x14ac:dyDescent="0.3"/>
  <sheetData>
    <row r="1" spans="1:16" ht="34.200000000000003" customHeight="1" x14ac:dyDescent="0.3">
      <c r="A1" s="36" t="s">
        <v>2042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 ht="29.4" customHeight="1" x14ac:dyDescent="0.3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</row>
    <row r="4" spans="1:16" ht="28.8" x14ac:dyDescent="0.3">
      <c r="A4" s="8" t="s">
        <v>7</v>
      </c>
      <c r="B4" s="48" t="s">
        <v>3</v>
      </c>
      <c r="C4" s="48"/>
      <c r="D4" s="48"/>
      <c r="E4" s="48" t="s">
        <v>14</v>
      </c>
      <c r="F4" s="48"/>
      <c r="G4" s="48" t="s">
        <v>2036</v>
      </c>
      <c r="H4" s="48"/>
      <c r="I4" s="48" t="s">
        <v>2037</v>
      </c>
      <c r="J4" s="48"/>
      <c r="K4" s="48" t="s">
        <v>2038</v>
      </c>
      <c r="L4" s="48"/>
      <c r="M4" s="8" t="s">
        <v>2039</v>
      </c>
      <c r="N4" s="8" t="s">
        <v>2040</v>
      </c>
      <c r="O4" s="48" t="s">
        <v>2041</v>
      </c>
      <c r="P4" s="48"/>
    </row>
    <row r="5" spans="1:16" x14ac:dyDescent="0.3">
      <c r="A5" s="9">
        <v>1</v>
      </c>
      <c r="B5" s="43"/>
      <c r="C5" s="43"/>
      <c r="D5" s="43"/>
      <c r="E5" s="43"/>
      <c r="F5" s="43"/>
      <c r="G5" s="43"/>
      <c r="H5" s="43"/>
      <c r="I5" s="44"/>
      <c r="J5" s="43"/>
      <c r="K5" s="44">
        <f>IFERROR(INDEX('[1]Base de datos'!$E$3:$E$1002,MATCH($A5,'[1]Base de datos'!$A$3:$A$1002,0)),0)</f>
        <v>0</v>
      </c>
      <c r="L5" s="43"/>
      <c r="M5" s="10"/>
      <c r="N5" s="11"/>
      <c r="O5" s="45">
        <f t="shared" ref="O5:O12" si="0">IFERROR($K5/$I5,0)</f>
        <v>0</v>
      </c>
      <c r="P5" s="45"/>
    </row>
    <row r="6" spans="1:16" x14ac:dyDescent="0.3">
      <c r="A6" s="12">
        <v>2</v>
      </c>
      <c r="B6" s="46"/>
      <c r="C6" s="46"/>
      <c r="D6" s="46"/>
      <c r="E6" s="46"/>
      <c r="F6" s="46"/>
      <c r="G6" s="46"/>
      <c r="H6" s="46"/>
      <c r="I6" s="47"/>
      <c r="J6" s="46"/>
      <c r="K6" s="47">
        <f>IFERROR(INDEX('[1]Base de datos'!$E$3:$E$1002,MATCH($A6,'[1]Base de datos'!$A$3:$A$1002,0)),0)</f>
        <v>0</v>
      </c>
      <c r="L6" s="46"/>
      <c r="M6" s="13"/>
      <c r="N6" s="14"/>
      <c r="O6" s="42">
        <f t="shared" si="0"/>
        <v>0</v>
      </c>
      <c r="P6" s="42"/>
    </row>
    <row r="7" spans="1:16" x14ac:dyDescent="0.3">
      <c r="A7" s="9">
        <v>3</v>
      </c>
      <c r="B7" s="43"/>
      <c r="C7" s="43"/>
      <c r="D7" s="43"/>
      <c r="E7" s="43"/>
      <c r="F7" s="43"/>
      <c r="G7" s="43"/>
      <c r="H7" s="43"/>
      <c r="I7" s="44"/>
      <c r="J7" s="43"/>
      <c r="K7" s="44">
        <f>IFERROR(INDEX('[1]Base de datos'!$E$3:$E$1002,MATCH($A7,'[1]Base de datos'!$A$3:$A$1002,0)),0)</f>
        <v>0</v>
      </c>
      <c r="L7" s="43"/>
      <c r="M7" s="10"/>
      <c r="N7" s="11"/>
      <c r="O7" s="45">
        <f t="shared" si="0"/>
        <v>0</v>
      </c>
      <c r="P7" s="45"/>
    </row>
    <row r="8" spans="1:16" x14ac:dyDescent="0.3">
      <c r="A8" s="12">
        <v>4</v>
      </c>
      <c r="B8" s="46"/>
      <c r="C8" s="46"/>
      <c r="D8" s="46"/>
      <c r="E8" s="46"/>
      <c r="F8" s="46"/>
      <c r="G8" s="46"/>
      <c r="H8" s="46"/>
      <c r="I8" s="47"/>
      <c r="J8" s="46"/>
      <c r="K8" s="47">
        <f>IFERROR(INDEX('[1]Base de datos'!$E$3:$E$1002,MATCH($A8,'[1]Base de datos'!$A$3:$A$1002,0)),0)</f>
        <v>0</v>
      </c>
      <c r="L8" s="46"/>
      <c r="M8" s="13"/>
      <c r="N8" s="14"/>
      <c r="O8" s="42">
        <f t="shared" si="0"/>
        <v>0</v>
      </c>
      <c r="P8" s="42"/>
    </row>
    <row r="9" spans="1:16" x14ac:dyDescent="0.3">
      <c r="A9" s="9">
        <v>5</v>
      </c>
      <c r="B9" s="43"/>
      <c r="C9" s="43"/>
      <c r="D9" s="43"/>
      <c r="E9" s="43"/>
      <c r="F9" s="43"/>
      <c r="G9" s="43"/>
      <c r="H9" s="43"/>
      <c r="I9" s="44"/>
      <c r="J9" s="43"/>
      <c r="K9" s="44">
        <f>IFERROR(INDEX('[1]Base de datos'!$E$3:$E$1002,MATCH($A9,'[1]Base de datos'!$A$3:$A$1002,0)),0)</f>
        <v>0</v>
      </c>
      <c r="L9" s="43"/>
      <c r="M9" s="10"/>
      <c r="N9" s="11"/>
      <c r="O9" s="45">
        <f t="shared" si="0"/>
        <v>0</v>
      </c>
      <c r="P9" s="45"/>
    </row>
    <row r="10" spans="1:16" x14ac:dyDescent="0.3">
      <c r="A10" s="12">
        <v>6</v>
      </c>
      <c r="B10" s="46"/>
      <c r="C10" s="46"/>
      <c r="D10" s="46"/>
      <c r="E10" s="46"/>
      <c r="F10" s="46"/>
      <c r="G10" s="46"/>
      <c r="H10" s="46"/>
      <c r="I10" s="47"/>
      <c r="J10" s="46"/>
      <c r="K10" s="47">
        <f>IFERROR(INDEX('[1]Base de datos'!$E$3:$E$1002,MATCH($A10,'[1]Base de datos'!$A$3:$A$1002,0)),0)</f>
        <v>0</v>
      </c>
      <c r="L10" s="46"/>
      <c r="M10" s="13"/>
      <c r="N10" s="14"/>
      <c r="O10" s="42">
        <f t="shared" si="0"/>
        <v>0</v>
      </c>
      <c r="P10" s="42"/>
    </row>
    <row r="11" spans="1:16" x14ac:dyDescent="0.3">
      <c r="A11" s="9">
        <v>7</v>
      </c>
      <c r="B11" s="43"/>
      <c r="C11" s="43"/>
      <c r="D11" s="43"/>
      <c r="E11" s="43"/>
      <c r="F11" s="43"/>
      <c r="G11" s="43"/>
      <c r="H11" s="43"/>
      <c r="I11" s="44"/>
      <c r="J11" s="43"/>
      <c r="K11" s="44">
        <f>IFERROR(INDEX('[1]Base de datos'!$E$3:$E$1002,MATCH($A11,'[1]Base de datos'!$A$3:$A$1002,0)),0)</f>
        <v>0</v>
      </c>
      <c r="L11" s="43"/>
      <c r="M11" s="10"/>
      <c r="N11" s="11"/>
      <c r="O11" s="45">
        <f t="shared" si="0"/>
        <v>0</v>
      </c>
      <c r="P11" s="45"/>
    </row>
    <row r="12" spans="1:16" x14ac:dyDescent="0.3">
      <c r="A12" s="12">
        <v>8</v>
      </c>
      <c r="B12" s="46"/>
      <c r="C12" s="46"/>
      <c r="D12" s="46"/>
      <c r="E12" s="46"/>
      <c r="F12" s="46"/>
      <c r="G12" s="46"/>
      <c r="H12" s="46"/>
      <c r="I12" s="47"/>
      <c r="J12" s="46"/>
      <c r="K12" s="47">
        <f>IFERROR(INDEX('[1]Base de datos'!$E$3:$E$1002,MATCH($A12,'[1]Base de datos'!$A$3:$A$1002,0)),0)</f>
        <v>0</v>
      </c>
      <c r="L12" s="46"/>
      <c r="M12" s="13"/>
      <c r="N12" s="14"/>
      <c r="O12" s="42">
        <f t="shared" si="0"/>
        <v>0</v>
      </c>
      <c r="P12" s="42"/>
    </row>
  </sheetData>
  <mergeCells count="55">
    <mergeCell ref="B6:D6"/>
    <mergeCell ref="E6:F6"/>
    <mergeCell ref="O4:P4"/>
    <mergeCell ref="A1:P2"/>
    <mergeCell ref="B5:D5"/>
    <mergeCell ref="E5:F5"/>
    <mergeCell ref="G5:H5"/>
    <mergeCell ref="I5:J5"/>
    <mergeCell ref="K5:L5"/>
    <mergeCell ref="O5:P5"/>
    <mergeCell ref="B4:D4"/>
    <mergeCell ref="E4:F4"/>
    <mergeCell ref="G4:H4"/>
    <mergeCell ref="I4:J4"/>
    <mergeCell ref="K4:L4"/>
    <mergeCell ref="G6:H6"/>
    <mergeCell ref="I6:J6"/>
    <mergeCell ref="K6:L6"/>
    <mergeCell ref="O8:P8"/>
    <mergeCell ref="B7:D7"/>
    <mergeCell ref="E7:F7"/>
    <mergeCell ref="G7:H7"/>
    <mergeCell ref="I7:J7"/>
    <mergeCell ref="K7:L7"/>
    <mergeCell ref="O7:P7"/>
    <mergeCell ref="B8:D8"/>
    <mergeCell ref="E8:F8"/>
    <mergeCell ref="G8:H8"/>
    <mergeCell ref="I8:J8"/>
    <mergeCell ref="K8:L8"/>
    <mergeCell ref="O6:P6"/>
    <mergeCell ref="O10:P10"/>
    <mergeCell ref="B9:D9"/>
    <mergeCell ref="E9:F9"/>
    <mergeCell ref="G9:H9"/>
    <mergeCell ref="I9:J9"/>
    <mergeCell ref="K9:L9"/>
    <mergeCell ref="O9:P9"/>
    <mergeCell ref="B10:D10"/>
    <mergeCell ref="E10:F10"/>
    <mergeCell ref="G10:H10"/>
    <mergeCell ref="I10:J10"/>
    <mergeCell ref="K10:L10"/>
    <mergeCell ref="O12:P12"/>
    <mergeCell ref="B11:D11"/>
    <mergeCell ref="E11:F11"/>
    <mergeCell ref="G11:H11"/>
    <mergeCell ref="I11:J11"/>
    <mergeCell ref="K11:L11"/>
    <mergeCell ref="O11:P11"/>
    <mergeCell ref="B12:D12"/>
    <mergeCell ref="E12:F12"/>
    <mergeCell ref="G12:H12"/>
    <mergeCell ref="I12:J12"/>
    <mergeCell ref="K12:L12"/>
  </mergeCells>
  <conditionalFormatting sqref="K5:K12">
    <cfRule type="dataBar" priority="1">
      <dataBar>
        <cfvo type="min"/>
        <cfvo type="max"/>
        <color rgb="FFDC0D22"/>
      </dataBar>
    </cfRule>
    <cfRule type="dataBar" priority="2">
      <dataBar>
        <cfvo type="min"/>
        <cfvo type="max"/>
        <color rgb="FFDC0D22"/>
      </dataBar>
    </cfRule>
    <cfRule type="dataBar" priority="3">
      <dataBar>
        <cfvo type="min"/>
        <cfvo type="max"/>
        <color rgb="FFDC0D22"/>
      </dataBar>
    </cfRule>
    <cfRule type="dataBar" priority="4">
      <dataBar>
        <cfvo type="min"/>
        <cfvo type="max"/>
        <color rgb="FFDC0D22"/>
      </dataBar>
      <extLst>
        <ext xmlns:x14="http://schemas.microsoft.com/office/spreadsheetml/2009/9/main" uri="{B025F937-C7B1-47D3-B67F-A62EFF666E3E}">
          <x14:id>{28E896A5-3BC6-423C-8952-7ECCC2DBA1F4}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E896A5-3BC6-423C-8952-7ECCC2DBA1F4}">
            <x14:dataBar>
              <x14:cfvo type="min"/>
              <x14:cfvo type="max"/>
              <x14:negativeFillColor auto="1"/>
              <x14:axisColor auto="1"/>
            </x14:dataBar>
          </x14:cfRule>
          <xm:sqref>K5:K12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3BA73-4279-477D-B0F7-26AAE4B228DB}">
  <dimension ref="A1:I8"/>
  <sheetViews>
    <sheetView tabSelected="1" workbookViewId="0">
      <selection activeCell="J4" sqref="J4"/>
    </sheetView>
  </sheetViews>
  <sheetFormatPr baseColWidth="10" defaultRowHeight="14.4" x14ac:dyDescent="0.3"/>
  <cols>
    <col min="1" max="1" width="23.33203125" customWidth="1"/>
    <col min="2" max="2" width="19.21875" customWidth="1"/>
    <col min="3" max="3" width="16.21875" customWidth="1"/>
    <col min="4" max="4" width="17.88671875" customWidth="1"/>
    <col min="5" max="5" width="13" customWidth="1"/>
    <col min="6" max="6" width="16.21875" customWidth="1"/>
    <col min="7" max="7" width="14" customWidth="1"/>
    <col min="8" max="8" width="14.33203125" customWidth="1"/>
  </cols>
  <sheetData>
    <row r="1" spans="1:9" ht="36" customHeight="1" x14ac:dyDescent="0.3">
      <c r="A1" s="36" t="s">
        <v>2043</v>
      </c>
      <c r="B1" s="36"/>
      <c r="C1" s="36"/>
      <c r="D1" s="36"/>
      <c r="E1" s="36"/>
      <c r="F1" s="36"/>
      <c r="G1" s="36"/>
      <c r="H1" s="36"/>
    </row>
    <row r="2" spans="1:9" ht="30" customHeight="1" x14ac:dyDescent="0.3">
      <c r="A2" s="36"/>
      <c r="B2" s="36"/>
      <c r="C2" s="36"/>
      <c r="D2" s="36"/>
      <c r="E2" s="36"/>
      <c r="F2" s="36"/>
      <c r="G2" s="36"/>
      <c r="H2" s="36"/>
    </row>
    <row r="4" spans="1:9" ht="46.8" x14ac:dyDescent="0.3">
      <c r="A4" s="18" t="s">
        <v>14</v>
      </c>
      <c r="B4" s="18" t="s">
        <v>8</v>
      </c>
      <c r="C4" s="18" t="s">
        <v>2044</v>
      </c>
      <c r="D4" s="18" t="s">
        <v>2045</v>
      </c>
      <c r="E4" s="18" t="s">
        <v>2046</v>
      </c>
      <c r="F4" s="18" t="s">
        <v>2047</v>
      </c>
      <c r="G4" s="18" t="s">
        <v>2048</v>
      </c>
      <c r="H4" s="18" t="s">
        <v>2049</v>
      </c>
    </row>
    <row r="5" spans="1:9" ht="18" customHeight="1" x14ac:dyDescent="0.3">
      <c r="A5" s="27" t="s">
        <v>2050</v>
      </c>
      <c r="B5" s="1"/>
      <c r="C5" s="1"/>
      <c r="D5" s="1"/>
      <c r="E5" s="25" t="e">
        <f>SUMIFS('[1]Base de datos'!$E$3:$E$1002,'[1]Base de datos'!$B$3:$B$1002,$A5,'[1]Base de datos'!$F$3:$F$1002,"&gt;0")</f>
        <v>#VALUE!</v>
      </c>
      <c r="F5" s="1" t="e">
        <f>+E5/B5</f>
        <v>#VALUE!</v>
      </c>
      <c r="G5" s="1"/>
      <c r="H5" s="19">
        <f>IFERROR(SUMIFS('[1]Base de datos'!$F$3:$F$1002,'[1]Base de datos'!$B$3:$B$1002,$A5,'[1]Base de datos'!$E$3:$E$1002,"&gt;0",'[1]Base de datos'!$F$3:$F$1002,"&gt;0")/COUNTIFS('[1]Base de datos'!$B$3:$B$1002,$A5,'[1]Base de datos'!$C$3:$C$1002,"&lt;&gt;",'[1]Base de datos'!$E$3:$E$1002,"&gt;0",'[1]Base de datos'!$F$3:$F$1002,"&gt;0"),0)</f>
        <v>0</v>
      </c>
      <c r="I5" t="e">
        <f>IF(ROUND(B5,0)=ROUND(C5+D5+E5,0),"OK","REVISAR")</f>
        <v>#VALUE!</v>
      </c>
    </row>
    <row r="6" spans="1:9" ht="20.399999999999999" customHeight="1" x14ac:dyDescent="0.3">
      <c r="A6" s="26" t="s">
        <v>2051</v>
      </c>
      <c r="B6" s="4"/>
      <c r="C6" s="4"/>
      <c r="D6" s="4"/>
      <c r="E6" s="6" t="e">
        <f>SUMIFS('[1]Base de datos'!$E$3:$E$1002,'[1]Base de datos'!$B$3:$B$1002,$A6,'[1]Base de datos'!$F$3:$F$1002,"&gt;0")</f>
        <v>#VALUE!</v>
      </c>
      <c r="F6" s="4" t="e">
        <f t="shared" ref="F6:F7" si="0">+E6/B6</f>
        <v>#VALUE!</v>
      </c>
      <c r="G6" s="4"/>
      <c r="H6" s="20">
        <v>0</v>
      </c>
      <c r="I6" t="e">
        <f t="shared" ref="I6:I7" si="1">IF(ROUND(B6,0)=ROUND(C6+D6+E6,0),"OK","REVISAR")</f>
        <v>#VALUE!</v>
      </c>
    </row>
    <row r="7" spans="1:9" ht="16.8" customHeight="1" x14ac:dyDescent="0.3">
      <c r="A7" s="27" t="s">
        <v>2052</v>
      </c>
      <c r="B7" s="1"/>
      <c r="C7" s="1"/>
      <c r="D7" s="1"/>
      <c r="E7" s="25" t="e">
        <f>SUMIFS('[1]Base de datos'!$E$3:$E$1002,'[1]Base de datos'!$B$3:$B$1002,$A7,'[1]Base de datos'!$F$3:$F$1002,"&gt;0")</f>
        <v>#VALUE!</v>
      </c>
      <c r="F7" s="1" t="e">
        <f t="shared" si="0"/>
        <v>#VALUE!</v>
      </c>
      <c r="G7" s="1"/>
      <c r="H7" s="19">
        <f>IFERROR(SUMIFS('[1]Base de datos'!$F$3:$F$1002,'[1]Base de datos'!$B$3:$B$1002,$A7,'[1]Base de datos'!$E$3:$E$1002,"&gt;0",'[1]Base de datos'!$F$3:$F$1002,"&gt;0")/COUNTIFS('[1]Base de datos'!$B$3:$B$1002,$A7,'[1]Base de datos'!$C$3:$C$1002,"&lt;&gt;",'[1]Base de datos'!$E$3:$E$1002,"&gt;0",'[1]Base de datos'!$F$3:$F$1002,"&gt;0"),0)</f>
        <v>0</v>
      </c>
      <c r="I7" t="e">
        <f t="shared" si="1"/>
        <v>#VALUE!</v>
      </c>
    </row>
    <row r="8" spans="1:9" x14ac:dyDescent="0.3">
      <c r="A8" s="21" t="s">
        <v>2053</v>
      </c>
      <c r="B8" s="22">
        <f>+SUM(B5:B7)</f>
        <v>0</v>
      </c>
      <c r="C8" s="22">
        <f t="shared" ref="C8:E8" si="2">+SUM(C5:C7)</f>
        <v>0</v>
      </c>
      <c r="D8" s="22">
        <f t="shared" si="2"/>
        <v>0</v>
      </c>
      <c r="E8" s="22" t="e">
        <f t="shared" si="2"/>
        <v>#VALUE!</v>
      </c>
      <c r="F8" s="23" t="e">
        <f>+E8/C8</f>
        <v>#VALUE!</v>
      </c>
      <c r="G8" s="24">
        <f>+SUM(G5:G7)</f>
        <v>0</v>
      </c>
      <c r="H8" s="23"/>
    </row>
  </sheetData>
  <mergeCells count="1">
    <mergeCell ref="A1:H2"/>
  </mergeCells>
  <conditionalFormatting sqref="A5:A7 E5:E7">
    <cfRule type="expression" dxfId="1" priority="11">
      <formula>AND($C5&gt;0,#REF!=MAX(#REF!))</formula>
    </cfRule>
  </conditionalFormatting>
  <conditionalFormatting sqref="E5:E7">
    <cfRule type="dataBar" priority="5">
      <dataBar>
        <cfvo type="min"/>
        <cfvo type="max"/>
        <color rgb="FFDC0D22"/>
      </dataBar>
    </cfRule>
    <cfRule type="dataBar" priority="6">
      <dataBar>
        <cfvo type="min"/>
        <cfvo type="max"/>
        <color rgb="FFDC0D22"/>
      </dataBar>
    </cfRule>
    <cfRule type="dataBar" priority="8">
      <dataBar>
        <cfvo type="min"/>
        <cfvo type="max"/>
        <color rgb="FFDC0D22"/>
      </dataBar>
      <extLst>
        <ext xmlns:x14="http://schemas.microsoft.com/office/spreadsheetml/2009/9/main" uri="{B025F937-C7B1-47D3-B67F-A62EFF666E3E}">
          <x14:id>{9AB8C3E2-09B8-4B67-8AD8-7D0699F6F698}</x14:id>
        </ext>
      </extLst>
    </cfRule>
  </conditionalFormatting>
  <conditionalFormatting sqref="H5:H7">
    <cfRule type="dataBar" priority="1">
      <dataBar>
        <cfvo type="min"/>
        <cfvo type="max"/>
        <color rgb="FFC17510"/>
      </dataBar>
    </cfRule>
    <cfRule type="dataBar" priority="2">
      <dataBar>
        <cfvo type="min"/>
        <cfvo type="max"/>
        <color rgb="FFC17510"/>
      </dataBar>
    </cfRule>
    <cfRule type="expression" dxfId="0" priority="3">
      <formula>AND($C5&gt;0,$E5=MAX($E$5:$E$7))</formula>
    </cfRule>
    <cfRule type="dataBar" priority="4">
      <dataBar>
        <cfvo type="min"/>
        <cfvo type="max"/>
        <color rgb="FFC17510"/>
      </dataBar>
      <extLst>
        <ext xmlns:x14="http://schemas.microsoft.com/office/spreadsheetml/2009/9/main" uri="{B025F937-C7B1-47D3-B67F-A62EFF666E3E}">
          <x14:id>{C6E4DBE9-4868-4D07-86BF-0D0E457C5446}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B8C3E2-09B8-4B67-8AD8-7D0699F6F698}">
            <x14:dataBar>
              <x14:cfvo type="min"/>
              <x14:cfvo type="max"/>
              <x14:negativeFillColor auto="1"/>
              <x14:axisColor auto="1"/>
            </x14:dataBar>
          </x14:cfRule>
          <xm:sqref>E5:E7</xm:sqref>
        </x14:conditionalFormatting>
        <x14:conditionalFormatting xmlns:xm="http://schemas.microsoft.com/office/excel/2006/main">
          <x14:cfRule type="dataBar" id="{C6E4DBE9-4868-4D07-86BF-0D0E457C5446}">
            <x14:dataBar>
              <x14:cfvo type="min"/>
              <x14:cfvo type="max"/>
              <x14:negativeFillColor auto="1"/>
              <x14:axisColor auto="1"/>
            </x14:dataBar>
          </x14:cfRule>
          <xm:sqref>H5:H7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Base_Ajustada</vt:lpstr>
      <vt:lpstr>Reporte_General</vt:lpstr>
      <vt:lpstr>Reporte_Cliente</vt:lpstr>
      <vt:lpstr>Reporte_Proyecto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Huamani</dc:creator>
  <cp:lastModifiedBy>Eduardo Huamani</cp:lastModifiedBy>
  <dcterms:created xsi:type="dcterms:W3CDTF">2026-07-15T16:05:15Z</dcterms:created>
  <dcterms:modified xsi:type="dcterms:W3CDTF">2026-07-15T20:37:38Z</dcterms:modified>
</cp:coreProperties>
</file>