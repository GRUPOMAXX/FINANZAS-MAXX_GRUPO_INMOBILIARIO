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uamani\MAXX_Grupo_Inmobiliario\Flujo\Input\Reporte de Ventas\"/>
    </mc:Choice>
  </mc:AlternateContent>
  <xr:revisionPtr revIDLastSave="0" documentId="13_ncr:1_{03D3A150-FF87-4172-ACD0-81677FFC6550}" xr6:coauthVersionLast="47" xr6:coauthVersionMax="47" xr10:uidLastSave="{00000000-0000-0000-0000-000000000000}"/>
  <bookViews>
    <workbookView xWindow="-108" yWindow="-108" windowWidth="23256" windowHeight="13896" xr2:uid="{83726F34-7180-44BA-8E01-7A2022CDB09D}"/>
  </bookViews>
  <sheets>
    <sheet name="Cronograma" sheetId="1" r:id="rId1"/>
  </sheets>
  <definedNames>
    <definedName name="_xlnm._FilterDatabase" localSheetId="0" hidden="1">Cronograma!$B$11:$V$17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7" i="1" l="1"/>
  <c r="O276" i="1"/>
  <c r="O275" i="1"/>
  <c r="L275" i="1"/>
  <c r="L88" i="1"/>
  <c r="L468" i="1"/>
  <c r="L465" i="1"/>
  <c r="L462" i="1"/>
  <c r="L459" i="1"/>
  <c r="L456" i="1"/>
  <c r="L453" i="1"/>
  <c r="L450" i="1"/>
  <c r="L447" i="1"/>
  <c r="L444" i="1"/>
  <c r="L440" i="1"/>
  <c r="L437" i="1"/>
  <c r="L225" i="1"/>
  <c r="L434" i="1"/>
  <c r="L431" i="1"/>
  <c r="O428" i="1"/>
  <c r="L427" i="1"/>
  <c r="O418" i="1"/>
  <c r="L418" i="1"/>
  <c r="O408" i="1"/>
  <c r="L412" i="1"/>
  <c r="L408" i="1"/>
  <c r="L403" i="1"/>
  <c r="L368" i="1"/>
  <c r="L365" i="1"/>
  <c r="L362" i="1"/>
  <c r="O359" i="1"/>
  <c r="L359" i="1"/>
  <c r="L351" i="1"/>
  <c r="L348" i="1"/>
  <c r="L334" i="1"/>
  <c r="O334" i="1"/>
  <c r="L331" i="1"/>
  <c r="L328" i="1"/>
  <c r="L324" i="1"/>
  <c r="L314" i="1"/>
  <c r="L311" i="1"/>
  <c r="L308" i="1"/>
  <c r="L305" i="1"/>
  <c r="L301" i="1"/>
  <c r="L294" i="1" l="1"/>
  <c r="L290" i="1"/>
  <c r="O253" i="1"/>
  <c r="L247" i="1"/>
  <c r="L243" i="1"/>
  <c r="L213" i="1"/>
  <c r="L19" i="1"/>
  <c r="L12" i="1"/>
  <c r="O126" i="1"/>
  <c r="O324" i="1"/>
  <c r="O301" i="1"/>
  <c r="O291" i="1"/>
  <c r="O290" i="1"/>
  <c r="O280" i="1"/>
  <c r="L280" i="1"/>
  <c r="O258" i="1"/>
  <c r="O244" i="1"/>
  <c r="O243" i="1"/>
  <c r="L239" i="1"/>
  <c r="O239" i="1"/>
  <c r="O219" i="1"/>
  <c r="O213" i="1"/>
  <c r="O185" i="1"/>
  <c r="L181" i="1"/>
  <c r="O181" i="1"/>
  <c r="O170" i="1"/>
  <c r="L170" i="1"/>
  <c r="O161" i="1"/>
  <c r="L161" i="1"/>
  <c r="L117" i="1"/>
  <c r="O114" i="1"/>
  <c r="L114" i="1"/>
  <c r="O96" i="1"/>
  <c r="O92" i="1"/>
  <c r="L92" i="1"/>
  <c r="L63" i="1"/>
  <c r="L67" i="1"/>
  <c r="O42" i="1" l="1"/>
  <c r="O440" i="1"/>
  <c r="O427" i="1"/>
  <c r="O423" i="1"/>
  <c r="L422" i="1"/>
  <c r="O415" i="1"/>
  <c r="L415" i="1"/>
  <c r="O403" i="1"/>
  <c r="O393" i="1"/>
  <c r="O400" i="1" s="1"/>
  <c r="O401" i="1" s="1"/>
  <c r="L393" i="1"/>
  <c r="O389" i="1"/>
  <c r="L389" i="1"/>
  <c r="O379" i="1"/>
  <c r="O384" i="1" s="1"/>
  <c r="O385" i="1" s="1"/>
  <c r="O386" i="1" s="1"/>
  <c r="L379" i="1"/>
  <c r="O371" i="1"/>
  <c r="O374" i="1" s="1"/>
  <c r="O375" i="1" s="1"/>
  <c r="O376" i="1" s="1"/>
  <c r="L371" i="1"/>
  <c r="O355" i="1"/>
  <c r="O343" i="1"/>
  <c r="L343" i="1"/>
  <c r="O336" i="1"/>
  <c r="O339" i="1" s="1"/>
  <c r="O340" i="1" s="1"/>
  <c r="L336" i="1"/>
  <c r="O317" i="1"/>
  <c r="L317" i="1"/>
  <c r="O295" i="1"/>
  <c r="O296" i="1" s="1"/>
  <c r="O297" i="1" s="1"/>
  <c r="O298" i="1" s="1"/>
  <c r="O284" i="1"/>
  <c r="O286" i="1" s="1"/>
  <c r="O287" i="1" s="1"/>
  <c r="L284" i="1"/>
  <c r="L258" i="1"/>
  <c r="L253" i="1"/>
  <c r="O247" i="1"/>
  <c r="N232" i="1"/>
  <c r="N231" i="1"/>
  <c r="N230" i="1"/>
  <c r="N229" i="1"/>
  <c r="N228" i="1"/>
  <c r="N227" i="1"/>
  <c r="N226" i="1"/>
  <c r="L219" i="1"/>
  <c r="O204" i="1"/>
  <c r="L204" i="1"/>
  <c r="O200" i="1"/>
  <c r="L185" i="1"/>
  <c r="O176" i="1"/>
  <c r="L176" i="1"/>
  <c r="O173" i="1"/>
  <c r="L173" i="1"/>
  <c r="O165" i="1"/>
  <c r="L165" i="1"/>
  <c r="O156" i="1"/>
  <c r="L156" i="1"/>
  <c r="O149" i="1"/>
  <c r="L149" i="1"/>
  <c r="O144" i="1"/>
  <c r="L144" i="1"/>
  <c r="O131" i="1"/>
  <c r="O134" i="1" s="1"/>
  <c r="O135" i="1" s="1"/>
  <c r="O136" i="1" s="1"/>
  <c r="O137" i="1" s="1"/>
  <c r="O138" i="1" s="1"/>
  <c r="O139" i="1" s="1"/>
  <c r="O140" i="1" s="1"/>
  <c r="L131" i="1"/>
  <c r="L126" i="1"/>
  <c r="O121" i="1"/>
  <c r="L121" i="1"/>
  <c r="O109" i="1"/>
  <c r="L109" i="1"/>
  <c r="O104" i="1"/>
  <c r="L104" i="1"/>
  <c r="L96" i="1"/>
  <c r="O85" i="1"/>
  <c r="L85" i="1"/>
  <c r="O77" i="1"/>
  <c r="L77" i="1"/>
  <c r="O71" i="1"/>
  <c r="L71" i="1"/>
  <c r="O67" i="1"/>
  <c r="O48" i="1"/>
  <c r="L48" i="1"/>
  <c r="L42" i="1"/>
  <c r="O35" i="1"/>
  <c r="L35" i="1"/>
  <c r="O30" i="1"/>
  <c r="L30" i="1"/>
  <c r="O26" i="1"/>
  <c r="L26" i="1"/>
  <c r="O19" i="1"/>
  <c r="O12" i="1"/>
  <c r="O2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</author>
  </authors>
  <commentList>
    <comment ref="N152" authorId="0" shapeId="0" xr:uid="{9B46C09C-062A-4E33-AE93-306E977E8714}">
      <text>
        <r>
          <rPr>
            <b/>
            <sz val="9"/>
            <color indexed="81"/>
            <rFont val="Tahoma"/>
            <family val="2"/>
          </rPr>
          <t xml:space="preserve">VERIFICAR CON MAGALY BV DICE 30MIL.
 EMITIR NC POR 15MIL YA QUE ES UN CREDITO DIRECTO
</t>
        </r>
      </text>
    </comment>
  </commentList>
</comments>
</file>

<file path=xl/sharedStrings.xml><?xml version="1.0" encoding="utf-8"?>
<sst xmlns="http://schemas.openxmlformats.org/spreadsheetml/2006/main" count="610" uniqueCount="340">
  <si>
    <t>ELABORADO POR: AMBAR POICON - 27/03/2026</t>
  </si>
  <si>
    <t>REPORTES DE VENTAS - PROYECTO PRADA</t>
  </si>
  <si>
    <t>UI</t>
  </si>
  <si>
    <t>Dpto</t>
  </si>
  <si>
    <t>Estac</t>
  </si>
  <si>
    <t>Deposito</t>
  </si>
  <si>
    <t>DNI</t>
  </si>
  <si>
    <t>CLIENTES</t>
  </si>
  <si>
    <t>PRECIO
DPTO</t>
  </si>
  <si>
    <t>PRECIO
ESTAC</t>
  </si>
  <si>
    <t>PRECIO
DEPOSITO</t>
  </si>
  <si>
    <t>PRECIO
ESTAC + DEP</t>
  </si>
  <si>
    <t>TOTAL 
PRECIO
VENTA</t>
  </si>
  <si>
    <t>Fecha 
Pago</t>
  </si>
  <si>
    <t>Importe 
Abonado</t>
  </si>
  <si>
    <t>Total
Pagado</t>
  </si>
  <si>
    <t>Status</t>
  </si>
  <si>
    <t>N°
Comprobantes</t>
  </si>
  <si>
    <t>Fecha 
Emision del Comprobante</t>
  </si>
  <si>
    <t>Fecha
Minuta de separacion</t>
  </si>
  <si>
    <t>Firma 
Minuta CCVTA</t>
  </si>
  <si>
    <t>Credito 
hipotecario</t>
  </si>
  <si>
    <t>Credito
Directo</t>
  </si>
  <si>
    <t>CALATAYUD CHUMBES ELMO</t>
  </si>
  <si>
    <t>CANCELADO</t>
  </si>
  <si>
    <t>EB01-14</t>
  </si>
  <si>
    <t>Separacion</t>
  </si>
  <si>
    <t>Cuota Inicial</t>
  </si>
  <si>
    <t>EB01-18</t>
  </si>
  <si>
    <t>EB01-36</t>
  </si>
  <si>
    <t>Desembolso Hipotecario</t>
  </si>
  <si>
    <t>08062531</t>
  </si>
  <si>
    <t>EDWIN MODIGLIANI EFRAIN SUCLLA FLORES</t>
  </si>
  <si>
    <t>EB01-54</t>
  </si>
  <si>
    <t>EB01-55</t>
  </si>
  <si>
    <t>EB01-56</t>
  </si>
  <si>
    <t>EB01-57</t>
  </si>
  <si>
    <t>EB01-58</t>
  </si>
  <si>
    <t>EB01-81</t>
  </si>
  <si>
    <t>MESSARINA RIOS AYLEEN KATIA</t>
  </si>
  <si>
    <t>EB01-20</t>
  </si>
  <si>
    <t>Cuota Incial</t>
  </si>
  <si>
    <t>EB01-82</t>
  </si>
  <si>
    <t>Sampi Gonzales, GILDA Victoria</t>
  </si>
  <si>
    <t>EB01-3</t>
  </si>
  <si>
    <t>Cuota inicial</t>
  </si>
  <si>
    <t>EB01-83</t>
  </si>
  <si>
    <t>Zapata Flores, Joseluis Gaspar</t>
  </si>
  <si>
    <t>EB01-37</t>
  </si>
  <si>
    <t>EB01-1</t>
  </si>
  <si>
    <t>EB01-27</t>
  </si>
  <si>
    <t>EB01-38</t>
  </si>
  <si>
    <t>Desembolso</t>
  </si>
  <si>
    <t>COLLAZOS ROMERO MARIA CRISTINA</t>
  </si>
  <si>
    <t>EB01-127</t>
  </si>
  <si>
    <t>EB01-128</t>
  </si>
  <si>
    <t>Videla Flores, Gilberto</t>
  </si>
  <si>
    <t>Urbina ñañez, Elizabeth Rocio</t>
  </si>
  <si>
    <t>Navarrete Maldonado, Alejandro Jose</t>
  </si>
  <si>
    <t>Ortiz Angeles, Cristhiam</t>
  </si>
  <si>
    <t>Moreano Bellido, Gladys Marta</t>
  </si>
  <si>
    <t>desembolso</t>
  </si>
  <si>
    <t>ángeles Milla, Juan Carlos</t>
  </si>
  <si>
    <t>Patrocinio Huamani Cuevas</t>
  </si>
  <si>
    <t>Can cuota inicial</t>
  </si>
  <si>
    <t>MENDOZA JUMP ALVARO GEANFRANCO</t>
  </si>
  <si>
    <t>Vasquez Samaniego, Marina Francisca</t>
  </si>
  <si>
    <t>BV-17</t>
  </si>
  <si>
    <t>BV-21</t>
  </si>
  <si>
    <t>BV-24</t>
  </si>
  <si>
    <t>BV-40</t>
  </si>
  <si>
    <t>NC-3</t>
  </si>
  <si>
    <t xml:space="preserve">CRISTOPHER OMAR PEÑA CAMARGO </t>
  </si>
  <si>
    <t>BV-71</t>
  </si>
  <si>
    <t>BV-72</t>
  </si>
  <si>
    <t>BV-137</t>
  </si>
  <si>
    <t>Luis Alberto Ovalle Huamanguilla</t>
  </si>
  <si>
    <t>Pehovaz Diez, Jose Humberto</t>
  </si>
  <si>
    <t>BV-25</t>
  </si>
  <si>
    <t>BV-41</t>
  </si>
  <si>
    <t>Lima Garcia, Richard Humberto</t>
  </si>
  <si>
    <t>BV-11</t>
  </si>
  <si>
    <t>BV-16</t>
  </si>
  <si>
    <t>BV-45</t>
  </si>
  <si>
    <t>desembolso hipotecario</t>
  </si>
  <si>
    <t>Valencia Cordova, David Edgar</t>
  </si>
  <si>
    <t>BV-59</t>
  </si>
  <si>
    <t>BV-22</t>
  </si>
  <si>
    <t>BV-26</t>
  </si>
  <si>
    <t>BV-34</t>
  </si>
  <si>
    <t>BV-43</t>
  </si>
  <si>
    <t>BV-53</t>
  </si>
  <si>
    <t>BV-77</t>
  </si>
  <si>
    <t>BV-104</t>
  </si>
  <si>
    <t>BV-121</t>
  </si>
  <si>
    <t>BV-138</t>
  </si>
  <si>
    <t>BV.153</t>
  </si>
  <si>
    <t>BV-164</t>
  </si>
  <si>
    <t>BV-176</t>
  </si>
  <si>
    <t>WENDY JUNES GONZALES</t>
  </si>
  <si>
    <t>BV-122</t>
  </si>
  <si>
    <t>BV-123</t>
  </si>
  <si>
    <t>BV-139</t>
  </si>
  <si>
    <t>Rodriguez Huamán, Sthefany Carolina</t>
  </si>
  <si>
    <t>BV-33</t>
  </si>
  <si>
    <t>BV-68</t>
  </si>
  <si>
    <t>BV-85</t>
  </si>
  <si>
    <t>BV-86</t>
  </si>
  <si>
    <t>NC-7</t>
  </si>
  <si>
    <t>DENISSE ESTELA  LINARES SUAREZ</t>
  </si>
  <si>
    <t>BV-100</t>
  </si>
  <si>
    <t>BV-101</t>
  </si>
  <si>
    <t>BV-161</t>
  </si>
  <si>
    <t>GONZALES ALFARO GERSON JUVER</t>
  </si>
  <si>
    <t>CORDOVA OROPEZA MARCO ANTONIO</t>
  </si>
  <si>
    <t>BV-105</t>
  </si>
  <si>
    <t>BV-106</t>
  </si>
  <si>
    <t>BV-107</t>
  </si>
  <si>
    <t>EB01-130</t>
  </si>
  <si>
    <t>EB01-131</t>
  </si>
  <si>
    <t>EB01-132</t>
  </si>
  <si>
    <t>EB01-141</t>
  </si>
  <si>
    <t>EB01-142</t>
  </si>
  <si>
    <t>EB01-143</t>
  </si>
  <si>
    <t>EB01-156</t>
  </si>
  <si>
    <t>Daniel Alejandro  Aguayo Vera</t>
  </si>
  <si>
    <t>SEPARACION</t>
  </si>
  <si>
    <t>Cabanillas Correa, Karina</t>
  </si>
  <si>
    <t>BV-48</t>
  </si>
  <si>
    <t>BV-29</t>
  </si>
  <si>
    <t>NC-4</t>
  </si>
  <si>
    <t>BV-32</t>
  </si>
  <si>
    <t>BV-49</t>
  </si>
  <si>
    <t>BV-75</t>
  </si>
  <si>
    <t>NC-6</t>
  </si>
  <si>
    <t>BV-87</t>
  </si>
  <si>
    <t>BV-88</t>
  </si>
  <si>
    <t>EMITIR NC</t>
  </si>
  <si>
    <t>BV-89</t>
  </si>
  <si>
    <t>BV-90</t>
  </si>
  <si>
    <t>BV-115</t>
  </si>
  <si>
    <t>NC-8</t>
  </si>
  <si>
    <t>BV.146</t>
  </si>
  <si>
    <t>BV.149</t>
  </si>
  <si>
    <t>DANNY ROMEL ORE GUERREROS</t>
  </si>
  <si>
    <t>EB01-124</t>
  </si>
  <si>
    <t>EB01-125</t>
  </si>
  <si>
    <t>ANDEAN AYNI TRAVEL AGENCIAS</t>
  </si>
  <si>
    <t>E001-1</t>
  </si>
  <si>
    <t>CUOTA INICIAL</t>
  </si>
  <si>
    <t>E001-2</t>
  </si>
  <si>
    <t>E001-3</t>
  </si>
  <si>
    <t>LETRA 1</t>
  </si>
  <si>
    <t>E001-4</t>
  </si>
  <si>
    <t>LETRA 2</t>
  </si>
  <si>
    <t>LETRA 3</t>
  </si>
  <si>
    <t>ALVARES ELIAS, ANA FABIOLA</t>
  </si>
  <si>
    <t>BV-30</t>
  </si>
  <si>
    <t>Hipotecario</t>
  </si>
  <si>
    <t>BV-31</t>
  </si>
  <si>
    <t>BV-44</t>
  </si>
  <si>
    <t>BV-50</t>
  </si>
  <si>
    <t>estac</t>
  </si>
  <si>
    <t>E01</t>
  </si>
  <si>
    <t>E02</t>
  </si>
  <si>
    <t>E08</t>
  </si>
  <si>
    <t>E15</t>
  </si>
  <si>
    <t>ANA FABIOLA ALVARES ELIAS</t>
  </si>
  <si>
    <t>BV-114</t>
  </si>
  <si>
    <t>BV-113</t>
  </si>
  <si>
    <t>EB01-133</t>
  </si>
  <si>
    <t>BV-151</t>
  </si>
  <si>
    <t>BV-155</t>
  </si>
  <si>
    <t>E16</t>
  </si>
  <si>
    <t>BV-94</t>
  </si>
  <si>
    <t>BV-95</t>
  </si>
  <si>
    <t>E22</t>
  </si>
  <si>
    <t>E29</t>
  </si>
  <si>
    <t>E30</t>
  </si>
  <si>
    <t>JOSE LUIS GASPAR ZAPATA</t>
  </si>
  <si>
    <t>EB01-158</t>
  </si>
  <si>
    <t xml:space="preserve">AMORTIZACION </t>
  </si>
  <si>
    <t>EB01-183</t>
  </si>
  <si>
    <t>E44</t>
  </si>
  <si>
    <t>Estac + Deposito</t>
  </si>
  <si>
    <t>E03-D01</t>
  </si>
  <si>
    <t>E04-D02</t>
  </si>
  <si>
    <t>E05-D03</t>
  </si>
  <si>
    <t>E09-D06</t>
  </si>
  <si>
    <t>BV-60</t>
  </si>
  <si>
    <t>BV-61</t>
  </si>
  <si>
    <t>BV-116</t>
  </si>
  <si>
    <t>BV-148</t>
  </si>
  <si>
    <t>BV-160</t>
  </si>
  <si>
    <t>BV-174</t>
  </si>
  <si>
    <t>E10-D07</t>
  </si>
  <si>
    <t>´08062531</t>
  </si>
  <si>
    <t>BV-112</t>
  </si>
  <si>
    <t>16/08//25</t>
  </si>
  <si>
    <t>BV-108</t>
  </si>
  <si>
    <t>BV-126</t>
  </si>
  <si>
    <t>BV-140</t>
  </si>
  <si>
    <t>BV.150</t>
  </si>
  <si>
    <t>BV.163</t>
  </si>
  <si>
    <t>BV.175</t>
  </si>
  <si>
    <t>E13-D10</t>
  </si>
  <si>
    <t>Calatayud Chumbes, Elmo</t>
  </si>
  <si>
    <t>BV-91</t>
  </si>
  <si>
    <t>BV-92</t>
  </si>
  <si>
    <t>E14-D11</t>
  </si>
  <si>
    <t>Messarina Rios, Ayleen Katia</t>
  </si>
  <si>
    <t>BV-19</t>
  </si>
  <si>
    <t>BV-62</t>
  </si>
  <si>
    <t>BV-63</t>
  </si>
  <si>
    <t>BV-64</t>
  </si>
  <si>
    <t>BV-109</t>
  </si>
  <si>
    <t>BV-110</t>
  </si>
  <si>
    <t>BV-134</t>
  </si>
  <si>
    <t>BV-147</t>
  </si>
  <si>
    <t>BV.162</t>
  </si>
  <si>
    <t>E17-D12</t>
  </si>
  <si>
    <t>BV-117</t>
  </si>
  <si>
    <t>BV-118</t>
  </si>
  <si>
    <t>E18-D13</t>
  </si>
  <si>
    <t>E19-D14</t>
  </si>
  <si>
    <t>E20-D15</t>
  </si>
  <si>
    <t>Canc Cuota Inicial</t>
  </si>
  <si>
    <t>BV-93</t>
  </si>
  <si>
    <t>E21-D16</t>
  </si>
  <si>
    <t>E23-D17</t>
  </si>
  <si>
    <t>ALEJANDRO JOSE NAVARRETE MALDONADO</t>
  </si>
  <si>
    <t>BV-111</t>
  </si>
  <si>
    <t>BV.157</t>
  </si>
  <si>
    <t>E25-D19</t>
  </si>
  <si>
    <t>GERSON GONZALES ALFARO</t>
  </si>
  <si>
    <t>E27-D21</t>
  </si>
  <si>
    <t>E31-D23</t>
  </si>
  <si>
    <t>E35-D27</t>
  </si>
  <si>
    <t>E37-D28</t>
  </si>
  <si>
    <t>LUIS ALBERTO OVALLE HUAMANGUILLA</t>
  </si>
  <si>
    <t>BV-145</t>
  </si>
  <si>
    <t>E38-D29</t>
  </si>
  <si>
    <t>E39-D30</t>
  </si>
  <si>
    <t>E40-D31</t>
  </si>
  <si>
    <t>E42-D33</t>
  </si>
  <si>
    <t>E46-D35</t>
  </si>
  <si>
    <t>E47-D36</t>
  </si>
  <si>
    <t>E48-D37</t>
  </si>
  <si>
    <t>E49-D38</t>
  </si>
  <si>
    <t>E52-D40</t>
  </si>
  <si>
    <t>EB01-181</t>
  </si>
  <si>
    <t>EB01-7</t>
  </si>
  <si>
    <t>EB01-8</t>
  </si>
  <si>
    <t>EB01-35</t>
  </si>
  <si>
    <t>EB01-51</t>
  </si>
  <si>
    <t>EB01-52</t>
  </si>
  <si>
    <t>EB01-69</t>
  </si>
  <si>
    <t>EB01-70</t>
  </si>
  <si>
    <t>EB01-96</t>
  </si>
  <si>
    <t>EB01-97</t>
  </si>
  <si>
    <t>EB01-119</t>
  </si>
  <si>
    <t>EB01-120</t>
  </si>
  <si>
    <t>EB01-46</t>
  </si>
  <si>
    <t>EB01-129</t>
  </si>
  <si>
    <t>EB01--47</t>
  </si>
  <si>
    <t>EB01-73</t>
  </si>
  <si>
    <t>EB01-74</t>
  </si>
  <si>
    <t>EB01-98</t>
  </si>
  <si>
    <t>RIMAC POMA YOBER</t>
  </si>
  <si>
    <t>EB01-4</t>
  </si>
  <si>
    <t>EB01-2</t>
  </si>
  <si>
    <t>EB01-10</t>
  </si>
  <si>
    <t>EB01-23</t>
  </si>
  <si>
    <t>EB01-76</t>
  </si>
  <si>
    <t>PERALTA GAMBOA JOSE LUIS</t>
  </si>
  <si>
    <t>QUILICHE AGUIRRE PEDRO JOSE</t>
  </si>
  <si>
    <t>LETRA 4</t>
  </si>
  <si>
    <t>EB01-65</t>
  </si>
  <si>
    <t>EB01-66</t>
  </si>
  <si>
    <t>EB01-99</t>
  </si>
  <si>
    <t>EB01-152</t>
  </si>
  <si>
    <t>EB01-188</t>
  </si>
  <si>
    <t>EB01-187</t>
  </si>
  <si>
    <t>ASHTU ACOSTA EDWIN VICTOR</t>
  </si>
  <si>
    <t>EB01-13</t>
  </si>
  <si>
    <t>EB01-15</t>
  </si>
  <si>
    <t>EB01-39</t>
  </si>
  <si>
    <t>ASMAT CUNO LUIS FELIPE</t>
  </si>
  <si>
    <t>EB01-5</t>
  </si>
  <si>
    <t>EB01-180</t>
  </si>
  <si>
    <t>EB01-179</t>
  </si>
  <si>
    <t>EB01-210</t>
  </si>
  <si>
    <t>EB01-78</t>
  </si>
  <si>
    <t>EB01-79</t>
  </si>
  <si>
    <t>EB01-80</t>
  </si>
  <si>
    <t>EB01-154</t>
  </si>
  <si>
    <t>EB01-167</t>
  </si>
  <si>
    <t>EB01-168</t>
  </si>
  <si>
    <t>EB01-169</t>
  </si>
  <si>
    <t>EB01-170</t>
  </si>
  <si>
    <t>EB01-171</t>
  </si>
  <si>
    <t>EB01-135</t>
  </si>
  <si>
    <t>EB01-136</t>
  </si>
  <si>
    <t>AGUILAR SANCHEZ TERESA</t>
  </si>
  <si>
    <t>EB01-9</t>
  </si>
  <si>
    <t>EB01-28</t>
  </si>
  <si>
    <t>EB01-84</t>
  </si>
  <si>
    <t>MEDINA ALVAREZ JUDITH</t>
  </si>
  <si>
    <t>DEL AGUILA BAR FRANCESCOLI</t>
  </si>
  <si>
    <t>EB01-193</t>
  </si>
  <si>
    <t>EB01-182</t>
  </si>
  <si>
    <t>EB01-197</t>
  </si>
  <si>
    <t>EB01-206</t>
  </si>
  <si>
    <t>EB01-212</t>
  </si>
  <si>
    <t>MADRID RODRIGUEZ JOSE ANTONIO</t>
  </si>
  <si>
    <t>RUBIN DOMINGUEZ SUSSAN YASSMINE</t>
  </si>
  <si>
    <t>UGARTE CAMA EVELIN</t>
  </si>
  <si>
    <t>ESPINOZA GOMEZ WALTNER ANTONIO</t>
  </si>
  <si>
    <t>EB01-191</t>
  </si>
  <si>
    <t>EB01-192</t>
  </si>
  <si>
    <t>EB01-198</t>
  </si>
  <si>
    <t>EB01-213</t>
  </si>
  <si>
    <t>EB01-214</t>
  </si>
  <si>
    <t>EB01-186</t>
  </si>
  <si>
    <t>ANGELES MILLA MARITA</t>
  </si>
  <si>
    <t>MORANTE ARROYO CARLOS ENRIQUE</t>
  </si>
  <si>
    <t>GONZALES ATAHUALPA HONOFRE</t>
  </si>
  <si>
    <t>LUCIANO CLAROS LILIANA LUCILA</t>
  </si>
  <si>
    <t>EB01-196</t>
  </si>
  <si>
    <t>EB01-178</t>
  </si>
  <si>
    <t>EB01-177</t>
  </si>
  <si>
    <t>IBAÑEZ MOGROVEJO MARIA DE LOS ANGELES</t>
  </si>
  <si>
    <t>E001-5</t>
  </si>
  <si>
    <t>06789211</t>
  </si>
  <si>
    <t>MINETTO PERALTA MARYNN YAHARA</t>
  </si>
  <si>
    <t>SAMPI GONZALES VICTORIA</t>
  </si>
  <si>
    <t xml:space="preserve"> </t>
  </si>
  <si>
    <t>EB01-199</t>
  </si>
  <si>
    <t>LOPEZ PAUCAR LIZET</t>
  </si>
  <si>
    <t>ACTUALIZADO POR: AMBAR POICON - 30/03/2026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</si>
</sst>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dd/mm/yyyy;@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Arial Black"/>
      <family val="2"/>
    </font>
    <font>
      <sz val="12"/>
      <color theme="1"/>
      <name val="Arial Black"/>
      <family val="2"/>
    </font>
    <font>
      <sz val="10"/>
      <color theme="1"/>
      <name val="Calibri"/>
      <family val="2"/>
      <scheme val="minor"/>
    </font>
    <font>
      <sz val="18"/>
      <color theme="1"/>
      <name val="Arial Black"/>
      <family val="2"/>
    </font>
    <font>
      <b/>
      <sz val="12"/>
      <color theme="0"/>
      <name val="Arial Nova Cond"/>
      <family val="2"/>
    </font>
    <font>
      <b/>
      <sz val="12"/>
      <color theme="1"/>
      <name val="Arial Nova Cond"/>
      <family val="2"/>
    </font>
    <font>
      <b/>
      <sz val="14"/>
      <color theme="0"/>
      <name val="Arial Black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 Nova"/>
      <family val="2"/>
    </font>
    <font>
      <sz val="12"/>
      <color rgb="FF63697E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5" tint="-0.249977111117893"/>
      <name val="Arial Black"/>
      <family val="2"/>
    </font>
    <font>
      <b/>
      <sz val="14"/>
      <color theme="5" tint="-0.249977111117893"/>
      <name val="Arial Black"/>
      <family val="2"/>
    </font>
    <font>
      <sz val="12"/>
      <color rgb="FFC00000"/>
      <name val="Calibri"/>
      <family val="2"/>
      <scheme val="minor"/>
    </font>
    <font>
      <sz val="12"/>
      <color rgb="FF63697E"/>
      <name val="Open Sans"/>
      <family val="2"/>
    </font>
    <font>
      <sz val="11"/>
      <color rgb="FFC00000"/>
      <name val="Calibri"/>
      <family val="2"/>
      <scheme val="minor"/>
    </font>
    <font>
      <sz val="9"/>
      <color theme="1"/>
      <name val="Arial Nova"/>
      <family val="2"/>
    </font>
    <font>
      <sz val="10"/>
      <color rgb="FF63697E"/>
      <name val="Open Sans"/>
      <family val="2"/>
    </font>
    <font>
      <sz val="11"/>
      <color theme="1" tint="0.499984740745262"/>
      <name val="Calibri"/>
      <family val="2"/>
      <scheme val="minor"/>
    </font>
    <font>
      <b/>
      <sz val="10"/>
      <color rgb="FFC00000"/>
      <name val="Arial Black"/>
      <family val="2"/>
    </font>
    <font>
      <sz val="12"/>
      <color theme="0"/>
      <name val="Calibri"/>
      <family val="2"/>
      <scheme val="minor"/>
    </font>
    <font>
      <sz val="10"/>
      <color rgb="FF63697E"/>
      <name val="Arial Nova Cond"/>
      <family val="2"/>
    </font>
    <font>
      <sz val="10"/>
      <color theme="1" tint="0.499984740745262"/>
      <name val="Arial Nova Cond"/>
      <family val="2"/>
    </font>
    <font>
      <sz val="12"/>
      <color rgb="FFC00000"/>
      <name val="Arial Nova"/>
      <family val="2"/>
    </font>
    <font>
      <sz val="12"/>
      <color rgb="FFC00000"/>
      <name val="Open Sans"/>
      <family val="2"/>
    </font>
    <font>
      <b/>
      <sz val="12"/>
      <name val="Calibri"/>
      <family val="2"/>
      <scheme val="minor"/>
    </font>
    <font>
      <b/>
      <sz val="12"/>
      <color rgb="FFC00000"/>
      <name val="Arial Black"/>
      <family val="2"/>
    </font>
    <font>
      <sz val="9"/>
      <color rgb="FFC00000"/>
      <name val="Arial Nova"/>
      <family val="2"/>
    </font>
    <font>
      <sz val="10"/>
      <color rgb="FFC00000"/>
      <name val="Open Sans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 Nova"/>
      <family val="2"/>
    </font>
    <font>
      <sz val="11"/>
      <color rgb="FF63697E"/>
      <name val="Open Sans"/>
      <family val="2"/>
    </font>
    <font>
      <sz val="11"/>
      <color theme="2" tint="-0.89999084444715716"/>
      <name val="Arial Nova Cond"/>
      <family val="2"/>
    </font>
    <font>
      <b/>
      <sz val="11"/>
      <color theme="8" tint="-0.499984740745262"/>
      <name val="Calibri"/>
      <family val="2"/>
      <scheme val="minor"/>
    </font>
    <font>
      <b/>
      <sz val="11"/>
      <color rgb="FFC00000"/>
      <name val="Arial Black"/>
      <family val="2"/>
    </font>
    <font>
      <b/>
      <sz val="14"/>
      <color theme="1"/>
      <name val="Arial Black"/>
      <family val="2"/>
    </font>
    <font>
      <sz val="8"/>
      <color theme="1"/>
      <name val="Arial Nova"/>
      <family val="2"/>
    </font>
    <font>
      <sz val="11"/>
      <color theme="3" tint="0.39997558519241921"/>
      <name val="Calibri"/>
      <family val="2"/>
      <scheme val="minor"/>
    </font>
    <font>
      <sz val="14"/>
      <color theme="5" tint="-0.249977111117893"/>
      <name val="Arial Black"/>
      <family val="2"/>
    </font>
    <font>
      <b/>
      <sz val="10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theme="8" tint="-0.499984740745262"/>
      <name val="Arial Nova Cond"/>
      <family val="2"/>
    </font>
    <font>
      <sz val="11"/>
      <color theme="8" tint="-0.499984740745262"/>
      <name val="Arial Nova Cond"/>
      <family val="2"/>
    </font>
    <font>
      <sz val="11"/>
      <color theme="1"/>
      <name val="Arial Black"/>
      <family val="2"/>
    </font>
    <font>
      <sz val="11"/>
      <color theme="3" tint="-0.249977111117893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9"/>
      <color theme="3" tint="-0.249977111117893"/>
      <name val="Arial Nova"/>
      <family val="2"/>
    </font>
    <font>
      <b/>
      <sz val="12"/>
      <color theme="3" tint="-0.249977111117893"/>
      <name val="Arial Nova Cond"/>
      <family val="2"/>
    </font>
    <font>
      <sz val="11"/>
      <color theme="3" tint="-0.249977111117893"/>
      <name val="Arial Nova Cond"/>
      <family val="2"/>
    </font>
    <font>
      <b/>
      <sz val="12"/>
      <color theme="3" tint="-0.249977111117893"/>
      <name val="Calibri"/>
      <family val="2"/>
      <scheme val="minor"/>
    </font>
    <font>
      <b/>
      <sz val="11"/>
      <color theme="3" tint="-0.249977111117893"/>
      <name val="Arial Black"/>
      <family val="2"/>
    </font>
    <font>
      <sz val="10"/>
      <color theme="1"/>
      <name val="Arial Black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Arial Nova Cond"/>
      <family val="2"/>
    </font>
    <font>
      <sz val="12"/>
      <color theme="2" tint="-0.89999084444715716"/>
      <name val="Arial Nova Cond"/>
      <family val="2"/>
    </font>
    <font>
      <b/>
      <sz val="11"/>
      <color theme="8" tint="-0.499984740745262"/>
      <name val="Arial Nova Cond"/>
      <family val="2"/>
    </font>
    <font>
      <sz val="10"/>
      <color theme="3" tint="0.39997558519241921"/>
      <name val="Open Sans"/>
      <family val="2"/>
    </font>
    <font>
      <b/>
      <sz val="11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0"/>
      <color theme="1"/>
      <name val="Arial Nova"/>
      <family val="2"/>
    </font>
    <font>
      <sz val="11"/>
      <color theme="0"/>
      <name val="Arial Nova"/>
      <family val="2"/>
    </font>
    <font>
      <sz val="11"/>
      <color theme="1" tint="0.499984740745262"/>
      <name val="Arial Nova"/>
      <family val="2"/>
    </font>
    <font>
      <b/>
      <sz val="12"/>
      <color theme="8" tint="-0.499984740745262"/>
      <name val="Arial Nova"/>
      <family val="2"/>
    </font>
    <font>
      <sz val="11"/>
      <color theme="8" tint="-0.499984740745262"/>
      <name val="Arial Nova"/>
      <family val="2"/>
    </font>
    <font>
      <b/>
      <sz val="11"/>
      <color rgb="FFC00000"/>
      <name val="Arial Nova"/>
      <family val="2"/>
    </font>
    <font>
      <b/>
      <sz val="11"/>
      <color theme="1"/>
      <name val="Arial Nova"/>
      <family val="2"/>
    </font>
    <font>
      <b/>
      <sz val="14"/>
      <color theme="1"/>
      <name val="Arial Nova"/>
      <family val="2"/>
    </font>
    <font>
      <b/>
      <sz val="12"/>
      <color theme="1"/>
      <name val="Arial Nova"/>
      <family val="2"/>
    </font>
    <font>
      <b/>
      <sz val="10"/>
      <color rgb="FFC00000"/>
      <name val="Arial Nova"/>
      <family val="2"/>
    </font>
    <font>
      <sz val="12"/>
      <color theme="8" tint="-0.499984740745262"/>
      <name val="Arial Nova Cond"/>
      <family val="2"/>
    </font>
    <font>
      <sz val="10"/>
      <color rgb="FFC00000"/>
      <name val="Arial Black"/>
      <family val="2"/>
    </font>
    <font>
      <b/>
      <sz val="12"/>
      <color rgb="FFC00000"/>
      <name val="Arial Nova Cond"/>
      <family val="2"/>
    </font>
    <font>
      <sz val="11"/>
      <color rgb="FFC00000"/>
      <name val="Arial Nova Cond"/>
      <family val="2"/>
    </font>
    <font>
      <b/>
      <sz val="11"/>
      <color rgb="FFC00000"/>
      <name val="Calibri"/>
      <family val="2"/>
      <scheme val="minor"/>
    </font>
    <font>
      <sz val="12"/>
      <color theme="1"/>
      <name val="Arial Nova Cond"/>
      <family val="2"/>
    </font>
    <font>
      <b/>
      <sz val="12"/>
      <color theme="1"/>
      <name val="Arial Black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 Nova Cond Light"/>
      <family val="2"/>
    </font>
    <font>
      <b/>
      <sz val="11"/>
      <color theme="1"/>
      <name val="Arial Nova Cond Light"/>
      <family val="2"/>
    </font>
    <font>
      <sz val="10"/>
      <color theme="1"/>
      <name val="Arial Nova Cond"/>
      <family val="2"/>
    </font>
    <font>
      <b/>
      <sz val="12"/>
      <color theme="1"/>
      <name val="Arial Nova Cond Light"/>
      <family val="2"/>
    </font>
    <font>
      <b/>
      <sz val="14"/>
      <color theme="1"/>
      <name val="Arial Nova Cond"/>
      <family val="2"/>
    </font>
    <font>
      <b/>
      <sz val="11"/>
      <color theme="1"/>
      <name val="Arial Nova Cond"/>
      <family val="2"/>
    </font>
    <font>
      <sz val="9"/>
      <color theme="1"/>
      <name val="Arial Nova Cond"/>
      <family val="2"/>
    </font>
    <font>
      <sz val="14"/>
      <color theme="1"/>
      <name val="Arial Nova Cond"/>
      <family val="2"/>
    </font>
    <font>
      <b/>
      <sz val="10"/>
      <color theme="1"/>
      <name val="Arial Nova Cond"/>
      <family val="2"/>
    </font>
    <font>
      <b/>
      <sz val="10"/>
      <color rgb="FFC00000"/>
      <name val="Open Sans"/>
      <family val="2"/>
    </font>
    <font>
      <u/>
      <sz val="11"/>
      <color theme="3" tint="0.3999755851924192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Arial Nov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theme="5" tint="0.39994506668294322"/>
      </bottom>
      <diagonal/>
    </border>
    <border>
      <left/>
      <right/>
      <top style="double">
        <color theme="5" tint="0.39994506668294322"/>
      </top>
      <bottom/>
      <diagonal/>
    </border>
    <border>
      <left/>
      <right/>
      <top style="double">
        <color theme="3" tint="0.39994506668294322"/>
      </top>
      <bottom/>
      <diagonal/>
    </border>
    <border>
      <left/>
      <right/>
      <top/>
      <bottom style="double">
        <color theme="5" tint="-0.24994659260841701"/>
      </bottom>
      <diagonal/>
    </border>
    <border>
      <left/>
      <right/>
      <top style="double">
        <color theme="5" tint="-0.24994659260841701"/>
      </top>
      <bottom/>
      <diagonal/>
    </border>
    <border>
      <left/>
      <right/>
      <top/>
      <bottom style="double">
        <color theme="3" tint="0.39994506668294322"/>
      </bottom>
      <diagonal/>
    </border>
    <border>
      <left/>
      <right/>
      <top/>
      <bottom style="double">
        <color theme="3" tint="0.59996337778862885"/>
      </bottom>
      <diagonal/>
    </border>
    <border>
      <left/>
      <right/>
      <top/>
      <bottom style="double">
        <color theme="5" tint="0.59996337778862885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theme="4" tint="-0.24994659260841701"/>
      </bottom>
      <diagonal/>
    </border>
    <border>
      <left/>
      <right/>
      <top style="double">
        <color theme="4" tint="-0.24994659260841701"/>
      </top>
      <bottom/>
      <diagonal/>
    </border>
    <border>
      <left/>
      <right/>
      <top style="double">
        <color theme="5" tint="0.59996337778862885"/>
      </top>
      <bottom/>
      <diagonal/>
    </border>
    <border>
      <left/>
      <right/>
      <top style="double">
        <color theme="3" tint="0.59996337778862885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01">
    <xf numFmtId="0" fontId="0" fillId="0" borderId="0" xfId="0"/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4" fillId="4" borderId="0" xfId="0" applyFont="1" applyFill="1" applyAlignment="1">
      <alignment horizontal="center" wrapText="1"/>
    </xf>
    <xf numFmtId="0" fontId="15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2" applyFont="1" applyFill="1" applyBorder="1"/>
    <xf numFmtId="164" fontId="20" fillId="0" borderId="0" xfId="1" applyFont="1" applyFill="1" applyBorder="1" applyAlignment="1">
      <alignment horizontal="center"/>
    </xf>
    <xf numFmtId="164" fontId="15" fillId="0" borderId="0" xfId="1" applyFont="1" applyFill="1" applyBorder="1"/>
    <xf numFmtId="164" fontId="21" fillId="0" borderId="0" xfId="0" applyNumberFormat="1" applyFont="1"/>
    <xf numFmtId="14" fontId="15" fillId="0" borderId="0" xfId="0" applyNumberFormat="1" applyFont="1" applyAlignment="1">
      <alignment horizontal="center"/>
    </xf>
    <xf numFmtId="164" fontId="7" fillId="0" borderId="0" xfId="1" applyFont="1" applyFill="1" applyBorder="1" applyAlignment="1">
      <alignment horizontal="center"/>
    </xf>
    <xf numFmtId="164" fontId="22" fillId="0" borderId="0" xfId="1" applyFont="1" applyBorder="1" applyAlignment="1">
      <alignment horizontal="center" vertical="center"/>
    </xf>
    <xf numFmtId="164" fontId="23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5" fillId="0" borderId="0" xfId="0" applyNumberFormat="1" applyFont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1" fillId="0" borderId="0" xfId="0" applyFont="1"/>
    <xf numFmtId="0" fontId="19" fillId="0" borderId="0" xfId="2" applyFont="1" applyBorder="1"/>
    <xf numFmtId="164" fontId="20" fillId="0" borderId="0" xfId="1" applyFont="1" applyBorder="1" applyAlignment="1">
      <alignment horizontal="center"/>
    </xf>
    <xf numFmtId="164" fontId="15" fillId="0" borderId="0" xfId="1" applyFont="1" applyBorder="1"/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0" borderId="1" xfId="2" applyFont="1" applyBorder="1"/>
    <xf numFmtId="164" fontId="0" fillId="0" borderId="0" xfId="1" applyFont="1" applyBorder="1"/>
    <xf numFmtId="0" fontId="30" fillId="0" borderId="0" xfId="0" applyFont="1"/>
    <xf numFmtId="14" fontId="0" fillId="0" borderId="0" xfId="0" applyNumberFormat="1" applyAlignment="1">
      <alignment horizontal="center"/>
    </xf>
    <xf numFmtId="164" fontId="3" fillId="0" borderId="0" xfId="1" applyFont="1" applyFill="1" applyBorder="1" applyAlignment="1">
      <alignment horizontal="center"/>
    </xf>
    <xf numFmtId="164" fontId="22" fillId="0" borderId="1" xfId="1" applyFont="1" applyBorder="1" applyAlignment="1">
      <alignment horizontal="center" vertical="center"/>
    </xf>
    <xf numFmtId="164" fontId="23" fillId="0" borderId="1" xfId="1" applyFont="1" applyBorder="1" applyAlignment="1">
      <alignment horizontal="center" vertical="center"/>
    </xf>
    <xf numFmtId="14" fontId="0" fillId="0" borderId="0" xfId="0" applyNumberFormat="1"/>
    <xf numFmtId="0" fontId="15" fillId="0" borderId="2" xfId="0" applyFont="1" applyBorder="1"/>
    <xf numFmtId="0" fontId="16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8" fillId="0" borderId="2" xfId="0" quotePrefix="1" applyFont="1" applyBorder="1" applyAlignment="1">
      <alignment horizontal="left"/>
    </xf>
    <xf numFmtId="0" fontId="19" fillId="0" borderId="2" xfId="2" applyFont="1" applyBorder="1"/>
    <xf numFmtId="164" fontId="20" fillId="0" borderId="2" xfId="1" applyFont="1" applyBorder="1" applyAlignment="1">
      <alignment horizontal="center"/>
    </xf>
    <xf numFmtId="164" fontId="15" fillId="0" borderId="2" xfId="1" applyFont="1" applyBorder="1"/>
    <xf numFmtId="14" fontId="15" fillId="0" borderId="2" xfId="0" applyNumberFormat="1" applyFont="1" applyBorder="1" applyAlignment="1">
      <alignment horizontal="center"/>
    </xf>
    <xf numFmtId="164" fontId="7" fillId="0" borderId="2" xfId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15" fillId="0" borderId="2" xfId="0" applyNumberFormat="1" applyFont="1" applyBorder="1"/>
    <xf numFmtId="0" fontId="0" fillId="0" borderId="2" xfId="0" applyBorder="1"/>
    <xf numFmtId="0" fontId="3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4" fontId="7" fillId="0" borderId="0" xfId="1" applyFont="1" applyBorder="1" applyAlignment="1">
      <alignment horizontal="center"/>
    </xf>
    <xf numFmtId="164" fontId="2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2" applyFont="1" applyBorder="1"/>
    <xf numFmtId="164" fontId="23" fillId="0" borderId="0" xfId="1" applyFont="1" applyFill="1" applyBorder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left"/>
    </xf>
    <xf numFmtId="0" fontId="34" fillId="0" borderId="3" xfId="0" applyFont="1" applyBorder="1" applyAlignment="1">
      <alignment horizontal="left"/>
    </xf>
    <xf numFmtId="0" fontId="35" fillId="0" borderId="3" xfId="0" applyFont="1" applyBorder="1" applyAlignment="1">
      <alignment horizontal="left"/>
    </xf>
    <xf numFmtId="0" fontId="19" fillId="0" borderId="3" xfId="2" applyFont="1" applyBorder="1"/>
    <xf numFmtId="164" fontId="20" fillId="0" borderId="3" xfId="1" applyFont="1" applyBorder="1" applyAlignment="1">
      <alignment horizontal="center"/>
    </xf>
    <xf numFmtId="164" fontId="15" fillId="0" borderId="3" xfId="1" applyFont="1" applyBorder="1"/>
    <xf numFmtId="164" fontId="21" fillId="0" borderId="3" xfId="1" applyFont="1" applyBorder="1"/>
    <xf numFmtId="14" fontId="15" fillId="0" borderId="3" xfId="0" applyNumberFormat="1" applyFont="1" applyBorder="1" applyAlignment="1">
      <alignment horizontal="center"/>
    </xf>
    <xf numFmtId="164" fontId="7" fillId="0" borderId="3" xfId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15" fillId="0" borderId="3" xfId="0" applyNumberFormat="1" applyFont="1" applyBorder="1"/>
    <xf numFmtId="0" fontId="0" fillId="0" borderId="3" xfId="0" applyBorder="1"/>
    <xf numFmtId="0" fontId="36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164" fontId="37" fillId="0" borderId="0" xfId="1" applyFont="1" applyBorder="1"/>
    <xf numFmtId="0" fontId="10" fillId="0" borderId="4" xfId="0" applyFont="1" applyBorder="1"/>
    <xf numFmtId="0" fontId="2" fillId="0" borderId="4" xfId="0" applyFont="1" applyBorder="1" applyAlignment="1">
      <alignment horizontal="left"/>
    </xf>
    <xf numFmtId="0" fontId="38" fillId="0" borderId="4" xfId="0" applyFont="1" applyBorder="1" applyAlignment="1">
      <alignment horizontal="left"/>
    </xf>
    <xf numFmtId="0" fontId="39" fillId="0" borderId="4" xfId="0" applyFont="1" applyBorder="1" applyAlignment="1">
      <alignment horizontal="left"/>
    </xf>
    <xf numFmtId="0" fontId="29" fillId="0" borderId="4" xfId="2" applyFont="1" applyFill="1" applyBorder="1"/>
    <xf numFmtId="164" fontId="20" fillId="0" borderId="4" xfId="1" applyFont="1" applyFill="1" applyBorder="1" applyAlignment="1">
      <alignment horizontal="center"/>
    </xf>
    <xf numFmtId="164" fontId="0" fillId="0" borderId="4" xfId="1" applyFont="1" applyFill="1" applyBorder="1"/>
    <xf numFmtId="164" fontId="30" fillId="0" borderId="4" xfId="1" applyFont="1" applyFill="1" applyBorder="1"/>
    <xf numFmtId="14" fontId="0" fillId="0" borderId="4" xfId="0" applyNumberFormat="1" applyBorder="1" applyAlignment="1">
      <alignment horizontal="center"/>
    </xf>
    <xf numFmtId="164" fontId="3" fillId="0" borderId="4" xfId="1" applyFont="1" applyFill="1" applyBorder="1" applyAlignment="1">
      <alignment horizontal="center"/>
    </xf>
    <xf numFmtId="164" fontId="22" fillId="0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0" fillId="0" borderId="4" xfId="0" applyBorder="1"/>
    <xf numFmtId="0" fontId="19" fillId="0" borderId="0" xfId="2" applyFont="1" applyBorder="1" applyAlignment="1"/>
    <xf numFmtId="164" fontId="15" fillId="0" borderId="0" xfId="1" applyFont="1" applyBorder="1" applyAlignment="1"/>
    <xf numFmtId="164" fontId="21" fillId="0" borderId="0" xfId="1" applyFont="1" applyBorder="1" applyAlignment="1"/>
    <xf numFmtId="0" fontId="40" fillId="0" borderId="0" xfId="0" applyFont="1" applyAlignment="1">
      <alignment horizontal="left"/>
    </xf>
    <xf numFmtId="0" fontId="28" fillId="0" borderId="4" xfId="0" applyFont="1" applyBorder="1" applyAlignment="1">
      <alignment horizontal="left"/>
    </xf>
    <xf numFmtId="0" fontId="29" fillId="0" borderId="4" xfId="2" applyFont="1" applyBorder="1" applyAlignment="1"/>
    <xf numFmtId="164" fontId="20" fillId="0" borderId="4" xfId="1" applyFont="1" applyBorder="1" applyAlignment="1">
      <alignment horizontal="center"/>
    </xf>
    <xf numFmtId="164" fontId="0" fillId="0" borderId="4" xfId="1" applyFont="1" applyBorder="1" applyAlignment="1"/>
    <xf numFmtId="164" fontId="30" fillId="0" borderId="4" xfId="1" applyFont="1" applyBorder="1" applyAlignment="1"/>
    <xf numFmtId="164" fontId="7" fillId="0" borderId="4" xfId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164" fontId="0" fillId="0" borderId="0" xfId="1" applyFont="1" applyFill="1" applyBorder="1"/>
    <xf numFmtId="164" fontId="30" fillId="0" borderId="0" xfId="1" applyFont="1" applyFill="1" applyBorder="1"/>
    <xf numFmtId="164" fontId="8" fillId="0" borderId="0" xfId="1" applyFont="1" applyFill="1" applyBorder="1" applyAlignment="1">
      <alignment horizontal="center"/>
    </xf>
    <xf numFmtId="0" fontId="41" fillId="0" borderId="0" xfId="0" applyFont="1" applyAlignment="1">
      <alignment horizontal="left"/>
    </xf>
    <xf numFmtId="0" fontId="29" fillId="0" borderId="0" xfId="2" applyFont="1" applyFill="1" applyBorder="1" applyAlignment="1">
      <alignment horizontal="left"/>
    </xf>
    <xf numFmtId="164" fontId="30" fillId="0" borderId="0" xfId="1" applyFont="1" applyBorder="1"/>
    <xf numFmtId="164" fontId="3" fillId="0" borderId="0" xfId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10" fillId="0" borderId="6" xfId="0" applyFont="1" applyBorder="1"/>
    <xf numFmtId="0" fontId="26" fillId="0" borderId="6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29" fillId="0" borderId="6" xfId="2" applyFont="1" applyFill="1" applyBorder="1" applyAlignment="1">
      <alignment horizontal="left"/>
    </xf>
    <xf numFmtId="164" fontId="20" fillId="0" borderId="6" xfId="1" applyFont="1" applyBorder="1" applyAlignment="1">
      <alignment horizontal="center"/>
    </xf>
    <xf numFmtId="164" fontId="0" fillId="0" borderId="6" xfId="1" applyFont="1" applyBorder="1"/>
    <xf numFmtId="0" fontId="30" fillId="0" borderId="6" xfId="0" applyFont="1" applyBorder="1"/>
    <xf numFmtId="14" fontId="0" fillId="0" borderId="6" xfId="0" applyNumberFormat="1" applyBorder="1" applyAlignment="1">
      <alignment horizontal="center"/>
    </xf>
    <xf numFmtId="164" fontId="3" fillId="0" borderId="6" xfId="1" applyFont="1" applyFill="1" applyBorder="1" applyAlignment="1">
      <alignment horizontal="center"/>
    </xf>
    <xf numFmtId="164" fontId="22" fillId="0" borderId="6" xfId="1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0" fillId="0" borderId="6" xfId="0" applyBorder="1"/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164" fontId="45" fillId="0" borderId="0" xfId="1" applyFont="1" applyBorder="1" applyAlignment="1">
      <alignment horizontal="center"/>
    </xf>
    <xf numFmtId="164" fontId="46" fillId="0" borderId="0" xfId="0" applyNumberFormat="1" applyFont="1"/>
    <xf numFmtId="0" fontId="46" fillId="0" borderId="0" xfId="0" applyFont="1"/>
    <xf numFmtId="164" fontId="47" fillId="0" borderId="0" xfId="1" applyFont="1" applyFill="1" applyBorder="1" applyAlignment="1">
      <alignment horizontal="center"/>
    </xf>
    <xf numFmtId="164" fontId="30" fillId="0" borderId="0" xfId="0" applyNumberFormat="1" applyFont="1"/>
    <xf numFmtId="0" fontId="10" fillId="0" borderId="7" xfId="0" applyFont="1" applyBorder="1"/>
    <xf numFmtId="164" fontId="20" fillId="0" borderId="7" xfId="1" applyFont="1" applyBorder="1" applyAlignment="1">
      <alignment horizontal="center"/>
    </xf>
    <xf numFmtId="164" fontId="0" fillId="0" borderId="7" xfId="1" applyFont="1" applyBorder="1"/>
    <xf numFmtId="0" fontId="30" fillId="0" borderId="7" xfId="0" applyFont="1" applyBorder="1"/>
    <xf numFmtId="14" fontId="0" fillId="0" borderId="7" xfId="0" applyNumberFormat="1" applyBorder="1" applyAlignment="1">
      <alignment horizontal="center"/>
    </xf>
    <xf numFmtId="164" fontId="3" fillId="0" borderId="7" xfId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applyBorder="1"/>
    <xf numFmtId="0" fontId="3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2" applyFont="1" applyFill="1" applyBorder="1"/>
    <xf numFmtId="164" fontId="7" fillId="0" borderId="0" xfId="1" applyFont="1" applyFill="1" applyBorder="1" applyAlignment="1">
      <alignment horizontal="center" vertical="center"/>
    </xf>
    <xf numFmtId="164" fontId="47" fillId="0" borderId="0" xfId="1" applyFont="1" applyFill="1" applyBorder="1" applyAlignment="1">
      <alignment horizontal="center" vertical="center"/>
    </xf>
    <xf numFmtId="0" fontId="10" fillId="0" borderId="8" xfId="0" applyFont="1" applyBorder="1"/>
    <xf numFmtId="0" fontId="0" fillId="0" borderId="8" xfId="0" applyBorder="1" applyAlignment="1">
      <alignment horizontal="left"/>
    </xf>
    <xf numFmtId="0" fontId="27" fillId="0" borderId="8" xfId="0" applyFont="1" applyBorder="1" applyAlignment="1">
      <alignment horizontal="left"/>
    </xf>
    <xf numFmtId="0" fontId="49" fillId="0" borderId="8" xfId="0" applyFont="1" applyBorder="1"/>
    <xf numFmtId="164" fontId="20" fillId="0" borderId="8" xfId="1" applyFont="1" applyBorder="1" applyAlignment="1">
      <alignment horizontal="center"/>
    </xf>
    <xf numFmtId="164" fontId="0" fillId="0" borderId="8" xfId="1" applyFont="1" applyBorder="1"/>
    <xf numFmtId="0" fontId="30" fillId="0" borderId="8" xfId="0" applyFont="1" applyBorder="1"/>
    <xf numFmtId="164" fontId="0" fillId="0" borderId="8" xfId="0" applyNumberForma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49" fillId="0" borderId="0" xfId="0" applyFont="1"/>
    <xf numFmtId="0" fontId="10" fillId="0" borderId="9" xfId="0" applyFont="1" applyBorder="1"/>
    <xf numFmtId="0" fontId="2" fillId="0" borderId="9" xfId="0" applyFont="1" applyBorder="1" applyAlignment="1">
      <alignment horizontal="left"/>
    </xf>
    <xf numFmtId="0" fontId="27" fillId="0" borderId="9" xfId="0" applyFont="1" applyBorder="1" applyAlignment="1">
      <alignment horizontal="left"/>
    </xf>
    <xf numFmtId="0" fontId="28" fillId="0" borderId="9" xfId="0" applyFont="1" applyBorder="1" applyAlignment="1">
      <alignment horizontal="left"/>
    </xf>
    <xf numFmtId="0" fontId="0" fillId="0" borderId="9" xfId="0" applyBorder="1"/>
    <xf numFmtId="164" fontId="20" fillId="0" borderId="9" xfId="1" applyFont="1" applyFill="1" applyBorder="1" applyAlignment="1">
      <alignment horizontal="center"/>
    </xf>
    <xf numFmtId="164" fontId="0" fillId="0" borderId="9" xfId="1" applyFont="1" applyFill="1" applyBorder="1"/>
    <xf numFmtId="164" fontId="30" fillId="0" borderId="9" xfId="0" applyNumberFormat="1" applyFont="1" applyBorder="1"/>
    <xf numFmtId="14" fontId="0" fillId="0" borderId="9" xfId="0" applyNumberFormat="1" applyBorder="1" applyAlignment="1">
      <alignment horizontal="center"/>
    </xf>
    <xf numFmtId="164" fontId="3" fillId="0" borderId="9" xfId="1" applyFont="1" applyFill="1" applyBorder="1" applyAlignment="1">
      <alignment horizontal="center"/>
    </xf>
    <xf numFmtId="164" fontId="7" fillId="0" borderId="9" xfId="1" applyFont="1" applyFill="1" applyBorder="1" applyAlignment="1">
      <alignment horizontal="center"/>
    </xf>
    <xf numFmtId="164" fontId="8" fillId="0" borderId="0" xfId="1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164" fontId="51" fillId="0" borderId="0" xfId="1" applyFont="1" applyFill="1" applyBorder="1" applyAlignment="1">
      <alignment horizontal="center"/>
    </xf>
    <xf numFmtId="0" fontId="10" fillId="0" borderId="5" xfId="0" applyFont="1" applyBorder="1"/>
    <xf numFmtId="0" fontId="2" fillId="0" borderId="5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28" fillId="0" borderId="5" xfId="0" applyFont="1" applyBorder="1" applyAlignment="1">
      <alignment horizontal="left"/>
    </xf>
    <xf numFmtId="0" fontId="0" fillId="0" borderId="5" xfId="0" applyBorder="1"/>
    <xf numFmtId="164" fontId="20" fillId="0" borderId="5" xfId="1" applyFont="1" applyFill="1" applyBorder="1" applyAlignment="1">
      <alignment horizontal="center"/>
    </xf>
    <xf numFmtId="164" fontId="0" fillId="0" borderId="5" xfId="1" applyFont="1" applyFill="1" applyBorder="1"/>
    <xf numFmtId="0" fontId="30" fillId="0" borderId="5" xfId="0" applyFont="1" applyBorder="1"/>
    <xf numFmtId="14" fontId="0" fillId="0" borderId="5" xfId="0" applyNumberFormat="1" applyBorder="1" applyAlignment="1">
      <alignment horizontal="center"/>
    </xf>
    <xf numFmtId="164" fontId="3" fillId="0" borderId="5" xfId="1" applyFont="1" applyFill="1" applyBorder="1" applyAlignment="1">
      <alignment horizontal="center"/>
    </xf>
    <xf numFmtId="164" fontId="7" fillId="0" borderId="5" xfId="1" applyFont="1" applyFill="1" applyBorder="1" applyAlignment="1">
      <alignment horizontal="center"/>
    </xf>
    <xf numFmtId="164" fontId="8" fillId="0" borderId="5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0" fillId="0" borderId="11" xfId="0" applyFont="1" applyBorder="1"/>
    <xf numFmtId="0" fontId="0" fillId="0" borderId="11" xfId="0" applyBorder="1" applyAlignment="1">
      <alignment horizontal="left"/>
    </xf>
    <xf numFmtId="0" fontId="29" fillId="0" borderId="11" xfId="2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0" fillId="0" borderId="11" xfId="0" applyBorder="1"/>
    <xf numFmtId="14" fontId="0" fillId="0" borderId="11" xfId="0" applyNumberFormat="1" applyBorder="1" applyAlignment="1">
      <alignment horizontal="center"/>
    </xf>
    <xf numFmtId="164" fontId="3" fillId="0" borderId="11" xfId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4" fontId="3" fillId="5" borderId="0" xfId="0" applyNumberFormat="1" applyFont="1" applyFill="1" applyAlignment="1">
      <alignment horizontal="center"/>
    </xf>
    <xf numFmtId="164" fontId="3" fillId="5" borderId="0" xfId="1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164" fontId="15" fillId="0" borderId="0" xfId="1" applyFont="1" applyBorder="1" applyAlignment="1">
      <alignment horizontal="center"/>
    </xf>
    <xf numFmtId="164" fontId="1" fillId="0" borderId="0" xfId="1" applyFont="1" applyBorder="1"/>
    <xf numFmtId="14" fontId="0" fillId="5" borderId="0" xfId="0" applyNumberForma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0" fillId="0" borderId="5" xfId="0" applyBorder="1" applyAlignment="1">
      <alignment horizontal="left"/>
    </xf>
    <xf numFmtId="0" fontId="49" fillId="0" borderId="5" xfId="0" applyFont="1" applyBorder="1"/>
    <xf numFmtId="164" fontId="7" fillId="0" borderId="5" xfId="1" applyFont="1" applyBorder="1" applyAlignment="1">
      <alignment horizontal="center"/>
    </xf>
    <xf numFmtId="164" fontId="0" fillId="0" borderId="5" xfId="1" applyFont="1" applyBorder="1"/>
    <xf numFmtId="164" fontId="30" fillId="0" borderId="5" xfId="1" applyFont="1" applyBorder="1"/>
    <xf numFmtId="164" fontId="3" fillId="0" borderId="5" xfId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49" fillId="0" borderId="6" xfId="0" applyFont="1" applyBorder="1"/>
    <xf numFmtId="164" fontId="7" fillId="0" borderId="6" xfId="1" applyFont="1" applyBorder="1" applyAlignment="1">
      <alignment horizontal="center"/>
    </xf>
    <xf numFmtId="164" fontId="30" fillId="0" borderId="6" xfId="1" applyFont="1" applyBorder="1"/>
    <xf numFmtId="0" fontId="0" fillId="0" borderId="6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6" borderId="8" xfId="0" applyFont="1" applyFill="1" applyBorder="1" applyAlignment="1">
      <alignment horizontal="left"/>
    </xf>
    <xf numFmtId="164" fontId="7" fillId="0" borderId="8" xfId="1" applyFont="1" applyBorder="1" applyAlignment="1">
      <alignment horizontal="center"/>
    </xf>
    <xf numFmtId="164" fontId="30" fillId="0" borderId="8" xfId="1" applyFont="1" applyBorder="1"/>
    <xf numFmtId="0" fontId="53" fillId="5" borderId="0" xfId="0" applyFont="1" applyFill="1" applyAlignment="1">
      <alignment horizontal="center"/>
    </xf>
    <xf numFmtId="0" fontId="53" fillId="0" borderId="0" xfId="0" applyFont="1" applyAlignment="1">
      <alignment horizontal="center"/>
    </xf>
    <xf numFmtId="0" fontId="29" fillId="0" borderId="9" xfId="2" applyFont="1" applyFill="1" applyBorder="1" applyAlignment="1">
      <alignment horizontal="left"/>
    </xf>
    <xf numFmtId="164" fontId="7" fillId="0" borderId="9" xfId="1" applyFont="1" applyBorder="1" applyAlignment="1">
      <alignment horizontal="center"/>
    </xf>
    <xf numFmtId="164" fontId="0" fillId="0" borderId="9" xfId="1" applyFont="1" applyBorder="1"/>
    <xf numFmtId="164" fontId="30" fillId="0" borderId="9" xfId="1" applyFont="1" applyBorder="1"/>
    <xf numFmtId="164" fontId="3" fillId="0" borderId="9" xfId="1" applyFont="1" applyBorder="1" applyAlignment="1">
      <alignment horizontal="center"/>
    </xf>
    <xf numFmtId="0" fontId="5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9" xfId="0" applyNumberFormat="1" applyBorder="1"/>
    <xf numFmtId="164" fontId="3" fillId="0" borderId="0" xfId="1" applyFont="1" applyFill="1" applyBorder="1"/>
    <xf numFmtId="164" fontId="7" fillId="5" borderId="0" xfId="1" applyFont="1" applyFill="1" applyBorder="1" applyAlignment="1">
      <alignment horizontal="center"/>
    </xf>
    <xf numFmtId="164" fontId="54" fillId="0" borderId="8" xfId="1" applyFont="1" applyBorder="1" applyAlignment="1">
      <alignment horizontal="center"/>
    </xf>
    <xf numFmtId="164" fontId="55" fillId="0" borderId="8" xfId="1" applyFont="1" applyBorder="1"/>
    <xf numFmtId="0" fontId="7" fillId="0" borderId="8" xfId="0" applyFont="1" applyBorder="1" applyAlignment="1">
      <alignment horizontal="center"/>
    </xf>
    <xf numFmtId="0" fontId="56" fillId="0" borderId="8" xfId="0" applyFont="1" applyBorder="1" applyAlignment="1">
      <alignment horizontal="center"/>
    </xf>
    <xf numFmtId="164" fontId="54" fillId="0" borderId="0" xfId="1" applyFont="1" applyFill="1" applyBorder="1" applyAlignment="1">
      <alignment horizontal="center"/>
    </xf>
    <xf numFmtId="164" fontId="55" fillId="0" borderId="0" xfId="1" applyFont="1" applyFill="1" applyBorder="1"/>
    <xf numFmtId="164" fontId="54" fillId="0" borderId="0" xfId="1" applyFont="1" applyBorder="1" applyAlignment="1">
      <alignment horizontal="center"/>
    </xf>
    <xf numFmtId="164" fontId="55" fillId="0" borderId="0" xfId="1" applyFont="1" applyBorder="1"/>
    <xf numFmtId="0" fontId="26" fillId="0" borderId="7" xfId="0" applyFont="1" applyBorder="1" applyAlignment="1">
      <alignment horizontal="left"/>
    </xf>
    <xf numFmtId="0" fontId="27" fillId="0" borderId="7" xfId="0" applyFont="1" applyBorder="1" applyAlignment="1">
      <alignment horizontal="left"/>
    </xf>
    <xf numFmtId="0" fontId="29" fillId="0" borderId="7" xfId="2" applyFont="1" applyFill="1" applyBorder="1" applyAlignment="1">
      <alignment horizontal="left"/>
    </xf>
    <xf numFmtId="164" fontId="54" fillId="0" borderId="7" xfId="1" applyFont="1" applyBorder="1" applyAlignment="1">
      <alignment horizontal="center"/>
    </xf>
    <xf numFmtId="164" fontId="55" fillId="0" borderId="7" xfId="1" applyFont="1" applyBorder="1"/>
    <xf numFmtId="0" fontId="57" fillId="0" borderId="0" xfId="0" applyFont="1"/>
    <xf numFmtId="0" fontId="58" fillId="0" borderId="0" xfId="0" applyFont="1"/>
    <xf numFmtId="0" fontId="60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164" fontId="61" fillId="0" borderId="0" xfId="1" applyFont="1" applyFill="1" applyBorder="1" applyAlignment="1">
      <alignment horizontal="center"/>
    </xf>
    <xf numFmtId="164" fontId="62" fillId="0" borderId="0" xfId="1" applyFont="1" applyFill="1" applyBorder="1"/>
    <xf numFmtId="14" fontId="57" fillId="0" borderId="0" xfId="0" applyNumberFormat="1" applyFont="1" applyAlignment="1">
      <alignment horizontal="center"/>
    </xf>
    <xf numFmtId="164" fontId="59" fillId="0" borderId="0" xfId="1" applyFont="1" applyFill="1" applyBorder="1" applyAlignment="1">
      <alignment horizontal="center"/>
    </xf>
    <xf numFmtId="164" fontId="63" fillId="5" borderId="0" xfId="0" applyNumberFormat="1" applyFont="1" applyFill="1" applyAlignment="1">
      <alignment horizontal="center"/>
    </xf>
    <xf numFmtId="0" fontId="64" fillId="5" borderId="0" xfId="0" applyFont="1" applyFill="1" applyAlignment="1">
      <alignment horizontal="center"/>
    </xf>
    <xf numFmtId="0" fontId="59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3" fillId="0" borderId="0" xfId="0" applyFont="1"/>
    <xf numFmtId="0" fontId="3" fillId="6" borderId="7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49" fillId="0" borderId="7" xfId="0" applyFont="1" applyBorder="1"/>
    <xf numFmtId="0" fontId="0" fillId="0" borderId="7" xfId="0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0" fontId="29" fillId="0" borderId="8" xfId="2" applyFont="1" applyFill="1" applyBorder="1" applyAlignment="1">
      <alignment horizontal="left"/>
    </xf>
    <xf numFmtId="14" fontId="0" fillId="0" borderId="8" xfId="0" applyNumberFormat="1" applyBorder="1" applyAlignment="1">
      <alignment horizontal="center"/>
    </xf>
    <xf numFmtId="164" fontId="3" fillId="0" borderId="8" xfId="1" applyFont="1" applyBorder="1" applyAlignment="1">
      <alignment horizontal="center"/>
    </xf>
    <xf numFmtId="164" fontId="65" fillId="0" borderId="0" xfId="1" applyFont="1" applyFill="1" applyBorder="1" applyAlignment="1">
      <alignment horizontal="center"/>
    </xf>
    <xf numFmtId="0" fontId="65" fillId="5" borderId="0" xfId="0" applyFont="1" applyFill="1" applyAlignment="1">
      <alignment horizontal="center"/>
    </xf>
    <xf numFmtId="0" fontId="65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49" fillId="0" borderId="4" xfId="0" applyFont="1" applyBorder="1"/>
    <xf numFmtId="164" fontId="54" fillId="0" borderId="4" xfId="1" applyFont="1" applyFill="1" applyBorder="1" applyAlignment="1">
      <alignment horizontal="center"/>
    </xf>
    <xf numFmtId="164" fontId="55" fillId="0" borderId="4" xfId="1" applyFont="1" applyFill="1" applyBorder="1"/>
    <xf numFmtId="0" fontId="30" fillId="0" borderId="4" xfId="0" applyFont="1" applyBorder="1"/>
    <xf numFmtId="0" fontId="0" fillId="0" borderId="4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5" fillId="0" borderId="4" xfId="0" applyFont="1" applyBorder="1" applyAlignment="1">
      <alignment horizontal="center"/>
    </xf>
    <xf numFmtId="0" fontId="66" fillId="0" borderId="0" xfId="0" applyFont="1" applyAlignment="1">
      <alignment horizontal="left"/>
    </xf>
    <xf numFmtId="0" fontId="66" fillId="0" borderId="0" xfId="0" applyFont="1"/>
    <xf numFmtId="43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/>
    </xf>
    <xf numFmtId="0" fontId="67" fillId="0" borderId="0" xfId="0" applyFont="1" applyAlignment="1">
      <alignment horizontal="left"/>
    </xf>
    <xf numFmtId="0" fontId="68" fillId="0" borderId="0" xfId="0" applyFont="1" applyAlignment="1">
      <alignment horizontal="left"/>
    </xf>
    <xf numFmtId="164" fontId="69" fillId="0" borderId="0" xfId="1" applyFont="1" applyBorder="1"/>
    <xf numFmtId="164" fontId="7" fillId="0" borderId="0" xfId="0" applyNumberFormat="1" applyFont="1" applyAlignment="1">
      <alignment horizontal="center"/>
    </xf>
    <xf numFmtId="164" fontId="69" fillId="0" borderId="0" xfId="1" applyFont="1" applyFill="1" applyBorder="1"/>
    <xf numFmtId="14" fontId="0" fillId="7" borderId="0" xfId="0" applyNumberFormat="1" applyFill="1" applyAlignment="1">
      <alignment horizontal="center"/>
    </xf>
    <xf numFmtId="164" fontId="3" fillId="7" borderId="0" xfId="1" applyFont="1" applyFill="1" applyBorder="1" applyAlignment="1">
      <alignment horizontal="center"/>
    </xf>
    <xf numFmtId="14" fontId="0" fillId="7" borderId="8" xfId="0" applyNumberFormat="1" applyFill="1" applyBorder="1" applyAlignment="1">
      <alignment horizontal="center"/>
    </xf>
    <xf numFmtId="164" fontId="3" fillId="7" borderId="8" xfId="1" applyFont="1" applyFill="1" applyBorder="1" applyAlignment="1">
      <alignment horizontal="center"/>
    </xf>
    <xf numFmtId="164" fontId="63" fillId="0" borderId="0" xfId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left"/>
    </xf>
    <xf numFmtId="0" fontId="27" fillId="0" borderId="11" xfId="0" applyFont="1" applyBorder="1" applyAlignment="1">
      <alignment horizontal="left"/>
    </xf>
    <xf numFmtId="0" fontId="49" fillId="0" borderId="11" xfId="0" applyFont="1" applyBorder="1"/>
    <xf numFmtId="164" fontId="54" fillId="0" borderId="11" xfId="1" applyFont="1" applyBorder="1" applyAlignment="1">
      <alignment horizontal="center"/>
    </xf>
    <xf numFmtId="164" fontId="55" fillId="0" borderId="11" xfId="1" applyFont="1" applyBorder="1"/>
    <xf numFmtId="164" fontId="30" fillId="0" borderId="11" xfId="0" applyNumberFormat="1" applyFont="1" applyBorder="1"/>
    <xf numFmtId="164" fontId="7" fillId="0" borderId="11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28" fillId="0" borderId="11" xfId="0" applyFont="1" applyBorder="1" applyAlignment="1">
      <alignment horizontal="left"/>
    </xf>
    <xf numFmtId="0" fontId="70" fillId="0" borderId="11" xfId="0" applyFont="1" applyBorder="1"/>
    <xf numFmtId="0" fontId="10" fillId="0" borderId="12" xfId="0" applyFont="1" applyBorder="1"/>
    <xf numFmtId="0" fontId="27" fillId="0" borderId="12" xfId="0" applyFont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70" fillId="0" borderId="12" xfId="0" applyFont="1" applyBorder="1"/>
    <xf numFmtId="164" fontId="54" fillId="0" borderId="12" xfId="1" applyFont="1" applyFill="1" applyBorder="1" applyAlignment="1">
      <alignment horizontal="center"/>
    </xf>
    <xf numFmtId="164" fontId="55" fillId="0" borderId="12" xfId="1" applyFont="1" applyFill="1" applyBorder="1"/>
    <xf numFmtId="164" fontId="30" fillId="0" borderId="12" xfId="1" applyFont="1" applyFill="1" applyBorder="1"/>
    <xf numFmtId="14" fontId="0" fillId="0" borderId="12" xfId="0" applyNumberFormat="1" applyBorder="1" applyAlignment="1">
      <alignment horizontal="center"/>
    </xf>
    <xf numFmtId="164" fontId="3" fillId="0" borderId="12" xfId="1" applyFont="1" applyFill="1" applyBorder="1" applyAlignment="1">
      <alignment horizontal="center"/>
    </xf>
    <xf numFmtId="164" fontId="7" fillId="0" borderId="12" xfId="1" applyFont="1" applyFill="1" applyBorder="1" applyAlignment="1">
      <alignment horizontal="center"/>
    </xf>
    <xf numFmtId="164" fontId="8" fillId="0" borderId="12" xfId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12" xfId="0" applyBorder="1"/>
    <xf numFmtId="0" fontId="70" fillId="0" borderId="0" xfId="0" applyFont="1"/>
    <xf numFmtId="164" fontId="30" fillId="0" borderId="11" xfId="1" applyFont="1" applyBorder="1"/>
    <xf numFmtId="0" fontId="0" fillId="0" borderId="11" xfId="0" applyBorder="1" applyAlignment="1">
      <alignment horizontal="center"/>
    </xf>
    <xf numFmtId="0" fontId="8" fillId="0" borderId="11" xfId="0" applyFont="1" applyBorder="1" applyAlignment="1">
      <alignment horizontal="center"/>
    </xf>
    <xf numFmtId="164" fontId="30" fillId="0" borderId="7" xfId="1" applyFont="1" applyBorder="1"/>
    <xf numFmtId="14" fontId="0" fillId="0" borderId="7" xfId="0" applyNumberFormat="1" applyBorder="1"/>
    <xf numFmtId="0" fontId="38" fillId="0" borderId="0" xfId="0" applyFont="1" applyAlignment="1">
      <alignment horizontal="left"/>
    </xf>
    <xf numFmtId="0" fontId="26" fillId="0" borderId="8" xfId="0" applyFont="1" applyBorder="1" applyAlignment="1">
      <alignment horizontal="left"/>
    </xf>
    <xf numFmtId="164" fontId="3" fillId="0" borderId="8" xfId="1" applyFont="1" applyFill="1" applyBorder="1" applyAlignment="1">
      <alignment horizontal="center"/>
    </xf>
    <xf numFmtId="0" fontId="49" fillId="0" borderId="0" xfId="2" applyFont="1" applyBorder="1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4" fontId="3" fillId="8" borderId="0" xfId="0" applyNumberFormat="1" applyFont="1" applyFill="1" applyAlignment="1">
      <alignment horizontal="center"/>
    </xf>
    <xf numFmtId="164" fontId="3" fillId="8" borderId="0" xfId="1" applyFont="1" applyFill="1" applyBorder="1" applyAlignment="1">
      <alignment horizontal="center"/>
    </xf>
    <xf numFmtId="164" fontId="54" fillId="0" borderId="11" xfId="1" applyFont="1" applyFill="1" applyBorder="1" applyAlignment="1">
      <alignment horizontal="center"/>
    </xf>
    <xf numFmtId="164" fontId="55" fillId="0" borderId="11" xfId="1" applyFont="1" applyFill="1" applyBorder="1"/>
    <xf numFmtId="164" fontId="30" fillId="0" borderId="11" xfId="1" applyFont="1" applyFill="1" applyBorder="1"/>
    <xf numFmtId="164" fontId="3" fillId="0" borderId="11" xfId="1" applyFont="1" applyFill="1" applyBorder="1" applyAlignment="1">
      <alignment horizontal="center"/>
    </xf>
    <xf numFmtId="164" fontId="7" fillId="0" borderId="11" xfId="1" applyFont="1" applyBorder="1" applyAlignment="1">
      <alignment horizontal="center" vertical="center"/>
    </xf>
    <xf numFmtId="164" fontId="47" fillId="0" borderId="11" xfId="1" applyFont="1" applyFill="1" applyBorder="1" applyAlignment="1">
      <alignment horizontal="center"/>
    </xf>
    <xf numFmtId="164" fontId="7" fillId="0" borderId="7" xfId="1" applyFont="1" applyBorder="1" applyAlignment="1">
      <alignment horizontal="center"/>
    </xf>
    <xf numFmtId="164" fontId="8" fillId="0" borderId="0" xfId="1" applyFont="1" applyFill="1" applyBorder="1" applyAlignment="1"/>
    <xf numFmtId="14" fontId="71" fillId="0" borderId="0" xfId="0" applyNumberFormat="1" applyFont="1" applyAlignment="1">
      <alignment horizontal="center"/>
    </xf>
    <xf numFmtId="164" fontId="71" fillId="0" borderId="0" xfId="1" applyFont="1" applyFill="1" applyBorder="1" applyAlignment="1">
      <alignment horizontal="center"/>
    </xf>
    <xf numFmtId="164" fontId="72" fillId="0" borderId="0" xfId="1" applyFont="1" applyBorder="1" applyAlignment="1"/>
    <xf numFmtId="0" fontId="29" fillId="0" borderId="4" xfId="2" applyFont="1" applyFill="1" applyBorder="1" applyAlignment="1">
      <alignment horizontal="left"/>
    </xf>
    <xf numFmtId="0" fontId="68" fillId="0" borderId="5" xfId="0" applyFont="1" applyBorder="1" applyAlignment="1">
      <alignment horizontal="left"/>
    </xf>
    <xf numFmtId="164" fontId="54" fillId="0" borderId="5" xfId="1" applyFont="1" applyBorder="1" applyAlignment="1">
      <alignment horizontal="center"/>
    </xf>
    <xf numFmtId="164" fontId="55" fillId="0" borderId="5" xfId="1" applyFont="1" applyBorder="1"/>
    <xf numFmtId="164" fontId="30" fillId="0" borderId="5" xfId="0" applyNumberFormat="1" applyFont="1" applyBorder="1"/>
    <xf numFmtId="14" fontId="0" fillId="8" borderId="5" xfId="0" applyNumberFormat="1" applyFill="1" applyBorder="1" applyAlignment="1">
      <alignment horizontal="center"/>
    </xf>
    <xf numFmtId="164" fontId="3" fillId="8" borderId="5" xfId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14" fontId="0" fillId="8" borderId="0" xfId="0" applyNumberFormat="1" applyFill="1" applyAlignment="1">
      <alignment horizontal="center"/>
    </xf>
    <xf numFmtId="0" fontId="56" fillId="5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7" xfId="1" applyFont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41" fillId="0" borderId="0" xfId="0" applyFont="1"/>
    <xf numFmtId="43" fontId="30" fillId="0" borderId="0" xfId="0" applyNumberFormat="1" applyFont="1"/>
    <xf numFmtId="0" fontId="42" fillId="0" borderId="0" xfId="0" applyFont="1"/>
    <xf numFmtId="0" fontId="73" fillId="0" borderId="0" xfId="0" applyFont="1"/>
    <xf numFmtId="0" fontId="75" fillId="0" borderId="0" xfId="2" applyFont="1" applyFill="1" applyBorder="1" applyAlignment="1">
      <alignment horizontal="left"/>
    </xf>
    <xf numFmtId="164" fontId="76" fillId="0" borderId="0" xfId="1" applyFont="1" applyBorder="1" applyAlignment="1">
      <alignment horizontal="center"/>
    </xf>
    <xf numFmtId="164" fontId="77" fillId="0" borderId="0" xfId="1" applyFont="1" applyBorder="1"/>
    <xf numFmtId="164" fontId="78" fillId="0" borderId="0" xfId="0" applyNumberFormat="1" applyFont="1"/>
    <xf numFmtId="14" fontId="42" fillId="0" borderId="0" xfId="0" applyNumberFormat="1" applyFont="1" applyAlignment="1">
      <alignment horizontal="center"/>
    </xf>
    <xf numFmtId="164" fontId="79" fillId="0" borderId="0" xfId="1" applyFont="1" applyFill="1" applyBorder="1" applyAlignment="1">
      <alignment horizontal="center"/>
    </xf>
    <xf numFmtId="0" fontId="79" fillId="0" borderId="0" xfId="0" applyFont="1" applyAlignment="1">
      <alignment horizontal="center"/>
    </xf>
    <xf numFmtId="164" fontId="82" fillId="0" borderId="0" xfId="0" applyNumberFormat="1" applyFont="1"/>
    <xf numFmtId="164" fontId="42" fillId="0" borderId="0" xfId="1" applyFont="1" applyBorder="1"/>
    <xf numFmtId="0" fontId="81" fillId="0" borderId="0" xfId="0" applyFont="1" applyAlignment="1">
      <alignment horizontal="center"/>
    </xf>
    <xf numFmtId="164" fontId="76" fillId="0" borderId="0" xfId="1" applyFont="1" applyFill="1" applyBorder="1" applyAlignment="1">
      <alignment horizontal="center"/>
    </xf>
    <xf numFmtId="164" fontId="77" fillId="0" borderId="0" xfId="1" applyFont="1" applyFill="1" applyBorder="1"/>
    <xf numFmtId="164" fontId="83" fillId="0" borderId="0" xfId="1" applyFont="1" applyFill="1" applyBorder="1" applyAlignment="1">
      <alignment horizontal="center"/>
    </xf>
    <xf numFmtId="164" fontId="84" fillId="0" borderId="0" xfId="0" applyNumberFormat="1" applyFont="1"/>
    <xf numFmtId="164" fontId="7" fillId="5" borderId="8" xfId="1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27" fillId="6" borderId="0" xfId="0" applyFont="1" applyFill="1" applyAlignment="1">
      <alignment horizontal="left"/>
    </xf>
    <xf numFmtId="0" fontId="3" fillId="0" borderId="7" xfId="0" applyFont="1" applyBorder="1" applyAlignment="1">
      <alignment horizontal="left"/>
    </xf>
    <xf numFmtId="164" fontId="79" fillId="0" borderId="0" xfId="1" applyFont="1" applyBorder="1" applyAlignment="1">
      <alignment horizontal="center"/>
    </xf>
    <xf numFmtId="0" fontId="28" fillId="0" borderId="0" xfId="0" applyFont="1"/>
    <xf numFmtId="164" fontId="85" fillId="0" borderId="0" xfId="1" applyFont="1" applyBorder="1" applyAlignment="1">
      <alignment horizontal="center"/>
    </xf>
    <xf numFmtId="164" fontId="86" fillId="0" borderId="0" xfId="1" applyFont="1" applyBorder="1"/>
    <xf numFmtId="0" fontId="38" fillId="0" borderId="7" xfId="0" applyFont="1" applyBorder="1" applyAlignment="1">
      <alignment horizontal="left"/>
    </xf>
    <xf numFmtId="164" fontId="85" fillId="0" borderId="7" xfId="1" applyFont="1" applyBorder="1" applyAlignment="1">
      <alignment horizontal="center"/>
    </xf>
    <xf numFmtId="164" fontId="86" fillId="0" borderId="7" xfId="1" applyFont="1" applyBorder="1"/>
    <xf numFmtId="14" fontId="42" fillId="0" borderId="7" xfId="0" applyNumberFormat="1" applyFont="1" applyBorder="1" applyAlignment="1">
      <alignment horizontal="center"/>
    </xf>
    <xf numFmtId="164" fontId="79" fillId="0" borderId="7" xfId="1" applyFont="1" applyBorder="1" applyAlignment="1">
      <alignment horizontal="center"/>
    </xf>
    <xf numFmtId="0" fontId="28" fillId="0" borderId="7" xfId="0" applyFont="1" applyBorder="1"/>
    <xf numFmtId="0" fontId="39" fillId="0" borderId="0" xfId="0" applyFont="1"/>
    <xf numFmtId="0" fontId="49" fillId="0" borderId="0" xfId="0" applyFont="1" applyAlignment="1">
      <alignment horizontal="left"/>
    </xf>
    <xf numFmtId="164" fontId="85" fillId="0" borderId="0" xfId="1" applyFont="1" applyFill="1" applyBorder="1" applyAlignment="1">
      <alignment horizontal="center"/>
    </xf>
    <xf numFmtId="164" fontId="86" fillId="0" borderId="0" xfId="1" applyFont="1" applyFill="1" applyBorder="1"/>
    <xf numFmtId="14" fontId="26" fillId="0" borderId="0" xfId="0" applyNumberFormat="1" applyFont="1" applyAlignment="1">
      <alignment horizontal="center"/>
    </xf>
    <xf numFmtId="164" fontId="87" fillId="0" borderId="0" xfId="1" applyFont="1" applyFill="1" applyBorder="1" applyAlignment="1">
      <alignment horizontal="center"/>
    </xf>
    <xf numFmtId="164" fontId="8" fillId="0" borderId="8" xfId="1" applyFont="1" applyBorder="1" applyAlignment="1">
      <alignment horizontal="center"/>
    </xf>
    <xf numFmtId="164" fontId="8" fillId="0" borderId="7" xfId="1" applyFont="1" applyBorder="1" applyAlignment="1">
      <alignment horizontal="center"/>
    </xf>
    <xf numFmtId="0" fontId="15" fillId="0" borderId="7" xfId="0" applyFont="1" applyBorder="1"/>
    <xf numFmtId="0" fontId="7" fillId="6" borderId="7" xfId="0" applyFont="1" applyFill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5" fillId="0" borderId="0" xfId="2" applyFont="1" applyFill="1" applyBorder="1" applyAlignment="1">
      <alignment horizontal="left"/>
    </xf>
    <xf numFmtId="164" fontId="13" fillId="0" borderId="7" xfId="1" applyFont="1" applyBorder="1" applyAlignment="1">
      <alignment horizontal="center"/>
    </xf>
    <xf numFmtId="164" fontId="88" fillId="0" borderId="7" xfId="1" applyFont="1" applyBorder="1"/>
    <xf numFmtId="0" fontId="89" fillId="0" borderId="7" xfId="0" applyFont="1" applyBorder="1"/>
    <xf numFmtId="14" fontId="15" fillId="0" borderId="7" xfId="0" applyNumberFormat="1" applyFont="1" applyBorder="1" applyAlignment="1">
      <alignment horizontal="center"/>
    </xf>
    <xf numFmtId="164" fontId="7" fillId="5" borderId="7" xfId="1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0" fillId="0" borderId="14" xfId="0" applyFont="1" applyBorder="1"/>
    <xf numFmtId="0" fontId="3" fillId="0" borderId="14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67" fillId="0" borderId="14" xfId="0" applyFont="1" applyBorder="1" applyAlignment="1">
      <alignment horizontal="left"/>
    </xf>
    <xf numFmtId="164" fontId="54" fillId="0" borderId="14" xfId="1" applyFont="1" applyFill="1" applyBorder="1" applyAlignment="1">
      <alignment horizontal="center"/>
    </xf>
    <xf numFmtId="164" fontId="55" fillId="0" borderId="14" xfId="1" applyFont="1" applyFill="1" applyBorder="1"/>
    <xf numFmtId="164" fontId="30" fillId="0" borderId="14" xfId="0" applyNumberFormat="1" applyFont="1" applyBorder="1"/>
    <xf numFmtId="14" fontId="0" fillId="0" borderId="14" xfId="0" applyNumberFormat="1" applyBorder="1"/>
    <xf numFmtId="164" fontId="3" fillId="0" borderId="14" xfId="1" applyFont="1" applyFill="1" applyBorder="1" applyAlignment="1"/>
    <xf numFmtId="0" fontId="8" fillId="5" borderId="14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64" fontId="3" fillId="0" borderId="0" xfId="1" applyFont="1" applyFill="1" applyBorder="1" applyAlignment="1"/>
    <xf numFmtId="164" fontId="7" fillId="0" borderId="0" xfId="1" applyFont="1" applyFill="1" applyBorder="1" applyAlignment="1"/>
    <xf numFmtId="14" fontId="0" fillId="0" borderId="0" xfId="0" applyNumberFormat="1" applyAlignment="1">
      <alignment horizontal="right"/>
    </xf>
    <xf numFmtId="0" fontId="68" fillId="0" borderId="4" xfId="0" applyFont="1" applyBorder="1" applyAlignment="1">
      <alignment horizontal="left"/>
    </xf>
    <xf numFmtId="0" fontId="67" fillId="0" borderId="4" xfId="0" applyFont="1" applyBorder="1" applyAlignment="1">
      <alignment horizontal="left"/>
    </xf>
    <xf numFmtId="0" fontId="30" fillId="0" borderId="11" xfId="0" applyFont="1" applyBorder="1"/>
    <xf numFmtId="0" fontId="90" fillId="0" borderId="0" xfId="0" applyFont="1"/>
    <xf numFmtId="0" fontId="91" fillId="0" borderId="0" xfId="0" applyFont="1" applyAlignment="1">
      <alignment horizontal="left"/>
    </xf>
    <xf numFmtId="0" fontId="92" fillId="0" borderId="0" xfId="0" applyFont="1" applyAlignment="1">
      <alignment horizontal="center"/>
    </xf>
    <xf numFmtId="164" fontId="54" fillId="0" borderId="4" xfId="1" applyFont="1" applyBorder="1" applyAlignment="1">
      <alignment horizontal="center"/>
    </xf>
    <xf numFmtId="164" fontId="55" fillId="0" borderId="4" xfId="1" applyFont="1" applyBorder="1"/>
    <xf numFmtId="164" fontId="7" fillId="0" borderId="4" xfId="0" applyNumberFormat="1" applyFont="1" applyBorder="1" applyAlignment="1">
      <alignment horizontal="center"/>
    </xf>
    <xf numFmtId="0" fontId="93" fillId="0" borderId="0" xfId="0" applyFont="1"/>
    <xf numFmtId="0" fontId="93" fillId="0" borderId="0" xfId="0" applyFont="1" applyAlignment="1">
      <alignment horizontal="left"/>
    </xf>
    <xf numFmtId="0" fontId="95" fillId="0" borderId="0" xfId="2" applyFont="1" applyBorder="1"/>
    <xf numFmtId="164" fontId="94" fillId="0" borderId="0" xfId="1" applyFont="1" applyBorder="1" applyAlignment="1">
      <alignment horizontal="center"/>
    </xf>
    <xf numFmtId="164" fontId="93" fillId="0" borderId="0" xfId="1" applyFont="1" applyBorder="1"/>
    <xf numFmtId="164" fontId="96" fillId="0" borderId="0" xfId="1" applyFont="1" applyBorder="1"/>
    <xf numFmtId="14" fontId="93" fillId="0" borderId="0" xfId="0" applyNumberFormat="1" applyFont="1" applyAlignment="1">
      <alignment horizontal="center"/>
    </xf>
    <xf numFmtId="164" fontId="94" fillId="0" borderId="0" xfId="1" applyFont="1" applyFill="1" applyBorder="1"/>
    <xf numFmtId="0" fontId="93" fillId="5" borderId="0" xfId="0" applyFont="1" applyFill="1" applyAlignment="1">
      <alignment horizontal="center"/>
    </xf>
    <xf numFmtId="0" fontId="94" fillId="0" borderId="0" xfId="0" applyFont="1" applyAlignment="1">
      <alignment horizontal="center"/>
    </xf>
    <xf numFmtId="0" fontId="67" fillId="0" borderId="0" xfId="0" applyFont="1"/>
    <xf numFmtId="0" fontId="95" fillId="0" borderId="0" xfId="0" applyFont="1"/>
    <xf numFmtId="0" fontId="98" fillId="6" borderId="0" xfId="0" applyFont="1" applyFill="1" applyAlignment="1">
      <alignment horizontal="left"/>
    </xf>
    <xf numFmtId="0" fontId="99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164" fontId="13" fillId="0" borderId="0" xfId="1" applyFont="1" applyBorder="1" applyAlignment="1">
      <alignment horizontal="center"/>
    </xf>
    <xf numFmtId="164" fontId="67" fillId="0" borderId="0" xfId="1" applyFont="1" applyBorder="1"/>
    <xf numFmtId="14" fontId="67" fillId="0" borderId="0" xfId="0" applyNumberFormat="1" applyFont="1" applyAlignment="1">
      <alignment horizontal="center"/>
    </xf>
    <xf numFmtId="164" fontId="98" fillId="0" borderId="0" xfId="1" applyFont="1" applyFill="1" applyBorder="1" applyAlignment="1">
      <alignment horizontal="center"/>
    </xf>
    <xf numFmtId="0" fontId="100" fillId="5" borderId="0" xfId="0" applyFont="1" applyFill="1" applyAlignment="1">
      <alignment horizontal="center"/>
    </xf>
    <xf numFmtId="0" fontId="98" fillId="0" borderId="0" xfId="0" applyFont="1" applyAlignment="1">
      <alignment horizontal="center"/>
    </xf>
    <xf numFmtId="0" fontId="101" fillId="0" borderId="0" xfId="0" applyFont="1"/>
    <xf numFmtId="164" fontId="13" fillId="0" borderId="0" xfId="1" applyFont="1" applyFill="1" applyBorder="1" applyAlignment="1">
      <alignment horizontal="center"/>
    </xf>
    <xf numFmtId="164" fontId="67" fillId="0" borderId="0" xfId="1" applyFont="1" applyFill="1" applyBorder="1"/>
    <xf numFmtId="164" fontId="13" fillId="0" borderId="0" xfId="0" applyNumberFormat="1" applyFont="1" applyAlignment="1">
      <alignment horizontal="center"/>
    </xf>
    <xf numFmtId="0" fontId="100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43" fontId="13" fillId="0" borderId="0" xfId="0" applyNumberFormat="1" applyFont="1" applyAlignment="1">
      <alignment horizontal="center"/>
    </xf>
    <xf numFmtId="0" fontId="95" fillId="0" borderId="7" xfId="0" applyFont="1" applyBorder="1"/>
    <xf numFmtId="0" fontId="99" fillId="0" borderId="7" xfId="0" applyFont="1" applyBorder="1" applyAlignment="1">
      <alignment horizontal="left"/>
    </xf>
    <xf numFmtId="164" fontId="67" fillId="0" borderId="7" xfId="1" applyFont="1" applyBorder="1"/>
    <xf numFmtId="0" fontId="101" fillId="0" borderId="7" xfId="0" applyFont="1" applyBorder="1"/>
    <xf numFmtId="0" fontId="67" fillId="0" borderId="7" xfId="0" applyFont="1" applyBorder="1" applyAlignment="1">
      <alignment horizontal="center"/>
    </xf>
    <xf numFmtId="0" fontId="98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00" fillId="0" borderId="7" xfId="0" applyFont="1" applyBorder="1" applyAlignment="1">
      <alignment horizontal="center"/>
    </xf>
    <xf numFmtId="0" fontId="67" fillId="0" borderId="7" xfId="0" applyFont="1" applyBorder="1"/>
    <xf numFmtId="0" fontId="29" fillId="0" borderId="0" xfId="2" applyFont="1" applyFill="1" applyBorder="1"/>
    <xf numFmtId="164" fontId="3" fillId="0" borderId="4" xfId="1" applyFont="1" applyBorder="1" applyAlignment="1">
      <alignment horizontal="center"/>
    </xf>
    <xf numFmtId="164" fontId="56" fillId="5" borderId="0" xfId="1" applyFont="1" applyFill="1" applyBorder="1" applyAlignment="1">
      <alignment horizontal="center"/>
    </xf>
    <xf numFmtId="164" fontId="8" fillId="5" borderId="0" xfId="1" applyFont="1" applyFill="1" applyBorder="1" applyAlignment="1">
      <alignment horizontal="center"/>
    </xf>
    <xf numFmtId="0" fontId="102" fillId="0" borderId="4" xfId="0" applyFont="1" applyBorder="1" applyAlignment="1">
      <alignment horizontal="left"/>
    </xf>
    <xf numFmtId="0" fontId="103" fillId="0" borderId="4" xfId="2" applyFont="1" applyBorder="1"/>
    <xf numFmtId="164" fontId="30" fillId="0" borderId="4" xfId="0" applyNumberFormat="1" applyFont="1" applyBorder="1"/>
    <xf numFmtId="164" fontId="7" fillId="0" borderId="4" xfId="1" applyFont="1" applyFill="1" applyBorder="1" applyAlignment="1">
      <alignment horizontal="center"/>
    </xf>
    <xf numFmtId="164" fontId="8" fillId="0" borderId="4" xfId="1" applyFont="1" applyFill="1" applyBorder="1" applyAlignment="1">
      <alignment horizontal="center"/>
    </xf>
    <xf numFmtId="14" fontId="0" fillId="0" borderId="4" xfId="0" applyNumberFormat="1" applyBorder="1"/>
    <xf numFmtId="0" fontId="66" fillId="0" borderId="4" xfId="0" applyFont="1" applyBorder="1" applyAlignment="1">
      <alignment horizontal="left"/>
    </xf>
    <xf numFmtId="0" fontId="66" fillId="0" borderId="4" xfId="0" applyFont="1" applyBorder="1"/>
    <xf numFmtId="164" fontId="98" fillId="0" borderId="0" xfId="1" applyFont="1" applyBorder="1" applyAlignment="1">
      <alignment horizontal="center"/>
    </xf>
    <xf numFmtId="164" fontId="13" fillId="5" borderId="0" xfId="1" applyFont="1" applyFill="1" applyBorder="1" applyAlignment="1">
      <alignment horizontal="center"/>
    </xf>
    <xf numFmtId="164" fontId="0" fillId="0" borderId="0" xfId="0" applyNumberFormat="1"/>
    <xf numFmtId="164" fontId="69" fillId="0" borderId="8" xfId="1" applyFont="1" applyBorder="1"/>
    <xf numFmtId="164" fontId="54" fillId="0" borderId="0" xfId="1" applyFont="1" applyFill="1" applyAlignment="1">
      <alignment horizontal="center"/>
    </xf>
    <xf numFmtId="164" fontId="69" fillId="0" borderId="0" xfId="1" applyFont="1" applyFill="1"/>
    <xf numFmtId="164" fontId="69" fillId="0" borderId="7" xfId="1" applyFont="1" applyBorder="1"/>
    <xf numFmtId="0" fontId="54" fillId="0" borderId="0" xfId="0" applyFont="1" applyAlignment="1">
      <alignment horizontal="center"/>
    </xf>
    <xf numFmtId="0" fontId="69" fillId="0" borderId="0" xfId="0" applyFont="1"/>
    <xf numFmtId="164" fontId="87" fillId="0" borderId="0" xfId="0" applyNumberFormat="1" applyFont="1"/>
    <xf numFmtId="0" fontId="87" fillId="0" borderId="0" xfId="0" applyFont="1"/>
    <xf numFmtId="164" fontId="22" fillId="0" borderId="7" xfId="1" applyFont="1" applyBorder="1" applyAlignment="1">
      <alignment vertical="center"/>
    </xf>
    <xf numFmtId="0" fontId="105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64" fontId="3" fillId="0" borderId="0" xfId="1" applyFont="1" applyAlignment="1">
      <alignment horizontal="center"/>
    </xf>
    <xf numFmtId="0" fontId="4" fillId="0" borderId="9" xfId="0" applyFont="1" applyBorder="1" applyAlignment="1">
      <alignment horizontal="left"/>
    </xf>
    <xf numFmtId="0" fontId="59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49" fillId="0" borderId="9" xfId="0" applyFont="1" applyBorder="1"/>
    <xf numFmtId="164" fontId="54" fillId="0" borderId="9" xfId="1" applyFont="1" applyBorder="1" applyAlignment="1">
      <alignment horizontal="center"/>
    </xf>
    <xf numFmtId="164" fontId="69" fillId="0" borderId="9" xfId="1" applyFont="1" applyBorder="1"/>
    <xf numFmtId="0" fontId="30" fillId="0" borderId="9" xfId="0" applyFont="1" applyBorder="1"/>
    <xf numFmtId="164" fontId="7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9" fillId="0" borderId="12" xfId="2" applyFont="1" applyFill="1" applyBorder="1" applyAlignment="1">
      <alignment horizontal="left"/>
    </xf>
    <xf numFmtId="0" fontId="38" fillId="0" borderId="9" xfId="0" applyFont="1" applyBorder="1" applyAlignment="1">
      <alignment horizontal="left"/>
    </xf>
    <xf numFmtId="164" fontId="54" fillId="0" borderId="9" xfId="1" applyFont="1" applyFill="1" applyBorder="1" applyAlignment="1">
      <alignment horizontal="center"/>
    </xf>
    <xf numFmtId="164" fontId="55" fillId="0" borderId="9" xfId="1" applyFont="1" applyFill="1" applyBorder="1"/>
    <xf numFmtId="164" fontId="30" fillId="0" borderId="9" xfId="1" applyFont="1" applyFill="1" applyBorder="1"/>
    <xf numFmtId="164" fontId="8" fillId="0" borderId="0" xfId="0" applyNumberFormat="1" applyFont="1" applyAlignment="1">
      <alignment horizontal="center"/>
    </xf>
    <xf numFmtId="0" fontId="68" fillId="0" borderId="9" xfId="0" applyFont="1" applyBorder="1" applyAlignment="1">
      <alignment horizontal="left"/>
    </xf>
    <xf numFmtId="164" fontId="52" fillId="5" borderId="9" xfId="1" applyFont="1" applyFill="1" applyBorder="1" applyAlignment="1">
      <alignment horizontal="center" vertical="center"/>
    </xf>
    <xf numFmtId="0" fontId="74" fillId="0" borderId="0" xfId="0" applyFont="1" applyAlignment="1">
      <alignment horizontal="left"/>
    </xf>
    <xf numFmtId="164" fontId="7" fillId="5" borderId="0" xfId="0" applyNumberFormat="1" applyFont="1" applyFill="1" applyAlignment="1">
      <alignment vertical="center"/>
    </xf>
    <xf numFmtId="164" fontId="21" fillId="0" borderId="2" xfId="0" applyNumberFormat="1" applyFont="1" applyBorder="1"/>
    <xf numFmtId="0" fontId="106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68" fillId="0" borderId="14" xfId="0" quotePrefix="1" applyFont="1" applyBorder="1" applyAlignment="1">
      <alignment horizontal="left"/>
    </xf>
    <xf numFmtId="0" fontId="94" fillId="0" borderId="0" xfId="0" applyFont="1" applyAlignment="1">
      <alignment horizontal="left"/>
    </xf>
    <xf numFmtId="0" fontId="98" fillId="0" borderId="0" xfId="0" applyFont="1" applyAlignment="1">
      <alignment horizontal="left"/>
    </xf>
    <xf numFmtId="0" fontId="98" fillId="0" borderId="7" xfId="0" applyFont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164" fontId="55" fillId="0" borderId="9" xfId="1" applyFont="1" applyBorder="1"/>
    <xf numFmtId="0" fontId="7" fillId="0" borderId="9" xfId="0" applyFont="1" applyBorder="1" applyAlignment="1">
      <alignment horizontal="center"/>
    </xf>
    <xf numFmtId="164" fontId="52" fillId="5" borderId="0" xfId="1" applyFont="1" applyFill="1" applyBorder="1" applyAlignment="1">
      <alignment vertical="center"/>
    </xf>
    <xf numFmtId="164" fontId="69" fillId="0" borderId="0" xfId="1" applyFont="1"/>
    <xf numFmtId="164" fontId="80" fillId="0" borderId="0" xfId="1" applyFont="1" applyFill="1" applyBorder="1" applyAlignment="1">
      <alignment horizontal="center" vertical="center"/>
    </xf>
    <xf numFmtId="164" fontId="81" fillId="0" borderId="0" xfId="1" applyFont="1" applyFill="1" applyBorder="1" applyAlignment="1">
      <alignment horizontal="center" vertical="center"/>
    </xf>
    <xf numFmtId="0" fontId="75" fillId="0" borderId="9" xfId="2" applyFont="1" applyFill="1" applyBorder="1" applyAlignment="1">
      <alignment horizontal="left"/>
    </xf>
    <xf numFmtId="164" fontId="83" fillId="0" borderId="9" xfId="1" applyFont="1" applyFill="1" applyBorder="1" applyAlignment="1">
      <alignment horizontal="center"/>
    </xf>
    <xf numFmtId="164" fontId="84" fillId="0" borderId="9" xfId="0" applyNumberFormat="1" applyFont="1" applyBorder="1"/>
    <xf numFmtId="164" fontId="79" fillId="0" borderId="9" xfId="1" applyFont="1" applyFill="1" applyBorder="1" applyAlignment="1">
      <alignment horizontal="center"/>
    </xf>
    <xf numFmtId="164" fontId="80" fillId="0" borderId="9" xfId="1" applyFont="1" applyFill="1" applyBorder="1" applyAlignment="1">
      <alignment horizontal="center" vertical="center"/>
    </xf>
    <xf numFmtId="164" fontId="81" fillId="0" borderId="9" xfId="1" applyFont="1" applyFill="1" applyBorder="1" applyAlignment="1">
      <alignment horizontal="center" vertical="center"/>
    </xf>
    <xf numFmtId="164" fontId="50" fillId="0" borderId="0" xfId="1" applyFont="1" applyFill="1" applyBorder="1" applyAlignment="1">
      <alignment vertical="center" wrapText="1"/>
    </xf>
    <xf numFmtId="164" fontId="50" fillId="0" borderId="4" xfId="1" applyFont="1" applyFill="1" applyBorder="1" applyAlignment="1">
      <alignment vertical="center" wrapText="1"/>
    </xf>
    <xf numFmtId="164" fontId="23" fillId="0" borderId="0" xfId="1" applyFont="1" applyFill="1" applyBorder="1" applyAlignment="1">
      <alignment vertical="center" wrapText="1"/>
    </xf>
    <xf numFmtId="164" fontId="23" fillId="0" borderId="11" xfId="1" applyFont="1" applyFill="1" applyBorder="1" applyAlignment="1">
      <alignment vertical="center" wrapText="1"/>
    </xf>
    <xf numFmtId="164" fontId="65" fillId="5" borderId="8" xfId="1" applyFont="1" applyFill="1" applyBorder="1" applyAlignment="1">
      <alignment vertical="center"/>
    </xf>
    <xf numFmtId="164" fontId="47" fillId="5" borderId="0" xfId="1" applyFont="1" applyFill="1" applyBorder="1" applyAlignment="1">
      <alignment vertical="center"/>
    </xf>
    <xf numFmtId="164" fontId="23" fillId="0" borderId="12" xfId="1" applyFont="1" applyBorder="1" applyAlignment="1">
      <alignment vertical="center"/>
    </xf>
    <xf numFmtId="164" fontId="23" fillId="0" borderId="0" xfId="1" applyFont="1" applyBorder="1" applyAlignment="1">
      <alignment vertical="center"/>
    </xf>
    <xf numFmtId="164" fontId="23" fillId="0" borderId="9" xfId="1" applyFont="1" applyBorder="1" applyAlignment="1">
      <alignment vertical="center"/>
    </xf>
    <xf numFmtId="164" fontId="50" fillId="0" borderId="0" xfId="1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164" fontId="81" fillId="5" borderId="0" xfId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4" fontId="50" fillId="0" borderId="7" xfId="1" applyFont="1" applyFill="1" applyBorder="1" applyAlignment="1">
      <alignment vertical="center" wrapText="1"/>
    </xf>
    <xf numFmtId="164" fontId="7" fillId="5" borderId="13" xfId="1" applyFont="1" applyFill="1" applyBorder="1" applyAlignment="1">
      <alignment horizontal="center" vertical="center"/>
    </xf>
    <xf numFmtId="164" fontId="7" fillId="5" borderId="0" xfId="1" applyFont="1" applyFill="1" applyBorder="1" applyAlignment="1">
      <alignment horizontal="center" vertical="center"/>
    </xf>
    <xf numFmtId="164" fontId="22" fillId="0" borderId="0" xfId="1" applyFont="1" applyBorder="1" applyAlignment="1">
      <alignment horizontal="center" vertical="center"/>
    </xf>
    <xf numFmtId="164" fontId="22" fillId="0" borderId="7" xfId="1" applyFont="1" applyBorder="1" applyAlignment="1">
      <alignment horizontal="center" vertical="center"/>
    </xf>
    <xf numFmtId="164" fontId="22" fillId="0" borderId="12" xfId="1" applyFont="1" applyBorder="1" applyAlignment="1">
      <alignment horizontal="center" vertical="center"/>
    </xf>
    <xf numFmtId="164" fontId="22" fillId="0" borderId="9" xfId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30" fillId="0" borderId="13" xfId="0" applyNumberFormat="1" applyFont="1" applyBorder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164" fontId="52" fillId="5" borderId="13" xfId="1" applyFont="1" applyFill="1" applyBorder="1" applyAlignment="1">
      <alignment horizontal="center" vertical="center"/>
    </xf>
    <xf numFmtId="164" fontId="52" fillId="5" borderId="0" xfId="1" applyFont="1" applyFill="1" applyBorder="1" applyAlignment="1">
      <alignment horizontal="center" vertical="center"/>
    </xf>
    <xf numFmtId="164" fontId="6" fillId="5" borderId="0" xfId="1" applyFont="1" applyFill="1" applyBorder="1" applyAlignment="1">
      <alignment horizontal="center" vertical="center"/>
    </xf>
    <xf numFmtId="164" fontId="7" fillId="5" borderId="5" xfId="1" applyFont="1" applyFill="1" applyBorder="1" applyAlignment="1">
      <alignment horizontal="center" vertical="center"/>
    </xf>
    <xf numFmtId="164" fontId="6" fillId="5" borderId="14" xfId="1" applyFont="1" applyFill="1" applyBorder="1" applyAlignment="1">
      <alignment horizontal="center" vertical="center"/>
    </xf>
    <xf numFmtId="164" fontId="6" fillId="5" borderId="0" xfId="0" applyNumberFormat="1" applyFont="1" applyFill="1"/>
    <xf numFmtId="164" fontId="6" fillId="5" borderId="0" xfId="0" applyNumberFormat="1" applyFont="1" applyFill="1" applyAlignment="1">
      <alignment horizontal="center" vertical="center"/>
    </xf>
    <xf numFmtId="164" fontId="97" fillId="5" borderId="5" xfId="0" applyNumberFormat="1" applyFont="1" applyFill="1" applyBorder="1" applyAlignment="1">
      <alignment horizontal="center" vertical="center"/>
    </xf>
    <xf numFmtId="164" fontId="97" fillId="5" borderId="0" xfId="0" applyNumberFormat="1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4" fontId="80" fillId="5" borderId="0" xfId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164" fontId="7" fillId="0" borderId="0" xfId="1" applyFont="1" applyFill="1" applyBorder="1" applyAlignment="1">
      <alignment horizontal="center" vertical="center"/>
    </xf>
    <xf numFmtId="164" fontId="7" fillId="0" borderId="0" xfId="1" applyFont="1" applyBorder="1" applyAlignment="1">
      <alignment horizontal="center" vertical="center"/>
    </xf>
    <xf numFmtId="164" fontId="50" fillId="0" borderId="0" xfId="1" applyFont="1" applyFill="1" applyBorder="1" applyAlignment="1">
      <alignment horizontal="center" vertical="center" wrapText="1"/>
    </xf>
    <xf numFmtId="164" fontId="22" fillId="0" borderId="8" xfId="1" applyFont="1" applyBorder="1" applyAlignment="1">
      <alignment horizontal="center" vertical="center"/>
    </xf>
    <xf numFmtId="164" fontId="23" fillId="0" borderId="0" xfId="1" applyFont="1" applyBorder="1" applyAlignment="1">
      <alignment horizontal="center" vertical="center"/>
    </xf>
    <xf numFmtId="164" fontId="23" fillId="0" borderId="11" xfId="1" applyFont="1" applyBorder="1" applyAlignment="1">
      <alignment horizontal="center" vertical="center"/>
    </xf>
    <xf numFmtId="164" fontId="7" fillId="5" borderId="8" xfId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4" fontId="7" fillId="5" borderId="5" xfId="0" applyNumberFormat="1" applyFont="1" applyFill="1" applyBorder="1" applyAlignment="1">
      <alignment horizontal="center" vertical="center"/>
    </xf>
    <xf numFmtId="164" fontId="63" fillId="0" borderId="0" xfId="1" applyFont="1" applyBorder="1" applyAlignment="1">
      <alignment horizontal="center" vertical="center"/>
    </xf>
    <xf numFmtId="164" fontId="63" fillId="0" borderId="8" xfId="1" applyFont="1" applyBorder="1" applyAlignment="1">
      <alignment horizontal="center" vertical="center"/>
    </xf>
    <xf numFmtId="164" fontId="50" fillId="0" borderId="10" xfId="1" applyFont="1" applyFill="1" applyBorder="1" applyAlignment="1">
      <alignment horizontal="center" vertical="center" wrapText="1"/>
    </xf>
    <xf numFmtId="164" fontId="50" fillId="0" borderId="4" xfId="1" applyFont="1" applyFill="1" applyBorder="1" applyAlignment="1">
      <alignment horizontal="center" vertical="center" wrapText="1"/>
    </xf>
    <xf numFmtId="164" fontId="22" fillId="0" borderId="3" xfId="1" applyFont="1" applyBorder="1" applyAlignment="1">
      <alignment horizontal="center" vertical="center"/>
    </xf>
    <xf numFmtId="164" fontId="22" fillId="0" borderId="5" xfId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64" fontId="22" fillId="0" borderId="2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50" fillId="0" borderId="0" xfId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262618</xdr:colOff>
      <xdr:row>3</xdr:row>
      <xdr:rowOff>27213</xdr:rowOff>
    </xdr:from>
    <xdr:to>
      <xdr:col>3</xdr:col>
      <xdr:colOff>457200</xdr:colOff>
      <xdr:row>6</xdr:row>
      <xdr:rowOff>43542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D49BCF-0050-4F05-8778-C2D2B648F36F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44" t="2679" r="70407" b="87230"/>
        <a:stretch/>
      </xdr:blipFill>
      <xdr:spPr bwMode="auto">
        <a:xfrm>
          <a:off x="437878" y="560613"/>
          <a:ext cx="1611902" cy="81642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upomaxx.sperant.com/clients/cce2203b-e7a728-0e21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BCAE-AB63-45BA-815C-485168889E64}">
  <dimension ref="A1:V472"/>
  <sheetViews>
    <sheetView tabSelected="1" zoomScale="70" zoomScaleNormal="70" workbookViewId="0">
      <pane ySplit="11" topLeftCell="A240" activePane="bottomLeft" state="frozen"/>
      <selection pane="bottomLeft" activeCell="M248" sqref="M248"/>
    </sheetView>
  </sheetViews>
  <sheetFormatPr baseColWidth="10" defaultRowHeight="21" x14ac:dyDescent="0.5"/>
  <cols>
    <col min="1" max="1" width="2.5546875" customWidth="1"/>
    <col min="2" max="2" width="9.109375" style="7" customWidth="1"/>
    <col min="3" max="3" width="11.5546875" style="2" customWidth="1"/>
    <col min="4" max="5" width="11.5546875" style="2"/>
    <col min="6" max="6" width="27.44140625" style="2" bestFit="1" customWidth="1"/>
    <col min="7" max="7" width="43.6640625" customWidth="1"/>
    <col min="8" max="8" width="15.33203125" style="3" customWidth="1"/>
    <col min="9" max="10" width="12.5546875" customWidth="1"/>
    <col min="11" max="12" width="15.33203125" customWidth="1"/>
    <col min="13" max="13" width="15.33203125" style="4" customWidth="1"/>
    <col min="14" max="14" width="15.33203125" style="5" customWidth="1"/>
    <col min="15" max="15" width="19.5546875" style="3" customWidth="1"/>
    <col min="16" max="16" width="25.6640625" style="6" customWidth="1"/>
    <col min="17" max="17" width="19.109375" style="5" customWidth="1"/>
    <col min="18" max="18" width="26.6640625" style="4" customWidth="1"/>
    <col min="19" max="19" width="20.5546875" customWidth="1"/>
    <col min="20" max="20" width="18" customWidth="1"/>
    <col min="21" max="21" width="22.6640625" customWidth="1"/>
    <col min="22" max="22" width="18" customWidth="1"/>
  </cols>
  <sheetData>
    <row r="1" spans="2:22" x14ac:dyDescent="0.5">
      <c r="B1" s="1" t="s">
        <v>0</v>
      </c>
    </row>
    <row r="2" spans="2:22" x14ac:dyDescent="0.5">
      <c r="B2" s="1" t="s">
        <v>339</v>
      </c>
    </row>
    <row r="5" spans="2:22" x14ac:dyDescent="0.5">
      <c r="B5" s="596"/>
      <c r="C5" s="596"/>
      <c r="D5" s="596"/>
    </row>
    <row r="7" spans="2:22" ht="32.25" customHeight="1" x14ac:dyDescent="0.65">
      <c r="D7" s="597" t="s">
        <v>1</v>
      </c>
      <c r="E7" s="597"/>
      <c r="F7" s="597"/>
      <c r="G7" s="597"/>
      <c r="H7" s="597"/>
      <c r="I7" s="597"/>
      <c r="J7" s="597"/>
      <c r="K7" s="597"/>
      <c r="L7" s="597"/>
      <c r="M7" s="597"/>
      <c r="N7" s="597"/>
      <c r="O7" s="597"/>
      <c r="P7" s="597"/>
      <c r="Q7" s="597"/>
      <c r="R7" s="597"/>
      <c r="S7" s="597"/>
      <c r="T7" s="597"/>
      <c r="U7" s="597"/>
    </row>
    <row r="11" spans="2:22" ht="49.2" x14ac:dyDescent="0.5">
      <c r="B11" s="7" t="s">
        <v>2</v>
      </c>
      <c r="C11" s="8" t="s">
        <v>3</v>
      </c>
      <c r="D11" s="8" t="s">
        <v>4</v>
      </c>
      <c r="E11" s="8" t="s">
        <v>5</v>
      </c>
      <c r="F11" s="9" t="s">
        <v>6</v>
      </c>
      <c r="G11" s="10" t="s">
        <v>7</v>
      </c>
      <c r="H11" s="11" t="s">
        <v>8</v>
      </c>
      <c r="I11" s="11" t="s">
        <v>9</v>
      </c>
      <c r="J11" s="11" t="s">
        <v>10</v>
      </c>
      <c r="K11" s="11" t="s">
        <v>11</v>
      </c>
      <c r="L11" s="11" t="s">
        <v>12</v>
      </c>
      <c r="M11" s="12" t="s">
        <v>13</v>
      </c>
      <c r="N11" s="12" t="s">
        <v>14</v>
      </c>
      <c r="O11" s="12" t="s">
        <v>15</v>
      </c>
      <c r="P11" s="13" t="s">
        <v>16</v>
      </c>
      <c r="Q11" s="12" t="s">
        <v>17</v>
      </c>
      <c r="R11" s="12" t="s">
        <v>18</v>
      </c>
      <c r="S11" s="12" t="s">
        <v>19</v>
      </c>
      <c r="T11" s="12" t="s">
        <v>20</v>
      </c>
      <c r="U11" s="12" t="s">
        <v>21</v>
      </c>
      <c r="V11" s="12" t="s">
        <v>22</v>
      </c>
    </row>
    <row r="12" spans="2:22" ht="19.5" customHeight="1" x14ac:dyDescent="0.3">
      <c r="B12" s="14" t="s">
        <v>3</v>
      </c>
      <c r="C12" s="15">
        <v>101</v>
      </c>
      <c r="D12" s="16"/>
      <c r="E12" s="16"/>
      <c r="F12" s="17">
        <v>15580131</v>
      </c>
      <c r="G12" s="18" t="s">
        <v>23</v>
      </c>
      <c r="H12" s="19">
        <v>637000</v>
      </c>
      <c r="I12" s="20"/>
      <c r="J12" s="20"/>
      <c r="K12" s="20"/>
      <c r="L12" s="21">
        <f>SUM(H12:K12)</f>
        <v>637000</v>
      </c>
      <c r="M12" s="22">
        <v>45595</v>
      </c>
      <c r="N12" s="23">
        <v>3000</v>
      </c>
      <c r="O12" s="561">
        <f>SUM(N12:N17)</f>
        <v>637000</v>
      </c>
      <c r="P12" s="14" t="s">
        <v>26</v>
      </c>
      <c r="Q12" s="26" t="s">
        <v>25</v>
      </c>
      <c r="R12" s="22">
        <v>45628</v>
      </c>
      <c r="S12" s="14"/>
      <c r="T12" s="27">
        <v>45626</v>
      </c>
      <c r="U12" s="14" t="s">
        <v>26</v>
      </c>
    </row>
    <row r="13" spans="2:22" ht="19.5" customHeight="1" x14ac:dyDescent="0.4">
      <c r="B13" s="14"/>
      <c r="C13" s="28"/>
      <c r="D13" s="16"/>
      <c r="E13" s="16"/>
      <c r="F13" s="29"/>
      <c r="G13" s="18"/>
      <c r="H13" s="19"/>
      <c r="I13" s="20"/>
      <c r="J13" s="20"/>
      <c r="K13" s="20"/>
      <c r="L13" s="30"/>
      <c r="M13" s="22">
        <v>45629</v>
      </c>
      <c r="N13" s="23">
        <v>27000</v>
      </c>
      <c r="O13" s="561"/>
      <c r="P13" s="14" t="s">
        <v>27</v>
      </c>
      <c r="Q13" s="26" t="s">
        <v>25</v>
      </c>
      <c r="R13" s="22">
        <v>45628</v>
      </c>
      <c r="S13" s="14"/>
      <c r="T13" s="27"/>
      <c r="U13" s="14" t="s">
        <v>27</v>
      </c>
    </row>
    <row r="14" spans="2:22" ht="19.5" customHeight="1" x14ac:dyDescent="0.4">
      <c r="B14" s="14"/>
      <c r="C14" s="28"/>
      <c r="D14" s="16"/>
      <c r="E14" s="16"/>
      <c r="F14" s="29"/>
      <c r="G14" s="18"/>
      <c r="H14" s="19"/>
      <c r="I14" s="20"/>
      <c r="J14" s="20"/>
      <c r="K14" s="20"/>
      <c r="L14" s="30"/>
      <c r="M14" s="22">
        <v>45626</v>
      </c>
      <c r="N14" s="23">
        <v>3000</v>
      </c>
      <c r="O14" s="561"/>
      <c r="P14" s="14" t="s">
        <v>27</v>
      </c>
      <c r="Q14" s="26" t="s">
        <v>25</v>
      </c>
      <c r="R14" s="22">
        <v>45628</v>
      </c>
      <c r="S14" s="14"/>
      <c r="T14" s="27"/>
      <c r="U14" s="14" t="s">
        <v>27</v>
      </c>
    </row>
    <row r="15" spans="2:22" ht="19.5" customHeight="1" x14ac:dyDescent="0.4">
      <c r="B15" s="14"/>
      <c r="C15" s="28"/>
      <c r="D15" s="16"/>
      <c r="E15" s="16"/>
      <c r="F15" s="29"/>
      <c r="G15" s="18"/>
      <c r="H15" s="19"/>
      <c r="I15" s="20"/>
      <c r="J15" s="20"/>
      <c r="K15" s="20"/>
      <c r="L15" s="30"/>
      <c r="M15" s="22">
        <v>45656</v>
      </c>
      <c r="N15" s="23">
        <v>30000</v>
      </c>
      <c r="O15" s="561"/>
      <c r="P15" s="14" t="s">
        <v>27</v>
      </c>
      <c r="Q15" s="3" t="s">
        <v>28</v>
      </c>
      <c r="R15" s="22">
        <v>45657</v>
      </c>
      <c r="S15" s="14"/>
      <c r="T15" s="27"/>
      <c r="U15" s="14" t="s">
        <v>27</v>
      </c>
    </row>
    <row r="16" spans="2:22" ht="19.5" customHeight="1" x14ac:dyDescent="0.4">
      <c r="B16" s="14"/>
      <c r="C16" s="28"/>
      <c r="D16" s="16"/>
      <c r="E16" s="16"/>
      <c r="F16" s="29"/>
      <c r="G16" s="18"/>
      <c r="H16" s="19"/>
      <c r="I16" s="20"/>
      <c r="J16" s="20"/>
      <c r="K16" s="20"/>
      <c r="L16" s="30"/>
      <c r="M16" s="22">
        <v>45656</v>
      </c>
      <c r="N16" s="23">
        <v>700</v>
      </c>
      <c r="O16" s="561"/>
      <c r="P16" s="14" t="s">
        <v>27</v>
      </c>
      <c r="Q16" s="3" t="s">
        <v>28</v>
      </c>
      <c r="R16" s="22">
        <v>45657</v>
      </c>
      <c r="S16" s="14"/>
      <c r="T16" s="27"/>
      <c r="U16" s="14" t="s">
        <v>27</v>
      </c>
    </row>
    <row r="17" spans="2:22" ht="19.5" customHeight="1" x14ac:dyDescent="0.4">
      <c r="B17" s="14"/>
      <c r="C17" s="28"/>
      <c r="D17" s="16"/>
      <c r="E17" s="16"/>
      <c r="F17" s="29"/>
      <c r="G17" s="31"/>
      <c r="H17" s="32"/>
      <c r="I17" s="33"/>
      <c r="J17" s="33"/>
      <c r="K17" s="33"/>
      <c r="L17" s="30"/>
      <c r="M17" s="22">
        <v>45763</v>
      </c>
      <c r="N17" s="23">
        <v>573300</v>
      </c>
      <c r="O17" s="561"/>
      <c r="P17" s="14" t="s">
        <v>30</v>
      </c>
      <c r="Q17" s="3" t="s">
        <v>29</v>
      </c>
      <c r="R17" s="22">
        <v>45787</v>
      </c>
      <c r="S17" s="14"/>
      <c r="T17" s="27"/>
      <c r="U17" s="14" t="s">
        <v>30</v>
      </c>
    </row>
    <row r="18" spans="2:22" ht="19.5" customHeight="1" thickBot="1" x14ac:dyDescent="0.45">
      <c r="C18" s="34"/>
      <c r="D18" s="35"/>
      <c r="E18" s="35"/>
      <c r="F18" s="36"/>
      <c r="G18" s="37"/>
      <c r="H18" s="32"/>
      <c r="I18" s="38"/>
      <c r="J18" s="38"/>
      <c r="K18" s="38"/>
      <c r="L18" s="39"/>
      <c r="M18" s="40"/>
      <c r="N18" s="41"/>
      <c r="O18" s="42"/>
      <c r="P18" s="43"/>
      <c r="R18" s="40"/>
      <c r="T18" s="44"/>
    </row>
    <row r="19" spans="2:22" ht="23.25" customHeight="1" thickTop="1" x14ac:dyDescent="0.3">
      <c r="B19" s="45" t="s">
        <v>3</v>
      </c>
      <c r="C19" s="46">
        <v>102</v>
      </c>
      <c r="D19" s="47"/>
      <c r="E19" s="47"/>
      <c r="F19" s="48" t="s">
        <v>31</v>
      </c>
      <c r="G19" s="49" t="s">
        <v>32</v>
      </c>
      <c r="H19" s="50">
        <v>679000</v>
      </c>
      <c r="I19" s="51"/>
      <c r="J19" s="51"/>
      <c r="K19" s="51"/>
      <c r="L19" s="525">
        <f>SUM(H19:K19)</f>
        <v>679000</v>
      </c>
      <c r="M19" s="52">
        <v>45794</v>
      </c>
      <c r="N19" s="53">
        <v>3000</v>
      </c>
      <c r="O19" s="598">
        <f>SUM(N19:N24)</f>
        <v>679000</v>
      </c>
      <c r="P19" s="45" t="s">
        <v>26</v>
      </c>
      <c r="Q19" s="54" t="s">
        <v>33</v>
      </c>
      <c r="R19" s="52">
        <v>45820</v>
      </c>
      <c r="S19" s="55">
        <v>45794</v>
      </c>
      <c r="T19" s="45"/>
      <c r="U19" s="45" t="s">
        <v>26</v>
      </c>
      <c r="V19" s="56"/>
    </row>
    <row r="20" spans="2:22" ht="23.25" customHeight="1" x14ac:dyDescent="0.3">
      <c r="B20" s="14"/>
      <c r="C20" s="57"/>
      <c r="D20" s="58"/>
      <c r="E20" s="58"/>
      <c r="F20" s="17"/>
      <c r="G20" s="31"/>
      <c r="H20" s="32"/>
      <c r="I20" s="33"/>
      <c r="J20" s="33"/>
      <c r="K20" s="33"/>
      <c r="L20" s="30"/>
      <c r="M20" s="22">
        <v>45811</v>
      </c>
      <c r="N20" s="59">
        <v>150000</v>
      </c>
      <c r="O20" s="599"/>
      <c r="P20" s="14" t="s">
        <v>27</v>
      </c>
      <c r="Q20" s="3" t="s">
        <v>34</v>
      </c>
      <c r="R20" s="22">
        <v>45820</v>
      </c>
      <c r="S20" s="27"/>
      <c r="T20" s="14"/>
      <c r="U20" s="14" t="s">
        <v>27</v>
      </c>
    </row>
    <row r="21" spans="2:22" ht="23.25" customHeight="1" x14ac:dyDescent="0.3">
      <c r="B21" s="14"/>
      <c r="C21" s="57"/>
      <c r="D21" s="58"/>
      <c r="E21" s="58"/>
      <c r="F21" s="17"/>
      <c r="G21" s="31"/>
      <c r="H21" s="32"/>
      <c r="I21" s="33"/>
      <c r="J21" s="33"/>
      <c r="K21" s="33"/>
      <c r="L21" s="30"/>
      <c r="M21" s="22">
        <v>45811</v>
      </c>
      <c r="N21" s="59">
        <v>115000</v>
      </c>
      <c r="O21" s="599"/>
      <c r="P21" s="14" t="s">
        <v>27</v>
      </c>
      <c r="Q21" s="3" t="s">
        <v>35</v>
      </c>
      <c r="R21" s="22">
        <v>45820</v>
      </c>
      <c r="S21" s="27"/>
      <c r="T21" s="14"/>
      <c r="U21" s="14" t="s">
        <v>27</v>
      </c>
    </row>
    <row r="22" spans="2:22" ht="23.25" customHeight="1" x14ac:dyDescent="0.3">
      <c r="B22" s="14"/>
      <c r="C22" s="57"/>
      <c r="D22" s="58"/>
      <c r="E22" s="58"/>
      <c r="F22" s="17"/>
      <c r="G22" s="31"/>
      <c r="H22" s="32"/>
      <c r="I22" s="33"/>
      <c r="J22" s="33"/>
      <c r="K22" s="33"/>
      <c r="L22" s="30"/>
      <c r="M22" s="22">
        <v>45813</v>
      </c>
      <c r="N22" s="59">
        <v>21400</v>
      </c>
      <c r="O22" s="599"/>
      <c r="P22" s="14" t="s">
        <v>27</v>
      </c>
      <c r="Q22" s="3" t="s">
        <v>36</v>
      </c>
      <c r="R22" s="22">
        <v>45820</v>
      </c>
      <c r="S22" s="27"/>
      <c r="T22" s="14"/>
      <c r="U22" s="14" t="s">
        <v>27</v>
      </c>
    </row>
    <row r="23" spans="2:22" ht="23.25" customHeight="1" x14ac:dyDescent="0.3">
      <c r="B23" s="14"/>
      <c r="C23" s="57"/>
      <c r="D23" s="58"/>
      <c r="E23" s="58"/>
      <c r="F23" s="17"/>
      <c r="G23" s="31"/>
      <c r="H23" s="32"/>
      <c r="I23" s="33"/>
      <c r="J23" s="33"/>
      <c r="K23" s="33"/>
      <c r="L23" s="30"/>
      <c r="M23" s="22">
        <v>45813</v>
      </c>
      <c r="N23" s="59">
        <v>10600</v>
      </c>
      <c r="O23" s="599"/>
      <c r="P23" s="14" t="s">
        <v>27</v>
      </c>
      <c r="Q23" s="3" t="s">
        <v>37</v>
      </c>
      <c r="R23" s="22">
        <v>45820</v>
      </c>
      <c r="S23" s="27"/>
      <c r="T23" s="14"/>
      <c r="U23" s="14" t="s">
        <v>27</v>
      </c>
    </row>
    <row r="24" spans="2:22" ht="23.25" customHeight="1" x14ac:dyDescent="0.3">
      <c r="B24" s="14"/>
      <c r="C24" s="57"/>
      <c r="D24" s="58"/>
      <c r="E24" s="58"/>
      <c r="F24" s="17"/>
      <c r="G24" s="31"/>
      <c r="H24" s="32"/>
      <c r="I24" s="33"/>
      <c r="J24" s="33"/>
      <c r="K24" s="33"/>
      <c r="L24" s="30"/>
      <c r="M24" s="22">
        <v>45846</v>
      </c>
      <c r="N24" s="23">
        <v>379000</v>
      </c>
      <c r="O24" s="599"/>
      <c r="P24" s="14" t="s">
        <v>30</v>
      </c>
      <c r="Q24" s="3" t="s">
        <v>38</v>
      </c>
      <c r="R24" s="22">
        <v>45859</v>
      </c>
      <c r="S24" s="27"/>
      <c r="T24" s="14"/>
      <c r="U24" s="14" t="s">
        <v>30</v>
      </c>
    </row>
    <row r="25" spans="2:22" ht="23.25" customHeight="1" thickBot="1" x14ac:dyDescent="0.45">
      <c r="C25" s="61"/>
      <c r="D25" s="62"/>
      <c r="E25" s="62"/>
      <c r="F25" s="63"/>
      <c r="G25" s="64"/>
      <c r="H25" s="32"/>
      <c r="I25" s="38"/>
      <c r="J25" s="38"/>
      <c r="K25" s="38"/>
      <c r="L25" s="39"/>
      <c r="M25" s="40"/>
      <c r="N25" s="41"/>
      <c r="O25" s="60"/>
      <c r="P25" s="65"/>
      <c r="R25" s="40"/>
      <c r="S25" s="44"/>
    </row>
    <row r="26" spans="2:22" ht="19.5" customHeight="1" thickTop="1" x14ac:dyDescent="0.4">
      <c r="B26" s="66" t="s">
        <v>3</v>
      </c>
      <c r="C26" s="67">
        <v>103</v>
      </c>
      <c r="D26" s="68"/>
      <c r="E26" s="68"/>
      <c r="F26" s="69">
        <v>70512701</v>
      </c>
      <c r="G26" s="70" t="s">
        <v>39</v>
      </c>
      <c r="H26" s="71">
        <v>520400</v>
      </c>
      <c r="I26" s="72"/>
      <c r="J26" s="72"/>
      <c r="K26" s="72"/>
      <c r="L26" s="73">
        <f>SUM(H26:K26)</f>
        <v>520400</v>
      </c>
      <c r="M26" s="74">
        <v>45578</v>
      </c>
      <c r="N26" s="75">
        <v>3000</v>
      </c>
      <c r="O26" s="594">
        <f>SUM(N26:N28)</f>
        <v>520400</v>
      </c>
      <c r="P26" s="66" t="s">
        <v>26</v>
      </c>
      <c r="Q26" s="76" t="s">
        <v>40</v>
      </c>
      <c r="R26" s="74">
        <v>45665</v>
      </c>
      <c r="S26" s="66"/>
      <c r="T26" s="77">
        <v>45663</v>
      </c>
      <c r="U26" s="66" t="s">
        <v>26</v>
      </c>
      <c r="V26" s="78"/>
    </row>
    <row r="27" spans="2:22" ht="19.5" customHeight="1" x14ac:dyDescent="0.45">
      <c r="B27" s="14"/>
      <c r="C27" s="79"/>
      <c r="D27" s="80"/>
      <c r="E27" s="80"/>
      <c r="F27" s="81"/>
      <c r="G27" s="31"/>
      <c r="H27" s="32"/>
      <c r="I27" s="33"/>
      <c r="J27" s="33"/>
      <c r="K27" s="33"/>
      <c r="L27" s="82"/>
      <c r="M27" s="22">
        <v>45663</v>
      </c>
      <c r="N27" s="59">
        <v>117000</v>
      </c>
      <c r="O27" s="561"/>
      <c r="P27" s="14" t="s">
        <v>41</v>
      </c>
      <c r="Q27" s="3" t="s">
        <v>40</v>
      </c>
      <c r="R27" s="22">
        <v>45665</v>
      </c>
      <c r="S27" s="14"/>
      <c r="T27" s="14"/>
      <c r="U27" s="14" t="s">
        <v>41</v>
      </c>
    </row>
    <row r="28" spans="2:22" ht="19.5" customHeight="1" x14ac:dyDescent="0.45">
      <c r="B28" s="14"/>
      <c r="C28" s="79"/>
      <c r="D28" s="80"/>
      <c r="E28" s="80"/>
      <c r="F28" s="81"/>
      <c r="G28" s="31"/>
      <c r="H28" s="32"/>
      <c r="I28" s="33"/>
      <c r="J28" s="33"/>
      <c r="K28" s="33"/>
      <c r="L28" s="82"/>
      <c r="M28" s="22">
        <v>45808</v>
      </c>
      <c r="N28" s="23">
        <v>400400</v>
      </c>
      <c r="O28" s="561"/>
      <c r="P28" s="14" t="s">
        <v>30</v>
      </c>
      <c r="Q28" s="3" t="s">
        <v>42</v>
      </c>
      <c r="R28" s="22">
        <v>45678</v>
      </c>
      <c r="S28" s="14"/>
      <c r="T28" s="14"/>
      <c r="U28" s="14" t="s">
        <v>30</v>
      </c>
    </row>
    <row r="29" spans="2:22" ht="19.5" customHeight="1" thickBot="1" x14ac:dyDescent="0.45">
      <c r="B29" s="83"/>
      <c r="C29" s="84"/>
      <c r="D29" s="85"/>
      <c r="E29" s="85"/>
      <c r="F29" s="86"/>
      <c r="G29" s="87"/>
      <c r="H29" s="88"/>
      <c r="I29" s="89"/>
      <c r="J29" s="89"/>
      <c r="K29" s="89"/>
      <c r="L29" s="90"/>
      <c r="M29" s="91"/>
      <c r="N29" s="92"/>
      <c r="O29" s="93"/>
      <c r="P29" s="95"/>
      <c r="Q29" s="94"/>
      <c r="R29" s="91"/>
      <c r="S29" s="95"/>
      <c r="T29" s="95"/>
      <c r="U29" s="95"/>
      <c r="V29" s="95"/>
    </row>
    <row r="30" spans="2:22" ht="26.4" customHeight="1" thickTop="1" x14ac:dyDescent="0.3">
      <c r="B30" s="14" t="s">
        <v>3</v>
      </c>
      <c r="C30" s="79">
        <v>104</v>
      </c>
      <c r="D30" s="17">
        <v>26</v>
      </c>
      <c r="E30" s="17">
        <v>20</v>
      </c>
      <c r="F30" s="17">
        <v>43636501</v>
      </c>
      <c r="G30" s="96" t="s">
        <v>43</v>
      </c>
      <c r="H30" s="32">
        <v>609100</v>
      </c>
      <c r="I30" s="97"/>
      <c r="J30" s="97"/>
      <c r="K30" s="97">
        <v>64600</v>
      </c>
      <c r="L30" s="98">
        <f>SUM(H30:K30)</f>
        <v>673700</v>
      </c>
      <c r="M30" s="22">
        <v>45500</v>
      </c>
      <c r="N30" s="59">
        <v>3000</v>
      </c>
      <c r="O30" s="595">
        <f>SUM(N30:N32)</f>
        <v>673700</v>
      </c>
      <c r="P30" s="14" t="s">
        <v>26</v>
      </c>
      <c r="Q30" s="3" t="s">
        <v>44</v>
      </c>
      <c r="R30" s="22">
        <v>45538</v>
      </c>
      <c r="S30" s="14"/>
      <c r="T30" s="27">
        <v>45537</v>
      </c>
      <c r="U30" s="14" t="s">
        <v>26</v>
      </c>
    </row>
    <row r="31" spans="2:22" ht="26.4" customHeight="1" x14ac:dyDescent="0.3">
      <c r="B31" s="14"/>
      <c r="C31" s="99">
        <v>104</v>
      </c>
      <c r="D31" s="17"/>
      <c r="E31" s="17"/>
      <c r="F31" s="17"/>
      <c r="G31" s="96"/>
      <c r="H31" s="32"/>
      <c r="I31" s="97"/>
      <c r="J31" s="97"/>
      <c r="K31" s="97"/>
      <c r="L31" s="98"/>
      <c r="M31" s="22">
        <v>45537</v>
      </c>
      <c r="N31" s="59">
        <v>134740</v>
      </c>
      <c r="O31" s="561"/>
      <c r="P31" s="14" t="s">
        <v>45</v>
      </c>
      <c r="Q31" s="3" t="s">
        <v>44</v>
      </c>
      <c r="R31" s="22">
        <v>45538</v>
      </c>
      <c r="S31" s="14"/>
      <c r="T31" s="14"/>
      <c r="U31" s="14" t="s">
        <v>45</v>
      </c>
    </row>
    <row r="32" spans="2:22" ht="26.4" customHeight="1" x14ac:dyDescent="0.3">
      <c r="B32" s="14"/>
      <c r="C32" s="99">
        <v>104</v>
      </c>
      <c r="D32" s="17"/>
      <c r="E32" s="17"/>
      <c r="F32" s="17"/>
      <c r="G32" s="96"/>
      <c r="H32" s="32"/>
      <c r="I32" s="97"/>
      <c r="J32" s="97"/>
      <c r="K32" s="97"/>
      <c r="L32" s="98"/>
      <c r="M32" s="22">
        <v>45856</v>
      </c>
      <c r="N32" s="23">
        <v>535960</v>
      </c>
      <c r="O32" s="561"/>
      <c r="P32" s="14" t="s">
        <v>30</v>
      </c>
      <c r="Q32" s="3" t="s">
        <v>46</v>
      </c>
      <c r="R32" s="22">
        <v>45859</v>
      </c>
      <c r="S32" s="14"/>
      <c r="T32" s="14"/>
      <c r="U32" s="14" t="s">
        <v>30</v>
      </c>
    </row>
    <row r="33" spans="2:22" ht="26.4" customHeight="1" thickBot="1" x14ac:dyDescent="0.45">
      <c r="B33" s="83"/>
      <c r="C33" s="84"/>
      <c r="D33" s="100"/>
      <c r="E33" s="100"/>
      <c r="F33" s="100"/>
      <c r="G33" s="101"/>
      <c r="H33" s="102"/>
      <c r="I33" s="103"/>
      <c r="J33" s="103"/>
      <c r="K33" s="103"/>
      <c r="L33" s="104"/>
      <c r="M33" s="91"/>
      <c r="N33" s="92"/>
      <c r="O33" s="105"/>
      <c r="P33" s="95"/>
      <c r="Q33" s="94"/>
      <c r="R33" s="91"/>
      <c r="S33" s="95"/>
      <c r="T33" s="95"/>
      <c r="U33" s="95"/>
      <c r="V33" s="95"/>
    </row>
    <row r="34" spans="2:22" ht="11.4" customHeight="1" thickTop="1" x14ac:dyDescent="0.4">
      <c r="C34" s="106"/>
      <c r="D34" s="62"/>
      <c r="E34" s="62"/>
      <c r="F34" s="107"/>
      <c r="H34" s="19"/>
      <c r="I34" s="108"/>
      <c r="J34" s="108"/>
      <c r="K34" s="108"/>
      <c r="L34" s="109"/>
      <c r="M34" s="40"/>
      <c r="N34" s="41"/>
      <c r="O34" s="23"/>
      <c r="P34"/>
    </row>
    <row r="35" spans="2:22" ht="19.5" customHeight="1" x14ac:dyDescent="0.4">
      <c r="B35" s="7" t="s">
        <v>3</v>
      </c>
      <c r="C35" s="111">
        <v>201</v>
      </c>
      <c r="D35" s="62"/>
      <c r="E35" s="62"/>
      <c r="F35" s="112">
        <v>46730672</v>
      </c>
      <c r="G35" s="112" t="s">
        <v>47</v>
      </c>
      <c r="H35" s="32">
        <v>622500</v>
      </c>
      <c r="I35" s="38"/>
      <c r="J35" s="38"/>
      <c r="K35" s="38"/>
      <c r="L35" s="113">
        <f>SUM(H35:K35)</f>
        <v>622500</v>
      </c>
      <c r="M35" s="40">
        <v>45479</v>
      </c>
      <c r="N35" s="114">
        <v>3000</v>
      </c>
      <c r="O35" s="561">
        <f>SUM(N35:N40)</f>
        <v>622500</v>
      </c>
      <c r="P35" t="s">
        <v>26</v>
      </c>
      <c r="Q35" s="5" t="s">
        <v>48</v>
      </c>
      <c r="R35" s="40">
        <v>45787</v>
      </c>
      <c r="U35" t="s">
        <v>26</v>
      </c>
    </row>
    <row r="36" spans="2:22" ht="19.5" customHeight="1" x14ac:dyDescent="0.4">
      <c r="C36" s="115"/>
      <c r="D36" s="62"/>
      <c r="E36" s="62"/>
      <c r="F36" s="112"/>
      <c r="G36" s="112"/>
      <c r="H36" s="32"/>
      <c r="I36" s="38"/>
      <c r="J36" s="38"/>
      <c r="K36" s="38"/>
      <c r="L36" s="39"/>
      <c r="M36" s="40">
        <v>45488</v>
      </c>
      <c r="N36" s="114">
        <v>20000</v>
      </c>
      <c r="O36" s="561"/>
      <c r="P36" t="s">
        <v>27</v>
      </c>
      <c r="Q36" s="5" t="s">
        <v>49</v>
      </c>
      <c r="R36" s="40">
        <v>45535</v>
      </c>
      <c r="U36" t="s">
        <v>27</v>
      </c>
    </row>
    <row r="37" spans="2:22" ht="19.5" customHeight="1" x14ac:dyDescent="0.4">
      <c r="C37" s="115"/>
      <c r="D37" s="62"/>
      <c r="E37" s="62"/>
      <c r="F37" s="112"/>
      <c r="G37" s="112"/>
      <c r="H37" s="32"/>
      <c r="I37" s="38"/>
      <c r="J37" s="38"/>
      <c r="K37" s="38"/>
      <c r="L37" s="39"/>
      <c r="M37" s="40">
        <v>45722</v>
      </c>
      <c r="N37" s="114">
        <v>65000</v>
      </c>
      <c r="O37" s="561"/>
      <c r="P37" t="s">
        <v>27</v>
      </c>
      <c r="Q37" s="5" t="s">
        <v>50</v>
      </c>
      <c r="R37" s="40">
        <v>45722</v>
      </c>
      <c r="U37" t="s">
        <v>27</v>
      </c>
    </row>
    <row r="38" spans="2:22" ht="19.5" customHeight="1" x14ac:dyDescent="0.4">
      <c r="C38" s="115"/>
      <c r="D38" s="62"/>
      <c r="E38" s="62"/>
      <c r="F38" s="112"/>
      <c r="G38" s="112"/>
      <c r="H38" s="32"/>
      <c r="I38" s="38"/>
      <c r="J38" s="38"/>
      <c r="K38" s="38"/>
      <c r="L38" s="39"/>
      <c r="M38" s="40">
        <v>45722</v>
      </c>
      <c r="N38" s="114">
        <v>22000</v>
      </c>
      <c r="O38" s="561"/>
      <c r="P38" t="s">
        <v>27</v>
      </c>
      <c r="Q38" s="5" t="s">
        <v>50</v>
      </c>
      <c r="R38" s="40">
        <v>45722</v>
      </c>
      <c r="U38" t="s">
        <v>27</v>
      </c>
    </row>
    <row r="39" spans="2:22" ht="19.5" customHeight="1" x14ac:dyDescent="0.4">
      <c r="C39" s="115"/>
      <c r="D39" s="62"/>
      <c r="E39" s="62"/>
      <c r="F39" s="112"/>
      <c r="G39" s="112"/>
      <c r="H39" s="32"/>
      <c r="I39" s="38"/>
      <c r="J39" s="38"/>
      <c r="K39" s="38"/>
      <c r="L39" s="39"/>
      <c r="M39" s="40">
        <v>45761</v>
      </c>
      <c r="N39" s="41">
        <v>512500</v>
      </c>
      <c r="O39" s="561"/>
      <c r="P39" t="s">
        <v>52</v>
      </c>
      <c r="Q39" s="5" t="s">
        <v>51</v>
      </c>
      <c r="R39" s="40">
        <v>45787</v>
      </c>
      <c r="U39" t="s">
        <v>52</v>
      </c>
    </row>
    <row r="40" spans="2:22" ht="19.5" customHeight="1" thickBot="1" x14ac:dyDescent="0.45">
      <c r="B40" s="116"/>
      <c r="C40" s="117"/>
      <c r="D40" s="118"/>
      <c r="E40" s="118"/>
      <c r="F40" s="119"/>
      <c r="G40" s="119"/>
      <c r="H40" s="120"/>
      <c r="I40" s="121"/>
      <c r="J40" s="121"/>
      <c r="K40" s="121"/>
      <c r="L40" s="122"/>
      <c r="M40" s="123"/>
      <c r="N40" s="124"/>
      <c r="O40" s="125"/>
      <c r="P40" s="127"/>
      <c r="Q40" s="126"/>
      <c r="R40" s="123"/>
      <c r="S40" s="127"/>
      <c r="T40" s="127"/>
      <c r="U40" s="127"/>
      <c r="V40" s="127"/>
    </row>
    <row r="41" spans="2:22" ht="11.25" customHeight="1" thickTop="1" x14ac:dyDescent="0.4">
      <c r="C41" s="115"/>
      <c r="D41" s="62"/>
      <c r="E41" s="62"/>
      <c r="F41" s="112"/>
      <c r="G41" s="112"/>
      <c r="H41" s="32"/>
      <c r="I41" s="38"/>
      <c r="J41" s="38"/>
      <c r="K41" s="38"/>
      <c r="L41" s="39"/>
      <c r="M41" s="40"/>
      <c r="N41" s="41"/>
      <c r="O41" s="24"/>
      <c r="P41"/>
      <c r="R41" s="40"/>
    </row>
    <row r="42" spans="2:22" ht="19.5" customHeight="1" x14ac:dyDescent="0.45">
      <c r="B42" t="s">
        <v>3</v>
      </c>
      <c r="C42" s="111">
        <v>202</v>
      </c>
      <c r="D42" s="128"/>
      <c r="E42" s="128"/>
      <c r="F42" s="129">
        <v>31676885</v>
      </c>
      <c r="G42" s="130" t="s">
        <v>53</v>
      </c>
      <c r="H42" s="131">
        <v>446900</v>
      </c>
      <c r="I42" s="38"/>
      <c r="J42" s="38"/>
      <c r="K42" s="38"/>
      <c r="L42" s="132">
        <f>SUM(H42:K42)</f>
        <v>446900</v>
      </c>
      <c r="M42" s="40">
        <v>45526</v>
      </c>
      <c r="N42" s="41">
        <v>3000</v>
      </c>
      <c r="O42" s="561">
        <f>SUM(N42:N44)</f>
        <v>447080</v>
      </c>
      <c r="P42" t="s">
        <v>26</v>
      </c>
      <c r="Q42" s="5" t="s">
        <v>54</v>
      </c>
      <c r="R42" s="40">
        <v>45915</v>
      </c>
      <c r="U42" t="s">
        <v>26</v>
      </c>
    </row>
    <row r="43" spans="2:22" ht="19.5" customHeight="1" x14ac:dyDescent="0.45">
      <c r="B43"/>
      <c r="C43" s="61"/>
      <c r="D43" s="128"/>
      <c r="E43" s="128"/>
      <c r="F43" s="129"/>
      <c r="G43" s="130"/>
      <c r="H43" s="131"/>
      <c r="I43" s="38"/>
      <c r="J43" s="38"/>
      <c r="K43" s="38"/>
      <c r="L43" s="133"/>
      <c r="M43" s="40">
        <v>45911</v>
      </c>
      <c r="N43" s="41">
        <v>86560</v>
      </c>
      <c r="O43" s="561"/>
      <c r="P43" t="s">
        <v>27</v>
      </c>
      <c r="Q43" s="5" t="s">
        <v>55</v>
      </c>
      <c r="R43" s="40">
        <v>45915</v>
      </c>
      <c r="U43" t="s">
        <v>27</v>
      </c>
    </row>
    <row r="44" spans="2:22" ht="19.5" customHeight="1" x14ac:dyDescent="0.45">
      <c r="B44"/>
      <c r="C44" s="61"/>
      <c r="D44" s="128"/>
      <c r="E44" s="128"/>
      <c r="F44" s="129"/>
      <c r="G44" s="130"/>
      <c r="H44" s="131"/>
      <c r="I44" s="38"/>
      <c r="J44" s="38"/>
      <c r="K44" s="38"/>
      <c r="L44" s="133"/>
      <c r="M44" s="40">
        <v>46021</v>
      </c>
      <c r="N44" s="41">
        <v>357520</v>
      </c>
      <c r="O44" s="561"/>
      <c r="P44" t="s">
        <v>52</v>
      </c>
      <c r="Q44" s="5" t="s">
        <v>250</v>
      </c>
      <c r="R44" s="40">
        <v>46022</v>
      </c>
      <c r="U44" t="s">
        <v>52</v>
      </c>
    </row>
    <row r="45" spans="2:22" ht="19.5" customHeight="1" x14ac:dyDescent="0.45">
      <c r="B45"/>
      <c r="C45" s="61"/>
      <c r="D45" s="128"/>
      <c r="E45" s="128"/>
      <c r="F45" s="129"/>
      <c r="H45" s="131"/>
      <c r="I45" s="38"/>
      <c r="J45" s="38"/>
      <c r="K45" s="38"/>
      <c r="L45" s="133"/>
      <c r="M45" s="40"/>
      <c r="N45" s="114"/>
      <c r="O45" s="59"/>
      <c r="P45"/>
    </row>
    <row r="46" spans="2:22" ht="19.5" customHeight="1" thickBot="1" x14ac:dyDescent="0.45">
      <c r="B46" s="116"/>
      <c r="C46" s="117"/>
      <c r="D46" s="118"/>
      <c r="E46" s="118"/>
      <c r="F46" s="119"/>
      <c r="G46" s="119"/>
      <c r="H46" s="120"/>
      <c r="I46" s="121"/>
      <c r="J46" s="121"/>
      <c r="K46" s="121"/>
      <c r="L46" s="122"/>
      <c r="M46" s="123"/>
      <c r="N46" s="124"/>
      <c r="O46" s="125"/>
      <c r="P46" s="127"/>
      <c r="Q46" s="126"/>
      <c r="R46" s="123"/>
      <c r="S46" s="127"/>
      <c r="T46" s="127"/>
      <c r="U46" s="127"/>
      <c r="V46" s="127"/>
    </row>
    <row r="47" spans="2:22" ht="9.75" customHeight="1" thickTop="1" x14ac:dyDescent="0.4">
      <c r="C47" s="61"/>
      <c r="D47" s="62"/>
      <c r="E47" s="62"/>
      <c r="F47" s="107"/>
      <c r="H47" s="19"/>
      <c r="I47" s="108"/>
      <c r="J47" s="108"/>
      <c r="K47" s="108"/>
      <c r="L47" s="39"/>
      <c r="M47" s="40"/>
      <c r="N47" s="41"/>
      <c r="O47" s="23"/>
      <c r="P47"/>
    </row>
    <row r="48" spans="2:22" ht="19.5" customHeight="1" x14ac:dyDescent="0.3">
      <c r="B48" t="s">
        <v>3</v>
      </c>
      <c r="C48" s="2">
        <v>203</v>
      </c>
      <c r="D48" s="112">
        <v>12</v>
      </c>
      <c r="E48" s="112">
        <v>9</v>
      </c>
      <c r="F48" s="112">
        <v>6571347</v>
      </c>
      <c r="G48" s="112" t="s">
        <v>56</v>
      </c>
      <c r="H48" s="131">
        <v>654000</v>
      </c>
      <c r="I48" s="38"/>
      <c r="J48" s="38"/>
      <c r="K48" s="38">
        <v>56300</v>
      </c>
      <c r="L48" s="494">
        <f>SUM(H48:K48)</f>
        <v>710300</v>
      </c>
      <c r="M48" s="40">
        <v>45535</v>
      </c>
      <c r="N48" s="41">
        <v>3000</v>
      </c>
      <c r="O48" s="561">
        <f>SUM(N48:N61)</f>
        <v>710300</v>
      </c>
      <c r="P48" t="s">
        <v>26</v>
      </c>
      <c r="Q48" s="5" t="s">
        <v>251</v>
      </c>
      <c r="R48" s="40">
        <v>45544</v>
      </c>
      <c r="U48" t="s">
        <v>26</v>
      </c>
    </row>
    <row r="49" spans="2:22" ht="19.5" customHeight="1" x14ac:dyDescent="0.3">
      <c r="B49"/>
      <c r="C49" s="144"/>
      <c r="D49" s="112"/>
      <c r="E49" s="112"/>
      <c r="F49" s="112"/>
      <c r="G49" s="112"/>
      <c r="H49" s="131"/>
      <c r="I49" s="38"/>
      <c r="J49" s="38"/>
      <c r="K49" s="38"/>
      <c r="L49" s="495"/>
      <c r="M49" s="40">
        <v>45539</v>
      </c>
      <c r="N49" s="41">
        <v>281120</v>
      </c>
      <c r="O49" s="561"/>
      <c r="P49" t="s">
        <v>27</v>
      </c>
      <c r="Q49" s="5" t="s">
        <v>251</v>
      </c>
      <c r="R49" s="40">
        <v>45544</v>
      </c>
      <c r="U49" t="s">
        <v>27</v>
      </c>
    </row>
    <row r="50" spans="2:22" ht="19.5" customHeight="1" x14ac:dyDescent="0.3">
      <c r="B50"/>
      <c r="C50" s="144"/>
      <c r="D50" s="112"/>
      <c r="E50" s="112"/>
      <c r="F50" s="112"/>
      <c r="G50" s="112"/>
      <c r="H50" s="131"/>
      <c r="I50" s="38"/>
      <c r="J50" s="38"/>
      <c r="K50" s="38"/>
      <c r="L50" s="495"/>
      <c r="M50" s="40">
        <v>45559</v>
      </c>
      <c r="N50" s="41">
        <v>248605</v>
      </c>
      <c r="O50" s="561"/>
      <c r="P50" t="s">
        <v>27</v>
      </c>
      <c r="Q50" s="5" t="s">
        <v>252</v>
      </c>
      <c r="R50" s="40">
        <v>45559</v>
      </c>
      <c r="U50" t="s">
        <v>27</v>
      </c>
    </row>
    <row r="51" spans="2:22" ht="19.5" customHeight="1" x14ac:dyDescent="0.3">
      <c r="B51"/>
      <c r="C51" s="144"/>
      <c r="D51" s="112"/>
      <c r="E51" s="112"/>
      <c r="F51" s="112"/>
      <c r="G51" s="112"/>
      <c r="H51" s="131"/>
      <c r="I51" s="38"/>
      <c r="J51" s="38"/>
      <c r="K51" s="38"/>
      <c r="L51" s="495"/>
      <c r="M51" s="40">
        <v>45750</v>
      </c>
      <c r="N51" s="41">
        <v>20000</v>
      </c>
      <c r="O51" s="561"/>
      <c r="P51" t="s">
        <v>27</v>
      </c>
      <c r="Q51" s="5" t="s">
        <v>253</v>
      </c>
      <c r="R51" s="40">
        <v>45786</v>
      </c>
      <c r="U51" t="s">
        <v>27</v>
      </c>
    </row>
    <row r="52" spans="2:22" ht="19.5" customHeight="1" x14ac:dyDescent="0.3">
      <c r="B52"/>
      <c r="C52" s="144"/>
      <c r="D52" s="112"/>
      <c r="E52" s="112"/>
      <c r="F52" s="112"/>
      <c r="G52" s="112"/>
      <c r="H52" s="131"/>
      <c r="I52" s="38"/>
      <c r="J52" s="38"/>
      <c r="K52" s="38"/>
      <c r="L52" s="495"/>
      <c r="M52" s="40">
        <v>45751</v>
      </c>
      <c r="N52" s="41">
        <v>15515</v>
      </c>
      <c r="O52" s="561"/>
      <c r="P52" t="s">
        <v>27</v>
      </c>
      <c r="Q52" s="5" t="s">
        <v>253</v>
      </c>
      <c r="R52" s="40">
        <v>45786</v>
      </c>
      <c r="U52" t="s">
        <v>27</v>
      </c>
    </row>
    <row r="53" spans="2:22" ht="19.5" customHeight="1" x14ac:dyDescent="0.3">
      <c r="B53"/>
      <c r="C53" s="144"/>
      <c r="D53" s="112"/>
      <c r="E53" s="112"/>
      <c r="F53" s="112"/>
      <c r="G53" s="112"/>
      <c r="H53" s="131"/>
      <c r="I53" s="38"/>
      <c r="J53" s="38"/>
      <c r="K53" s="38"/>
      <c r="L53" s="495"/>
      <c r="M53" s="40">
        <v>45793</v>
      </c>
      <c r="N53" s="41">
        <v>20000</v>
      </c>
      <c r="O53" s="561"/>
      <c r="P53"/>
      <c r="Q53" s="5" t="s">
        <v>254</v>
      </c>
      <c r="R53" s="40">
        <v>45798</v>
      </c>
    </row>
    <row r="54" spans="2:22" ht="19.5" customHeight="1" x14ac:dyDescent="0.3">
      <c r="B54"/>
      <c r="C54" s="144"/>
      <c r="D54" s="112"/>
      <c r="E54" s="112"/>
      <c r="F54" s="112"/>
      <c r="G54" s="112"/>
      <c r="H54" s="131"/>
      <c r="I54" s="38"/>
      <c r="J54" s="38"/>
      <c r="K54" s="38"/>
      <c r="L54" s="495"/>
      <c r="M54" s="40">
        <v>45794</v>
      </c>
      <c r="N54" s="41">
        <v>15515</v>
      </c>
      <c r="O54" s="561"/>
      <c r="P54"/>
      <c r="Q54" s="5" t="s">
        <v>255</v>
      </c>
      <c r="R54" s="40">
        <v>45798</v>
      </c>
    </row>
    <row r="55" spans="2:22" ht="19.5" customHeight="1" x14ac:dyDescent="0.3">
      <c r="B55"/>
      <c r="C55" s="144"/>
      <c r="D55" s="112"/>
      <c r="E55" s="112"/>
      <c r="F55" s="112"/>
      <c r="G55" s="112"/>
      <c r="H55" s="131"/>
      <c r="I55" s="38"/>
      <c r="J55" s="38"/>
      <c r="K55" s="38"/>
      <c r="L55" s="495"/>
      <c r="M55" s="40">
        <v>45831</v>
      </c>
      <c r="N55" s="41">
        <v>20000</v>
      </c>
      <c r="O55" s="561"/>
      <c r="P55"/>
      <c r="Q55" s="5" t="s">
        <v>256</v>
      </c>
      <c r="R55" s="40">
        <v>45833</v>
      </c>
    </row>
    <row r="56" spans="2:22" ht="19.5" customHeight="1" x14ac:dyDescent="0.3">
      <c r="B56"/>
      <c r="C56" s="144"/>
      <c r="D56" s="112"/>
      <c r="E56" s="112"/>
      <c r="F56" s="112"/>
      <c r="G56" s="112"/>
      <c r="H56" s="131"/>
      <c r="I56" s="38"/>
      <c r="J56" s="38"/>
      <c r="K56" s="38"/>
      <c r="L56" s="495"/>
      <c r="M56" s="40">
        <v>45832</v>
      </c>
      <c r="N56" s="41">
        <v>15515</v>
      </c>
      <c r="O56" s="561"/>
      <c r="P56"/>
      <c r="Q56" s="5" t="s">
        <v>257</v>
      </c>
      <c r="R56" s="40">
        <v>45833</v>
      </c>
    </row>
    <row r="57" spans="2:22" ht="19.5" customHeight="1" x14ac:dyDescent="0.3">
      <c r="B57"/>
      <c r="C57" s="144"/>
      <c r="D57" s="112"/>
      <c r="E57" s="112"/>
      <c r="F57" s="112"/>
      <c r="G57" s="112"/>
      <c r="H57" s="131"/>
      <c r="I57" s="38"/>
      <c r="J57" s="38"/>
      <c r="K57" s="38"/>
      <c r="L57" s="495"/>
      <c r="M57" s="40">
        <v>45858</v>
      </c>
      <c r="N57" s="41">
        <v>20000</v>
      </c>
      <c r="O57" s="561"/>
      <c r="P57"/>
      <c r="Q57" s="5" t="s">
        <v>258</v>
      </c>
      <c r="R57" s="40">
        <v>45880</v>
      </c>
    </row>
    <row r="58" spans="2:22" ht="19.5" customHeight="1" x14ac:dyDescent="0.3">
      <c r="B58"/>
      <c r="C58" s="144"/>
      <c r="D58" s="112"/>
      <c r="E58" s="112"/>
      <c r="F58" s="112"/>
      <c r="G58" s="112"/>
      <c r="H58" s="131"/>
      <c r="I58" s="38"/>
      <c r="J58" s="38"/>
      <c r="K58" s="38"/>
      <c r="L58" s="495"/>
      <c r="M58" s="40">
        <v>45859</v>
      </c>
      <c r="N58" s="41">
        <v>15515</v>
      </c>
      <c r="O58" s="561"/>
      <c r="P58"/>
      <c r="Q58" s="5" t="s">
        <v>259</v>
      </c>
      <c r="R58" s="40">
        <v>45880</v>
      </c>
    </row>
    <row r="59" spans="2:22" ht="19.5" customHeight="1" x14ac:dyDescent="0.3">
      <c r="B59"/>
      <c r="C59" s="144"/>
      <c r="D59" s="112"/>
      <c r="E59" s="112"/>
      <c r="F59" s="112"/>
      <c r="G59" s="112"/>
      <c r="H59" s="131"/>
      <c r="I59" s="38"/>
      <c r="J59" s="38"/>
      <c r="K59" s="38"/>
      <c r="L59" s="495"/>
      <c r="M59" s="40">
        <v>45894</v>
      </c>
      <c r="N59" s="41">
        <v>20000</v>
      </c>
      <c r="O59" s="561"/>
      <c r="P59"/>
      <c r="Q59" s="5" t="s">
        <v>260</v>
      </c>
      <c r="R59" s="40">
        <v>45903</v>
      </c>
    </row>
    <row r="60" spans="2:22" ht="19.5" customHeight="1" x14ac:dyDescent="0.3">
      <c r="B60"/>
      <c r="C60" s="144"/>
      <c r="D60" s="112"/>
      <c r="E60" s="112"/>
      <c r="F60" s="112"/>
      <c r="G60" s="112"/>
      <c r="H60" s="131"/>
      <c r="I60" s="38"/>
      <c r="J60" s="38"/>
      <c r="K60" s="38"/>
      <c r="L60" s="495"/>
      <c r="M60" s="40">
        <v>45895</v>
      </c>
      <c r="N60" s="41">
        <v>15515</v>
      </c>
      <c r="O60" s="561"/>
      <c r="P60"/>
      <c r="Q60" s="5" t="s">
        <v>261</v>
      </c>
      <c r="R60" s="40">
        <v>45903</v>
      </c>
    </row>
    <row r="61" spans="2:22" ht="19.5" customHeight="1" thickBot="1" x14ac:dyDescent="0.45">
      <c r="B61" s="136"/>
      <c r="D61" s="119"/>
      <c r="E61" s="119"/>
      <c r="F61" s="119"/>
      <c r="G61" s="119"/>
      <c r="H61" s="137"/>
      <c r="I61" s="138"/>
      <c r="J61" s="138"/>
      <c r="K61" s="138"/>
      <c r="L61" s="139"/>
      <c r="M61" s="140"/>
      <c r="N61" s="141"/>
      <c r="O61" s="496"/>
      <c r="P61" s="143"/>
      <c r="Q61" s="142"/>
      <c r="R61" s="140"/>
      <c r="S61" s="143"/>
      <c r="T61" s="143"/>
      <c r="U61" s="143"/>
      <c r="V61" s="143"/>
    </row>
    <row r="62" spans="2:22" ht="11.25" customHeight="1" thickTop="1" x14ac:dyDescent="0.4">
      <c r="C62" s="144"/>
      <c r="D62" s="145"/>
      <c r="E62" s="145"/>
      <c r="F62" s="107"/>
      <c r="G62" s="146"/>
      <c r="H62" s="19"/>
      <c r="I62" s="108"/>
      <c r="J62" s="108"/>
      <c r="K62" s="108"/>
      <c r="L62" s="39"/>
      <c r="M62" s="40"/>
      <c r="N62" s="41"/>
      <c r="O62" s="147"/>
      <c r="P62" s="148"/>
      <c r="R62" s="40"/>
    </row>
    <row r="63" spans="2:22" ht="19.2" customHeight="1" x14ac:dyDescent="0.4">
      <c r="B63" s="7" t="s">
        <v>3</v>
      </c>
      <c r="C63" s="144">
        <v>204</v>
      </c>
      <c r="D63" s="145"/>
      <c r="E63" s="145"/>
      <c r="F63" s="107">
        <v>45904354</v>
      </c>
      <c r="G63" s="146" t="s">
        <v>268</v>
      </c>
      <c r="H63" s="19">
        <v>417700</v>
      </c>
      <c r="I63" s="108"/>
      <c r="J63" s="108"/>
      <c r="K63" s="108"/>
      <c r="L63" s="135">
        <f>SUM(H63:K63)</f>
        <v>417700</v>
      </c>
      <c r="M63" s="40">
        <v>46053</v>
      </c>
      <c r="N63" s="41">
        <v>3000</v>
      </c>
      <c r="O63" s="147"/>
      <c r="P63" s="148" t="s">
        <v>126</v>
      </c>
      <c r="R63" s="40"/>
    </row>
    <row r="64" spans="2:22" ht="19.2" customHeight="1" x14ac:dyDescent="0.4">
      <c r="C64" s="144"/>
      <c r="D64" s="145"/>
      <c r="E64" s="145"/>
      <c r="F64" s="107"/>
      <c r="G64" s="146"/>
      <c r="H64" s="19"/>
      <c r="I64" s="108"/>
      <c r="J64" s="108"/>
      <c r="K64" s="108"/>
      <c r="L64" s="39"/>
      <c r="M64" s="40"/>
      <c r="N64" s="41"/>
      <c r="O64" s="147"/>
      <c r="P64" s="148"/>
      <c r="R64" s="40"/>
    </row>
    <row r="65" spans="2:22" ht="19.2" customHeight="1" thickBot="1" x14ac:dyDescent="0.55000000000000004">
      <c r="B65" s="149"/>
      <c r="C65" s="150"/>
      <c r="D65" s="151"/>
      <c r="E65" s="151"/>
      <c r="F65" s="150"/>
      <c r="G65" s="152"/>
      <c r="H65" s="153"/>
      <c r="I65" s="154"/>
      <c r="J65" s="154"/>
      <c r="K65" s="154"/>
      <c r="L65" s="155"/>
      <c r="M65" s="156"/>
      <c r="N65" s="157"/>
      <c r="O65" s="158"/>
      <c r="P65" s="159"/>
      <c r="Q65" s="157"/>
      <c r="R65" s="160"/>
      <c r="S65" s="161"/>
      <c r="T65" s="161"/>
      <c r="U65" s="161"/>
      <c r="V65" s="161"/>
    </row>
    <row r="66" spans="2:22" ht="13.5" customHeight="1" thickTop="1" x14ac:dyDescent="0.5">
      <c r="D66" s="62"/>
      <c r="E66" s="62"/>
      <c r="G66" s="162"/>
      <c r="H66" s="32"/>
      <c r="I66" s="38"/>
      <c r="J66" s="38"/>
      <c r="K66" s="38"/>
      <c r="L66" s="39"/>
    </row>
    <row r="67" spans="2:22" ht="19.2" customHeight="1" x14ac:dyDescent="0.4">
      <c r="B67" s="7" t="s">
        <v>3</v>
      </c>
      <c r="C67" s="497">
        <v>205</v>
      </c>
      <c r="D67" s="62"/>
      <c r="E67" s="112"/>
      <c r="F67" s="112">
        <v>71404863</v>
      </c>
      <c r="G67" s="112" t="s">
        <v>57</v>
      </c>
      <c r="H67" s="32">
        <v>490000</v>
      </c>
      <c r="I67" s="38"/>
      <c r="J67" s="38"/>
      <c r="K67" s="38"/>
      <c r="L67" s="135">
        <f>SUM(H67:K67)</f>
        <v>490000</v>
      </c>
      <c r="M67" s="40">
        <v>45620</v>
      </c>
      <c r="N67" s="114">
        <v>2000</v>
      </c>
      <c r="O67" s="583">
        <f>SUM(N67:N69)</f>
        <v>490000</v>
      </c>
      <c r="P67" t="s">
        <v>26</v>
      </c>
      <c r="Q67" s="5" t="s">
        <v>262</v>
      </c>
      <c r="R67" s="40">
        <v>45789</v>
      </c>
      <c r="S67" s="44">
        <v>45621</v>
      </c>
      <c r="U67" t="s">
        <v>26</v>
      </c>
    </row>
    <row r="68" spans="2:22" ht="19.5" customHeight="1" x14ac:dyDescent="0.4">
      <c r="C68" s="106"/>
      <c r="D68" s="62"/>
      <c r="E68" s="112"/>
      <c r="F68" s="112"/>
      <c r="G68" s="112"/>
      <c r="H68" s="32"/>
      <c r="I68" s="38"/>
      <c r="J68" s="38"/>
      <c r="K68" s="38"/>
      <c r="L68" s="135"/>
      <c r="M68" s="40">
        <v>45750</v>
      </c>
      <c r="N68" s="114">
        <v>96000</v>
      </c>
      <c r="O68" s="583"/>
      <c r="P68"/>
      <c r="Q68" s="5" t="s">
        <v>262</v>
      </c>
      <c r="R68" s="40">
        <v>45789</v>
      </c>
      <c r="S68" s="44"/>
    </row>
    <row r="69" spans="2:22" ht="19.5" customHeight="1" x14ac:dyDescent="0.4">
      <c r="C69" s="106"/>
      <c r="D69" s="62"/>
      <c r="E69" s="112"/>
      <c r="F69" s="112"/>
      <c r="G69" s="112"/>
      <c r="H69" s="32"/>
      <c r="I69" s="38"/>
      <c r="J69" s="38"/>
      <c r="K69" s="38"/>
      <c r="L69" s="135"/>
      <c r="M69" s="40">
        <v>45882</v>
      </c>
      <c r="N69" s="41">
        <v>392000</v>
      </c>
      <c r="O69" s="600"/>
      <c r="P69" t="s">
        <v>45</v>
      </c>
      <c r="Q69" s="5" t="s">
        <v>263</v>
      </c>
      <c r="R69" s="40">
        <v>45915</v>
      </c>
      <c r="U69" t="s">
        <v>45</v>
      </c>
    </row>
    <row r="70" spans="2:22" ht="14.25" customHeight="1" thickBot="1" x14ac:dyDescent="0.45">
      <c r="B70" s="163"/>
      <c r="C70" s="164"/>
      <c r="D70" s="165"/>
      <c r="E70" s="165"/>
      <c r="F70" s="166"/>
      <c r="G70" s="167"/>
      <c r="H70" s="168"/>
      <c r="I70" s="169"/>
      <c r="J70" s="169"/>
      <c r="K70" s="169"/>
      <c r="L70" s="170"/>
      <c r="M70" s="171"/>
      <c r="N70" s="172"/>
      <c r="O70" s="173"/>
      <c r="P70" s="174"/>
    </row>
    <row r="71" spans="2:22" ht="19.5" customHeight="1" thickTop="1" x14ac:dyDescent="0.4">
      <c r="B71" s="7" t="s">
        <v>3</v>
      </c>
      <c r="C71" s="497">
        <v>301</v>
      </c>
      <c r="D71" s="62"/>
      <c r="E71" s="62"/>
      <c r="F71" s="112">
        <v>46304395</v>
      </c>
      <c r="G71" s="112" t="s">
        <v>58</v>
      </c>
      <c r="H71" s="32">
        <v>630000</v>
      </c>
      <c r="I71" s="38"/>
      <c r="J71" s="38"/>
      <c r="K71" s="38"/>
      <c r="L71" s="135">
        <f>SUM(H71:K71)</f>
        <v>630000</v>
      </c>
      <c r="M71" s="40">
        <v>45754</v>
      </c>
      <c r="N71" s="114">
        <v>3000</v>
      </c>
      <c r="O71" s="592">
        <f>SUM(N71:N75)</f>
        <v>630000</v>
      </c>
      <c r="P71" t="s">
        <v>26</v>
      </c>
      <c r="Q71" s="5" t="s">
        <v>264</v>
      </c>
      <c r="R71" s="40">
        <v>45789</v>
      </c>
      <c r="S71" s="44">
        <v>45593</v>
      </c>
      <c r="U71" t="s">
        <v>26</v>
      </c>
    </row>
    <row r="72" spans="2:22" ht="19.5" customHeight="1" x14ac:dyDescent="0.4">
      <c r="C72" s="106"/>
      <c r="D72" s="62"/>
      <c r="E72" s="62"/>
      <c r="F72" s="112"/>
      <c r="G72" s="112"/>
      <c r="H72" s="32"/>
      <c r="I72" s="38"/>
      <c r="J72" s="38"/>
      <c r="K72" s="38"/>
      <c r="L72" s="39"/>
      <c r="M72" s="40">
        <v>45775</v>
      </c>
      <c r="N72" s="114">
        <v>55000</v>
      </c>
      <c r="O72" s="583"/>
      <c r="P72" t="s">
        <v>45</v>
      </c>
      <c r="Q72" s="5" t="s">
        <v>264</v>
      </c>
      <c r="R72" s="40">
        <v>45789</v>
      </c>
      <c r="U72" t="s">
        <v>45</v>
      </c>
    </row>
    <row r="73" spans="2:22" ht="19.5" customHeight="1" x14ac:dyDescent="0.4">
      <c r="C73" s="106"/>
      <c r="D73" s="62"/>
      <c r="E73" s="62"/>
      <c r="F73" s="112"/>
      <c r="G73" s="112"/>
      <c r="H73" s="32"/>
      <c r="I73" s="38"/>
      <c r="J73" s="38"/>
      <c r="K73" s="38"/>
      <c r="L73" s="39"/>
      <c r="M73" s="40">
        <v>45833</v>
      </c>
      <c r="N73" s="114">
        <v>44000</v>
      </c>
      <c r="O73" s="583"/>
      <c r="P73" s="545"/>
      <c r="Q73" s="5" t="s">
        <v>265</v>
      </c>
      <c r="R73" s="40">
        <v>45834</v>
      </c>
    </row>
    <row r="74" spans="2:22" ht="19.5" customHeight="1" x14ac:dyDescent="0.4">
      <c r="C74" s="106"/>
      <c r="D74" s="62"/>
      <c r="E74" s="62"/>
      <c r="F74" s="112"/>
      <c r="G74" s="112"/>
      <c r="H74" s="32"/>
      <c r="I74" s="38"/>
      <c r="J74" s="38"/>
      <c r="K74" s="38"/>
      <c r="L74" s="39"/>
      <c r="M74" s="40">
        <v>45833</v>
      </c>
      <c r="N74" s="114">
        <v>68000</v>
      </c>
      <c r="O74" s="583"/>
      <c r="P74" s="545"/>
      <c r="Q74" s="5" t="s">
        <v>266</v>
      </c>
      <c r="R74" s="40">
        <v>45834</v>
      </c>
    </row>
    <row r="75" spans="2:22" ht="19.5" customHeight="1" thickBot="1" x14ac:dyDescent="0.45">
      <c r="C75" s="106"/>
      <c r="D75" s="62"/>
      <c r="E75" s="62"/>
      <c r="F75" s="112"/>
      <c r="G75" s="112"/>
      <c r="H75" s="32"/>
      <c r="I75" s="38"/>
      <c r="J75" s="38"/>
      <c r="K75" s="38"/>
      <c r="L75" s="39"/>
      <c r="M75" s="175">
        <v>45868</v>
      </c>
      <c r="N75" s="176">
        <v>460000</v>
      </c>
      <c r="O75" s="593"/>
      <c r="P75" s="546"/>
      <c r="Q75" s="5" t="s">
        <v>267</v>
      </c>
      <c r="R75" s="40">
        <v>45880</v>
      </c>
    </row>
    <row r="76" spans="2:22" ht="13.5" customHeight="1" thickTop="1" x14ac:dyDescent="0.4">
      <c r="B76" s="177"/>
      <c r="C76" s="178"/>
      <c r="D76" s="179"/>
      <c r="E76" s="179"/>
      <c r="F76" s="180"/>
      <c r="G76" s="181"/>
      <c r="H76" s="182"/>
      <c r="I76" s="183"/>
      <c r="J76" s="183"/>
      <c r="K76" s="183"/>
      <c r="L76" s="184"/>
      <c r="M76" s="185"/>
      <c r="N76" s="186"/>
      <c r="O76" s="187"/>
      <c r="P76" s="188"/>
      <c r="Q76" s="189"/>
      <c r="R76" s="190"/>
      <c r="S76" s="181"/>
      <c r="T76" s="181"/>
      <c r="U76" s="181"/>
      <c r="V76" s="181"/>
    </row>
    <row r="77" spans="2:22" ht="19.5" customHeight="1" x14ac:dyDescent="0.4">
      <c r="B77" s="7" t="s">
        <v>3</v>
      </c>
      <c r="C77" s="497">
        <v>302</v>
      </c>
      <c r="D77" s="62"/>
      <c r="E77" s="62"/>
      <c r="F77" s="112">
        <v>45110882</v>
      </c>
      <c r="G77" s="112" t="s">
        <v>59</v>
      </c>
      <c r="H77" s="32">
        <v>435000</v>
      </c>
      <c r="I77" s="38"/>
      <c r="J77" s="38"/>
      <c r="K77" s="38"/>
      <c r="L77" s="113">
        <f>SUM(H77:K77)</f>
        <v>435000</v>
      </c>
      <c r="M77" s="40">
        <v>45473</v>
      </c>
      <c r="N77" s="114">
        <v>3000</v>
      </c>
      <c r="O77" s="585">
        <f>SUM(N77:N83)</f>
        <v>435500</v>
      </c>
      <c r="P77" t="s">
        <v>26</v>
      </c>
      <c r="Q77" s="5" t="s">
        <v>269</v>
      </c>
      <c r="R77" s="40">
        <v>45543</v>
      </c>
      <c r="T77" s="44">
        <v>45499</v>
      </c>
      <c r="U77" t="s">
        <v>26</v>
      </c>
    </row>
    <row r="78" spans="2:22" ht="19.5" customHeight="1" x14ac:dyDescent="0.4">
      <c r="C78" s="61"/>
      <c r="D78" s="62"/>
      <c r="E78" s="62"/>
      <c r="F78" s="112"/>
      <c r="G78" s="112"/>
      <c r="H78" s="32"/>
      <c r="I78" s="38"/>
      <c r="J78" s="38"/>
      <c r="K78" s="38"/>
      <c r="L78" s="113"/>
      <c r="M78" s="40">
        <v>45511</v>
      </c>
      <c r="N78" s="114">
        <v>20000</v>
      </c>
      <c r="O78" s="585"/>
      <c r="P78" t="s">
        <v>45</v>
      </c>
      <c r="Q78" s="5" t="s">
        <v>270</v>
      </c>
      <c r="R78" s="40">
        <v>45535</v>
      </c>
      <c r="U78" t="s">
        <v>45</v>
      </c>
    </row>
    <row r="79" spans="2:22" ht="19.5" customHeight="1" x14ac:dyDescent="0.4">
      <c r="C79" s="61"/>
      <c r="D79" s="62"/>
      <c r="E79" s="62"/>
      <c r="F79" s="112"/>
      <c r="G79" s="112"/>
      <c r="H79" s="59"/>
      <c r="I79" s="38"/>
      <c r="J79" s="38"/>
      <c r="K79" s="38"/>
      <c r="L79" s="113"/>
      <c r="M79" s="40">
        <v>45538</v>
      </c>
      <c r="N79" s="114">
        <v>10000</v>
      </c>
      <c r="O79" s="585"/>
      <c r="P79" t="s">
        <v>45</v>
      </c>
      <c r="Q79" s="5" t="s">
        <v>269</v>
      </c>
      <c r="R79" s="40">
        <v>45543</v>
      </c>
      <c r="U79" t="s">
        <v>45</v>
      </c>
    </row>
    <row r="80" spans="2:22" ht="19.5" customHeight="1" x14ac:dyDescent="0.4">
      <c r="C80" s="61"/>
      <c r="D80" s="62"/>
      <c r="E80" s="62"/>
      <c r="F80" s="112"/>
      <c r="G80" s="112"/>
      <c r="H80" s="59"/>
      <c r="I80" s="38"/>
      <c r="J80" s="38"/>
      <c r="K80" s="38"/>
      <c r="L80" s="113"/>
      <c r="M80" s="40">
        <v>45569</v>
      </c>
      <c r="N80" s="114">
        <v>10000</v>
      </c>
      <c r="O80" s="585"/>
      <c r="P80" t="s">
        <v>45</v>
      </c>
      <c r="Q80" s="5" t="s">
        <v>271</v>
      </c>
      <c r="R80" s="40">
        <v>45572</v>
      </c>
      <c r="U80" t="s">
        <v>45</v>
      </c>
    </row>
    <row r="81" spans="2:22" ht="19.5" customHeight="1" x14ac:dyDescent="0.4">
      <c r="C81" s="61"/>
      <c r="D81" s="62"/>
      <c r="E81" s="62"/>
      <c r="F81" s="112"/>
      <c r="G81" s="112"/>
      <c r="H81" s="59"/>
      <c r="I81" s="38"/>
      <c r="J81" s="38"/>
      <c r="K81" s="38"/>
      <c r="L81" s="113"/>
      <c r="M81" s="40">
        <v>45569</v>
      </c>
      <c r="N81" s="114">
        <v>550</v>
      </c>
      <c r="O81" s="585"/>
      <c r="P81" t="s">
        <v>45</v>
      </c>
      <c r="Q81" s="5" t="s">
        <v>271</v>
      </c>
      <c r="R81" s="40">
        <v>45572</v>
      </c>
      <c r="U81" t="s">
        <v>45</v>
      </c>
    </row>
    <row r="82" spans="2:22" ht="19.5" customHeight="1" x14ac:dyDescent="0.4">
      <c r="C82" s="61"/>
      <c r="D82" s="62"/>
      <c r="E82" s="62"/>
      <c r="F82" s="112"/>
      <c r="G82" s="112"/>
      <c r="H82" s="59"/>
      <c r="I82" s="38"/>
      <c r="J82" s="38"/>
      <c r="K82" s="38"/>
      <c r="L82" s="113"/>
      <c r="M82" s="40">
        <v>45692</v>
      </c>
      <c r="N82" s="41">
        <v>21000</v>
      </c>
      <c r="O82" s="585"/>
      <c r="P82" s="547"/>
      <c r="Q82" s="5" t="s">
        <v>272</v>
      </c>
      <c r="R82" s="40">
        <v>45697</v>
      </c>
    </row>
    <row r="83" spans="2:22" ht="17.399999999999999" customHeight="1" thickBot="1" x14ac:dyDescent="0.35">
      <c r="B83" s="191"/>
      <c r="C83" s="192"/>
      <c r="D83" s="192"/>
      <c r="E83" s="192"/>
      <c r="F83" s="193"/>
      <c r="G83" s="193"/>
      <c r="H83" s="194"/>
      <c r="I83" s="195"/>
      <c r="J83" s="195"/>
      <c r="K83" s="195"/>
      <c r="L83" s="195"/>
      <c r="M83" s="196">
        <v>45835</v>
      </c>
      <c r="N83" s="197">
        <v>370950</v>
      </c>
      <c r="O83" s="586"/>
      <c r="P83" s="548"/>
      <c r="Q83" s="198" t="s">
        <v>273</v>
      </c>
      <c r="R83" s="196">
        <v>45838</v>
      </c>
      <c r="S83" s="195"/>
      <c r="T83" s="195"/>
      <c r="U83" s="195"/>
      <c r="V83" s="195"/>
    </row>
    <row r="84" spans="2:22" ht="13.5" customHeight="1" thickTop="1" x14ac:dyDescent="0.5">
      <c r="C84" s="61"/>
      <c r="D84" s="62"/>
      <c r="E84" s="62"/>
      <c r="F84" s="107"/>
      <c r="G84" s="146"/>
      <c r="H84" s="23"/>
      <c r="I84" s="108"/>
      <c r="J84" s="108"/>
      <c r="K84" s="108"/>
      <c r="L84" s="109"/>
      <c r="M84" s="199"/>
      <c r="N84" s="200"/>
      <c r="O84" s="201"/>
      <c r="P84" s="202"/>
      <c r="R84" s="40"/>
    </row>
    <row r="85" spans="2:22" ht="19.5" customHeight="1" x14ac:dyDescent="0.5">
      <c r="B85" s="7" t="s">
        <v>3</v>
      </c>
      <c r="C85" s="144">
        <v>303</v>
      </c>
      <c r="D85" s="62">
        <v>24</v>
      </c>
      <c r="E85" s="62">
        <v>18</v>
      </c>
      <c r="G85" s="162" t="s">
        <v>274</v>
      </c>
      <c r="H85" s="204">
        <v>716000</v>
      </c>
      <c r="I85" s="205"/>
      <c r="J85" s="205"/>
      <c r="K85" s="204">
        <v>62500</v>
      </c>
      <c r="L85" s="113">
        <f>SUM(H85:K85)</f>
        <v>778500</v>
      </c>
      <c r="M85" s="206">
        <v>46076</v>
      </c>
      <c r="N85" s="200">
        <v>3000</v>
      </c>
      <c r="O85" s="207">
        <f>+N85</f>
        <v>3000</v>
      </c>
      <c r="P85" s="202" t="s">
        <v>126</v>
      </c>
    </row>
    <row r="86" spans="2:22" ht="19.5" customHeight="1" x14ac:dyDescent="0.5">
      <c r="C86" s="144"/>
      <c r="D86" s="62"/>
      <c r="E86" s="62"/>
      <c r="G86" s="162"/>
      <c r="H86" s="59"/>
      <c r="I86" s="38"/>
      <c r="J86" s="38"/>
      <c r="K86" s="38"/>
      <c r="L86" s="113"/>
      <c r="M86" s="40"/>
      <c r="N86" s="114"/>
    </row>
    <row r="87" spans="2:22" ht="19.5" customHeight="1" thickBot="1" x14ac:dyDescent="0.55000000000000004">
      <c r="C87" s="144"/>
      <c r="D87" s="62"/>
      <c r="E87" s="62"/>
      <c r="G87" s="162"/>
      <c r="H87" s="59"/>
      <c r="I87" s="38"/>
      <c r="J87" s="38"/>
      <c r="K87" s="38"/>
      <c r="L87" s="113"/>
      <c r="M87" s="40"/>
      <c r="N87" s="114"/>
    </row>
    <row r="88" spans="2:22" ht="19.5" customHeight="1" thickTop="1" x14ac:dyDescent="0.5">
      <c r="B88" s="177" t="s">
        <v>3</v>
      </c>
      <c r="C88" s="499">
        <v>304</v>
      </c>
      <c r="D88" s="179"/>
      <c r="E88" s="179"/>
      <c r="F88" s="208"/>
      <c r="G88" s="209"/>
      <c r="H88" s="210">
        <v>478700</v>
      </c>
      <c r="I88" s="211"/>
      <c r="J88" s="211"/>
      <c r="K88" s="211"/>
      <c r="L88" s="212">
        <f>SUM(H88:K88)</f>
        <v>478700</v>
      </c>
      <c r="M88" s="185"/>
      <c r="N88" s="213"/>
      <c r="O88" s="214"/>
      <c r="P88" s="215"/>
      <c r="Q88" s="189"/>
      <c r="R88" s="190"/>
      <c r="S88" s="181"/>
      <c r="T88" s="181"/>
      <c r="U88" s="181"/>
      <c r="V88" s="181"/>
    </row>
    <row r="89" spans="2:22" ht="19.5" customHeight="1" x14ac:dyDescent="0.5">
      <c r="C89" s="144"/>
      <c r="D89" s="62"/>
      <c r="E89" s="62"/>
      <c r="G89" s="162"/>
      <c r="H89" s="59"/>
      <c r="I89" s="38"/>
      <c r="J89" s="38"/>
      <c r="K89" s="38"/>
      <c r="L89" s="113"/>
      <c r="M89" s="40"/>
      <c r="N89" s="114"/>
    </row>
    <row r="90" spans="2:22" ht="19.5" customHeight="1" thickBot="1" x14ac:dyDescent="0.55000000000000004">
      <c r="B90" s="116"/>
      <c r="C90" s="498"/>
      <c r="D90" s="118"/>
      <c r="E90" s="118"/>
      <c r="F90" s="216"/>
      <c r="G90" s="217"/>
      <c r="H90" s="218"/>
      <c r="I90" s="121"/>
      <c r="J90" s="121"/>
      <c r="K90" s="121"/>
      <c r="L90" s="219"/>
      <c r="M90" s="220"/>
      <c r="N90" s="126"/>
      <c r="O90" s="221"/>
      <c r="P90" s="222"/>
      <c r="Q90" s="126"/>
      <c r="R90" s="220"/>
      <c r="S90" s="127"/>
      <c r="T90" s="127"/>
      <c r="U90" s="127"/>
      <c r="V90" s="127"/>
    </row>
    <row r="91" spans="2:22" ht="12.75" customHeight="1" thickTop="1" x14ac:dyDescent="0.5">
      <c r="C91" s="144"/>
      <c r="D91" s="62"/>
      <c r="E91" s="62"/>
      <c r="G91" s="162"/>
      <c r="H91" s="23"/>
      <c r="I91" s="108"/>
      <c r="J91" s="108"/>
      <c r="K91" s="108"/>
      <c r="L91" s="109"/>
    </row>
    <row r="92" spans="2:22" ht="18" customHeight="1" x14ac:dyDescent="0.5">
      <c r="B92" s="7" t="s">
        <v>3</v>
      </c>
      <c r="C92" s="144">
        <v>305</v>
      </c>
      <c r="D92" s="62"/>
      <c r="E92" s="62"/>
      <c r="G92" s="162" t="s">
        <v>275</v>
      </c>
      <c r="H92" s="23">
        <v>470500</v>
      </c>
      <c r="I92" s="108"/>
      <c r="J92" s="108"/>
      <c r="K92" s="108"/>
      <c r="L92" s="113">
        <f>SUM(H92:K92)</f>
        <v>470500</v>
      </c>
      <c r="M92" s="40">
        <v>46072</v>
      </c>
      <c r="N92" s="501">
        <v>3000</v>
      </c>
      <c r="O92" s="293">
        <f>+N92</f>
        <v>3000</v>
      </c>
      <c r="P92" s="6" t="s">
        <v>126</v>
      </c>
    </row>
    <row r="93" spans="2:22" ht="18" customHeight="1" x14ac:dyDescent="0.5">
      <c r="C93" s="144"/>
      <c r="D93" s="62"/>
      <c r="E93" s="62"/>
      <c r="G93" s="162"/>
      <c r="H93" s="23"/>
      <c r="I93" s="108"/>
      <c r="J93" s="108"/>
      <c r="K93" s="108"/>
      <c r="L93" s="109"/>
    </row>
    <row r="94" spans="2:22" ht="19.5" customHeight="1" thickBot="1" x14ac:dyDescent="0.55000000000000004">
      <c r="B94" s="149"/>
      <c r="C94" s="500"/>
      <c r="D94" s="151"/>
      <c r="E94" s="151"/>
      <c r="F94" s="150"/>
      <c r="G94" s="152"/>
      <c r="H94" s="224"/>
      <c r="I94" s="154"/>
      <c r="J94" s="154"/>
      <c r="K94" s="154"/>
      <c r="L94" s="225"/>
      <c r="M94" s="160"/>
      <c r="N94" s="157"/>
      <c r="O94" s="158"/>
      <c r="P94" s="159"/>
      <c r="Q94" s="157"/>
      <c r="R94" s="160"/>
      <c r="S94" s="161"/>
      <c r="T94" s="161"/>
      <c r="U94" s="161"/>
      <c r="V94" s="161"/>
    </row>
    <row r="95" spans="2:22" ht="12" customHeight="1" thickTop="1" x14ac:dyDescent="0.5">
      <c r="C95" s="144"/>
      <c r="D95" s="62"/>
      <c r="E95" s="62"/>
      <c r="G95" s="162"/>
      <c r="H95" s="23"/>
      <c r="I95" s="108"/>
      <c r="J95" s="108"/>
      <c r="K95" s="108"/>
      <c r="L95" s="109"/>
    </row>
    <row r="96" spans="2:22" ht="19.5" customHeight="1" x14ac:dyDescent="0.45">
      <c r="B96" s="7" t="s">
        <v>3</v>
      </c>
      <c r="C96" s="111">
        <v>401</v>
      </c>
      <c r="D96" s="62"/>
      <c r="E96" s="62"/>
      <c r="F96" s="112">
        <v>23951642</v>
      </c>
      <c r="G96" s="112" t="s">
        <v>60</v>
      </c>
      <c r="H96" s="59">
        <v>630000</v>
      </c>
      <c r="I96" s="38"/>
      <c r="J96" s="38"/>
      <c r="K96" s="38"/>
      <c r="L96" s="113">
        <f>SUM(H96:K96)</f>
        <v>630000</v>
      </c>
      <c r="M96" s="40">
        <v>45754</v>
      </c>
      <c r="N96" s="114">
        <v>3000</v>
      </c>
      <c r="O96" s="570">
        <f>SUM(N96:N101)</f>
        <v>495000</v>
      </c>
      <c r="P96" s="226" t="s">
        <v>126</v>
      </c>
      <c r="Q96" s="5" t="s">
        <v>277</v>
      </c>
      <c r="R96" s="40">
        <v>45827</v>
      </c>
      <c r="S96" s="44">
        <v>45751</v>
      </c>
      <c r="U96" t="s">
        <v>26</v>
      </c>
    </row>
    <row r="97" spans="2:22" ht="19.5" customHeight="1" x14ac:dyDescent="0.45">
      <c r="C97" s="61"/>
      <c r="D97" s="62"/>
      <c r="E97" s="62"/>
      <c r="F97" s="112"/>
      <c r="G97" s="112"/>
      <c r="H97" s="59"/>
      <c r="I97" s="38"/>
      <c r="J97" s="38"/>
      <c r="K97" s="38"/>
      <c r="L97" s="113"/>
      <c r="M97" s="40">
        <v>45771</v>
      </c>
      <c r="N97" s="114">
        <v>187000</v>
      </c>
      <c r="O97" s="570"/>
      <c r="P97" s="226" t="s">
        <v>149</v>
      </c>
      <c r="Q97" s="5" t="s">
        <v>278</v>
      </c>
      <c r="R97" s="40">
        <v>45827</v>
      </c>
      <c r="S97" s="44"/>
    </row>
    <row r="98" spans="2:22" ht="19.5" customHeight="1" x14ac:dyDescent="0.45">
      <c r="C98" s="61"/>
      <c r="D98" s="62"/>
      <c r="E98" s="62"/>
      <c r="F98" s="112"/>
      <c r="G98" s="112"/>
      <c r="H98" s="59"/>
      <c r="I98" s="38"/>
      <c r="J98" s="38"/>
      <c r="K98" s="38"/>
      <c r="L98" s="113"/>
      <c r="M98" s="40">
        <v>45944</v>
      </c>
      <c r="N98" s="41">
        <v>120000</v>
      </c>
      <c r="O98" s="570"/>
      <c r="P98" s="226" t="s">
        <v>152</v>
      </c>
      <c r="Q98" s="5" t="s">
        <v>279</v>
      </c>
      <c r="R98" s="40">
        <v>45880</v>
      </c>
      <c r="S98" s="44"/>
    </row>
    <row r="99" spans="2:22" ht="19.5" customHeight="1" x14ac:dyDescent="0.45">
      <c r="C99" s="61"/>
      <c r="D99" s="62"/>
      <c r="E99" s="62"/>
      <c r="F99" s="112"/>
      <c r="G99" s="112"/>
      <c r="H99" s="59"/>
      <c r="I99" s="38"/>
      <c r="J99" s="38"/>
      <c r="K99" s="38"/>
      <c r="L99" s="113"/>
      <c r="M99" s="40">
        <v>45955</v>
      </c>
      <c r="N99" s="41">
        <v>155000</v>
      </c>
      <c r="O99" s="570"/>
      <c r="P99" s="227" t="s">
        <v>154</v>
      </c>
      <c r="Q99" s="5" t="s">
        <v>280</v>
      </c>
      <c r="R99" s="40">
        <v>45957</v>
      </c>
      <c r="S99" s="44"/>
    </row>
    <row r="100" spans="2:22" ht="19.5" customHeight="1" x14ac:dyDescent="0.45">
      <c r="C100" s="61"/>
      <c r="D100" s="62"/>
      <c r="E100" s="62"/>
      <c r="F100" s="112"/>
      <c r="G100" s="112"/>
      <c r="H100" s="59"/>
      <c r="I100" s="38"/>
      <c r="J100" s="38"/>
      <c r="K100" s="38"/>
      <c r="L100" s="113"/>
      <c r="M100" s="40">
        <v>46017</v>
      </c>
      <c r="N100" s="41">
        <v>18000</v>
      </c>
      <c r="O100" s="570"/>
      <c r="P100" s="227" t="s">
        <v>276</v>
      </c>
      <c r="Q100" s="5" t="s">
        <v>281</v>
      </c>
      <c r="R100" s="40">
        <v>46022</v>
      </c>
      <c r="S100" s="44"/>
    </row>
    <row r="101" spans="2:22" ht="19.5" customHeight="1" x14ac:dyDescent="0.45">
      <c r="C101" s="61"/>
      <c r="D101" s="62"/>
      <c r="E101" s="62"/>
      <c r="F101" s="112"/>
      <c r="G101" s="112"/>
      <c r="H101" s="59"/>
      <c r="I101" s="38"/>
      <c r="J101" s="38"/>
      <c r="K101" s="38"/>
      <c r="L101" s="113"/>
      <c r="M101" s="40">
        <v>46017</v>
      </c>
      <c r="N101" s="114">
        <v>12000</v>
      </c>
      <c r="O101" s="570"/>
      <c r="P101" s="227" t="s">
        <v>155</v>
      </c>
      <c r="Q101" s="5" t="s">
        <v>282</v>
      </c>
      <c r="R101" s="40">
        <v>46022</v>
      </c>
      <c r="S101" s="44"/>
    </row>
    <row r="102" spans="2:22" ht="19.5" customHeight="1" thickBot="1" x14ac:dyDescent="0.5">
      <c r="B102" s="163"/>
      <c r="C102" s="502"/>
      <c r="D102" s="165"/>
      <c r="E102" s="165"/>
      <c r="F102" s="228"/>
      <c r="G102" s="228"/>
      <c r="H102" s="229"/>
      <c r="I102" s="230"/>
      <c r="J102" s="230"/>
      <c r="K102" s="230"/>
      <c r="L102" s="231"/>
      <c r="M102" s="171"/>
      <c r="N102" s="232"/>
      <c r="O102" s="229"/>
      <c r="P102" s="233"/>
      <c r="Q102" s="234"/>
      <c r="R102" s="235"/>
      <c r="S102" s="236"/>
      <c r="T102" s="167"/>
      <c r="U102" s="167"/>
      <c r="V102" s="167"/>
    </row>
    <row r="103" spans="2:22" ht="12.75" customHeight="1" thickTop="1" x14ac:dyDescent="0.45">
      <c r="C103" s="61"/>
      <c r="D103" s="62"/>
      <c r="E103" s="62"/>
      <c r="F103" s="107"/>
      <c r="H103" s="23"/>
      <c r="I103" s="108"/>
      <c r="J103" s="108"/>
      <c r="K103" s="108"/>
      <c r="L103" s="109"/>
      <c r="M103" s="40"/>
      <c r="N103" s="41"/>
      <c r="O103" s="23"/>
      <c r="P103" s="227"/>
      <c r="S103" s="44"/>
    </row>
    <row r="104" spans="2:22" ht="16.5" customHeight="1" x14ac:dyDescent="0.45">
      <c r="B104" s="7" t="s">
        <v>3</v>
      </c>
      <c r="C104" s="144">
        <v>402</v>
      </c>
      <c r="D104" s="62"/>
      <c r="E104" s="62"/>
      <c r="F104" s="2">
        <v>40910651</v>
      </c>
      <c r="G104" t="s">
        <v>283</v>
      </c>
      <c r="H104" s="23">
        <v>480000</v>
      </c>
      <c r="I104" s="237"/>
      <c r="J104" s="237"/>
      <c r="K104" s="237"/>
      <c r="L104" s="113">
        <f>SUM(H104:K104)</f>
        <v>480000</v>
      </c>
      <c r="M104" s="40">
        <v>46098</v>
      </c>
      <c r="N104" s="200">
        <v>3000</v>
      </c>
      <c r="O104" s="238">
        <f>SUM(N104)</f>
        <v>3000</v>
      </c>
      <c r="P104" s="226" t="s">
        <v>26</v>
      </c>
      <c r="S104" s="44"/>
    </row>
    <row r="105" spans="2:22" ht="16.5" customHeight="1" x14ac:dyDescent="0.45">
      <c r="C105" s="144"/>
      <c r="D105" s="62"/>
      <c r="E105" s="62"/>
      <c r="F105" s="107"/>
      <c r="H105" s="23"/>
      <c r="I105" s="108"/>
      <c r="J105" s="108"/>
      <c r="K105" s="108"/>
      <c r="L105" s="113"/>
      <c r="M105" s="40"/>
      <c r="N105" s="41"/>
      <c r="O105" s="59"/>
      <c r="P105" s="227"/>
      <c r="S105" s="44"/>
    </row>
    <row r="106" spans="2:22" ht="16.5" customHeight="1" x14ac:dyDescent="0.45">
      <c r="C106" s="144"/>
      <c r="D106" s="62"/>
      <c r="E106" s="62"/>
      <c r="F106" s="107"/>
      <c r="H106" s="23"/>
      <c r="I106" s="108"/>
      <c r="J106" s="108"/>
      <c r="K106" s="108"/>
      <c r="L106" s="113"/>
      <c r="M106" s="40"/>
      <c r="N106" s="41"/>
      <c r="O106" s="59"/>
      <c r="P106" s="227"/>
      <c r="S106" s="44"/>
    </row>
    <row r="107" spans="2:22" ht="19.5" customHeight="1" thickBot="1" x14ac:dyDescent="0.5">
      <c r="B107" s="149"/>
      <c r="C107" s="500"/>
      <c r="D107" s="151"/>
      <c r="E107" s="151"/>
      <c r="F107" s="150"/>
      <c r="G107" s="152"/>
      <c r="H107" s="239"/>
      <c r="I107" s="240"/>
      <c r="J107" s="240"/>
      <c r="K107" s="240"/>
      <c r="L107" s="225"/>
      <c r="M107" s="160"/>
      <c r="N107" s="157"/>
      <c r="O107" s="241"/>
      <c r="P107" s="242"/>
      <c r="Q107" s="157"/>
      <c r="R107" s="160"/>
      <c r="S107" s="161"/>
      <c r="T107" s="161"/>
      <c r="U107" s="161"/>
      <c r="V107" s="161"/>
    </row>
    <row r="108" spans="2:22" ht="12.75" customHeight="1" thickTop="1" x14ac:dyDescent="0.5">
      <c r="C108" s="144"/>
      <c r="D108" s="62"/>
      <c r="E108" s="62"/>
      <c r="G108" s="162"/>
      <c r="H108" s="243"/>
      <c r="I108" s="244"/>
      <c r="J108" s="244"/>
      <c r="K108" s="244"/>
      <c r="L108" s="109"/>
    </row>
    <row r="109" spans="2:22" ht="22.95" customHeight="1" x14ac:dyDescent="0.4">
      <c r="B109" s="7" t="s">
        <v>3</v>
      </c>
      <c r="C109" s="115">
        <v>403</v>
      </c>
      <c r="D109" s="62"/>
      <c r="E109" s="62"/>
      <c r="F109" s="112">
        <v>15764694</v>
      </c>
      <c r="G109" s="112" t="s">
        <v>327</v>
      </c>
      <c r="H109" s="245">
        <v>654000</v>
      </c>
      <c r="I109" s="246"/>
      <c r="J109" s="246"/>
      <c r="K109" s="246"/>
      <c r="L109" s="113">
        <f>SUM(H109:K109)</f>
        <v>654000</v>
      </c>
      <c r="M109" s="40">
        <v>45594</v>
      </c>
      <c r="N109" s="114">
        <v>3000</v>
      </c>
      <c r="O109" s="561">
        <f>SUM(N109:N112)</f>
        <v>654000</v>
      </c>
      <c r="P109" t="s">
        <v>26</v>
      </c>
      <c r="Q109" s="5" t="s">
        <v>284</v>
      </c>
      <c r="R109" s="40">
        <v>45621</v>
      </c>
      <c r="T109" s="44">
        <v>45631</v>
      </c>
      <c r="U109" t="s">
        <v>26</v>
      </c>
    </row>
    <row r="110" spans="2:22" ht="22.95" customHeight="1" x14ac:dyDescent="0.4">
      <c r="C110" s="115"/>
      <c r="D110" s="62"/>
      <c r="E110" s="62"/>
      <c r="F110" s="112"/>
      <c r="G110" s="112"/>
      <c r="H110" s="245"/>
      <c r="I110" s="246"/>
      <c r="J110" s="246"/>
      <c r="K110" s="246"/>
      <c r="L110" s="39"/>
      <c r="M110" s="40">
        <v>45619</v>
      </c>
      <c r="N110" s="114">
        <v>97800</v>
      </c>
      <c r="O110" s="561"/>
      <c r="P110" t="s">
        <v>27</v>
      </c>
      <c r="Q110" s="5" t="s">
        <v>284</v>
      </c>
      <c r="R110" s="40">
        <v>45621</v>
      </c>
      <c r="U110" t="s">
        <v>27</v>
      </c>
    </row>
    <row r="111" spans="2:22" ht="22.95" customHeight="1" x14ac:dyDescent="0.4">
      <c r="C111" s="115"/>
      <c r="D111" s="62"/>
      <c r="E111" s="62"/>
      <c r="F111" s="112"/>
      <c r="G111" s="112"/>
      <c r="H111" s="245"/>
      <c r="I111" s="246"/>
      <c r="J111" s="246"/>
      <c r="K111" s="246"/>
      <c r="L111" s="39"/>
      <c r="M111" s="40">
        <v>45631</v>
      </c>
      <c r="N111" s="114">
        <v>30000</v>
      </c>
      <c r="O111" s="561"/>
      <c r="P111" t="s">
        <v>27</v>
      </c>
      <c r="Q111" s="5" t="s">
        <v>285</v>
      </c>
      <c r="R111" s="40">
        <v>45636</v>
      </c>
      <c r="U111" t="s">
        <v>27</v>
      </c>
    </row>
    <row r="112" spans="2:22" ht="22.95" customHeight="1" thickBot="1" x14ac:dyDescent="0.45">
      <c r="B112" s="136"/>
      <c r="C112" s="247"/>
      <c r="D112" s="248"/>
      <c r="E112" s="248"/>
      <c r="F112" s="249"/>
      <c r="G112" s="249"/>
      <c r="H112" s="250"/>
      <c r="I112" s="251"/>
      <c r="J112" s="251"/>
      <c r="K112" s="251"/>
      <c r="L112" s="139"/>
      <c r="M112" s="140">
        <v>45777</v>
      </c>
      <c r="N112" s="141">
        <v>523200</v>
      </c>
      <c r="O112" s="562"/>
      <c r="P112" s="143" t="s">
        <v>61</v>
      </c>
      <c r="Q112" s="142" t="s">
        <v>286</v>
      </c>
      <c r="R112" s="140">
        <v>45787</v>
      </c>
      <c r="S112" s="143"/>
      <c r="T112" s="143"/>
      <c r="U112" s="143" t="s">
        <v>61</v>
      </c>
      <c r="V112" s="143"/>
    </row>
    <row r="113" spans="2:22" ht="12.75" customHeight="1" thickTop="1" x14ac:dyDescent="0.4">
      <c r="C113" s="115"/>
      <c r="D113" s="62"/>
      <c r="E113" s="62"/>
      <c r="F113" s="107"/>
      <c r="H113" s="245"/>
      <c r="I113" s="246"/>
      <c r="J113" s="246"/>
      <c r="K113" s="246"/>
      <c r="L113" s="39"/>
      <c r="M113" s="40"/>
      <c r="N113" s="41"/>
      <c r="O113" s="24"/>
      <c r="P113" s="25"/>
      <c r="R113" s="40"/>
    </row>
    <row r="114" spans="2:22" ht="20.399999999999999" customHeight="1" x14ac:dyDescent="0.4">
      <c r="B114" s="7" t="s">
        <v>3</v>
      </c>
      <c r="C114" s="115">
        <v>404</v>
      </c>
      <c r="D114" s="62"/>
      <c r="E114" s="62"/>
      <c r="F114" s="107"/>
      <c r="G114" t="s">
        <v>287</v>
      </c>
      <c r="H114" s="245">
        <v>418000</v>
      </c>
      <c r="I114" s="246"/>
      <c r="J114" s="246"/>
      <c r="K114" s="246"/>
      <c r="L114" s="113">
        <f>SUM(H114:K114)</f>
        <v>418000</v>
      </c>
      <c r="M114" s="40">
        <v>46103</v>
      </c>
      <c r="N114" s="41">
        <v>3000</v>
      </c>
      <c r="O114" s="24">
        <f>+N114</f>
        <v>3000</v>
      </c>
      <c r="P114" s="25" t="s">
        <v>126</v>
      </c>
      <c r="R114" s="40"/>
    </row>
    <row r="115" spans="2:22" ht="20.399999999999999" customHeight="1" x14ac:dyDescent="0.4">
      <c r="C115" s="115"/>
      <c r="D115" s="62"/>
      <c r="E115" s="62"/>
      <c r="F115" s="107"/>
      <c r="H115" s="245"/>
      <c r="I115" s="246"/>
      <c r="J115" s="246"/>
      <c r="K115" s="246"/>
      <c r="L115" s="39"/>
      <c r="M115" s="40"/>
      <c r="N115" s="41"/>
      <c r="O115" s="24"/>
      <c r="P115" s="25"/>
      <c r="R115" s="40"/>
    </row>
    <row r="116" spans="2:22" ht="24.75" customHeight="1" thickBot="1" x14ac:dyDescent="0.55000000000000004">
      <c r="B116" s="149"/>
      <c r="C116" s="500"/>
      <c r="D116" s="151"/>
      <c r="E116" s="151"/>
      <c r="F116" s="150"/>
      <c r="G116" s="152"/>
      <c r="H116" s="239"/>
      <c r="I116" s="240"/>
      <c r="J116" s="240"/>
      <c r="K116" s="240"/>
      <c r="L116" s="155"/>
      <c r="M116" s="160"/>
      <c r="N116" s="157"/>
      <c r="O116" s="241"/>
      <c r="P116" s="159"/>
      <c r="Q116" s="157"/>
      <c r="R116" s="160"/>
      <c r="S116" s="161"/>
      <c r="T116" s="161"/>
      <c r="U116" s="161"/>
      <c r="V116" s="161"/>
    </row>
    <row r="117" spans="2:22" s="252" customFormat="1" ht="21" customHeight="1" thickTop="1" x14ac:dyDescent="0.45">
      <c r="B117" s="253" t="s">
        <v>3</v>
      </c>
      <c r="C117" s="503">
        <v>405</v>
      </c>
      <c r="D117" s="254"/>
      <c r="E117" s="254"/>
      <c r="F117" s="255"/>
      <c r="H117" s="256">
        <v>535000</v>
      </c>
      <c r="I117" s="257"/>
      <c r="J117" s="257"/>
      <c r="K117" s="257"/>
      <c r="L117" s="113">
        <f>SUM(H117:K117)</f>
        <v>535000</v>
      </c>
      <c r="M117" s="258"/>
      <c r="N117" s="259"/>
      <c r="O117" s="260"/>
      <c r="P117" s="261"/>
      <c r="Q117" s="262"/>
      <c r="R117" s="263"/>
    </row>
    <row r="118" spans="2:22" ht="18.75" customHeight="1" x14ac:dyDescent="0.5">
      <c r="B118" s="253"/>
      <c r="C118" s="503"/>
      <c r="D118" s="254"/>
      <c r="E118" s="254"/>
      <c r="F118" s="255"/>
      <c r="G118" s="252"/>
      <c r="H118" s="243"/>
      <c r="I118" s="244"/>
      <c r="J118" s="244"/>
      <c r="K118" s="244"/>
      <c r="L118" s="113"/>
      <c r="M118"/>
      <c r="N118" s="264"/>
    </row>
    <row r="119" spans="2:22" ht="18.75" customHeight="1" thickBot="1" x14ac:dyDescent="0.55000000000000004">
      <c r="B119" s="136"/>
      <c r="C119" s="382"/>
      <c r="D119" s="248"/>
      <c r="E119" s="248"/>
      <c r="F119" s="266"/>
      <c r="G119" s="267"/>
      <c r="H119" s="250"/>
      <c r="I119" s="251"/>
      <c r="J119" s="251"/>
      <c r="K119" s="251"/>
      <c r="L119" s="139"/>
      <c r="M119" s="268"/>
      <c r="N119" s="142"/>
      <c r="O119" s="113"/>
      <c r="P119" s="269"/>
      <c r="Q119" s="142"/>
      <c r="R119" s="268"/>
      <c r="S119" s="143"/>
      <c r="T119" s="143"/>
      <c r="U119" s="143"/>
      <c r="V119" s="143"/>
    </row>
    <row r="120" spans="2:22" ht="12.75" customHeight="1" thickTop="1" x14ac:dyDescent="0.5">
      <c r="C120" s="144"/>
      <c r="D120" s="62"/>
      <c r="E120" s="62"/>
      <c r="G120" s="162"/>
      <c r="H120" s="243"/>
      <c r="I120" s="244"/>
      <c r="J120" s="244"/>
      <c r="K120" s="244"/>
      <c r="L120" s="39"/>
    </row>
    <row r="121" spans="2:22" ht="19.5" customHeight="1" x14ac:dyDescent="0.4">
      <c r="B121" s="7" t="s">
        <v>3</v>
      </c>
      <c r="C121" s="497">
        <v>501</v>
      </c>
      <c r="D121" s="62"/>
      <c r="E121" s="62"/>
      <c r="F121" s="112">
        <v>32403305</v>
      </c>
      <c r="G121" s="112" t="s">
        <v>62</v>
      </c>
      <c r="H121" s="245">
        <v>612000</v>
      </c>
      <c r="I121" s="246"/>
      <c r="J121" s="246"/>
      <c r="K121" s="246"/>
      <c r="L121" s="135">
        <f>SUM(H121:K121)</f>
        <v>612000</v>
      </c>
      <c r="M121" s="40">
        <v>45521</v>
      </c>
      <c r="N121" s="114">
        <v>3000</v>
      </c>
      <c r="O121" s="560">
        <f>SUM(N121:N124)</f>
        <v>612000</v>
      </c>
      <c r="P121" t="s">
        <v>26</v>
      </c>
      <c r="Q121" s="5" t="s">
        <v>288</v>
      </c>
      <c r="R121" s="40">
        <v>45908</v>
      </c>
      <c r="U121" t="s">
        <v>26</v>
      </c>
    </row>
    <row r="122" spans="2:22" ht="19.5" customHeight="1" x14ac:dyDescent="0.4">
      <c r="C122" s="106"/>
      <c r="D122" s="62"/>
      <c r="E122" s="62"/>
      <c r="F122" s="112"/>
      <c r="G122" s="112"/>
      <c r="H122" s="245"/>
      <c r="I122" s="246"/>
      <c r="J122" s="246"/>
      <c r="K122" s="246"/>
      <c r="L122" s="135"/>
      <c r="M122" s="40">
        <v>45541</v>
      </c>
      <c r="N122" s="114">
        <v>29500</v>
      </c>
      <c r="O122" s="560"/>
      <c r="P122" t="s">
        <v>27</v>
      </c>
      <c r="Q122" s="5" t="s">
        <v>288</v>
      </c>
      <c r="R122" s="40">
        <v>45908</v>
      </c>
      <c r="U122" t="s">
        <v>27</v>
      </c>
    </row>
    <row r="123" spans="2:22" ht="19.5" customHeight="1" x14ac:dyDescent="0.4">
      <c r="C123" s="106"/>
      <c r="D123" s="62"/>
      <c r="E123" s="62"/>
      <c r="F123" s="112"/>
      <c r="G123" s="112"/>
      <c r="H123" s="245"/>
      <c r="I123" s="246"/>
      <c r="J123" s="246"/>
      <c r="K123" s="246"/>
      <c r="L123" s="135"/>
      <c r="M123" s="40">
        <v>46018</v>
      </c>
      <c r="N123" s="114">
        <v>29500</v>
      </c>
      <c r="O123" s="560"/>
      <c r="P123"/>
      <c r="Q123" s="5" t="s">
        <v>290</v>
      </c>
      <c r="R123" s="40"/>
    </row>
    <row r="124" spans="2:22" ht="19.5" customHeight="1" thickBot="1" x14ac:dyDescent="0.45">
      <c r="B124" s="149"/>
      <c r="C124" s="504"/>
      <c r="D124" s="151"/>
      <c r="E124" s="151"/>
      <c r="F124" s="270"/>
      <c r="G124" s="270"/>
      <c r="H124" s="239"/>
      <c r="I124" s="240"/>
      <c r="J124" s="240"/>
      <c r="K124" s="240"/>
      <c r="L124" s="155"/>
      <c r="M124" s="271">
        <v>46021</v>
      </c>
      <c r="N124" s="272">
        <v>550000</v>
      </c>
      <c r="O124" s="587"/>
      <c r="P124" s="549"/>
      <c r="Q124" s="5" t="s">
        <v>289</v>
      </c>
      <c r="R124" s="40"/>
      <c r="S124" s="161"/>
      <c r="T124" s="161"/>
      <c r="U124" s="161"/>
      <c r="V124" s="161"/>
    </row>
    <row r="125" spans="2:22" ht="10.95" customHeight="1" thickTop="1" x14ac:dyDescent="0.4">
      <c r="C125" s="106"/>
      <c r="D125" s="62"/>
      <c r="E125" s="62"/>
      <c r="F125" s="107"/>
      <c r="H125" s="243"/>
      <c r="I125" s="244"/>
      <c r="J125" s="244"/>
      <c r="K125" s="244"/>
      <c r="L125" s="39"/>
      <c r="M125" s="40"/>
      <c r="N125" s="41"/>
      <c r="O125" s="23"/>
      <c r="P125" s="273"/>
    </row>
    <row r="126" spans="2:22" ht="19.5" customHeight="1" x14ac:dyDescent="0.4">
      <c r="B126" s="7" t="s">
        <v>3</v>
      </c>
      <c r="C126" s="144">
        <v>502</v>
      </c>
      <c r="D126" s="62"/>
      <c r="E126" s="62"/>
      <c r="G126" s="162" t="s">
        <v>326</v>
      </c>
      <c r="H126" s="245">
        <v>457000</v>
      </c>
      <c r="I126" s="246"/>
      <c r="J126" s="246"/>
      <c r="K126" s="246"/>
      <c r="L126" s="135">
        <f>SUM(H126:K126)</f>
        <v>457000</v>
      </c>
      <c r="M126" s="40">
        <v>46092</v>
      </c>
      <c r="N126" s="41">
        <v>3000</v>
      </c>
      <c r="O126" s="524">
        <f>+N126</f>
        <v>3000</v>
      </c>
      <c r="P126" s="274" t="s">
        <v>126</v>
      </c>
      <c r="R126" s="40"/>
    </row>
    <row r="127" spans="2:22" ht="19.5" customHeight="1" x14ac:dyDescent="0.4">
      <c r="C127" s="144"/>
      <c r="D127" s="62"/>
      <c r="E127" s="62"/>
      <c r="G127" s="162"/>
      <c r="H127" s="245"/>
      <c r="I127" s="246"/>
      <c r="J127" s="246"/>
      <c r="K127" s="246"/>
      <c r="L127" s="135"/>
      <c r="M127" s="40"/>
      <c r="N127" s="41"/>
      <c r="O127" s="524"/>
      <c r="P127" s="274"/>
      <c r="R127" s="40"/>
    </row>
    <row r="128" spans="2:22" ht="19.5" customHeight="1" x14ac:dyDescent="0.4">
      <c r="C128" s="144"/>
      <c r="D128" s="62"/>
      <c r="E128" s="62"/>
      <c r="G128" s="162"/>
      <c r="H128" s="245"/>
      <c r="I128" s="246"/>
      <c r="J128" s="246"/>
      <c r="K128" s="246"/>
      <c r="L128" s="135"/>
      <c r="M128" s="40"/>
      <c r="N128" s="41"/>
      <c r="P128" s="275"/>
    </row>
    <row r="129" spans="2:22" ht="19.5" customHeight="1" x14ac:dyDescent="0.4">
      <c r="C129" s="144"/>
      <c r="D129" s="62"/>
      <c r="E129" s="62"/>
      <c r="G129" s="162"/>
      <c r="H129" s="245"/>
      <c r="I129" s="246"/>
      <c r="J129" s="246"/>
      <c r="K129" s="246"/>
      <c r="L129" s="135"/>
      <c r="M129" s="40"/>
      <c r="N129" s="114"/>
      <c r="P129" s="275"/>
    </row>
    <row r="130" spans="2:22" ht="15" customHeight="1" thickBot="1" x14ac:dyDescent="0.45">
      <c r="B130" s="83"/>
      <c r="C130" s="276"/>
      <c r="D130" s="277"/>
      <c r="E130" s="277"/>
      <c r="F130" s="278"/>
      <c r="G130" s="279"/>
      <c r="H130" s="280"/>
      <c r="I130" s="281"/>
      <c r="J130" s="281"/>
      <c r="K130" s="281"/>
      <c r="L130" s="282"/>
      <c r="M130" s="283"/>
      <c r="N130" s="94"/>
      <c r="O130" s="284"/>
      <c r="P130" s="285"/>
      <c r="Q130" s="94"/>
      <c r="R130" s="283"/>
      <c r="S130" s="95"/>
      <c r="T130" s="95"/>
      <c r="U130" s="95"/>
      <c r="V130" s="95"/>
    </row>
    <row r="131" spans="2:22" ht="19.5" customHeight="1" thickTop="1" x14ac:dyDescent="0.4">
      <c r="B131" s="7" t="s">
        <v>3</v>
      </c>
      <c r="C131" s="144">
        <v>503</v>
      </c>
      <c r="D131" s="62"/>
      <c r="E131" s="62"/>
      <c r="F131" s="286">
        <v>28965506</v>
      </c>
      <c r="G131" s="287" t="s">
        <v>63</v>
      </c>
      <c r="H131" s="245">
        <v>660000</v>
      </c>
      <c r="I131" s="246"/>
      <c r="J131" s="246"/>
      <c r="K131" s="246"/>
      <c r="L131" s="135">
        <f>SUM(H131:K131)</f>
        <v>660000</v>
      </c>
      <c r="M131" s="40">
        <v>45805</v>
      </c>
      <c r="N131" s="41">
        <v>3000</v>
      </c>
      <c r="O131" s="578">
        <f>SUM(N131:N133)</f>
        <v>165000</v>
      </c>
      <c r="P131" s="274" t="s">
        <v>26</v>
      </c>
      <c r="Q131" s="5" t="s">
        <v>292</v>
      </c>
      <c r="R131" s="40">
        <v>45859</v>
      </c>
    </row>
    <row r="132" spans="2:22" ht="19.5" customHeight="1" x14ac:dyDescent="0.4">
      <c r="C132" s="144"/>
      <c r="D132" s="62"/>
      <c r="E132" s="62"/>
      <c r="F132" s="286"/>
      <c r="G132" s="287"/>
      <c r="H132" s="245"/>
      <c r="I132" s="246"/>
      <c r="J132" s="246"/>
      <c r="K132" s="246"/>
      <c r="L132" s="135"/>
      <c r="M132" s="40">
        <v>45856</v>
      </c>
      <c r="N132" s="41">
        <v>162</v>
      </c>
      <c r="O132" s="588"/>
      <c r="P132" s="274" t="s">
        <v>27</v>
      </c>
      <c r="Q132" s="5" t="s">
        <v>293</v>
      </c>
      <c r="R132" s="40">
        <v>45859</v>
      </c>
    </row>
    <row r="133" spans="2:22" ht="19.5" customHeight="1" x14ac:dyDescent="0.4">
      <c r="C133" s="144"/>
      <c r="D133" s="62"/>
      <c r="E133" s="62"/>
      <c r="F133" s="286"/>
      <c r="G133" s="287"/>
      <c r="H133" s="245"/>
      <c r="I133" s="246"/>
      <c r="J133" s="246"/>
      <c r="K133" s="246"/>
      <c r="L133" s="135"/>
      <c r="M133" s="40">
        <v>45856</v>
      </c>
      <c r="N133" s="41">
        <v>161838</v>
      </c>
      <c r="O133" s="588"/>
      <c r="P133" s="274" t="s">
        <v>64</v>
      </c>
      <c r="Q133" s="5" t="s">
        <v>294</v>
      </c>
      <c r="R133" s="40">
        <v>45859</v>
      </c>
    </row>
    <row r="134" spans="2:22" ht="19.5" customHeight="1" x14ac:dyDescent="0.5">
      <c r="C134" s="144"/>
      <c r="D134" s="62"/>
      <c r="E134" s="62"/>
      <c r="F134" s="286"/>
      <c r="G134" s="287"/>
      <c r="H134" s="245"/>
      <c r="I134" s="246"/>
      <c r="J134" s="246"/>
      <c r="K134" s="246"/>
      <c r="L134" s="135"/>
      <c r="M134" s="40">
        <v>45960</v>
      </c>
      <c r="N134" s="114">
        <v>120000</v>
      </c>
      <c r="O134" s="288">
        <f>+O131+N134</f>
        <v>285000</v>
      </c>
      <c r="Q134" s="5" t="s">
        <v>295</v>
      </c>
    </row>
    <row r="135" spans="2:22" ht="19.5" customHeight="1" x14ac:dyDescent="0.5">
      <c r="C135" s="144"/>
      <c r="D135" s="62"/>
      <c r="E135" s="62"/>
      <c r="F135" s="286"/>
      <c r="G135" s="287"/>
      <c r="H135" s="245"/>
      <c r="I135" s="246"/>
      <c r="J135" s="246"/>
      <c r="K135" s="246"/>
      <c r="L135" s="135"/>
      <c r="M135" s="40">
        <v>45974</v>
      </c>
      <c r="N135" s="114">
        <v>10000</v>
      </c>
      <c r="O135" s="288">
        <f>+O134+N135</f>
        <v>295000</v>
      </c>
      <c r="Q135" s="5" t="s">
        <v>296</v>
      </c>
    </row>
    <row r="136" spans="2:22" ht="19.5" customHeight="1" x14ac:dyDescent="0.5">
      <c r="C136" s="144"/>
      <c r="D136" s="62"/>
      <c r="E136" s="62"/>
      <c r="G136" s="162"/>
      <c r="H136" s="245"/>
      <c r="I136" s="246"/>
      <c r="J136" s="246"/>
      <c r="K136" s="246"/>
      <c r="L136" s="135"/>
      <c r="M136" s="40">
        <v>45975</v>
      </c>
      <c r="N136" s="114">
        <v>10000</v>
      </c>
      <c r="O136" s="288">
        <f t="shared" ref="O136:O139" si="0">+O135+N136</f>
        <v>305000</v>
      </c>
      <c r="Q136" s="5" t="s">
        <v>297</v>
      </c>
    </row>
    <row r="137" spans="2:22" ht="19.5" customHeight="1" x14ac:dyDescent="0.5">
      <c r="C137" s="144"/>
      <c r="D137" s="62"/>
      <c r="E137" s="62"/>
      <c r="G137" s="162"/>
      <c r="H137" s="245"/>
      <c r="I137" s="246"/>
      <c r="J137" s="246"/>
      <c r="K137" s="246"/>
      <c r="L137" s="135"/>
      <c r="M137" s="40">
        <v>45976</v>
      </c>
      <c r="N137" s="114">
        <v>10000</v>
      </c>
      <c r="O137" s="288">
        <f t="shared" si="0"/>
        <v>315000</v>
      </c>
      <c r="Q137" s="5" t="s">
        <v>298</v>
      </c>
    </row>
    <row r="138" spans="2:22" ht="19.5" customHeight="1" x14ac:dyDescent="0.5">
      <c r="C138" s="144"/>
      <c r="D138" s="62"/>
      <c r="E138" s="62"/>
      <c r="G138" s="162"/>
      <c r="H138" s="245"/>
      <c r="I138" s="246"/>
      <c r="J138" s="246"/>
      <c r="K138" s="246"/>
      <c r="L138" s="135"/>
      <c r="M138" s="40">
        <v>45978</v>
      </c>
      <c r="N138" s="114">
        <v>10000</v>
      </c>
      <c r="O138" s="288">
        <f t="shared" si="0"/>
        <v>325000</v>
      </c>
      <c r="Q138" s="5" t="s">
        <v>299</v>
      </c>
    </row>
    <row r="139" spans="2:22" ht="19.5" customHeight="1" x14ac:dyDescent="0.5">
      <c r="C139" s="144"/>
      <c r="D139" s="62"/>
      <c r="E139" s="62"/>
      <c r="G139" s="162"/>
      <c r="H139" s="245"/>
      <c r="I139" s="246"/>
      <c r="J139" s="246"/>
      <c r="K139" s="246"/>
      <c r="L139" s="135"/>
      <c r="M139" s="40">
        <v>45978</v>
      </c>
      <c r="N139" s="114">
        <v>10000</v>
      </c>
      <c r="O139" s="288">
        <f t="shared" si="0"/>
        <v>335000</v>
      </c>
      <c r="Q139" s="5" t="s">
        <v>300</v>
      </c>
    </row>
    <row r="140" spans="2:22" ht="19.5" customHeight="1" x14ac:dyDescent="0.5">
      <c r="C140" s="144"/>
      <c r="D140" s="62"/>
      <c r="E140" s="62"/>
      <c r="G140" s="162"/>
      <c r="H140" s="245"/>
      <c r="I140" s="246"/>
      <c r="J140" s="246"/>
      <c r="K140" s="246"/>
      <c r="L140" s="135"/>
      <c r="M140" s="40">
        <v>46024</v>
      </c>
      <c r="N140" s="114">
        <v>165000</v>
      </c>
      <c r="O140" s="288">
        <f>+O139+N140</f>
        <v>500000</v>
      </c>
      <c r="Q140" s="5" t="s">
        <v>291</v>
      </c>
    </row>
    <row r="141" spans="2:22" ht="19.5" customHeight="1" x14ac:dyDescent="0.5">
      <c r="C141" s="144"/>
      <c r="D141" s="62"/>
      <c r="E141" s="62"/>
      <c r="G141" s="162"/>
      <c r="H141" s="245"/>
      <c r="I141" s="246"/>
      <c r="J141" s="246"/>
      <c r="K141" s="246"/>
      <c r="L141" s="135"/>
      <c r="M141" s="40"/>
      <c r="N141" s="114"/>
      <c r="O141" s="288"/>
    </row>
    <row r="142" spans="2:22" ht="19.5" customHeight="1" x14ac:dyDescent="0.5">
      <c r="C142" s="144"/>
      <c r="D142" s="62"/>
      <c r="E142" s="62"/>
      <c r="G142" s="162"/>
      <c r="H142" s="245"/>
      <c r="I142" s="246"/>
      <c r="J142" s="246"/>
      <c r="K142" s="246"/>
      <c r="L142" s="135"/>
      <c r="M142" s="40"/>
      <c r="N142" s="114"/>
    </row>
    <row r="143" spans="2:22" ht="15" customHeight="1" thickBot="1" x14ac:dyDescent="0.55000000000000004">
      <c r="B143" s="83"/>
      <c r="C143" s="276"/>
      <c r="D143" s="277"/>
      <c r="E143" s="277"/>
      <c r="F143" s="278"/>
      <c r="G143" s="279"/>
      <c r="H143" s="280"/>
      <c r="I143" s="281"/>
      <c r="J143" s="281"/>
      <c r="K143" s="281"/>
      <c r="L143" s="282"/>
      <c r="M143" s="283"/>
      <c r="N143" s="94"/>
      <c r="O143" s="284"/>
      <c r="P143" s="289"/>
      <c r="Q143" s="94"/>
      <c r="R143" s="283"/>
      <c r="S143" s="95"/>
      <c r="T143" s="95"/>
      <c r="U143" s="95"/>
      <c r="V143" s="95"/>
    </row>
    <row r="144" spans="2:22" ht="20.399999999999999" customHeight="1" thickTop="1" x14ac:dyDescent="0.5">
      <c r="B144" s="7" t="s">
        <v>3</v>
      </c>
      <c r="C144" s="203">
        <v>504</v>
      </c>
      <c r="D144" s="62"/>
      <c r="E144" s="62"/>
      <c r="F144" s="290">
        <v>72112648</v>
      </c>
      <c r="G144" s="291" t="s">
        <v>65</v>
      </c>
      <c r="H144" s="245">
        <v>417700</v>
      </c>
      <c r="I144" s="292"/>
      <c r="J144" s="292"/>
      <c r="K144" s="292"/>
      <c r="L144" s="135">
        <f>SUM(H144:K144)</f>
        <v>417700</v>
      </c>
      <c r="M144" s="40">
        <v>45912</v>
      </c>
      <c r="N144" s="200">
        <v>3000</v>
      </c>
      <c r="O144" s="589">
        <f>+N144+N145</f>
        <v>13000</v>
      </c>
      <c r="Q144" s="5" t="s">
        <v>301</v>
      </c>
      <c r="R144" s="40">
        <v>45936</v>
      </c>
    </row>
    <row r="145" spans="2:22" ht="20.399999999999999" customHeight="1" x14ac:dyDescent="0.5">
      <c r="C145" s="144"/>
      <c r="D145" s="62"/>
      <c r="E145" s="62"/>
      <c r="F145" s="290"/>
      <c r="G145" s="291"/>
      <c r="H145" s="245"/>
      <c r="I145" s="292"/>
      <c r="J145" s="292"/>
      <c r="K145" s="292"/>
      <c r="L145" s="39"/>
      <c r="M145" s="40">
        <v>45919</v>
      </c>
      <c r="N145" s="200">
        <v>10000</v>
      </c>
      <c r="O145" s="578"/>
      <c r="Q145" s="5" t="s">
        <v>302</v>
      </c>
      <c r="R145" s="40">
        <v>45936</v>
      </c>
    </row>
    <row r="146" spans="2:22" ht="20.399999999999999" customHeight="1" x14ac:dyDescent="0.5">
      <c r="C146" s="144"/>
      <c r="D146" s="62"/>
      <c r="E146" s="62"/>
      <c r="F146" s="290"/>
      <c r="G146" s="291"/>
      <c r="H146" s="245"/>
      <c r="I146" s="292"/>
      <c r="J146" s="292"/>
      <c r="K146" s="292"/>
      <c r="L146" s="39"/>
      <c r="O146" s="293"/>
    </row>
    <row r="147" spans="2:22" ht="20.399999999999999" customHeight="1" thickBot="1" x14ac:dyDescent="0.55000000000000004">
      <c r="B147" s="163"/>
      <c r="C147" s="505"/>
      <c r="D147" s="165"/>
      <c r="E147" s="165"/>
      <c r="F147" s="506"/>
      <c r="G147" s="507"/>
      <c r="H147" s="508"/>
      <c r="I147" s="509"/>
      <c r="J147" s="509"/>
      <c r="K147" s="509"/>
      <c r="L147" s="510"/>
      <c r="M147" s="235"/>
      <c r="N147" s="234"/>
      <c r="O147" s="511"/>
      <c r="P147" s="512"/>
      <c r="Q147" s="234"/>
      <c r="R147" s="235"/>
      <c r="S147" s="167"/>
      <c r="T147" s="167"/>
      <c r="U147" s="167"/>
      <c r="V147" s="167"/>
    </row>
    <row r="148" spans="2:22" ht="13.5" customHeight="1" thickTop="1" x14ac:dyDescent="0.5">
      <c r="C148" s="144"/>
      <c r="D148" s="62"/>
      <c r="E148" s="62"/>
      <c r="G148" s="162"/>
      <c r="H148" s="243"/>
      <c r="I148" s="294"/>
      <c r="J148" s="294"/>
      <c r="K148" s="294"/>
      <c r="L148" s="39"/>
    </row>
    <row r="149" spans="2:22" ht="19.5" customHeight="1" x14ac:dyDescent="0.4">
      <c r="B149" s="7" t="s">
        <v>3</v>
      </c>
      <c r="C149" s="144">
        <v>505</v>
      </c>
      <c r="D149" s="62"/>
      <c r="E149" s="62"/>
      <c r="F149" s="112">
        <v>19907001</v>
      </c>
      <c r="G149" s="112" t="s">
        <v>66</v>
      </c>
      <c r="H149" s="245">
        <v>490000</v>
      </c>
      <c r="I149" s="246"/>
      <c r="J149" s="246"/>
      <c r="K149" s="246"/>
      <c r="L149" s="135">
        <f>SUM(H149:K149)</f>
        <v>490000</v>
      </c>
      <c r="M149" s="40">
        <v>45621</v>
      </c>
      <c r="N149" s="114">
        <v>3000</v>
      </c>
      <c r="O149" s="590">
        <f>SUM(N149:N154)</f>
        <v>475000</v>
      </c>
      <c r="P149" t="s">
        <v>26</v>
      </c>
      <c r="Q149" s="5" t="s">
        <v>67</v>
      </c>
      <c r="R149" s="40">
        <v>45657</v>
      </c>
      <c r="T149" s="44">
        <v>45652</v>
      </c>
      <c r="U149" t="s">
        <v>26</v>
      </c>
    </row>
    <row r="150" spans="2:22" ht="19.5" customHeight="1" x14ac:dyDescent="0.4">
      <c r="C150" s="144"/>
      <c r="D150" s="62"/>
      <c r="E150" s="62"/>
      <c r="F150" s="112"/>
      <c r="G150" s="112"/>
      <c r="H150" s="245"/>
      <c r="I150" s="246"/>
      <c r="J150" s="246"/>
      <c r="K150" s="246"/>
      <c r="L150" s="39"/>
      <c r="M150" s="40">
        <v>45652</v>
      </c>
      <c r="N150" s="114">
        <v>20000</v>
      </c>
      <c r="O150" s="590"/>
      <c r="P150" t="s">
        <v>45</v>
      </c>
      <c r="Q150" s="5" t="s">
        <v>67</v>
      </c>
      <c r="R150" s="40">
        <v>45657</v>
      </c>
      <c r="U150" t="s">
        <v>45</v>
      </c>
    </row>
    <row r="151" spans="2:22" ht="19.5" customHeight="1" x14ac:dyDescent="0.4">
      <c r="C151" s="144"/>
      <c r="D151" s="62"/>
      <c r="E151" s="62"/>
      <c r="F151" s="112"/>
      <c r="G151" s="112"/>
      <c r="H151" s="245"/>
      <c r="I151" s="246"/>
      <c r="J151" s="246"/>
      <c r="K151" s="246"/>
      <c r="L151" s="39"/>
      <c r="M151" s="40">
        <v>45682</v>
      </c>
      <c r="N151" s="114">
        <v>10000</v>
      </c>
      <c r="O151" s="590"/>
      <c r="P151" t="s">
        <v>45</v>
      </c>
      <c r="Q151" s="5" t="s">
        <v>68</v>
      </c>
      <c r="R151" s="40">
        <v>45685</v>
      </c>
      <c r="U151" t="s">
        <v>45</v>
      </c>
    </row>
    <row r="152" spans="2:22" ht="19.5" customHeight="1" x14ac:dyDescent="0.4">
      <c r="C152" s="144"/>
      <c r="D152" s="62"/>
      <c r="E152" s="62"/>
      <c r="F152" s="112"/>
      <c r="G152" s="112"/>
      <c r="H152" s="245"/>
      <c r="I152" s="246"/>
      <c r="J152" s="246"/>
      <c r="K152" s="246"/>
      <c r="L152" s="39"/>
      <c r="M152" s="295">
        <v>45744</v>
      </c>
      <c r="N152" s="296">
        <v>30000</v>
      </c>
      <c r="O152" s="590"/>
      <c r="P152" t="s">
        <v>45</v>
      </c>
      <c r="Q152" s="5" t="s">
        <v>69</v>
      </c>
      <c r="R152" s="40">
        <v>45712</v>
      </c>
      <c r="U152" t="s">
        <v>45</v>
      </c>
    </row>
    <row r="153" spans="2:22" ht="19.5" customHeight="1" x14ac:dyDescent="0.4">
      <c r="C153" s="144"/>
      <c r="D153" s="62"/>
      <c r="E153" s="62"/>
      <c r="F153" s="112"/>
      <c r="G153" s="112"/>
      <c r="H153" s="245"/>
      <c r="I153" s="246"/>
      <c r="J153" s="246"/>
      <c r="K153" s="246"/>
      <c r="L153" s="39"/>
      <c r="M153" s="40">
        <v>45763</v>
      </c>
      <c r="N153" s="41">
        <v>427000</v>
      </c>
      <c r="O153" s="590"/>
      <c r="P153"/>
      <c r="Q153" s="5" t="s">
        <v>70</v>
      </c>
      <c r="R153" s="40">
        <v>45787</v>
      </c>
    </row>
    <row r="154" spans="2:22" ht="19.5" customHeight="1" thickBot="1" x14ac:dyDescent="0.45">
      <c r="B154" s="149"/>
      <c r="C154" s="500"/>
      <c r="D154" s="151"/>
      <c r="E154" s="151"/>
      <c r="F154" s="270"/>
      <c r="G154" s="270"/>
      <c r="H154" s="239"/>
      <c r="I154" s="240"/>
      <c r="J154" s="240"/>
      <c r="K154" s="240"/>
      <c r="L154" s="155"/>
      <c r="M154" s="297">
        <v>45789</v>
      </c>
      <c r="N154" s="298">
        <v>-15000</v>
      </c>
      <c r="O154" s="591"/>
      <c r="P154" s="161" t="s">
        <v>52</v>
      </c>
      <c r="Q154" s="157" t="s">
        <v>71</v>
      </c>
      <c r="R154" s="271">
        <v>45789</v>
      </c>
      <c r="S154" s="161"/>
      <c r="T154" s="161"/>
      <c r="U154" s="161" t="s">
        <v>52</v>
      </c>
      <c r="V154" s="161"/>
    </row>
    <row r="155" spans="2:22" ht="14.25" customHeight="1" thickTop="1" x14ac:dyDescent="0.4">
      <c r="C155" s="144"/>
      <c r="D155" s="62"/>
      <c r="E155" s="62"/>
      <c r="F155" s="107"/>
      <c r="G155" s="146"/>
      <c r="H155" s="243"/>
      <c r="I155" s="244"/>
      <c r="J155" s="244"/>
      <c r="K155" s="244"/>
      <c r="L155" s="39"/>
      <c r="M155" s="40"/>
      <c r="N155" s="41"/>
      <c r="O155" s="299"/>
      <c r="P155" s="148"/>
      <c r="R155" s="40"/>
    </row>
    <row r="156" spans="2:22" ht="19.5" customHeight="1" x14ac:dyDescent="0.4">
      <c r="B156" s="7" t="s">
        <v>3</v>
      </c>
      <c r="C156" s="144">
        <v>601</v>
      </c>
      <c r="D156" s="62">
        <v>28</v>
      </c>
      <c r="E156" s="62">
        <v>22</v>
      </c>
      <c r="F156" s="2">
        <v>44062837</v>
      </c>
      <c r="G156" s="162" t="s">
        <v>72</v>
      </c>
      <c r="H156" s="245">
        <v>630000</v>
      </c>
      <c r="I156" s="246"/>
      <c r="J156" s="246"/>
      <c r="K156" s="246">
        <v>60000</v>
      </c>
      <c r="L156" s="135">
        <f>SUM(H156:K156)</f>
        <v>690000</v>
      </c>
      <c r="M156" s="40">
        <v>45804</v>
      </c>
      <c r="N156" s="114">
        <v>3000</v>
      </c>
      <c r="O156" s="561">
        <f>+N156+N157+N158</f>
        <v>690000</v>
      </c>
      <c r="P156" s="545" t="s">
        <v>24</v>
      </c>
      <c r="Q156" s="5" t="s">
        <v>73</v>
      </c>
      <c r="R156" s="40">
        <v>45833</v>
      </c>
    </row>
    <row r="157" spans="2:22" ht="19.5" customHeight="1" x14ac:dyDescent="0.4">
      <c r="C157" s="144"/>
      <c r="D157" s="62"/>
      <c r="E157" s="62"/>
      <c r="G157" s="162"/>
      <c r="H157" s="245"/>
      <c r="I157" s="246"/>
      <c r="J157" s="246"/>
      <c r="K157" s="246"/>
      <c r="L157" s="135"/>
      <c r="M157" s="40">
        <v>45831</v>
      </c>
      <c r="N157" s="114">
        <v>107000</v>
      </c>
      <c r="O157" s="561"/>
      <c r="P157" s="545"/>
      <c r="Q157" s="5" t="s">
        <v>74</v>
      </c>
      <c r="R157" s="40">
        <v>45833</v>
      </c>
    </row>
    <row r="158" spans="2:22" ht="19.5" customHeight="1" x14ac:dyDescent="0.4">
      <c r="C158" s="144"/>
      <c r="D158" s="62"/>
      <c r="E158" s="62"/>
      <c r="G158" s="162"/>
      <c r="H158" s="245"/>
      <c r="I158" s="246"/>
      <c r="J158" s="246"/>
      <c r="K158" s="246"/>
      <c r="L158" s="135"/>
      <c r="M158" s="40">
        <v>45894</v>
      </c>
      <c r="N158" s="41">
        <v>580000</v>
      </c>
      <c r="O158" s="561"/>
      <c r="P158" s="545"/>
      <c r="Q158" s="5" t="s">
        <v>75</v>
      </c>
      <c r="R158" s="40">
        <v>45936</v>
      </c>
    </row>
    <row r="159" spans="2:22" ht="19.5" customHeight="1" thickBot="1" x14ac:dyDescent="0.5">
      <c r="B159" s="191"/>
      <c r="C159" s="513"/>
      <c r="D159" s="301"/>
      <c r="E159" s="301"/>
      <c r="F159" s="192"/>
      <c r="G159" s="302"/>
      <c r="H159" s="303"/>
      <c r="I159" s="304"/>
      <c r="J159" s="304"/>
      <c r="K159" s="304"/>
      <c r="L159" s="305"/>
      <c r="M159" s="196"/>
      <c r="N159" s="197"/>
      <c r="O159" s="306"/>
      <c r="P159" s="307"/>
      <c r="Q159" s="198"/>
      <c r="R159" s="196"/>
      <c r="S159" s="195"/>
      <c r="T159" s="195"/>
      <c r="U159" s="195"/>
      <c r="V159" s="195"/>
    </row>
    <row r="160" spans="2:22" ht="12.75" customHeight="1" thickTop="1" x14ac:dyDescent="0.5">
      <c r="C160" s="144"/>
      <c r="D160" s="62"/>
      <c r="E160" s="62"/>
      <c r="G160" s="162"/>
      <c r="H160" s="245"/>
      <c r="I160" s="246"/>
      <c r="J160" s="246"/>
      <c r="K160" s="246"/>
      <c r="L160" s="39"/>
    </row>
    <row r="161" spans="2:22" ht="21" customHeight="1" x14ac:dyDescent="0.5">
      <c r="B161" s="7" t="s">
        <v>3</v>
      </c>
      <c r="C161" s="144">
        <v>602</v>
      </c>
      <c r="D161" s="62">
        <v>41</v>
      </c>
      <c r="E161" s="62">
        <v>32</v>
      </c>
      <c r="G161" s="162" t="s">
        <v>303</v>
      </c>
      <c r="H161" s="245">
        <v>467000</v>
      </c>
      <c r="I161" s="246"/>
      <c r="J161" s="246"/>
      <c r="K161" s="246">
        <v>55800</v>
      </c>
      <c r="L161" s="135">
        <f>SUM(H161:K161)</f>
        <v>522800</v>
      </c>
      <c r="M161" s="40">
        <v>46085</v>
      </c>
      <c r="N161" s="501">
        <v>3000</v>
      </c>
      <c r="O161" s="293">
        <f>+N161</f>
        <v>3000</v>
      </c>
      <c r="P161" s="6" t="s">
        <v>126</v>
      </c>
    </row>
    <row r="162" spans="2:22" ht="18.600000000000001" customHeight="1" x14ac:dyDescent="0.5">
      <c r="C162" s="144"/>
      <c r="D162" s="62"/>
      <c r="E162" s="62"/>
      <c r="G162" s="162"/>
      <c r="H162" s="245"/>
      <c r="I162" s="246"/>
      <c r="J162" s="246"/>
      <c r="K162" s="246"/>
      <c r="L162" s="39"/>
    </row>
    <row r="163" spans="2:22" ht="19.5" customHeight="1" thickBot="1" x14ac:dyDescent="0.55000000000000004">
      <c r="B163" s="149"/>
      <c r="C163" s="500"/>
      <c r="D163" s="151"/>
      <c r="E163" s="151"/>
      <c r="F163" s="150"/>
      <c r="G163" s="152"/>
      <c r="H163" s="239"/>
      <c r="I163" s="240"/>
      <c r="J163" s="240"/>
      <c r="K163" s="240"/>
      <c r="L163" s="155"/>
      <c r="M163" s="160"/>
      <c r="N163" s="157"/>
      <c r="O163" s="241"/>
      <c r="P163" s="159"/>
      <c r="Q163" s="157"/>
      <c r="R163" s="160"/>
      <c r="S163" s="161"/>
      <c r="T163" s="161"/>
      <c r="U163" s="161"/>
      <c r="V163" s="161"/>
    </row>
    <row r="164" spans="2:22" ht="15" customHeight="1" thickTop="1" x14ac:dyDescent="0.5">
      <c r="C164" s="203"/>
      <c r="D164" s="62"/>
      <c r="E164" s="62"/>
      <c r="G164" s="162"/>
      <c r="H164" s="245"/>
      <c r="I164" s="246"/>
      <c r="J164" s="246"/>
      <c r="K164" s="246"/>
      <c r="L164" s="39"/>
    </row>
    <row r="165" spans="2:22" ht="19.5" customHeight="1" x14ac:dyDescent="0.4">
      <c r="B165" s="7" t="s">
        <v>3</v>
      </c>
      <c r="C165" s="497">
        <v>603</v>
      </c>
      <c r="D165" s="62"/>
      <c r="E165" s="62"/>
      <c r="F165" s="112">
        <v>43953371</v>
      </c>
      <c r="G165" s="112" t="s">
        <v>76</v>
      </c>
      <c r="H165" s="245">
        <v>654000</v>
      </c>
      <c r="I165" s="246"/>
      <c r="J165" s="246"/>
      <c r="K165" s="246"/>
      <c r="L165" s="113">
        <f>SUM(H165:K165)</f>
        <v>654000</v>
      </c>
      <c r="M165" s="40">
        <v>45478</v>
      </c>
      <c r="N165" s="114">
        <v>3000</v>
      </c>
      <c r="O165" s="561">
        <f>SUM(N165:N168)</f>
        <v>654000</v>
      </c>
      <c r="P165" s="583" t="s">
        <v>24</v>
      </c>
      <c r="Q165" s="5" t="s">
        <v>304</v>
      </c>
      <c r="R165" s="40">
        <v>45567</v>
      </c>
      <c r="S165" s="44">
        <v>45477</v>
      </c>
      <c r="T165" s="44"/>
      <c r="U165" t="s">
        <v>26</v>
      </c>
    </row>
    <row r="166" spans="2:22" ht="19.5" customHeight="1" x14ac:dyDescent="0.4">
      <c r="C166" s="106"/>
      <c r="D166" s="62"/>
      <c r="E166" s="62"/>
      <c r="F166" s="112"/>
      <c r="G166" s="112"/>
      <c r="H166" s="245"/>
      <c r="I166" s="246"/>
      <c r="J166" s="246"/>
      <c r="K166" s="246"/>
      <c r="L166" s="113"/>
      <c r="M166" s="40">
        <v>45590</v>
      </c>
      <c r="N166" s="114">
        <v>25000</v>
      </c>
      <c r="O166" s="561"/>
      <c r="P166" s="583"/>
      <c r="Q166" s="5" t="s">
        <v>304</v>
      </c>
      <c r="R166" s="40">
        <v>45567</v>
      </c>
      <c r="U166" t="s">
        <v>27</v>
      </c>
    </row>
    <row r="167" spans="2:22" ht="19.5" customHeight="1" x14ac:dyDescent="0.4">
      <c r="C167" s="106"/>
      <c r="D167" s="62"/>
      <c r="E167" s="62"/>
      <c r="F167" s="112"/>
      <c r="G167" s="112"/>
      <c r="H167" s="245"/>
      <c r="I167" s="246"/>
      <c r="J167" s="246"/>
      <c r="K167" s="246"/>
      <c r="L167" s="113"/>
      <c r="M167" s="40">
        <v>45723</v>
      </c>
      <c r="N167" s="41">
        <v>37400</v>
      </c>
      <c r="O167" s="561"/>
      <c r="P167" s="583"/>
      <c r="Q167" s="5" t="s">
        <v>305</v>
      </c>
      <c r="R167" s="40">
        <v>45723</v>
      </c>
    </row>
    <row r="168" spans="2:22" ht="19.5" customHeight="1" x14ac:dyDescent="0.4">
      <c r="C168" s="106"/>
      <c r="D168" s="62"/>
      <c r="E168" s="62"/>
      <c r="F168" s="112"/>
      <c r="G168" s="112"/>
      <c r="H168" s="245"/>
      <c r="I168" s="246"/>
      <c r="J168" s="246"/>
      <c r="K168" s="246"/>
      <c r="L168" s="113"/>
      <c r="M168" s="40">
        <v>45783</v>
      </c>
      <c r="N168" s="41">
        <v>588600</v>
      </c>
      <c r="O168" s="561"/>
      <c r="P168" s="583"/>
      <c r="Q168" s="5" t="s">
        <v>306</v>
      </c>
      <c r="R168" s="40">
        <v>45859</v>
      </c>
    </row>
    <row r="169" spans="2:22" ht="15" customHeight="1" thickBot="1" x14ac:dyDescent="0.45">
      <c r="C169" s="106"/>
      <c r="D169" s="62"/>
      <c r="E169" s="301"/>
      <c r="F169" s="308"/>
      <c r="G169" s="309"/>
      <c r="H169" s="243"/>
      <c r="I169" s="244"/>
      <c r="J169" s="244"/>
      <c r="K169" s="244"/>
      <c r="L169" s="109"/>
      <c r="M169" s="40"/>
      <c r="N169" s="41"/>
      <c r="O169" s="23"/>
      <c r="P169" s="174"/>
      <c r="R169" s="40"/>
    </row>
    <row r="170" spans="2:22" ht="21" customHeight="1" thickTop="1" x14ac:dyDescent="0.4">
      <c r="B170" s="310" t="s">
        <v>3</v>
      </c>
      <c r="C170" s="514">
        <v>604</v>
      </c>
      <c r="D170" s="311">
        <v>51</v>
      </c>
      <c r="E170" s="311">
        <v>39</v>
      </c>
      <c r="F170" s="312"/>
      <c r="G170" s="313" t="s">
        <v>307</v>
      </c>
      <c r="H170" s="314">
        <v>423000</v>
      </c>
      <c r="I170" s="315"/>
      <c r="J170" s="315"/>
      <c r="K170" s="315">
        <v>50000</v>
      </c>
      <c r="L170" s="113">
        <f>SUM(H170:K170)</f>
        <v>473000</v>
      </c>
      <c r="M170" s="317">
        <v>46096</v>
      </c>
      <c r="N170" s="318">
        <v>3000</v>
      </c>
      <c r="O170" s="319">
        <f>+N170</f>
        <v>3000</v>
      </c>
      <c r="P170" s="320" t="s">
        <v>126</v>
      </c>
      <c r="Q170" s="321"/>
      <c r="R170" s="317"/>
      <c r="S170" s="322"/>
      <c r="T170" s="322"/>
      <c r="U170" s="322"/>
      <c r="V170" s="322"/>
    </row>
    <row r="171" spans="2:22" ht="15" customHeight="1" x14ac:dyDescent="0.4">
      <c r="C171" s="144"/>
      <c r="D171" s="62"/>
      <c r="E171" s="62"/>
      <c r="F171" s="107"/>
      <c r="G171" s="323"/>
      <c r="H171" s="243"/>
      <c r="I171" s="244"/>
      <c r="J171" s="244"/>
      <c r="K171" s="244"/>
      <c r="L171" s="109"/>
      <c r="M171" s="40"/>
      <c r="N171" s="41"/>
      <c r="O171" s="23"/>
      <c r="P171" s="174"/>
      <c r="R171" s="40"/>
    </row>
    <row r="172" spans="2:22" ht="19.5" customHeight="1" thickBot="1" x14ac:dyDescent="0.55000000000000004">
      <c r="B172" s="191"/>
      <c r="C172" s="513"/>
      <c r="D172" s="301"/>
      <c r="E172" s="301"/>
      <c r="F172" s="192"/>
      <c r="G172" s="302"/>
      <c r="H172" s="303"/>
      <c r="I172" s="304"/>
      <c r="J172" s="304"/>
      <c r="K172" s="304"/>
      <c r="L172" s="324"/>
      <c r="M172" s="325"/>
      <c r="N172" s="198"/>
      <c r="O172" s="194"/>
      <c r="P172" s="326"/>
      <c r="Q172" s="198"/>
      <c r="R172" s="325"/>
      <c r="S172" s="195"/>
      <c r="T172" s="195"/>
      <c r="U172" s="195"/>
      <c r="V172" s="195"/>
    </row>
    <row r="173" spans="2:22" ht="19.5" customHeight="1" thickTop="1" x14ac:dyDescent="0.4">
      <c r="B173" s="7" t="s">
        <v>3</v>
      </c>
      <c r="C173" s="115">
        <v>605</v>
      </c>
      <c r="D173" s="112">
        <v>7</v>
      </c>
      <c r="E173" s="112">
        <v>5</v>
      </c>
      <c r="F173" s="112">
        <v>49073756</v>
      </c>
      <c r="G173" s="112" t="s">
        <v>77</v>
      </c>
      <c r="H173" s="245">
        <v>501000</v>
      </c>
      <c r="I173" s="246"/>
      <c r="J173" s="246"/>
      <c r="K173" s="246">
        <v>57300</v>
      </c>
      <c r="L173" s="113">
        <f>SUM(H173:K173)</f>
        <v>558300</v>
      </c>
      <c r="M173" s="40">
        <v>45698</v>
      </c>
      <c r="N173" s="114">
        <v>3000</v>
      </c>
      <c r="O173" s="561">
        <f>SUM(N173:N175)</f>
        <v>558300</v>
      </c>
      <c r="P173" t="s">
        <v>26</v>
      </c>
      <c r="Q173" s="5" t="s">
        <v>78</v>
      </c>
      <c r="R173" s="40">
        <v>45712</v>
      </c>
      <c r="T173" s="44">
        <v>45712</v>
      </c>
      <c r="U173" t="s">
        <v>26</v>
      </c>
    </row>
    <row r="174" spans="2:22" ht="19.5" customHeight="1" x14ac:dyDescent="0.4">
      <c r="C174" s="115"/>
      <c r="D174" s="112"/>
      <c r="E174" s="112"/>
      <c r="F174" s="112"/>
      <c r="G174" s="112"/>
      <c r="H174" s="245"/>
      <c r="I174" s="246"/>
      <c r="J174" s="246"/>
      <c r="K174" s="246"/>
      <c r="L174" s="113"/>
      <c r="M174" s="40">
        <v>45709</v>
      </c>
      <c r="N174" s="114">
        <v>52830</v>
      </c>
      <c r="O174" s="561"/>
      <c r="P174" t="s">
        <v>27</v>
      </c>
      <c r="Q174" s="5" t="s">
        <v>78</v>
      </c>
      <c r="R174" s="40">
        <v>45712</v>
      </c>
      <c r="T174" s="44"/>
      <c r="U174" t="s">
        <v>27</v>
      </c>
    </row>
    <row r="175" spans="2:22" ht="19.5" customHeight="1" thickBot="1" x14ac:dyDescent="0.45">
      <c r="B175" s="136"/>
      <c r="C175" s="247"/>
      <c r="D175" s="249"/>
      <c r="E175" s="249"/>
      <c r="F175" s="249"/>
      <c r="G175" s="249"/>
      <c r="H175" s="250"/>
      <c r="I175" s="251"/>
      <c r="J175" s="251"/>
      <c r="K175" s="251"/>
      <c r="L175" s="327"/>
      <c r="M175" s="140">
        <v>45757</v>
      </c>
      <c r="N175" s="141">
        <v>502470</v>
      </c>
      <c r="O175" s="562"/>
      <c r="P175" s="143" t="s">
        <v>30</v>
      </c>
      <c r="Q175" s="142" t="s">
        <v>79</v>
      </c>
      <c r="R175" s="140">
        <v>45787</v>
      </c>
      <c r="S175" s="143"/>
      <c r="T175" s="328"/>
      <c r="U175" s="143" t="s">
        <v>30</v>
      </c>
      <c r="V175" s="143"/>
    </row>
    <row r="176" spans="2:22" ht="19.5" customHeight="1" thickTop="1" x14ac:dyDescent="0.4">
      <c r="B176" s="7" t="s">
        <v>3</v>
      </c>
      <c r="C176" s="115">
        <v>701</v>
      </c>
      <c r="D176" s="112"/>
      <c r="E176" s="112"/>
      <c r="F176" s="112">
        <v>10606793</v>
      </c>
      <c r="G176" s="112" t="s">
        <v>80</v>
      </c>
      <c r="H176" s="245">
        <v>592500</v>
      </c>
      <c r="I176" s="246"/>
      <c r="J176" s="246"/>
      <c r="K176" s="246"/>
      <c r="L176" s="113">
        <f>SUM(H176:K176)</f>
        <v>592500</v>
      </c>
      <c r="M176" s="40">
        <v>45593</v>
      </c>
      <c r="N176" s="114">
        <v>3000</v>
      </c>
      <c r="O176" s="561">
        <f>SUM(N176:N179)</f>
        <v>592500</v>
      </c>
      <c r="P176" t="s">
        <v>26</v>
      </c>
      <c r="Q176" s="5" t="s">
        <v>81</v>
      </c>
      <c r="R176" s="40">
        <v>45621</v>
      </c>
      <c r="U176" t="s">
        <v>26</v>
      </c>
    </row>
    <row r="177" spans="2:22" ht="19.5" customHeight="1" x14ac:dyDescent="0.4">
      <c r="C177" s="115"/>
      <c r="D177" s="112"/>
      <c r="E177" s="112"/>
      <c r="F177" s="112"/>
      <c r="G177" s="112"/>
      <c r="H177" s="245"/>
      <c r="I177" s="246"/>
      <c r="J177" s="246"/>
      <c r="K177" s="246"/>
      <c r="L177" s="113"/>
      <c r="M177" s="40">
        <v>45622</v>
      </c>
      <c r="N177" s="114">
        <v>48000</v>
      </c>
      <c r="O177" s="561"/>
      <c r="P177" t="s">
        <v>27</v>
      </c>
      <c r="Q177" s="5" t="s">
        <v>81</v>
      </c>
      <c r="R177" s="40">
        <v>45621</v>
      </c>
      <c r="U177" t="s">
        <v>27</v>
      </c>
    </row>
    <row r="178" spans="2:22" ht="19.5" customHeight="1" x14ac:dyDescent="0.4">
      <c r="C178" s="115"/>
      <c r="D178" s="112"/>
      <c r="E178" s="112"/>
      <c r="F178" s="112"/>
      <c r="G178" s="112"/>
      <c r="H178" s="245"/>
      <c r="I178" s="246"/>
      <c r="J178" s="246"/>
      <c r="K178" s="246"/>
      <c r="L178" s="113"/>
      <c r="M178" s="40">
        <v>45638</v>
      </c>
      <c r="N178" s="114">
        <v>8250</v>
      </c>
      <c r="O178" s="561"/>
      <c r="P178" t="s">
        <v>27</v>
      </c>
      <c r="Q178" s="5" t="s">
        <v>82</v>
      </c>
      <c r="R178" s="40">
        <v>45650</v>
      </c>
      <c r="U178" t="s">
        <v>27</v>
      </c>
    </row>
    <row r="179" spans="2:22" ht="19.5" customHeight="1" thickBot="1" x14ac:dyDescent="0.45">
      <c r="B179" s="149"/>
      <c r="C179" s="330"/>
      <c r="D179" s="270"/>
      <c r="E179" s="270"/>
      <c r="F179" s="270"/>
      <c r="G179" s="270"/>
      <c r="H179" s="239"/>
      <c r="I179" s="240"/>
      <c r="J179" s="240"/>
      <c r="K179" s="240"/>
      <c r="L179" s="225"/>
      <c r="M179" s="271">
        <v>45763</v>
      </c>
      <c r="N179" s="331">
        <v>533250</v>
      </c>
      <c r="O179" s="584"/>
      <c r="P179" s="161" t="s">
        <v>84</v>
      </c>
      <c r="Q179" s="157" t="s">
        <v>83</v>
      </c>
      <c r="R179" s="271">
        <v>45787</v>
      </c>
      <c r="S179" s="161"/>
      <c r="T179" s="161"/>
      <c r="U179" s="161" t="s">
        <v>84</v>
      </c>
      <c r="V179" s="161"/>
    </row>
    <row r="180" spans="2:22" ht="12" customHeight="1" thickTop="1" x14ac:dyDescent="0.4">
      <c r="C180" s="115"/>
      <c r="D180" s="329"/>
      <c r="E180" s="329"/>
      <c r="G180" s="332"/>
      <c r="H180" s="245"/>
      <c r="I180" s="246"/>
      <c r="J180" s="246"/>
      <c r="K180" s="246"/>
      <c r="L180" s="113"/>
      <c r="M180" s="40"/>
      <c r="N180" s="41"/>
      <c r="O180" s="24"/>
      <c r="P180" s="25"/>
      <c r="R180" s="40"/>
    </row>
    <row r="181" spans="2:22" ht="19.8" customHeight="1" x14ac:dyDescent="0.4">
      <c r="B181" s="7" t="s">
        <v>3</v>
      </c>
      <c r="C181" s="115">
        <v>702</v>
      </c>
      <c r="D181" s="329">
        <v>50</v>
      </c>
      <c r="E181" s="329"/>
      <c r="G181" s="332" t="s">
        <v>308</v>
      </c>
      <c r="H181" s="245">
        <v>454000</v>
      </c>
      <c r="I181" s="246">
        <v>46000</v>
      </c>
      <c r="J181" s="246"/>
      <c r="K181" s="246"/>
      <c r="L181" s="113">
        <f>SUM(H181:K181)</f>
        <v>500000</v>
      </c>
      <c r="M181" s="40">
        <v>46059</v>
      </c>
      <c r="N181" s="41">
        <v>3000</v>
      </c>
      <c r="O181" s="24">
        <f>+N181</f>
        <v>3000</v>
      </c>
      <c r="P181" s="25" t="s">
        <v>126</v>
      </c>
      <c r="R181" s="40"/>
    </row>
    <row r="182" spans="2:22" ht="19.8" customHeight="1" x14ac:dyDescent="0.4">
      <c r="C182" s="115"/>
      <c r="D182" s="329"/>
      <c r="E182" s="329"/>
      <c r="G182" s="332"/>
      <c r="H182" s="245"/>
      <c r="I182" s="246"/>
      <c r="J182" s="246"/>
      <c r="K182" s="246"/>
      <c r="L182" s="113"/>
      <c r="M182" s="40"/>
      <c r="N182" s="41"/>
      <c r="O182" s="24"/>
      <c r="P182" s="25"/>
      <c r="R182" s="40"/>
    </row>
    <row r="183" spans="2:22" ht="19.5" customHeight="1" thickBot="1" x14ac:dyDescent="0.55000000000000004">
      <c r="B183" s="136"/>
      <c r="C183" s="382"/>
      <c r="D183" s="248"/>
      <c r="E183" s="248"/>
      <c r="F183" s="266"/>
      <c r="G183" s="267"/>
      <c r="H183" s="250"/>
      <c r="I183" s="251"/>
      <c r="J183" s="251"/>
      <c r="K183" s="251"/>
      <c r="L183" s="327"/>
      <c r="M183" s="268"/>
      <c r="N183" s="142"/>
      <c r="O183" s="333"/>
      <c r="P183" s="334"/>
      <c r="Q183" s="142"/>
      <c r="R183" s="268"/>
      <c r="S183" s="143"/>
      <c r="T183" s="143"/>
      <c r="U183" s="143"/>
      <c r="V183" s="143"/>
    </row>
    <row r="184" spans="2:22" ht="13.5" customHeight="1" thickTop="1" x14ac:dyDescent="0.5">
      <c r="C184" s="144"/>
      <c r="D184" s="62"/>
      <c r="E184" s="62"/>
      <c r="G184" s="162"/>
      <c r="H184" s="243"/>
      <c r="I184" s="244"/>
      <c r="J184" s="244"/>
      <c r="K184" s="244"/>
      <c r="L184" s="109"/>
    </row>
    <row r="185" spans="2:22" ht="19.5" customHeight="1" x14ac:dyDescent="0.4">
      <c r="B185" s="7" t="s">
        <v>3</v>
      </c>
      <c r="C185" s="144">
        <v>703</v>
      </c>
      <c r="D185" s="112">
        <v>6</v>
      </c>
      <c r="E185" s="112">
        <v>4</v>
      </c>
      <c r="F185" s="112">
        <v>41844906</v>
      </c>
      <c r="G185" s="112" t="s">
        <v>85</v>
      </c>
      <c r="H185" s="245">
        <v>654000</v>
      </c>
      <c r="I185" s="246"/>
      <c r="J185" s="246"/>
      <c r="K185" s="246">
        <v>57500</v>
      </c>
      <c r="L185" s="113">
        <f>SUM(H185:K185)</f>
        <v>711500</v>
      </c>
      <c r="M185" s="335">
        <v>45657</v>
      </c>
      <c r="N185" s="336">
        <v>3000</v>
      </c>
      <c r="O185" s="582">
        <f>SUM(N185:N198)</f>
        <v>711500</v>
      </c>
      <c r="P185" t="s">
        <v>26</v>
      </c>
      <c r="Q185" s="5" t="s">
        <v>86</v>
      </c>
      <c r="R185" s="40">
        <v>45820</v>
      </c>
      <c r="U185" t="s">
        <v>26</v>
      </c>
    </row>
    <row r="186" spans="2:22" ht="19.5" customHeight="1" x14ac:dyDescent="0.4">
      <c r="C186" s="144"/>
      <c r="D186" s="112"/>
      <c r="E186" s="112"/>
      <c r="F186" s="112"/>
      <c r="G186" s="112"/>
      <c r="H186" s="245"/>
      <c r="I186" s="246"/>
      <c r="J186" s="246"/>
      <c r="K186" s="246"/>
      <c r="L186" s="113"/>
      <c r="M186" s="40">
        <v>45687</v>
      </c>
      <c r="N186" s="114">
        <v>291500</v>
      </c>
      <c r="O186" s="582"/>
      <c r="P186" s="550"/>
      <c r="Q186" s="5" t="s">
        <v>87</v>
      </c>
      <c r="R186" s="40">
        <v>45693</v>
      </c>
    </row>
    <row r="187" spans="2:22" ht="19.5" customHeight="1" x14ac:dyDescent="0.4">
      <c r="C187" s="144"/>
      <c r="D187" s="112"/>
      <c r="E187" s="112"/>
      <c r="F187" s="112"/>
      <c r="G187" s="112"/>
      <c r="H187" s="245"/>
      <c r="I187" s="246"/>
      <c r="J187" s="246"/>
      <c r="K187" s="246"/>
      <c r="L187" s="113"/>
      <c r="M187" s="40">
        <v>45712</v>
      </c>
      <c r="N187" s="114">
        <v>34750</v>
      </c>
      <c r="O187" s="582"/>
      <c r="P187" s="550"/>
      <c r="Q187" s="5" t="s">
        <v>88</v>
      </c>
      <c r="R187" s="40">
        <v>45713</v>
      </c>
    </row>
    <row r="188" spans="2:22" ht="19.5" customHeight="1" x14ac:dyDescent="0.4">
      <c r="C188" s="144"/>
      <c r="D188" s="112"/>
      <c r="E188" s="112"/>
      <c r="F188" s="112"/>
      <c r="G188" s="112"/>
      <c r="H188" s="245"/>
      <c r="I188" s="246"/>
      <c r="J188" s="246"/>
      <c r="K188" s="246"/>
      <c r="L188" s="113"/>
      <c r="M188" s="40">
        <v>45743</v>
      </c>
      <c r="N188" s="114">
        <v>34750</v>
      </c>
      <c r="O188" s="582"/>
      <c r="P188" s="550"/>
      <c r="Q188" s="5" t="s">
        <v>89</v>
      </c>
      <c r="R188" s="40">
        <v>45745</v>
      </c>
    </row>
    <row r="189" spans="2:22" ht="19.5" customHeight="1" x14ac:dyDescent="0.4">
      <c r="C189" s="144"/>
      <c r="D189" s="112"/>
      <c r="E189" s="112"/>
      <c r="F189" s="112"/>
      <c r="G189" s="112"/>
      <c r="H189" s="245"/>
      <c r="I189" s="246"/>
      <c r="J189" s="246"/>
      <c r="K189" s="246"/>
      <c r="L189" s="113"/>
      <c r="M189" s="40">
        <v>45771</v>
      </c>
      <c r="N189" s="114">
        <v>34750</v>
      </c>
      <c r="O189" s="582"/>
      <c r="P189" s="550"/>
      <c r="Q189" s="5" t="s">
        <v>90</v>
      </c>
      <c r="R189" s="40">
        <v>45787</v>
      </c>
    </row>
    <row r="190" spans="2:22" ht="19.5" customHeight="1" x14ac:dyDescent="0.4">
      <c r="C190" s="144"/>
      <c r="D190" s="112"/>
      <c r="E190" s="112"/>
      <c r="F190" s="112"/>
      <c r="G190" s="112"/>
      <c r="H190" s="243"/>
      <c r="I190" s="244"/>
      <c r="J190" s="244"/>
      <c r="K190" s="244"/>
      <c r="L190" s="109"/>
      <c r="M190" s="40">
        <v>45799</v>
      </c>
      <c r="N190" s="41">
        <v>34750</v>
      </c>
      <c r="O190" s="582"/>
      <c r="P190" s="550"/>
      <c r="Q190" s="5" t="s">
        <v>91</v>
      </c>
      <c r="R190" s="40">
        <v>45798</v>
      </c>
    </row>
    <row r="191" spans="2:22" ht="19.5" customHeight="1" x14ac:dyDescent="0.4">
      <c r="C191" s="144"/>
      <c r="D191" s="112"/>
      <c r="E191" s="112"/>
      <c r="F191" s="112"/>
      <c r="G191" s="112"/>
      <c r="H191" s="243"/>
      <c r="I191" s="244"/>
      <c r="J191" s="244"/>
      <c r="K191" s="244"/>
      <c r="L191" s="109"/>
      <c r="M191" s="40">
        <v>45835</v>
      </c>
      <c r="N191" s="41">
        <v>34750</v>
      </c>
      <c r="O191" s="582"/>
      <c r="P191" s="550"/>
      <c r="Q191" s="5" t="s">
        <v>92</v>
      </c>
      <c r="R191" s="40">
        <v>45838</v>
      </c>
    </row>
    <row r="192" spans="2:22" ht="19.5" customHeight="1" x14ac:dyDescent="0.4">
      <c r="C192" s="144"/>
      <c r="D192" s="112"/>
      <c r="E192" s="112"/>
      <c r="F192" s="112"/>
      <c r="G192" s="112"/>
      <c r="H192" s="243"/>
      <c r="I192" s="244"/>
      <c r="J192" s="244"/>
      <c r="K192" s="244"/>
      <c r="L192" s="109"/>
      <c r="M192" s="40">
        <v>45862</v>
      </c>
      <c r="N192" s="41">
        <v>34750</v>
      </c>
      <c r="O192" s="582"/>
      <c r="P192" s="550"/>
      <c r="Q192" s="5" t="s">
        <v>93</v>
      </c>
      <c r="R192" s="40">
        <v>45885</v>
      </c>
    </row>
    <row r="193" spans="1:22" ht="19.5" customHeight="1" x14ac:dyDescent="0.4">
      <c r="C193" s="144"/>
      <c r="D193" s="112"/>
      <c r="E193" s="112"/>
      <c r="F193" s="112"/>
      <c r="G193" s="112"/>
      <c r="H193" s="243"/>
      <c r="I193" s="244"/>
      <c r="J193" s="244"/>
      <c r="K193" s="244"/>
      <c r="L193" s="109"/>
      <c r="M193" s="40">
        <v>45895</v>
      </c>
      <c r="N193" s="41">
        <v>34750</v>
      </c>
      <c r="O193" s="582"/>
      <c r="P193" s="550"/>
      <c r="Q193" s="5" t="s">
        <v>94</v>
      </c>
      <c r="R193" s="40">
        <v>45903</v>
      </c>
    </row>
    <row r="194" spans="1:22" ht="19.5" customHeight="1" x14ac:dyDescent="0.4">
      <c r="C194" s="144"/>
      <c r="D194" s="112"/>
      <c r="E194" s="112"/>
      <c r="F194" s="112"/>
      <c r="G194" s="112"/>
      <c r="H194" s="243"/>
      <c r="I194" s="244"/>
      <c r="J194" s="244"/>
      <c r="K194" s="244"/>
      <c r="L194" s="109"/>
      <c r="M194" s="40">
        <v>45930</v>
      </c>
      <c r="N194" s="41">
        <v>34750</v>
      </c>
      <c r="O194" s="582"/>
      <c r="P194" s="550"/>
      <c r="Q194" s="5" t="s">
        <v>95</v>
      </c>
      <c r="R194" s="40">
        <v>45936</v>
      </c>
    </row>
    <row r="195" spans="1:22" ht="19.5" customHeight="1" x14ac:dyDescent="0.4">
      <c r="C195" s="144"/>
      <c r="D195" s="112"/>
      <c r="E195" s="112"/>
      <c r="F195" s="112"/>
      <c r="G195" s="112"/>
      <c r="H195" s="243"/>
      <c r="I195" s="244"/>
      <c r="J195" s="244"/>
      <c r="K195" s="244"/>
      <c r="L195" s="109"/>
      <c r="M195" s="40">
        <v>45959</v>
      </c>
      <c r="N195" s="41">
        <v>34750</v>
      </c>
      <c r="O195" s="582"/>
      <c r="P195" s="550"/>
      <c r="Q195" s="5" t="s">
        <v>96</v>
      </c>
      <c r="R195" s="40"/>
    </row>
    <row r="196" spans="1:22" ht="19.5" customHeight="1" x14ac:dyDescent="0.4">
      <c r="C196" s="144"/>
      <c r="D196" s="112"/>
      <c r="E196" s="112"/>
      <c r="F196" s="112"/>
      <c r="G196" s="112"/>
      <c r="H196" s="243"/>
      <c r="I196" s="244"/>
      <c r="J196" s="244"/>
      <c r="K196" s="244"/>
      <c r="L196" s="109"/>
      <c r="M196" s="40">
        <v>45988</v>
      </c>
      <c r="N196" s="41">
        <v>34750</v>
      </c>
      <c r="O196" s="582"/>
      <c r="P196" s="550"/>
      <c r="Q196" s="5" t="s">
        <v>97</v>
      </c>
      <c r="R196" s="40"/>
    </row>
    <row r="197" spans="1:22" ht="19.5" customHeight="1" x14ac:dyDescent="0.4">
      <c r="C197" s="144"/>
      <c r="D197" s="112"/>
      <c r="E197" s="112"/>
      <c r="F197" s="112"/>
      <c r="G197" s="112"/>
      <c r="H197" s="243"/>
      <c r="I197" s="244"/>
      <c r="J197" s="244"/>
      <c r="K197" s="244"/>
      <c r="L197" s="109"/>
      <c r="M197" s="40">
        <v>46017</v>
      </c>
      <c r="N197" s="41">
        <v>34750</v>
      </c>
      <c r="O197" s="582"/>
      <c r="P197" s="550"/>
      <c r="Q197" s="5" t="s">
        <v>98</v>
      </c>
      <c r="R197" s="40"/>
    </row>
    <row r="198" spans="1:22" ht="19.5" customHeight="1" x14ac:dyDescent="0.4">
      <c r="C198" s="144"/>
      <c r="D198" s="112"/>
      <c r="E198" s="112"/>
      <c r="F198" s="112"/>
      <c r="G198" s="112"/>
      <c r="H198" s="243"/>
      <c r="I198" s="244"/>
      <c r="J198" s="244"/>
      <c r="K198" s="244"/>
      <c r="L198" s="109"/>
      <c r="M198" s="40">
        <v>46049</v>
      </c>
      <c r="N198" s="41">
        <v>34750</v>
      </c>
      <c r="O198" s="582"/>
      <c r="P198" s="550"/>
      <c r="Q198" s="5" t="s">
        <v>309</v>
      </c>
      <c r="R198" s="40"/>
    </row>
    <row r="199" spans="1:22" ht="19.5" customHeight="1" thickBot="1" x14ac:dyDescent="0.55000000000000004">
      <c r="A199" s="195"/>
      <c r="B199" s="191"/>
      <c r="C199" s="513"/>
      <c r="D199" s="193"/>
      <c r="E199" s="193"/>
      <c r="F199" s="193"/>
      <c r="G199" s="193"/>
      <c r="H199" s="337"/>
      <c r="I199" s="338"/>
      <c r="J199" s="338"/>
      <c r="K199" s="338"/>
      <c r="L199" s="339"/>
      <c r="M199" s="196"/>
      <c r="N199" s="340"/>
      <c r="O199" s="341"/>
      <c r="P199" s="342"/>
      <c r="Q199" s="198"/>
      <c r="R199" s="196"/>
      <c r="S199" s="195"/>
      <c r="T199" s="195"/>
      <c r="U199" s="195"/>
      <c r="V199" s="195"/>
    </row>
    <row r="200" spans="1:22" ht="24.6" customHeight="1" thickTop="1" x14ac:dyDescent="0.4">
      <c r="B200" s="310" t="s">
        <v>3</v>
      </c>
      <c r="C200" s="514">
        <v>704</v>
      </c>
      <c r="D200" s="515"/>
      <c r="E200" s="515"/>
      <c r="F200" s="515">
        <v>45871126</v>
      </c>
      <c r="G200" s="515" t="s">
        <v>99</v>
      </c>
      <c r="H200" s="314">
        <v>417700</v>
      </c>
      <c r="I200" s="315"/>
      <c r="J200" s="315"/>
      <c r="K200" s="315"/>
      <c r="L200" s="316"/>
      <c r="M200" s="317">
        <v>45862</v>
      </c>
      <c r="N200" s="318">
        <v>3000</v>
      </c>
      <c r="O200" s="563">
        <f>+N200+N201+N202</f>
        <v>417700</v>
      </c>
      <c r="P200" s="551"/>
      <c r="Q200" s="321" t="s">
        <v>100</v>
      </c>
      <c r="R200" s="317">
        <v>45903</v>
      </c>
      <c r="S200" s="322"/>
      <c r="T200" s="322"/>
      <c r="U200" s="322"/>
      <c r="V200" s="322"/>
    </row>
    <row r="201" spans="1:22" ht="24.6" customHeight="1" x14ac:dyDescent="0.4">
      <c r="C201" s="144"/>
      <c r="D201" s="329"/>
      <c r="E201" s="329"/>
      <c r="F201" s="112"/>
      <c r="G201" s="112"/>
      <c r="H201" s="243"/>
      <c r="I201" s="244"/>
      <c r="J201" s="244"/>
      <c r="K201" s="244"/>
      <c r="L201" s="109"/>
      <c r="M201" s="40">
        <v>45887</v>
      </c>
      <c r="N201" s="41">
        <v>47000</v>
      </c>
      <c r="O201" s="561"/>
      <c r="P201" s="552"/>
      <c r="Q201" s="5" t="s">
        <v>101</v>
      </c>
      <c r="R201" s="40">
        <v>45903</v>
      </c>
    </row>
    <row r="202" spans="1:22" ht="24.6" customHeight="1" thickBot="1" x14ac:dyDescent="0.45">
      <c r="B202" s="163"/>
      <c r="C202" s="505"/>
      <c r="D202" s="516"/>
      <c r="E202" s="516"/>
      <c r="F202" s="228"/>
      <c r="G202" s="228"/>
      <c r="H202" s="517"/>
      <c r="I202" s="518"/>
      <c r="J202" s="518"/>
      <c r="K202" s="518"/>
      <c r="L202" s="519"/>
      <c r="M202" s="171">
        <v>45929</v>
      </c>
      <c r="N202" s="172">
        <v>367700</v>
      </c>
      <c r="O202" s="564"/>
      <c r="P202" s="553"/>
      <c r="Q202" s="234" t="s">
        <v>102</v>
      </c>
      <c r="R202" s="171">
        <v>45936</v>
      </c>
      <c r="S202" s="167"/>
      <c r="T202" s="167"/>
      <c r="U202" s="167"/>
      <c r="V202" s="167"/>
    </row>
    <row r="203" spans="1:22" ht="12" customHeight="1" thickTop="1" x14ac:dyDescent="0.5">
      <c r="C203" s="144"/>
      <c r="D203" s="62"/>
      <c r="E203" s="62"/>
      <c r="G203" s="162"/>
      <c r="H203" s="243"/>
      <c r="I203" s="244"/>
      <c r="J203" s="244"/>
      <c r="K203" s="244"/>
      <c r="L203" s="39"/>
      <c r="O203" s="23"/>
      <c r="P203" s="344"/>
    </row>
    <row r="204" spans="1:22" ht="19.5" customHeight="1" x14ac:dyDescent="0.4">
      <c r="B204" s="7" t="s">
        <v>3</v>
      </c>
      <c r="C204" s="111">
        <v>705</v>
      </c>
      <c r="D204" s="112"/>
      <c r="E204" s="112"/>
      <c r="F204" s="112">
        <v>70270427</v>
      </c>
      <c r="G204" s="112" t="s">
        <v>103</v>
      </c>
      <c r="H204" s="245">
        <v>496000</v>
      </c>
      <c r="I204" s="246"/>
      <c r="J204" s="246"/>
      <c r="K204" s="246"/>
      <c r="L204" s="135">
        <f>SUM(H204:K204)</f>
        <v>496000</v>
      </c>
      <c r="M204" s="40">
        <v>45586</v>
      </c>
      <c r="N204" s="114">
        <v>200</v>
      </c>
      <c r="O204" s="561">
        <f>SUM(N204:N209)</f>
        <v>496000</v>
      </c>
      <c r="P204" s="554"/>
      <c r="Q204" s="5" t="s">
        <v>104</v>
      </c>
      <c r="R204" s="40">
        <v>45741</v>
      </c>
      <c r="U204" t="s">
        <v>26</v>
      </c>
    </row>
    <row r="205" spans="1:22" ht="19.5" customHeight="1" x14ac:dyDescent="0.4">
      <c r="C205" s="61"/>
      <c r="D205" s="112"/>
      <c r="E205" s="112"/>
      <c r="F205" s="112"/>
      <c r="G205" s="112"/>
      <c r="H205" s="245"/>
      <c r="I205" s="246"/>
      <c r="J205" s="246"/>
      <c r="K205" s="246"/>
      <c r="L205" s="39"/>
      <c r="M205" s="40">
        <v>45587</v>
      </c>
      <c r="N205" s="114">
        <v>2800</v>
      </c>
      <c r="O205" s="561"/>
      <c r="P205" s="554"/>
      <c r="Q205" s="5" t="s">
        <v>104</v>
      </c>
      <c r="R205" s="40">
        <v>45741</v>
      </c>
    </row>
    <row r="206" spans="1:22" ht="19.5" customHeight="1" x14ac:dyDescent="0.4">
      <c r="C206" s="61"/>
      <c r="D206" s="112"/>
      <c r="E206" s="112"/>
      <c r="F206" s="112"/>
      <c r="G206" s="112"/>
      <c r="H206" s="245"/>
      <c r="I206" s="246"/>
      <c r="J206" s="246"/>
      <c r="K206" s="246"/>
      <c r="L206" s="39"/>
      <c r="M206" s="40">
        <v>45721</v>
      </c>
      <c r="N206" s="114">
        <v>25000</v>
      </c>
      <c r="O206" s="561"/>
      <c r="P206" s="554"/>
      <c r="Q206" s="5" t="s">
        <v>104</v>
      </c>
      <c r="R206" s="40">
        <v>45802</v>
      </c>
    </row>
    <row r="207" spans="1:22" ht="19.5" customHeight="1" x14ac:dyDescent="0.4">
      <c r="C207" s="61"/>
      <c r="D207" s="112"/>
      <c r="E207" s="112"/>
      <c r="F207" s="112"/>
      <c r="G207" s="112"/>
      <c r="H207" s="245"/>
      <c r="I207" s="246"/>
      <c r="J207" s="246"/>
      <c r="K207" s="246"/>
      <c r="L207" s="39"/>
      <c r="M207" s="40">
        <v>45828</v>
      </c>
      <c r="N207" s="114">
        <v>7000</v>
      </c>
      <c r="O207" s="561"/>
      <c r="P207" s="554"/>
      <c r="Q207" s="5" t="s">
        <v>105</v>
      </c>
      <c r="R207" s="40">
        <v>45828</v>
      </c>
    </row>
    <row r="208" spans="1:22" ht="19.5" customHeight="1" x14ac:dyDescent="0.4">
      <c r="C208" s="61"/>
      <c r="D208" s="112"/>
      <c r="E208" s="112"/>
      <c r="F208" s="112"/>
      <c r="G208" s="112"/>
      <c r="H208" s="245"/>
      <c r="I208" s="246"/>
      <c r="J208" s="246"/>
      <c r="K208" s="246"/>
      <c r="L208" s="39"/>
      <c r="M208" s="40">
        <v>45829</v>
      </c>
      <c r="N208" s="41">
        <v>24800</v>
      </c>
      <c r="O208" s="561"/>
      <c r="P208" s="554"/>
      <c r="Q208" s="5" t="s">
        <v>106</v>
      </c>
      <c r="R208" s="40">
        <v>45859</v>
      </c>
    </row>
    <row r="209" spans="2:22" ht="19.5" customHeight="1" x14ac:dyDescent="0.4">
      <c r="C209" s="61"/>
      <c r="D209" s="112"/>
      <c r="E209" s="112"/>
      <c r="F209" s="112"/>
      <c r="G209" s="112"/>
      <c r="H209" s="245"/>
      <c r="I209" s="246"/>
      <c r="J209" s="246"/>
      <c r="K209" s="246"/>
      <c r="L209" s="39"/>
      <c r="M209" s="40">
        <v>45854</v>
      </c>
      <c r="N209" s="41">
        <v>436200</v>
      </c>
      <c r="O209" s="561"/>
      <c r="P209" s="554"/>
      <c r="Q209" s="5" t="s">
        <v>107</v>
      </c>
      <c r="R209" s="40">
        <v>45859</v>
      </c>
    </row>
    <row r="210" spans="2:22" ht="19.5" customHeight="1" x14ac:dyDescent="0.4">
      <c r="C210" s="61"/>
      <c r="D210" s="112"/>
      <c r="E210" s="112"/>
      <c r="F210" s="112"/>
      <c r="G210" s="112"/>
      <c r="H210" s="245"/>
      <c r="I210" s="246"/>
      <c r="J210" s="246"/>
      <c r="K210" s="246"/>
      <c r="L210" s="39"/>
      <c r="M210" s="345">
        <v>45842</v>
      </c>
      <c r="N210" s="346">
        <v>-24800</v>
      </c>
      <c r="O210" s="347"/>
      <c r="P210" s="65"/>
      <c r="Q210" s="5" t="s">
        <v>108</v>
      </c>
      <c r="R210" s="40">
        <v>45859</v>
      </c>
    </row>
    <row r="211" spans="2:22" ht="19.5" customHeight="1" thickBot="1" x14ac:dyDescent="0.55000000000000004">
      <c r="B211" s="83"/>
      <c r="C211" s="278"/>
      <c r="D211" s="278"/>
      <c r="E211" s="278"/>
      <c r="F211" s="348"/>
      <c r="G211" s="348"/>
      <c r="H211" s="284"/>
      <c r="I211" s="95"/>
      <c r="J211" s="95"/>
      <c r="K211" s="95"/>
      <c r="L211" s="95"/>
      <c r="M211" s="235"/>
      <c r="N211" s="234"/>
      <c r="O211" s="284"/>
      <c r="P211" s="289"/>
      <c r="Q211" s="94"/>
      <c r="R211" s="283"/>
      <c r="S211" s="95"/>
      <c r="T211" s="95"/>
      <c r="U211" s="95"/>
      <c r="V211" s="95"/>
    </row>
    <row r="212" spans="2:22" ht="12" customHeight="1" thickTop="1" x14ac:dyDescent="0.5">
      <c r="C212" s="61"/>
      <c r="D212" s="62"/>
      <c r="E212" s="62"/>
      <c r="F212" s="107"/>
      <c r="H212" s="243"/>
      <c r="I212" s="244"/>
      <c r="J212" s="244"/>
      <c r="K212" s="244"/>
      <c r="L212" s="39"/>
      <c r="M212" s="40"/>
      <c r="N212" s="41"/>
      <c r="O212" s="23"/>
      <c r="P212" s="110"/>
      <c r="R212" s="40"/>
    </row>
    <row r="213" spans="2:22" ht="19.5" customHeight="1" x14ac:dyDescent="0.4">
      <c r="B213" s="7" t="s">
        <v>3</v>
      </c>
      <c r="C213" s="144">
        <v>801</v>
      </c>
      <c r="D213" s="62"/>
      <c r="E213" s="62"/>
      <c r="F213" s="2">
        <v>44457800</v>
      </c>
      <c r="G213" s="162" t="s">
        <v>109</v>
      </c>
      <c r="H213" s="245">
        <v>630000</v>
      </c>
      <c r="I213" s="246"/>
      <c r="J213" s="246"/>
      <c r="K213" s="246"/>
      <c r="L213" s="135">
        <f>SUM(H213:K213)</f>
        <v>630000</v>
      </c>
      <c r="M213" s="40">
        <v>45829</v>
      </c>
      <c r="N213" s="41">
        <v>3000</v>
      </c>
      <c r="O213" s="560">
        <f>SUM(N213:N217)</f>
        <v>630000</v>
      </c>
      <c r="P213" s="555"/>
      <c r="Q213" s="5" t="s">
        <v>110</v>
      </c>
      <c r="R213" s="40">
        <v>45880</v>
      </c>
    </row>
    <row r="214" spans="2:22" ht="19.5" customHeight="1" x14ac:dyDescent="0.4">
      <c r="C214" s="144"/>
      <c r="D214" s="62"/>
      <c r="E214" s="62"/>
      <c r="G214" s="162"/>
      <c r="H214" s="245"/>
      <c r="I214" s="246"/>
      <c r="J214" s="246"/>
      <c r="K214" s="246"/>
      <c r="L214" s="39"/>
      <c r="M214" s="40">
        <v>45880</v>
      </c>
      <c r="N214" s="41">
        <v>50000</v>
      </c>
      <c r="O214" s="560"/>
      <c r="P214" s="555"/>
      <c r="Q214" s="5" t="s">
        <v>111</v>
      </c>
      <c r="R214" s="40">
        <v>45880</v>
      </c>
    </row>
    <row r="215" spans="2:22" ht="19.5" customHeight="1" x14ac:dyDescent="0.4">
      <c r="C215" s="144"/>
      <c r="D215" s="62"/>
      <c r="E215" s="62"/>
      <c r="G215" s="162"/>
      <c r="H215" s="245"/>
      <c r="I215" s="246"/>
      <c r="J215" s="246"/>
      <c r="K215" s="246"/>
      <c r="L215" s="39"/>
      <c r="M215" s="40">
        <v>45964</v>
      </c>
      <c r="N215" s="41">
        <v>50000</v>
      </c>
      <c r="O215" s="560"/>
      <c r="P215" s="555"/>
      <c r="Q215" s="5" t="s">
        <v>112</v>
      </c>
    </row>
    <row r="216" spans="2:22" ht="19.5" customHeight="1" x14ac:dyDescent="0.4">
      <c r="C216" s="144"/>
      <c r="D216" s="62"/>
      <c r="E216" s="62"/>
      <c r="G216" s="162"/>
      <c r="H216" s="245"/>
      <c r="I216" s="246"/>
      <c r="J216" s="246"/>
      <c r="K216" s="246"/>
      <c r="L216" s="39"/>
      <c r="M216" s="40">
        <v>46022</v>
      </c>
      <c r="N216" s="114">
        <v>23000</v>
      </c>
      <c r="O216" s="560"/>
      <c r="P216" s="555"/>
      <c r="Q216" s="5" t="s">
        <v>310</v>
      </c>
    </row>
    <row r="217" spans="2:22" ht="19.5" customHeight="1" x14ac:dyDescent="0.4">
      <c r="C217" s="144"/>
      <c r="D217" s="62"/>
      <c r="E217" s="62"/>
      <c r="G217" s="162"/>
      <c r="H217" s="245"/>
      <c r="I217" s="246"/>
      <c r="J217" s="246"/>
      <c r="K217" s="246"/>
      <c r="L217" s="39"/>
      <c r="M217" s="40">
        <v>46053</v>
      </c>
      <c r="N217" s="114">
        <v>504000</v>
      </c>
      <c r="O217" s="560"/>
      <c r="P217" s="555"/>
      <c r="Q217" s="5" t="s">
        <v>311</v>
      </c>
    </row>
    <row r="218" spans="2:22" ht="19.5" customHeight="1" thickBot="1" x14ac:dyDescent="0.55000000000000004">
      <c r="C218" s="144"/>
      <c r="D218" s="62"/>
      <c r="E218" s="62"/>
      <c r="G218" s="162"/>
      <c r="H218" s="245"/>
      <c r="I218" s="246"/>
      <c r="J218" s="246"/>
      <c r="K218" s="246"/>
      <c r="L218" s="39"/>
      <c r="M218" s="40"/>
      <c r="N218" s="114"/>
      <c r="O218" s="59"/>
    </row>
    <row r="219" spans="2:22" ht="24" customHeight="1" thickTop="1" x14ac:dyDescent="0.5">
      <c r="B219" s="177" t="s">
        <v>3</v>
      </c>
      <c r="C219" s="499">
        <v>802</v>
      </c>
      <c r="D219" s="179"/>
      <c r="E219" s="179"/>
      <c r="F219" s="349">
        <v>42539680</v>
      </c>
      <c r="G219" s="349" t="s">
        <v>113</v>
      </c>
      <c r="H219" s="350">
        <v>420000</v>
      </c>
      <c r="I219" s="351"/>
      <c r="J219" s="351"/>
      <c r="K219" s="351"/>
      <c r="L219" s="352">
        <f>SUM(H219:K219)</f>
        <v>420000</v>
      </c>
      <c r="M219" s="353">
        <v>45815</v>
      </c>
      <c r="N219" s="354">
        <v>3000</v>
      </c>
      <c r="O219" s="572">
        <f>SUM(N219:N222)</f>
        <v>407914</v>
      </c>
      <c r="P219" s="355"/>
      <c r="Q219" s="189"/>
      <c r="R219" s="190"/>
      <c r="S219" s="181"/>
      <c r="T219" s="181"/>
      <c r="U219" s="181"/>
      <c r="V219" s="181"/>
    </row>
    <row r="220" spans="2:22" ht="24" customHeight="1" x14ac:dyDescent="0.5">
      <c r="C220" s="144"/>
      <c r="D220" s="62"/>
      <c r="E220" s="62"/>
      <c r="F220" s="291"/>
      <c r="G220" s="291"/>
      <c r="H220" s="245"/>
      <c r="I220" s="246"/>
      <c r="J220" s="246"/>
      <c r="K220" s="246"/>
      <c r="L220" s="39"/>
      <c r="M220" s="356">
        <v>45832</v>
      </c>
      <c r="N220" s="336">
        <v>9400</v>
      </c>
      <c r="O220" s="560"/>
      <c r="P220" s="202"/>
    </row>
    <row r="221" spans="2:22" ht="24" customHeight="1" x14ac:dyDescent="0.5">
      <c r="C221" s="144"/>
      <c r="D221" s="62"/>
      <c r="E221" s="62"/>
      <c r="F221" s="291"/>
      <c r="G221" s="291"/>
      <c r="H221" s="245"/>
      <c r="I221" s="246"/>
      <c r="J221" s="246"/>
      <c r="K221" s="246"/>
      <c r="L221" s="39"/>
      <c r="M221" s="40">
        <v>46077</v>
      </c>
      <c r="N221" s="114">
        <v>23514</v>
      </c>
      <c r="O221" s="560"/>
      <c r="P221" s="520"/>
      <c r="Q221" s="5" t="s">
        <v>312</v>
      </c>
    </row>
    <row r="222" spans="2:22" ht="24" customHeight="1" x14ac:dyDescent="0.5">
      <c r="C222" s="144"/>
      <c r="D222" s="62"/>
      <c r="E222" s="62"/>
      <c r="F222" s="291"/>
      <c r="G222" s="291"/>
      <c r="H222" s="245"/>
      <c r="I222" s="246"/>
      <c r="J222" s="246"/>
      <c r="K222" s="246"/>
      <c r="L222" s="39"/>
      <c r="M222" s="40">
        <v>46081</v>
      </c>
      <c r="N222" s="114">
        <v>372000</v>
      </c>
      <c r="O222" s="560"/>
      <c r="Q222" s="5" t="s">
        <v>313</v>
      </c>
    </row>
    <row r="223" spans="2:22" ht="24" customHeight="1" x14ac:dyDescent="0.5">
      <c r="C223" s="144"/>
      <c r="D223" s="62"/>
      <c r="E223" s="62"/>
      <c r="F223" s="291"/>
      <c r="G223" s="291"/>
      <c r="H223" s="243"/>
      <c r="I223" s="244"/>
      <c r="J223" s="244"/>
      <c r="K223" s="244"/>
      <c r="L223" s="39"/>
    </row>
    <row r="224" spans="2:22" ht="19.5" customHeight="1" thickBot="1" x14ac:dyDescent="0.55000000000000004">
      <c r="B224" s="149"/>
      <c r="C224" s="500"/>
      <c r="D224" s="151"/>
      <c r="E224" s="151"/>
      <c r="F224" s="150"/>
      <c r="G224" s="152"/>
      <c r="H224" s="239"/>
      <c r="I224" s="240"/>
      <c r="J224" s="240"/>
      <c r="K224" s="240"/>
      <c r="L224" s="155"/>
      <c r="M224" s="160"/>
      <c r="N224" s="157"/>
      <c r="O224" s="241"/>
      <c r="P224" s="159"/>
      <c r="Q224" s="157"/>
      <c r="R224" s="160"/>
      <c r="S224" s="161"/>
      <c r="T224" s="161"/>
      <c r="U224" s="161"/>
      <c r="V224" s="161"/>
    </row>
    <row r="225" spans="2:22" ht="21.6" customHeight="1" thickTop="1" x14ac:dyDescent="0.45">
      <c r="B225" s="7" t="s">
        <v>3</v>
      </c>
      <c r="C225" s="144">
        <v>803</v>
      </c>
      <c r="D225" s="62">
        <v>32</v>
      </c>
      <c r="E225" s="62">
        <v>24</v>
      </c>
      <c r="F225" s="291">
        <v>22079563</v>
      </c>
      <c r="G225" s="291" t="s">
        <v>114</v>
      </c>
      <c r="H225" s="243">
        <v>654000</v>
      </c>
      <c r="I225" s="244"/>
      <c r="J225" s="244"/>
      <c r="K225" s="244">
        <v>55800</v>
      </c>
      <c r="L225" s="567">
        <f>+H225+K225+K226</f>
        <v>769800</v>
      </c>
      <c r="M225" s="40">
        <v>45813</v>
      </c>
      <c r="N225" s="41">
        <v>3000</v>
      </c>
      <c r="O225" s="569">
        <f>SUM(N225:N236)</f>
        <v>749372.92353999999</v>
      </c>
      <c r="P225" s="357" t="s">
        <v>26</v>
      </c>
      <c r="Q225" s="5" t="s">
        <v>115</v>
      </c>
      <c r="R225" s="40">
        <v>45885</v>
      </c>
    </row>
    <row r="226" spans="2:22" ht="21.6" customHeight="1" x14ac:dyDescent="0.5">
      <c r="C226" s="144"/>
      <c r="D226" s="62">
        <v>33</v>
      </c>
      <c r="E226" s="62">
        <v>25</v>
      </c>
      <c r="F226" s="291"/>
      <c r="G226" s="291"/>
      <c r="H226" s="243"/>
      <c r="I226" s="244"/>
      <c r="J226" s="244"/>
      <c r="K226" s="244">
        <v>60000</v>
      </c>
      <c r="L226" s="568"/>
      <c r="M226" s="40">
        <v>45853</v>
      </c>
      <c r="N226" s="41">
        <f>15651.69*3.555</f>
        <v>55641.757950000007</v>
      </c>
      <c r="O226" s="570"/>
      <c r="Q226" s="5" t="s">
        <v>116</v>
      </c>
      <c r="R226" s="40">
        <v>45885</v>
      </c>
    </row>
    <row r="227" spans="2:22" ht="21.6" customHeight="1" x14ac:dyDescent="0.5">
      <c r="C227" s="144"/>
      <c r="D227" s="62"/>
      <c r="E227" s="62"/>
      <c r="F227" s="291"/>
      <c r="G227" s="291"/>
      <c r="H227" s="243"/>
      <c r="I227" s="244"/>
      <c r="J227" s="244"/>
      <c r="K227" s="244"/>
      <c r="L227" s="135"/>
      <c r="M227" s="40">
        <v>45863</v>
      </c>
      <c r="N227" s="41">
        <f>70000*3.555</f>
        <v>248850</v>
      </c>
      <c r="O227" s="570"/>
      <c r="Q227" s="5" t="s">
        <v>117</v>
      </c>
      <c r="R227" s="40">
        <v>45885</v>
      </c>
    </row>
    <row r="228" spans="2:22" ht="21.6" customHeight="1" x14ac:dyDescent="0.5">
      <c r="C228" s="144"/>
      <c r="D228" s="62"/>
      <c r="E228" s="62"/>
      <c r="F228" s="291"/>
      <c r="G228" s="291"/>
      <c r="H228" s="243"/>
      <c r="I228" s="244"/>
      <c r="J228" s="244"/>
      <c r="K228" s="244"/>
      <c r="L228" s="135"/>
      <c r="M228" s="40">
        <v>45908</v>
      </c>
      <c r="N228" s="23">
        <f>7500*3.527</f>
        <v>26452.5</v>
      </c>
      <c r="O228" s="570"/>
      <c r="Q228" s="5" t="s">
        <v>118</v>
      </c>
      <c r="R228" s="358">
        <v>45915</v>
      </c>
    </row>
    <row r="229" spans="2:22" ht="21.6" customHeight="1" x14ac:dyDescent="0.5">
      <c r="C229" s="144"/>
      <c r="D229" s="62"/>
      <c r="E229" s="62"/>
      <c r="F229" s="291"/>
      <c r="G229" s="291"/>
      <c r="H229" s="243"/>
      <c r="I229" s="244"/>
      <c r="J229" s="244"/>
      <c r="K229" s="244"/>
      <c r="L229" s="135"/>
      <c r="M229" s="40">
        <v>45909</v>
      </c>
      <c r="N229" s="23">
        <f>7500*3.522</f>
        <v>26415</v>
      </c>
      <c r="O229" s="570"/>
      <c r="Q229" s="5" t="s">
        <v>119</v>
      </c>
      <c r="R229" s="358">
        <v>45915</v>
      </c>
    </row>
    <row r="230" spans="2:22" ht="21.6" customHeight="1" x14ac:dyDescent="0.5">
      <c r="C230" s="144"/>
      <c r="D230" s="62"/>
      <c r="E230" s="62"/>
      <c r="F230" s="291"/>
      <c r="G230" s="291"/>
      <c r="H230" s="243"/>
      <c r="I230" s="244"/>
      <c r="J230" s="244"/>
      <c r="K230" s="244"/>
      <c r="L230" s="135"/>
      <c r="M230" s="40">
        <v>45910</v>
      </c>
      <c r="N230" s="23">
        <f>3534.51*3.509</f>
        <v>12402.595590000001</v>
      </c>
      <c r="O230" s="570"/>
      <c r="Q230" s="5" t="s">
        <v>120</v>
      </c>
      <c r="R230" s="358">
        <v>45915</v>
      </c>
    </row>
    <row r="231" spans="2:22" ht="21.6" customHeight="1" x14ac:dyDescent="0.5">
      <c r="C231" s="144"/>
      <c r="D231" s="62"/>
      <c r="E231" s="62"/>
      <c r="F231" s="291"/>
      <c r="G231" s="291"/>
      <c r="H231" s="243"/>
      <c r="I231" s="244"/>
      <c r="J231" s="244"/>
      <c r="K231" s="244"/>
      <c r="L231" s="135"/>
      <c r="M231" s="40">
        <v>45939</v>
      </c>
      <c r="N231" s="41">
        <f>7500*3.452</f>
        <v>25890</v>
      </c>
      <c r="O231" s="570"/>
      <c r="Q231" s="5" t="s">
        <v>121</v>
      </c>
      <c r="R231" s="40">
        <v>45939</v>
      </c>
    </row>
    <row r="232" spans="2:22" ht="21.6" customHeight="1" x14ac:dyDescent="0.5">
      <c r="C232" s="144"/>
      <c r="D232" s="62"/>
      <c r="E232" s="62"/>
      <c r="F232" s="291"/>
      <c r="G232" s="291"/>
      <c r="H232" s="243"/>
      <c r="I232" s="244"/>
      <c r="J232" s="244"/>
      <c r="K232" s="244"/>
      <c r="L232" s="135"/>
      <c r="M232" s="40">
        <v>45940</v>
      </c>
      <c r="N232" s="41">
        <f>7500*3.443</f>
        <v>25822.5</v>
      </c>
      <c r="O232" s="570"/>
      <c r="Q232" s="5" t="s">
        <v>122</v>
      </c>
      <c r="R232" s="40">
        <v>45940</v>
      </c>
    </row>
    <row r="233" spans="2:22" ht="21.6" customHeight="1" x14ac:dyDescent="0.5">
      <c r="C233" s="144"/>
      <c r="D233" s="62"/>
      <c r="E233" s="62"/>
      <c r="F233" s="291"/>
      <c r="G233" s="291"/>
      <c r="H233" s="243"/>
      <c r="I233" s="244"/>
      <c r="J233" s="244"/>
      <c r="K233" s="244"/>
      <c r="L233" s="135"/>
      <c r="M233" s="40">
        <v>45941</v>
      </c>
      <c r="N233" s="41">
        <v>12165.78</v>
      </c>
      <c r="O233" s="570"/>
      <c r="Q233" s="5" t="s">
        <v>123</v>
      </c>
      <c r="R233" s="40">
        <v>45949</v>
      </c>
    </row>
    <row r="234" spans="2:22" ht="21.6" customHeight="1" x14ac:dyDescent="0.5">
      <c r="C234" s="144"/>
      <c r="D234" s="62"/>
      <c r="E234" s="62"/>
      <c r="F234" s="291"/>
      <c r="G234" s="291"/>
      <c r="H234" s="243"/>
      <c r="I234" s="244"/>
      <c r="J234" s="244"/>
      <c r="K234" s="244"/>
      <c r="L234" s="135"/>
      <c r="M234" s="40">
        <v>45964</v>
      </c>
      <c r="N234" s="41">
        <v>187884.33</v>
      </c>
      <c r="O234" s="570"/>
      <c r="Q234" s="5" t="s">
        <v>124</v>
      </c>
      <c r="R234" s="40">
        <v>45970</v>
      </c>
    </row>
    <row r="235" spans="2:22" ht="21.6" customHeight="1" x14ac:dyDescent="0.5">
      <c r="C235" s="144"/>
      <c r="D235" s="62"/>
      <c r="E235" s="62"/>
      <c r="F235" s="291"/>
      <c r="G235" s="291"/>
      <c r="H235" s="243"/>
      <c r="I235" s="244"/>
      <c r="J235" s="244"/>
      <c r="K235" s="244"/>
      <c r="L235" s="135"/>
      <c r="M235" s="40">
        <v>46059</v>
      </c>
      <c r="N235" s="41">
        <v>124848.46</v>
      </c>
      <c r="O235" s="570"/>
      <c r="Q235" s="5" t="s">
        <v>337</v>
      </c>
      <c r="R235" s="40">
        <v>46068</v>
      </c>
    </row>
    <row r="236" spans="2:22" ht="21.6" customHeight="1" x14ac:dyDescent="0.5">
      <c r="C236" s="144"/>
      <c r="D236" s="62"/>
      <c r="E236" s="62"/>
      <c r="F236" s="291"/>
      <c r="G236" s="291"/>
      <c r="H236" s="243"/>
      <c r="I236" s="244"/>
      <c r="J236" s="244"/>
      <c r="K236" s="244"/>
      <c r="L236" s="135"/>
      <c r="M236" s="40"/>
      <c r="N236" s="41"/>
      <c r="O236" s="535"/>
      <c r="R236" s="40"/>
    </row>
    <row r="237" spans="2:22" ht="21.6" customHeight="1" thickBot="1" x14ac:dyDescent="0.55000000000000004">
      <c r="B237" s="163"/>
      <c r="C237" s="505"/>
      <c r="D237" s="165"/>
      <c r="E237" s="165"/>
      <c r="F237" s="521"/>
      <c r="G237" s="521"/>
      <c r="H237" s="517"/>
      <c r="I237" s="518"/>
      <c r="J237" s="518"/>
      <c r="K237" s="518"/>
      <c r="L237" s="170"/>
      <c r="M237" s="171"/>
      <c r="N237" s="172"/>
      <c r="O237" s="522"/>
      <c r="P237" s="512"/>
      <c r="Q237" s="234"/>
      <c r="R237" s="171"/>
      <c r="S237" s="167"/>
      <c r="T237" s="167"/>
      <c r="U237" s="167"/>
      <c r="V237" s="167"/>
    </row>
    <row r="238" spans="2:22" ht="13.5" customHeight="1" thickTop="1" x14ac:dyDescent="0.5">
      <c r="C238" s="61"/>
      <c r="D238" s="62"/>
      <c r="E238" s="62"/>
      <c r="F238" s="107"/>
      <c r="H238" s="243"/>
      <c r="I238" s="244"/>
      <c r="J238" s="244"/>
      <c r="K238" s="244"/>
      <c r="L238" s="39"/>
      <c r="M238" s="40"/>
      <c r="N238" s="41"/>
      <c r="O238" s="23"/>
      <c r="P238" s="134"/>
    </row>
    <row r="239" spans="2:22" ht="19.2" customHeight="1" x14ac:dyDescent="0.5">
      <c r="B239" s="7" t="s">
        <v>3</v>
      </c>
      <c r="C239" s="111">
        <v>804</v>
      </c>
      <c r="D239" s="62">
        <v>45</v>
      </c>
      <c r="E239" s="62">
        <v>34</v>
      </c>
      <c r="F239" s="107"/>
      <c r="G239" t="s">
        <v>314</v>
      </c>
      <c r="H239" s="243">
        <v>430200</v>
      </c>
      <c r="I239" s="244"/>
      <c r="J239" s="244"/>
      <c r="K239" s="244">
        <v>48500</v>
      </c>
      <c r="L239" s="135">
        <f>SUM(H239:K239)</f>
        <v>478700</v>
      </c>
      <c r="M239" s="40">
        <v>46088</v>
      </c>
      <c r="N239" s="41">
        <v>3000</v>
      </c>
      <c r="O239" s="23">
        <f>+N239</f>
        <v>3000</v>
      </c>
      <c r="P239" s="134" t="s">
        <v>126</v>
      </c>
    </row>
    <row r="240" spans="2:22" ht="19.2" customHeight="1" x14ac:dyDescent="0.5">
      <c r="C240" s="61"/>
      <c r="D240" s="62"/>
      <c r="E240" s="62"/>
      <c r="F240" s="107"/>
      <c r="H240" s="243"/>
      <c r="I240" s="244"/>
      <c r="J240" s="244"/>
      <c r="K240" s="244"/>
      <c r="L240" s="39"/>
      <c r="M240" s="40"/>
      <c r="N240" s="41"/>
      <c r="O240" s="23"/>
      <c r="P240" s="134"/>
    </row>
    <row r="241" spans="2:22" ht="19.5" customHeight="1" thickBot="1" x14ac:dyDescent="0.55000000000000004">
      <c r="B241" s="149"/>
      <c r="C241" s="500"/>
      <c r="D241" s="151"/>
      <c r="E241" s="151"/>
      <c r="F241" s="150"/>
      <c r="G241" s="152"/>
      <c r="H241" s="239"/>
      <c r="I241" s="240"/>
      <c r="J241" s="240"/>
      <c r="K241" s="240"/>
      <c r="L241" s="155"/>
      <c r="M241" s="160"/>
      <c r="N241" s="157"/>
      <c r="O241" s="241"/>
      <c r="P241" s="159"/>
      <c r="Q241" s="157"/>
      <c r="R241" s="160"/>
      <c r="S241" s="161"/>
      <c r="T241" s="161"/>
      <c r="U241" s="161"/>
      <c r="V241" s="161"/>
    </row>
    <row r="242" spans="2:22" ht="14.25" customHeight="1" thickTop="1" x14ac:dyDescent="0.5">
      <c r="C242" s="144"/>
      <c r="D242" s="62"/>
      <c r="E242" s="62"/>
      <c r="G242" s="162"/>
      <c r="H242" s="243"/>
      <c r="I242" s="244"/>
      <c r="J242" s="244"/>
      <c r="K242" s="244"/>
      <c r="L242" s="39"/>
    </row>
    <row r="243" spans="2:22" ht="21.6" customHeight="1" x14ac:dyDescent="0.5">
      <c r="B243" s="7" t="s">
        <v>3</v>
      </c>
      <c r="C243" s="144">
        <v>805</v>
      </c>
      <c r="D243" s="62"/>
      <c r="E243" s="62"/>
      <c r="G243" s="162" t="s">
        <v>315</v>
      </c>
      <c r="H243" s="243">
        <v>470500</v>
      </c>
      <c r="I243" s="244"/>
      <c r="J243" s="244"/>
      <c r="K243" s="244"/>
      <c r="L243" s="135">
        <f>SUM(H243:K243)</f>
        <v>470500</v>
      </c>
      <c r="M243" s="40">
        <v>45817</v>
      </c>
      <c r="N243" s="501">
        <v>3000</v>
      </c>
      <c r="O243" s="293">
        <f>+N243</f>
        <v>3000</v>
      </c>
      <c r="P243" s="6" t="s">
        <v>126</v>
      </c>
    </row>
    <row r="244" spans="2:22" ht="21.6" customHeight="1" x14ac:dyDescent="0.5">
      <c r="C244" s="144"/>
      <c r="D244" s="62"/>
      <c r="E244" s="62"/>
      <c r="G244" s="162"/>
      <c r="H244" s="243"/>
      <c r="I244" s="244"/>
      <c r="J244" s="244"/>
      <c r="K244" s="244"/>
      <c r="L244" s="39"/>
      <c r="M244" s="40">
        <v>45834</v>
      </c>
      <c r="N244" s="501">
        <v>39000</v>
      </c>
      <c r="O244" s="293">
        <f>+N244</f>
        <v>39000</v>
      </c>
      <c r="P244" s="6" t="s">
        <v>149</v>
      </c>
    </row>
    <row r="245" spans="2:22" ht="19.5" customHeight="1" thickBot="1" x14ac:dyDescent="0.55000000000000004">
      <c r="B245" s="136"/>
      <c r="C245" s="382"/>
      <c r="D245" s="248"/>
      <c r="E245" s="248"/>
      <c r="F245" s="266"/>
      <c r="G245" s="267"/>
      <c r="H245" s="250"/>
      <c r="I245" s="251"/>
      <c r="J245" s="251"/>
      <c r="K245" s="251"/>
      <c r="L245" s="139"/>
      <c r="M245" s="268"/>
      <c r="N245" s="142"/>
      <c r="O245" s="333"/>
      <c r="P245" s="334"/>
      <c r="Q245" s="142"/>
      <c r="R245" s="268"/>
      <c r="S245" s="143"/>
      <c r="T245" s="143"/>
      <c r="U245" s="143"/>
      <c r="V245" s="143"/>
    </row>
    <row r="246" spans="2:22" ht="12.75" customHeight="1" thickTop="1" x14ac:dyDescent="0.5">
      <c r="C246" s="144"/>
      <c r="D246" s="62"/>
      <c r="E246" s="62"/>
      <c r="G246" s="162"/>
      <c r="H246" s="243"/>
      <c r="I246" s="244"/>
      <c r="J246" s="244"/>
      <c r="K246" s="244"/>
      <c r="L246" s="39"/>
    </row>
    <row r="247" spans="2:22" ht="19.5" customHeight="1" x14ac:dyDescent="0.45">
      <c r="B247" s="7" t="s">
        <v>3</v>
      </c>
      <c r="C247" s="144">
        <v>901</v>
      </c>
      <c r="D247" s="62">
        <v>34</v>
      </c>
      <c r="E247" s="62">
        <v>26</v>
      </c>
      <c r="F247" s="291">
        <v>41314985</v>
      </c>
      <c r="G247" s="291" t="s">
        <v>316</v>
      </c>
      <c r="H247" s="245">
        <v>680500</v>
      </c>
      <c r="I247" s="246"/>
      <c r="J247" s="246"/>
      <c r="K247" s="246">
        <v>63000</v>
      </c>
      <c r="L247" s="135">
        <f>SUM(H247:K247)</f>
        <v>743500</v>
      </c>
      <c r="M247" s="40">
        <v>46082</v>
      </c>
      <c r="N247" s="114">
        <v>3000</v>
      </c>
      <c r="O247" s="207">
        <f>+N247</f>
        <v>3000</v>
      </c>
      <c r="P247" s="360" t="s">
        <v>26</v>
      </c>
    </row>
    <row r="248" spans="2:22" ht="19.5" customHeight="1" x14ac:dyDescent="0.5">
      <c r="C248" s="144"/>
      <c r="D248" s="62"/>
      <c r="E248" s="62"/>
      <c r="F248" s="291"/>
      <c r="G248" s="291"/>
      <c r="H248" s="245"/>
      <c r="I248" s="246"/>
      <c r="J248" s="246"/>
      <c r="K248" s="246"/>
      <c r="L248" s="39"/>
    </row>
    <row r="249" spans="2:22" ht="19.5" customHeight="1" x14ac:dyDescent="0.5">
      <c r="C249" s="144"/>
      <c r="D249" s="62"/>
      <c r="E249" s="62"/>
      <c r="F249" s="291"/>
      <c r="G249" s="291"/>
      <c r="H249" s="245"/>
      <c r="I249" s="246"/>
      <c r="J249" s="246"/>
      <c r="K249" s="246"/>
      <c r="L249" s="39"/>
    </row>
    <row r="250" spans="2:22" ht="11.25" customHeight="1" x14ac:dyDescent="0.5">
      <c r="C250" s="144"/>
      <c r="D250" s="62"/>
      <c r="E250" s="62"/>
      <c r="F250" s="291"/>
      <c r="G250" s="291"/>
      <c r="H250" s="243"/>
      <c r="I250" s="244"/>
      <c r="J250" s="244"/>
      <c r="K250" s="244"/>
      <c r="L250" s="39"/>
    </row>
    <row r="251" spans="2:22" ht="11.25" customHeight="1" thickBot="1" x14ac:dyDescent="0.55000000000000004">
      <c r="B251" s="83"/>
      <c r="C251" s="276"/>
      <c r="D251" s="277"/>
      <c r="E251" s="277"/>
      <c r="F251" s="278"/>
      <c r="G251" s="279"/>
      <c r="H251" s="280"/>
      <c r="I251" s="281"/>
      <c r="J251" s="281"/>
      <c r="K251" s="281"/>
      <c r="L251" s="282"/>
      <c r="M251" s="283"/>
      <c r="N251" s="94"/>
      <c r="O251" s="284"/>
      <c r="P251" s="289"/>
      <c r="Q251" s="94"/>
      <c r="R251" s="283"/>
      <c r="S251" s="95"/>
      <c r="T251" s="95"/>
      <c r="U251" s="95"/>
      <c r="V251" s="95"/>
    </row>
    <row r="252" spans="2:22" ht="5.4" customHeight="1" thickTop="1" x14ac:dyDescent="0.5">
      <c r="C252" s="144"/>
      <c r="D252" s="62"/>
      <c r="E252" s="62"/>
      <c r="G252" s="162"/>
      <c r="H252" s="243"/>
      <c r="I252" s="244"/>
      <c r="J252" s="244"/>
      <c r="K252" s="244"/>
      <c r="L252" s="39"/>
    </row>
    <row r="253" spans="2:22" ht="21" customHeight="1" x14ac:dyDescent="0.4">
      <c r="B253" s="7" t="s">
        <v>3</v>
      </c>
      <c r="C253" s="203">
        <v>902</v>
      </c>
      <c r="D253" s="62">
        <v>43</v>
      </c>
      <c r="E253" s="62"/>
      <c r="F253" s="2">
        <v>76121899</v>
      </c>
      <c r="G253" s="361" t="s">
        <v>125</v>
      </c>
      <c r="H253" s="243">
        <v>433500</v>
      </c>
      <c r="I253" s="244">
        <v>50500</v>
      </c>
      <c r="J253" s="244"/>
      <c r="K253" s="244"/>
      <c r="L253" s="362">
        <f>+H253+I253</f>
        <v>484000</v>
      </c>
      <c r="M253" s="40">
        <v>45985</v>
      </c>
      <c r="N253" s="41">
        <v>3000</v>
      </c>
      <c r="O253" s="581">
        <f>SUM(N253:N255)</f>
        <v>484000</v>
      </c>
      <c r="P253" s="580" t="s">
        <v>24</v>
      </c>
      <c r="Q253" s="5" t="s">
        <v>330</v>
      </c>
    </row>
    <row r="254" spans="2:22" ht="21" customHeight="1" x14ac:dyDescent="0.4">
      <c r="C254" s="144"/>
      <c r="D254" s="62"/>
      <c r="E254" s="62"/>
      <c r="G254" s="361"/>
      <c r="H254" s="243"/>
      <c r="I254" s="244"/>
      <c r="J254" s="244"/>
      <c r="K254" s="244"/>
      <c r="L254" s="39"/>
      <c r="M254" s="40">
        <v>46008</v>
      </c>
      <c r="N254" s="501">
        <v>45400</v>
      </c>
      <c r="O254" s="581"/>
      <c r="P254" s="580"/>
      <c r="Q254" s="5" t="s">
        <v>329</v>
      </c>
    </row>
    <row r="255" spans="2:22" ht="21" customHeight="1" x14ac:dyDescent="0.4">
      <c r="C255" s="144"/>
      <c r="D255" s="62"/>
      <c r="E255" s="62"/>
      <c r="G255" s="162"/>
      <c r="H255" s="243"/>
      <c r="I255" s="244"/>
      <c r="J255" s="244"/>
      <c r="K255" s="244"/>
      <c r="L255" s="39"/>
      <c r="M255" s="40">
        <v>46050</v>
      </c>
      <c r="N255" s="501">
        <v>435600</v>
      </c>
      <c r="O255" s="581"/>
      <c r="P255" s="580"/>
      <c r="Q255" s="5" t="s">
        <v>328</v>
      </c>
    </row>
    <row r="256" spans="2:22" ht="19.5" customHeight="1" thickBot="1" x14ac:dyDescent="0.55000000000000004">
      <c r="B256" s="136"/>
      <c r="C256" s="265"/>
      <c r="D256" s="248"/>
      <c r="E256" s="248"/>
      <c r="F256" s="266"/>
      <c r="G256" s="267"/>
      <c r="H256" s="250"/>
      <c r="I256" s="251"/>
      <c r="J256" s="251"/>
      <c r="K256" s="251"/>
      <c r="L256" s="139"/>
      <c r="M256" s="268"/>
      <c r="N256" s="142"/>
      <c r="O256" s="333"/>
      <c r="P256" s="334"/>
      <c r="Q256" s="142"/>
      <c r="R256" s="268"/>
      <c r="S256" s="143"/>
      <c r="T256" s="143"/>
      <c r="U256" s="143"/>
      <c r="V256" s="143"/>
    </row>
    <row r="257" spans="2:21" ht="12.75" customHeight="1" thickTop="1" x14ac:dyDescent="0.5">
      <c r="C257" s="144"/>
      <c r="D257" s="62"/>
      <c r="E257" s="62"/>
      <c r="G257" s="162"/>
      <c r="H257" s="243"/>
      <c r="I257" s="244"/>
      <c r="J257" s="244"/>
      <c r="K257" s="244"/>
      <c r="L257" s="39"/>
    </row>
    <row r="258" spans="2:21" s="363" customFormat="1" ht="22.2" customHeight="1" x14ac:dyDescent="0.3">
      <c r="B258" s="364" t="s">
        <v>3</v>
      </c>
      <c r="C258" s="526">
        <v>903</v>
      </c>
      <c r="D258" s="62"/>
      <c r="E258" s="62"/>
      <c r="F258" s="365">
        <v>40065933</v>
      </c>
      <c r="G258" s="365" t="s">
        <v>127</v>
      </c>
      <c r="H258" s="366">
        <v>692000</v>
      </c>
      <c r="I258" s="367"/>
      <c r="J258" s="367"/>
      <c r="K258" s="367"/>
      <c r="L258" s="368">
        <f>SUM(H258:K258)</f>
        <v>692000</v>
      </c>
      <c r="M258" s="369">
        <v>45680</v>
      </c>
      <c r="N258" s="370">
        <v>3000</v>
      </c>
      <c r="O258" s="579">
        <f>SUM(N258:N272)</f>
        <v>692000</v>
      </c>
      <c r="P258" s="363" t="s">
        <v>26</v>
      </c>
      <c r="Q258" s="371" t="s">
        <v>128</v>
      </c>
      <c r="R258" s="369">
        <v>45789</v>
      </c>
      <c r="U258" s="363" t="s">
        <v>26</v>
      </c>
    </row>
    <row r="259" spans="2:21" s="363" customFormat="1" ht="22.2" customHeight="1" x14ac:dyDescent="0.3">
      <c r="B259" s="364"/>
      <c r="C259" s="523"/>
      <c r="D259" s="62"/>
      <c r="E259" s="62"/>
      <c r="F259" s="365"/>
      <c r="G259" s="365"/>
      <c r="H259" s="366"/>
      <c r="I259" s="367"/>
      <c r="J259" s="367"/>
      <c r="K259" s="367"/>
      <c r="L259" s="372"/>
      <c r="M259" s="369">
        <v>45733</v>
      </c>
      <c r="N259" s="370">
        <v>56300</v>
      </c>
      <c r="O259" s="579"/>
      <c r="P259" s="556"/>
      <c r="Q259" s="371" t="s">
        <v>129</v>
      </c>
      <c r="R259" s="369">
        <v>45733</v>
      </c>
      <c r="S259" s="373"/>
    </row>
    <row r="260" spans="2:21" s="363" customFormat="1" ht="22.2" customHeight="1" x14ac:dyDescent="0.3">
      <c r="B260" s="364"/>
      <c r="C260" s="523"/>
      <c r="D260" s="62"/>
      <c r="E260" s="62"/>
      <c r="F260" s="365"/>
      <c r="G260" s="365"/>
      <c r="H260" s="366"/>
      <c r="I260" s="367"/>
      <c r="J260" s="367"/>
      <c r="K260" s="367"/>
      <c r="L260" s="372"/>
      <c r="M260" s="369">
        <v>45789</v>
      </c>
      <c r="N260" s="370">
        <v>-56300</v>
      </c>
      <c r="O260" s="579"/>
      <c r="P260" s="556"/>
      <c r="Q260" s="371" t="s">
        <v>130</v>
      </c>
      <c r="R260" s="369">
        <v>45789</v>
      </c>
      <c r="S260" s="373"/>
    </row>
    <row r="261" spans="2:21" s="363" customFormat="1" ht="22.2" customHeight="1" x14ac:dyDescent="0.3">
      <c r="B261" s="364"/>
      <c r="C261" s="523"/>
      <c r="D261" s="62"/>
      <c r="E261" s="62"/>
      <c r="F261" s="365"/>
      <c r="G261" s="365"/>
      <c r="H261" s="366"/>
      <c r="I261" s="367"/>
      <c r="J261" s="367"/>
      <c r="K261" s="367"/>
      <c r="L261" s="372"/>
      <c r="M261" s="369">
        <v>45734</v>
      </c>
      <c r="N261" s="370">
        <v>82100</v>
      </c>
      <c r="O261" s="579"/>
      <c r="P261" s="556"/>
      <c r="Q261" s="371" t="s">
        <v>131</v>
      </c>
      <c r="R261" s="369">
        <v>45734</v>
      </c>
    </row>
    <row r="262" spans="2:21" s="363" customFormat="1" ht="22.2" customHeight="1" x14ac:dyDescent="0.3">
      <c r="B262" s="364"/>
      <c r="C262" s="523"/>
      <c r="D262" s="62"/>
      <c r="E262" s="62"/>
      <c r="F262" s="365"/>
      <c r="G262" s="365"/>
      <c r="H262" s="366"/>
      <c r="I262" s="367"/>
      <c r="J262" s="367"/>
      <c r="K262" s="367"/>
      <c r="L262" s="372"/>
      <c r="M262" s="369">
        <v>45777</v>
      </c>
      <c r="N262" s="370">
        <v>9000</v>
      </c>
      <c r="O262" s="579"/>
      <c r="P262" s="556"/>
      <c r="Q262" s="371" t="s">
        <v>132</v>
      </c>
      <c r="R262" s="369">
        <v>45789</v>
      </c>
    </row>
    <row r="263" spans="2:21" s="363" customFormat="1" ht="22.2" customHeight="1" x14ac:dyDescent="0.3">
      <c r="B263" s="364"/>
      <c r="C263" s="523"/>
      <c r="D263" s="62"/>
      <c r="E263" s="62"/>
      <c r="F263" s="365"/>
      <c r="G263" s="365"/>
      <c r="H263" s="366"/>
      <c r="I263" s="367"/>
      <c r="J263" s="367"/>
      <c r="K263" s="367"/>
      <c r="L263" s="372"/>
      <c r="M263" s="369">
        <v>45833</v>
      </c>
      <c r="N263" s="370">
        <v>553900</v>
      </c>
      <c r="O263" s="579"/>
      <c r="P263" s="556"/>
      <c r="Q263" s="371" t="s">
        <v>133</v>
      </c>
      <c r="R263" s="369">
        <v>45834</v>
      </c>
    </row>
    <row r="264" spans="2:21" s="363" customFormat="1" ht="22.2" customHeight="1" x14ac:dyDescent="0.3">
      <c r="B264" s="364"/>
      <c r="C264" s="523"/>
      <c r="D264" s="62"/>
      <c r="E264" s="62"/>
      <c r="F264" s="365"/>
      <c r="G264" s="365"/>
      <c r="H264" s="374"/>
      <c r="M264" s="369">
        <v>45838</v>
      </c>
      <c r="N264" s="370">
        <v>-300</v>
      </c>
      <c r="O264" s="579"/>
      <c r="P264" s="556"/>
      <c r="Q264" s="371" t="s">
        <v>134</v>
      </c>
      <c r="R264" s="369">
        <v>45838</v>
      </c>
    </row>
    <row r="265" spans="2:21" s="363" customFormat="1" ht="22.2" customHeight="1" x14ac:dyDescent="0.3">
      <c r="B265" s="364"/>
      <c r="C265" s="523"/>
      <c r="D265" s="62"/>
      <c r="E265" s="62"/>
      <c r="F265" s="365"/>
      <c r="G265" s="365"/>
      <c r="H265" s="375"/>
      <c r="I265" s="376"/>
      <c r="J265" s="376"/>
      <c r="K265" s="376"/>
      <c r="L265" s="372"/>
      <c r="M265" s="369">
        <v>45811</v>
      </c>
      <c r="N265" s="370">
        <v>9000</v>
      </c>
      <c r="O265" s="579"/>
      <c r="P265" s="556"/>
      <c r="Q265" s="371" t="s">
        <v>135</v>
      </c>
      <c r="R265" s="369">
        <v>45859</v>
      </c>
    </row>
    <row r="266" spans="2:21" s="363" customFormat="1" ht="22.2" customHeight="1" x14ac:dyDescent="0.3">
      <c r="B266" s="364"/>
      <c r="C266" s="523"/>
      <c r="D266" s="62"/>
      <c r="E266" s="62"/>
      <c r="F266" s="365"/>
      <c r="G266" s="365"/>
      <c r="H266" s="375"/>
      <c r="I266" s="376"/>
      <c r="J266" s="376"/>
      <c r="K266" s="376"/>
      <c r="L266" s="372"/>
      <c r="M266" s="369">
        <v>45847</v>
      </c>
      <c r="N266" s="370">
        <v>9500</v>
      </c>
      <c r="O266" s="579"/>
      <c r="P266" s="556"/>
      <c r="Q266" s="371" t="s">
        <v>136</v>
      </c>
      <c r="R266" s="369">
        <v>45859</v>
      </c>
      <c r="S266" s="363" t="s">
        <v>137</v>
      </c>
    </row>
    <row r="267" spans="2:21" s="363" customFormat="1" ht="22.2" customHeight="1" x14ac:dyDescent="0.3">
      <c r="B267" s="364"/>
      <c r="C267" s="523"/>
      <c r="D267" s="62"/>
      <c r="E267" s="62"/>
      <c r="F267" s="365"/>
      <c r="G267" s="365"/>
      <c r="H267" s="375"/>
      <c r="I267" s="376"/>
      <c r="J267" s="376"/>
      <c r="K267" s="376"/>
      <c r="L267" s="372"/>
      <c r="M267" s="369">
        <v>45847</v>
      </c>
      <c r="N267" s="370">
        <v>2500</v>
      </c>
      <c r="O267" s="579"/>
      <c r="P267" s="556"/>
      <c r="Q267" s="371" t="s">
        <v>138</v>
      </c>
      <c r="R267" s="369">
        <v>45859</v>
      </c>
    </row>
    <row r="268" spans="2:21" s="363" customFormat="1" ht="22.2" customHeight="1" x14ac:dyDescent="0.3">
      <c r="B268" s="364"/>
      <c r="C268" s="523"/>
      <c r="D268" s="62"/>
      <c r="E268" s="62"/>
      <c r="F268" s="365"/>
      <c r="G268" s="365"/>
      <c r="H268" s="375"/>
      <c r="I268" s="376"/>
      <c r="J268" s="376"/>
      <c r="K268" s="376"/>
      <c r="L268" s="372"/>
      <c r="M268" s="369">
        <v>45847</v>
      </c>
      <c r="N268" s="370">
        <v>6500</v>
      </c>
      <c r="O268" s="579"/>
      <c r="P268" s="556"/>
      <c r="Q268" s="371" t="s">
        <v>139</v>
      </c>
      <c r="R268" s="369">
        <v>45859</v>
      </c>
    </row>
    <row r="269" spans="2:21" ht="32.4" customHeight="1" x14ac:dyDescent="0.4">
      <c r="C269" s="61"/>
      <c r="D269" s="62"/>
      <c r="E269" s="62"/>
      <c r="F269" s="112"/>
      <c r="G269" s="365"/>
      <c r="H269" s="243"/>
      <c r="I269" s="244"/>
      <c r="J269" s="244"/>
      <c r="K269" s="244"/>
      <c r="L269" s="135"/>
      <c r="M269" s="369">
        <v>45877</v>
      </c>
      <c r="N269" s="370">
        <v>9000</v>
      </c>
      <c r="O269" s="579"/>
      <c r="P269" s="556"/>
      <c r="Q269" s="371" t="s">
        <v>140</v>
      </c>
      <c r="R269" s="369">
        <v>45885</v>
      </c>
    </row>
    <row r="270" spans="2:21" ht="27.6" customHeight="1" x14ac:dyDescent="0.4">
      <c r="C270" s="61"/>
      <c r="D270" s="62"/>
      <c r="E270" s="62"/>
      <c r="F270" s="112"/>
      <c r="G270" s="365"/>
      <c r="H270" s="377"/>
      <c r="I270" s="244"/>
      <c r="J270" s="244"/>
      <c r="K270" s="244"/>
      <c r="L270" s="378"/>
      <c r="M270" s="40">
        <v>45903</v>
      </c>
      <c r="N270" s="370">
        <v>-9500</v>
      </c>
      <c r="O270" s="579"/>
      <c r="P270" s="556"/>
      <c r="Q270" s="5" t="s">
        <v>141</v>
      </c>
      <c r="R270" s="40">
        <v>45903</v>
      </c>
    </row>
    <row r="271" spans="2:21" ht="27.6" customHeight="1" x14ac:dyDescent="0.4">
      <c r="C271" s="61"/>
      <c r="D271" s="62"/>
      <c r="E271" s="62"/>
      <c r="F271" s="112"/>
      <c r="G271" s="365"/>
      <c r="H271" s="377"/>
      <c r="I271" s="244"/>
      <c r="J271" s="244"/>
      <c r="K271" s="244"/>
      <c r="L271" s="378"/>
      <c r="M271" s="40">
        <v>45924</v>
      </c>
      <c r="N271" s="370">
        <v>9000</v>
      </c>
      <c r="O271" s="579"/>
      <c r="P271" s="556"/>
      <c r="Q271" s="5" t="s">
        <v>142</v>
      </c>
      <c r="R271" s="40"/>
    </row>
    <row r="272" spans="2:21" ht="27.6" customHeight="1" x14ac:dyDescent="0.4">
      <c r="C272" s="61"/>
      <c r="D272" s="62"/>
      <c r="E272" s="62"/>
      <c r="F272" s="112"/>
      <c r="G272" s="365"/>
      <c r="H272" s="377"/>
      <c r="I272" s="244"/>
      <c r="J272" s="244"/>
      <c r="K272" s="244"/>
      <c r="L272" s="378"/>
      <c r="M272" s="40">
        <v>45943</v>
      </c>
      <c r="N272" s="370">
        <v>8300</v>
      </c>
      <c r="O272" s="579"/>
      <c r="P272" s="556"/>
      <c r="Q272" s="5" t="s">
        <v>143</v>
      </c>
      <c r="R272" s="40"/>
    </row>
    <row r="273" spans="2:22" ht="27.6" customHeight="1" thickBot="1" x14ac:dyDescent="0.45">
      <c r="B273" s="163"/>
      <c r="C273" s="502"/>
      <c r="D273" s="165"/>
      <c r="E273" s="165"/>
      <c r="F273" s="228"/>
      <c r="G273" s="539"/>
      <c r="H273" s="540"/>
      <c r="I273" s="518"/>
      <c r="J273" s="518"/>
      <c r="K273" s="518"/>
      <c r="L273" s="541"/>
      <c r="M273" s="171"/>
      <c r="N273" s="542"/>
      <c r="O273" s="543"/>
      <c r="P273" s="544"/>
      <c r="Q273" s="234"/>
      <c r="R273" s="171"/>
      <c r="S273" s="167"/>
      <c r="T273" s="167"/>
      <c r="U273" s="167"/>
      <c r="V273" s="167"/>
    </row>
    <row r="274" spans="2:22" ht="13.8" customHeight="1" thickTop="1" x14ac:dyDescent="0.4">
      <c r="C274" s="61"/>
      <c r="D274" s="62"/>
      <c r="E274" s="62"/>
      <c r="F274" s="112"/>
      <c r="G274" s="365"/>
      <c r="H274" s="377"/>
      <c r="I274" s="244"/>
      <c r="J274" s="244"/>
      <c r="K274" s="244"/>
      <c r="L274" s="378"/>
      <c r="M274" s="40"/>
      <c r="N274" s="370"/>
      <c r="O274" s="537"/>
      <c r="P274" s="538"/>
      <c r="R274" s="40"/>
    </row>
    <row r="275" spans="2:22" ht="27.6" customHeight="1" x14ac:dyDescent="0.4">
      <c r="B275" s="7" t="s">
        <v>3</v>
      </c>
      <c r="C275" s="111">
        <v>904</v>
      </c>
      <c r="D275" s="62"/>
      <c r="E275" s="62"/>
      <c r="F275" s="112"/>
      <c r="G275" s="162" t="s">
        <v>338</v>
      </c>
      <c r="H275" s="377">
        <v>417700</v>
      </c>
      <c r="I275" s="244"/>
      <c r="J275" s="244"/>
      <c r="K275" s="244"/>
      <c r="L275" s="378">
        <f>SUM(H275:K275)</f>
        <v>417700</v>
      </c>
      <c r="M275" s="40">
        <v>46027</v>
      </c>
      <c r="N275" s="370">
        <v>3000</v>
      </c>
      <c r="O275" s="370">
        <f>+N275</f>
        <v>3000</v>
      </c>
      <c r="P275" s="538"/>
      <c r="R275" s="40"/>
    </row>
    <row r="276" spans="2:22" ht="27.6" customHeight="1" x14ac:dyDescent="0.4">
      <c r="C276" s="111"/>
      <c r="D276" s="62"/>
      <c r="E276" s="62"/>
      <c r="F276" s="112"/>
      <c r="G276" s="365"/>
      <c r="H276" s="377"/>
      <c r="I276" s="244"/>
      <c r="J276" s="244"/>
      <c r="K276" s="244"/>
      <c r="L276" s="378"/>
      <c r="M276" s="40">
        <v>46053</v>
      </c>
      <c r="N276" s="370">
        <v>29650</v>
      </c>
      <c r="O276" s="370">
        <f>+N276</f>
        <v>29650</v>
      </c>
      <c r="P276" s="538"/>
      <c r="R276" s="40"/>
    </row>
    <row r="277" spans="2:22" ht="27.6" customHeight="1" x14ac:dyDescent="0.4">
      <c r="C277" s="61"/>
      <c r="D277" s="62"/>
      <c r="E277" s="62"/>
      <c r="F277" s="112"/>
      <c r="G277" s="365"/>
      <c r="H277" s="377"/>
      <c r="I277" s="244"/>
      <c r="J277" s="244"/>
      <c r="K277" s="244"/>
      <c r="L277" s="378"/>
      <c r="M277" s="40">
        <v>46054</v>
      </c>
      <c r="N277" s="370">
        <v>350</v>
      </c>
      <c r="O277" s="370">
        <f>+N277</f>
        <v>350</v>
      </c>
      <c r="P277" s="538"/>
      <c r="R277" s="40"/>
    </row>
    <row r="278" spans="2:22" ht="19.5" customHeight="1" thickBot="1" x14ac:dyDescent="0.55000000000000004">
      <c r="B278" s="136"/>
      <c r="C278" s="265"/>
      <c r="D278" s="248"/>
      <c r="E278" s="248"/>
      <c r="F278" s="266"/>
      <c r="G278" s="267"/>
      <c r="H278" s="250"/>
      <c r="I278" s="251"/>
      <c r="J278" s="251"/>
      <c r="K278" s="251"/>
      <c r="L278" s="139"/>
      <c r="M278" s="268"/>
      <c r="N278" s="142"/>
      <c r="O278" s="333"/>
      <c r="P278" s="334"/>
      <c r="Q278" s="142"/>
      <c r="R278" s="268"/>
      <c r="S278" s="143"/>
      <c r="T278" s="143"/>
      <c r="U278" s="143"/>
      <c r="V278" s="143"/>
    </row>
    <row r="279" spans="2:22" ht="12" customHeight="1" thickTop="1" x14ac:dyDescent="0.5">
      <c r="C279" s="144"/>
      <c r="D279" s="62"/>
      <c r="E279" s="62"/>
      <c r="G279" s="162"/>
      <c r="H279" s="243"/>
      <c r="I279" s="244"/>
      <c r="J279" s="244"/>
      <c r="K279" s="244"/>
      <c r="L279" s="39"/>
    </row>
    <row r="280" spans="2:22" ht="23.4" customHeight="1" x14ac:dyDescent="0.4">
      <c r="B280" s="7" t="s">
        <v>3</v>
      </c>
      <c r="C280" s="144">
        <v>905</v>
      </c>
      <c r="D280" s="62">
        <v>36</v>
      </c>
      <c r="E280" s="62"/>
      <c r="G280" s="162" t="s">
        <v>317</v>
      </c>
      <c r="H280" s="243">
        <v>489000</v>
      </c>
      <c r="I280" s="244">
        <v>46000</v>
      </c>
      <c r="J280" s="244"/>
      <c r="K280" s="244"/>
      <c r="L280" s="135">
        <f>SUM(H280:K280)</f>
        <v>535000</v>
      </c>
      <c r="M280" s="40">
        <v>46026</v>
      </c>
      <c r="N280" s="501">
        <v>3000</v>
      </c>
      <c r="O280" s="565">
        <f>SUM(N280:N282)</f>
        <v>535000</v>
      </c>
      <c r="P280" s="557"/>
      <c r="Q280" s="5" t="s">
        <v>318</v>
      </c>
    </row>
    <row r="281" spans="2:22" ht="23.4" customHeight="1" x14ac:dyDescent="0.4">
      <c r="C281" s="144"/>
      <c r="D281" s="62"/>
      <c r="E281" s="62"/>
      <c r="G281" s="162"/>
      <c r="H281" s="243"/>
      <c r="I281" s="244"/>
      <c r="J281" s="244"/>
      <c r="K281" s="244"/>
      <c r="L281" s="135"/>
      <c r="M281" s="40">
        <v>46034</v>
      </c>
      <c r="N281" s="501">
        <v>50500</v>
      </c>
      <c r="O281" s="566"/>
      <c r="P281" s="557"/>
      <c r="Q281" s="5" t="s">
        <v>319</v>
      </c>
    </row>
    <row r="282" spans="2:22" ht="23.4" customHeight="1" x14ac:dyDescent="0.4">
      <c r="C282" s="144"/>
      <c r="D282" s="62"/>
      <c r="E282" s="62"/>
      <c r="G282" s="162"/>
      <c r="H282" s="243"/>
      <c r="I282" s="244"/>
      <c r="J282" s="244"/>
      <c r="K282" s="244"/>
      <c r="L282" s="135"/>
      <c r="M282" s="40">
        <v>46053</v>
      </c>
      <c r="N282" s="501">
        <v>481500</v>
      </c>
      <c r="O282" s="566"/>
      <c r="P282" s="557"/>
      <c r="Q282" s="5" t="s">
        <v>320</v>
      </c>
    </row>
    <row r="283" spans="2:22" ht="19.5" customHeight="1" thickBot="1" x14ac:dyDescent="0.55000000000000004">
      <c r="B283" s="149"/>
      <c r="C283" s="223"/>
      <c r="D283" s="151"/>
      <c r="E283" s="151"/>
      <c r="F283" s="150"/>
      <c r="G283" s="152"/>
      <c r="H283" s="239"/>
      <c r="I283" s="240"/>
      <c r="J283" s="240"/>
      <c r="K283" s="240"/>
      <c r="L283" s="155"/>
      <c r="M283" s="160"/>
      <c r="N283" s="157"/>
      <c r="O283" s="241"/>
      <c r="P283" s="159"/>
      <c r="Q283" s="157"/>
      <c r="R283" s="160"/>
      <c r="S283" s="161"/>
      <c r="T283" s="161"/>
      <c r="U283" s="161"/>
      <c r="V283" s="161"/>
    </row>
    <row r="284" spans="2:22" ht="24" customHeight="1" thickTop="1" x14ac:dyDescent="0.5">
      <c r="B284" s="7" t="s">
        <v>3</v>
      </c>
      <c r="C284" s="203">
        <v>1001</v>
      </c>
      <c r="D284" s="62"/>
      <c r="E284" s="62"/>
      <c r="F284" s="2">
        <v>47474967</v>
      </c>
      <c r="G284" s="162" t="s">
        <v>144</v>
      </c>
      <c r="H284" s="243">
        <v>615000</v>
      </c>
      <c r="I284" s="244"/>
      <c r="J284" s="244"/>
      <c r="K284" s="244"/>
      <c r="L284" s="135">
        <f>SUM(H284:K284)</f>
        <v>615000</v>
      </c>
      <c r="M284" s="40">
        <v>45869</v>
      </c>
      <c r="N284" s="41">
        <v>3019</v>
      </c>
      <c r="O284" s="559">
        <f>+N285+N284</f>
        <v>13019</v>
      </c>
      <c r="P284" s="202"/>
      <c r="Q284" s="5" t="s">
        <v>145</v>
      </c>
      <c r="R284" s="40">
        <v>45903</v>
      </c>
    </row>
    <row r="285" spans="2:22" ht="24" customHeight="1" x14ac:dyDescent="0.5">
      <c r="C285" s="144"/>
      <c r="D285" s="62"/>
      <c r="E285" s="62"/>
      <c r="G285" s="162"/>
      <c r="H285" s="243"/>
      <c r="I285" s="244"/>
      <c r="J285" s="244"/>
      <c r="K285" s="244"/>
      <c r="L285" s="39"/>
      <c r="M285" s="40">
        <v>45885</v>
      </c>
      <c r="N285" s="41">
        <v>10000</v>
      </c>
      <c r="O285" s="560"/>
      <c r="P285" s="202"/>
      <c r="Q285" s="5" t="s">
        <v>146</v>
      </c>
      <c r="R285" s="40">
        <v>45903</v>
      </c>
    </row>
    <row r="286" spans="2:22" ht="24" customHeight="1" x14ac:dyDescent="0.5">
      <c r="C286" s="144"/>
      <c r="D286" s="62"/>
      <c r="E286" s="62"/>
      <c r="G286" s="162"/>
      <c r="H286" s="243"/>
      <c r="I286" s="244"/>
      <c r="J286" s="244"/>
      <c r="K286" s="244"/>
      <c r="L286" s="39"/>
      <c r="M286" s="40">
        <v>46056</v>
      </c>
      <c r="N286" s="501">
        <v>50000</v>
      </c>
      <c r="O286" s="293">
        <f>+O284+N286</f>
        <v>63019</v>
      </c>
      <c r="Q286" s="5" t="s">
        <v>321</v>
      </c>
    </row>
    <row r="287" spans="2:22" ht="24" customHeight="1" x14ac:dyDescent="0.5">
      <c r="C287" s="144"/>
      <c r="D287" s="62"/>
      <c r="E287" s="62"/>
      <c r="G287" s="162"/>
      <c r="H287" s="243"/>
      <c r="I287" s="244"/>
      <c r="J287" s="244"/>
      <c r="K287" s="244"/>
      <c r="L287" s="39"/>
      <c r="M287" s="40">
        <v>46056</v>
      </c>
      <c r="N287" s="501">
        <v>34000</v>
      </c>
      <c r="O287" s="293">
        <f>+O286+N287</f>
        <v>97019</v>
      </c>
      <c r="Q287" s="5" t="s">
        <v>322</v>
      </c>
    </row>
    <row r="288" spans="2:22" ht="24" customHeight="1" thickBot="1" x14ac:dyDescent="0.55000000000000004">
      <c r="B288" s="136"/>
      <c r="C288" s="265"/>
      <c r="D288" s="248"/>
      <c r="E288" s="248"/>
      <c r="F288" s="266"/>
      <c r="G288" s="267"/>
      <c r="H288" s="250"/>
      <c r="I288" s="251"/>
      <c r="J288" s="251"/>
      <c r="K288" s="251"/>
      <c r="L288" s="139"/>
      <c r="M288" s="268"/>
      <c r="N288" s="142"/>
      <c r="O288" s="333"/>
      <c r="P288" s="334"/>
      <c r="Q288" s="142"/>
      <c r="R288" s="268"/>
      <c r="S288" s="143"/>
      <c r="T288" s="143"/>
      <c r="U288" s="143"/>
      <c r="V288" s="143"/>
    </row>
    <row r="289" spans="2:22" ht="13.5" customHeight="1" thickTop="1" x14ac:dyDescent="0.5">
      <c r="C289" s="144"/>
      <c r="D289" s="62"/>
      <c r="E289" s="62"/>
      <c r="G289" s="162"/>
      <c r="H289" s="243"/>
      <c r="I289" s="244"/>
      <c r="J289" s="244"/>
      <c r="K289" s="244"/>
      <c r="L289" s="39"/>
    </row>
    <row r="290" spans="2:22" ht="19.8" customHeight="1" x14ac:dyDescent="0.4">
      <c r="B290" s="7" t="s">
        <v>3</v>
      </c>
      <c r="C290" s="144">
        <v>1002</v>
      </c>
      <c r="D290" s="62"/>
      <c r="E290" s="62"/>
      <c r="G290" s="162" t="s">
        <v>331</v>
      </c>
      <c r="H290" s="243">
        <v>415000</v>
      </c>
      <c r="I290" s="244"/>
      <c r="J290" s="244"/>
      <c r="K290" s="244"/>
      <c r="L290" s="135">
        <f>SUM(H290:K290)</f>
        <v>415000</v>
      </c>
      <c r="M290" s="40">
        <v>45921</v>
      </c>
      <c r="N290" s="501">
        <v>3000</v>
      </c>
      <c r="O290" s="293">
        <f>+N290</f>
        <v>3000</v>
      </c>
      <c r="P290" s="275" t="s">
        <v>126</v>
      </c>
    </row>
    <row r="291" spans="2:22" ht="19.8" customHeight="1" x14ac:dyDescent="0.4">
      <c r="C291" s="144"/>
      <c r="D291" s="62"/>
      <c r="E291" s="62"/>
      <c r="G291" s="162"/>
      <c r="H291" s="243"/>
      <c r="I291" s="244"/>
      <c r="J291" s="244"/>
      <c r="K291" s="244"/>
      <c r="L291" s="39"/>
      <c r="M291" s="40">
        <v>45993</v>
      </c>
      <c r="N291" s="501">
        <v>38500</v>
      </c>
      <c r="O291" s="293">
        <f>+N291</f>
        <v>38500</v>
      </c>
      <c r="P291" s="275" t="s">
        <v>149</v>
      </c>
      <c r="Q291" s="5" t="s">
        <v>323</v>
      </c>
    </row>
    <row r="292" spans="2:22" ht="19.5" customHeight="1" thickBot="1" x14ac:dyDescent="0.55000000000000004">
      <c r="B292" s="149"/>
      <c r="C292" s="223"/>
      <c r="D292" s="151"/>
      <c r="E292" s="151"/>
      <c r="F292" s="150"/>
      <c r="G292" s="152"/>
      <c r="H292" s="239"/>
      <c r="I292" s="240"/>
      <c r="J292" s="240"/>
      <c r="K292" s="240"/>
      <c r="L292" s="155"/>
      <c r="M292" s="271"/>
      <c r="N292" s="272"/>
      <c r="O292" s="379"/>
      <c r="P292" s="380"/>
      <c r="Q292" s="157"/>
      <c r="R292" s="160"/>
      <c r="S292" s="161"/>
      <c r="T292" s="161"/>
      <c r="U292" s="161"/>
      <c r="V292" s="161"/>
    </row>
    <row r="293" spans="2:22" ht="12" customHeight="1" thickTop="1" x14ac:dyDescent="0.5">
      <c r="C293" s="144"/>
      <c r="D293" s="62"/>
      <c r="E293" s="62"/>
      <c r="G293" s="162"/>
      <c r="H293" s="243"/>
      <c r="I293" s="244"/>
      <c r="J293" s="244"/>
      <c r="K293" s="244"/>
      <c r="L293" s="39"/>
    </row>
    <row r="294" spans="2:22" ht="19.8" customHeight="1" x14ac:dyDescent="0.4">
      <c r="B294" s="7" t="s">
        <v>3</v>
      </c>
      <c r="C294" s="203">
        <v>1003</v>
      </c>
      <c r="D294" s="381">
        <v>11</v>
      </c>
      <c r="E294" s="381">
        <v>8</v>
      </c>
      <c r="F294" s="2">
        <v>20610697403</v>
      </c>
      <c r="G294" s="162" t="s">
        <v>147</v>
      </c>
      <c r="H294" s="243">
        <v>675000</v>
      </c>
      <c r="I294" s="244"/>
      <c r="J294" s="244"/>
      <c r="K294" s="244">
        <v>60400</v>
      </c>
      <c r="L294" s="109">
        <f>SUM(H294:K294)</f>
        <v>735400</v>
      </c>
      <c r="M294" s="40">
        <v>45838</v>
      </c>
      <c r="N294" s="41">
        <v>3000</v>
      </c>
      <c r="O294" s="23">
        <v>3000</v>
      </c>
      <c r="P294" s="275" t="s">
        <v>126</v>
      </c>
      <c r="Q294" s="5" t="s">
        <v>148</v>
      </c>
      <c r="R294" s="40">
        <v>45991</v>
      </c>
    </row>
    <row r="295" spans="2:22" ht="18.600000000000001" customHeight="1" x14ac:dyDescent="0.4">
      <c r="C295" s="144"/>
      <c r="D295" s="62"/>
      <c r="E295" s="62"/>
      <c r="F295" s="2">
        <v>20610697403</v>
      </c>
      <c r="G295" s="162" t="s">
        <v>147</v>
      </c>
      <c r="H295" s="243"/>
      <c r="I295" s="244"/>
      <c r="J295" s="244"/>
      <c r="K295" s="244"/>
      <c r="L295" s="109"/>
      <c r="M295" s="40">
        <v>45985</v>
      </c>
      <c r="N295" s="41">
        <v>254325</v>
      </c>
      <c r="O295" s="23">
        <f>+O294+N295</f>
        <v>257325</v>
      </c>
      <c r="P295" s="275" t="s">
        <v>149</v>
      </c>
      <c r="Q295" s="5" t="s">
        <v>150</v>
      </c>
      <c r="R295" s="40">
        <v>45991</v>
      </c>
    </row>
    <row r="296" spans="2:22" ht="16.2" customHeight="1" x14ac:dyDescent="0.4">
      <c r="C296" s="144"/>
      <c r="D296" s="62"/>
      <c r="E296" s="62"/>
      <c r="F296" s="2">
        <v>20610697403</v>
      </c>
      <c r="G296" s="162" t="s">
        <v>147</v>
      </c>
      <c r="H296" s="243"/>
      <c r="I296" s="244"/>
      <c r="J296" s="244"/>
      <c r="K296" s="244"/>
      <c r="L296" s="39"/>
      <c r="M296" s="40">
        <v>45985</v>
      </c>
      <c r="N296" s="41">
        <v>16955</v>
      </c>
      <c r="O296" s="23">
        <f t="shared" ref="O296" si="1">+O295+N296</f>
        <v>274280</v>
      </c>
      <c r="P296" s="275" t="s">
        <v>149</v>
      </c>
      <c r="Q296" s="5" t="s">
        <v>151</v>
      </c>
      <c r="R296" s="40">
        <v>45991</v>
      </c>
    </row>
    <row r="297" spans="2:22" ht="18" customHeight="1" x14ac:dyDescent="0.4">
      <c r="C297" s="144"/>
      <c r="D297" s="62"/>
      <c r="E297" s="62"/>
      <c r="F297" s="2">
        <v>20610697403</v>
      </c>
      <c r="G297" s="162" t="s">
        <v>147</v>
      </c>
      <c r="H297" s="243"/>
      <c r="I297" s="244"/>
      <c r="J297" s="244"/>
      <c r="K297" s="244"/>
      <c r="L297" s="39"/>
      <c r="M297" s="40">
        <v>46013</v>
      </c>
      <c r="N297" s="41">
        <v>131882.63</v>
      </c>
      <c r="O297" s="23">
        <f>+O296+N297</f>
        <v>406162.63</v>
      </c>
      <c r="P297" s="275" t="s">
        <v>152</v>
      </c>
      <c r="Q297" s="5" t="s">
        <v>153</v>
      </c>
      <c r="R297" s="40">
        <v>46022</v>
      </c>
    </row>
    <row r="298" spans="2:22" ht="18.600000000000001" customHeight="1" x14ac:dyDescent="0.4">
      <c r="C298" s="144"/>
      <c r="D298" s="62"/>
      <c r="E298" s="62"/>
      <c r="G298" s="162"/>
      <c r="H298" s="243"/>
      <c r="I298" s="244"/>
      <c r="J298" s="244"/>
      <c r="K298" s="244"/>
      <c r="L298" s="39"/>
      <c r="M298" s="40">
        <v>46065</v>
      </c>
      <c r="N298" s="501">
        <v>131530.63</v>
      </c>
      <c r="O298" s="23">
        <f>+O297+N298</f>
        <v>537693.26</v>
      </c>
      <c r="P298" s="275" t="s">
        <v>154</v>
      </c>
      <c r="Q298" s="5" t="s">
        <v>332</v>
      </c>
      <c r="R298" s="40">
        <v>46078</v>
      </c>
    </row>
    <row r="299" spans="2:22" ht="19.2" customHeight="1" thickBot="1" x14ac:dyDescent="0.55000000000000004">
      <c r="B299" s="136"/>
      <c r="C299" s="382"/>
      <c r="D299" s="248"/>
      <c r="E299" s="248"/>
      <c r="F299" s="266"/>
      <c r="G299" s="267"/>
      <c r="H299" s="250"/>
      <c r="I299" s="251"/>
      <c r="J299" s="251"/>
      <c r="K299" s="251"/>
      <c r="L299" s="139"/>
      <c r="M299" s="268"/>
      <c r="N299" s="142"/>
      <c r="O299" s="333"/>
      <c r="P299" s="334"/>
      <c r="Q299" s="142"/>
      <c r="R299" s="268"/>
      <c r="S299" s="143"/>
      <c r="T299" s="143"/>
      <c r="U299" s="143"/>
      <c r="V299" s="143"/>
    </row>
    <row r="300" spans="2:22" ht="12.75" customHeight="1" thickTop="1" x14ac:dyDescent="0.5">
      <c r="C300" s="144"/>
      <c r="D300" s="62"/>
      <c r="E300" s="62"/>
      <c r="G300" s="162"/>
      <c r="H300" s="243"/>
      <c r="I300" s="244"/>
      <c r="J300" s="244"/>
      <c r="K300" s="244"/>
      <c r="L300" s="39"/>
    </row>
    <row r="301" spans="2:22" ht="19.2" customHeight="1" x14ac:dyDescent="0.5">
      <c r="B301" s="7" t="s">
        <v>3</v>
      </c>
      <c r="C301" s="144">
        <v>1004</v>
      </c>
      <c r="D301" s="62"/>
      <c r="E301" s="62"/>
      <c r="G301" s="162" t="s">
        <v>324</v>
      </c>
      <c r="H301" s="243">
        <v>417700</v>
      </c>
      <c r="I301" s="244"/>
      <c r="J301" s="244"/>
      <c r="K301" s="244"/>
      <c r="L301" s="135">
        <f>SUM(H301:K301)</f>
        <v>417700</v>
      </c>
      <c r="M301" s="40">
        <v>46090</v>
      </c>
      <c r="N301" s="501">
        <v>3000</v>
      </c>
      <c r="O301" s="293">
        <f>+N301</f>
        <v>3000</v>
      </c>
      <c r="P301" s="6" t="s">
        <v>126</v>
      </c>
    </row>
    <row r="302" spans="2:22" ht="19.2" customHeight="1" x14ac:dyDescent="0.5">
      <c r="C302" s="144"/>
      <c r="D302" s="62"/>
      <c r="E302" s="62"/>
      <c r="G302" s="162"/>
      <c r="H302" s="243"/>
      <c r="I302" s="244"/>
      <c r="J302" s="244"/>
      <c r="K302" s="244"/>
      <c r="L302" s="39"/>
    </row>
    <row r="303" spans="2:22" ht="19.5" customHeight="1" thickBot="1" x14ac:dyDescent="0.55000000000000004">
      <c r="B303" s="149"/>
      <c r="C303" s="223"/>
      <c r="D303" s="151"/>
      <c r="E303" s="151"/>
      <c r="F303" s="150"/>
      <c r="G303" s="152"/>
      <c r="H303" s="239"/>
      <c r="I303" s="240"/>
      <c r="J303" s="240"/>
      <c r="K303" s="240"/>
      <c r="L303" s="155"/>
      <c r="M303" s="160"/>
      <c r="N303" s="157"/>
      <c r="O303" s="241"/>
      <c r="P303" s="159"/>
      <c r="Q303" s="157"/>
      <c r="R303" s="160"/>
      <c r="S303" s="161"/>
      <c r="T303" s="161"/>
      <c r="U303" s="161"/>
      <c r="V303" s="161"/>
    </row>
    <row r="304" spans="2:22" ht="10.5" customHeight="1" thickTop="1" x14ac:dyDescent="0.5">
      <c r="C304" s="144"/>
      <c r="D304" s="62"/>
      <c r="E304" s="62"/>
      <c r="G304" s="162"/>
      <c r="H304" s="243"/>
      <c r="I304" s="244"/>
      <c r="J304" s="244"/>
      <c r="K304" s="244"/>
      <c r="L304" s="39"/>
    </row>
    <row r="305" spans="2:22" ht="19.8" customHeight="1" x14ac:dyDescent="0.5">
      <c r="B305" s="7" t="s">
        <v>3</v>
      </c>
      <c r="C305" s="144">
        <v>1005</v>
      </c>
      <c r="D305" s="62"/>
      <c r="E305" s="62"/>
      <c r="G305" s="162"/>
      <c r="H305" s="243">
        <v>535000</v>
      </c>
      <c r="I305" s="244"/>
      <c r="J305" s="244"/>
      <c r="K305" s="244"/>
      <c r="L305" s="135">
        <f>SUM(H305:K305)</f>
        <v>535000</v>
      </c>
    </row>
    <row r="306" spans="2:22" ht="19.5" customHeight="1" thickBot="1" x14ac:dyDescent="0.55000000000000004">
      <c r="B306" s="136"/>
      <c r="C306" s="265"/>
      <c r="D306" s="248"/>
      <c r="E306" s="248"/>
      <c r="F306" s="266"/>
      <c r="G306" s="267"/>
      <c r="H306" s="250"/>
      <c r="I306" s="251"/>
      <c r="J306" s="251"/>
      <c r="K306" s="251"/>
      <c r="L306" s="139"/>
      <c r="M306" s="268"/>
      <c r="N306" s="142"/>
      <c r="O306" s="333"/>
      <c r="P306" s="334"/>
      <c r="Q306" s="142"/>
      <c r="R306" s="268"/>
      <c r="S306" s="143"/>
      <c r="T306" s="143"/>
      <c r="U306" s="143"/>
      <c r="V306" s="143"/>
    </row>
    <row r="307" spans="2:22" ht="9.75" customHeight="1" thickTop="1" x14ac:dyDescent="0.5">
      <c r="C307" s="144"/>
      <c r="D307" s="62"/>
      <c r="E307" s="62"/>
      <c r="G307" s="162"/>
      <c r="H307" s="243"/>
      <c r="I307" s="244"/>
      <c r="J307" s="244"/>
      <c r="K307" s="244"/>
      <c r="L307" s="39"/>
    </row>
    <row r="308" spans="2:22" ht="19.2" customHeight="1" x14ac:dyDescent="0.5">
      <c r="B308" s="7" t="s">
        <v>3</v>
      </c>
      <c r="C308" s="144">
        <v>1101</v>
      </c>
      <c r="D308" s="62"/>
      <c r="E308" s="62"/>
      <c r="G308" s="162"/>
      <c r="H308" s="243">
        <v>739000</v>
      </c>
      <c r="I308" s="244"/>
      <c r="J308" s="244"/>
      <c r="K308" s="244"/>
      <c r="L308" s="135">
        <f>SUM(H308:K308)</f>
        <v>739000</v>
      </c>
    </row>
    <row r="309" spans="2:22" ht="19.5" customHeight="1" thickBot="1" x14ac:dyDescent="0.55000000000000004">
      <c r="B309" s="149"/>
      <c r="C309" s="223"/>
      <c r="D309" s="151"/>
      <c r="E309" s="151"/>
      <c r="F309" s="150"/>
      <c r="G309" s="152"/>
      <c r="H309" s="239"/>
      <c r="I309" s="240"/>
      <c r="J309" s="240"/>
      <c r="K309" s="240"/>
      <c r="L309" s="155"/>
      <c r="M309" s="160"/>
      <c r="N309" s="157"/>
      <c r="O309" s="241"/>
      <c r="P309" s="159"/>
      <c r="Q309" s="157"/>
      <c r="R309" s="160"/>
      <c r="S309" s="161"/>
      <c r="T309" s="161"/>
      <c r="U309" s="161"/>
      <c r="V309" s="161"/>
    </row>
    <row r="310" spans="2:22" ht="11.25" customHeight="1" thickTop="1" x14ac:dyDescent="0.5">
      <c r="C310" s="144"/>
      <c r="D310" s="62"/>
      <c r="E310" s="62"/>
      <c r="G310" s="162"/>
      <c r="H310" s="243"/>
      <c r="I310" s="244"/>
      <c r="J310" s="244"/>
      <c r="K310" s="244"/>
      <c r="L310" s="39"/>
    </row>
    <row r="311" spans="2:22" ht="21" customHeight="1" x14ac:dyDescent="0.5">
      <c r="B311" s="7" t="s">
        <v>3</v>
      </c>
      <c r="C311" s="144">
        <v>1102</v>
      </c>
      <c r="D311" s="62"/>
      <c r="E311" s="62"/>
      <c r="G311" s="162"/>
      <c r="H311" s="243">
        <v>420300</v>
      </c>
      <c r="I311" s="244"/>
      <c r="J311" s="244"/>
      <c r="K311" s="244"/>
      <c r="L311" s="135">
        <f>SUM(H311:K311)</f>
        <v>420300</v>
      </c>
    </row>
    <row r="312" spans="2:22" ht="19.5" customHeight="1" thickBot="1" x14ac:dyDescent="0.55000000000000004">
      <c r="B312" s="136"/>
      <c r="C312" s="265"/>
      <c r="D312" s="248"/>
      <c r="E312" s="248"/>
      <c r="F312" s="266"/>
      <c r="G312" s="267"/>
      <c r="H312" s="250"/>
      <c r="I312" s="251"/>
      <c r="J312" s="251"/>
      <c r="K312" s="251"/>
      <c r="L312" s="139"/>
      <c r="M312" s="268"/>
      <c r="N312" s="142"/>
      <c r="O312" s="333"/>
      <c r="P312" s="334"/>
      <c r="Q312" s="142"/>
      <c r="R312" s="268"/>
      <c r="S312" s="143"/>
      <c r="T312" s="143"/>
      <c r="U312" s="143"/>
      <c r="V312" s="143"/>
    </row>
    <row r="313" spans="2:22" ht="10.5" customHeight="1" thickTop="1" x14ac:dyDescent="0.5">
      <c r="C313" s="144"/>
      <c r="D313" s="62"/>
      <c r="E313" s="62"/>
      <c r="G313" s="162"/>
      <c r="H313" s="243"/>
      <c r="I313" s="244"/>
      <c r="J313" s="244"/>
      <c r="K313" s="244"/>
      <c r="L313" s="39"/>
    </row>
    <row r="314" spans="2:22" ht="19.8" customHeight="1" x14ac:dyDescent="0.5">
      <c r="B314" s="7" t="s">
        <v>3</v>
      </c>
      <c r="C314" s="144">
        <v>1103</v>
      </c>
      <c r="D314" s="62"/>
      <c r="E314" s="62"/>
      <c r="G314" s="162"/>
      <c r="H314" s="243">
        <v>770000</v>
      </c>
      <c r="I314" s="244"/>
      <c r="J314" s="244"/>
      <c r="K314" s="244"/>
      <c r="L314" s="135">
        <f>SUM(H314:K314)</f>
        <v>770000</v>
      </c>
    </row>
    <row r="315" spans="2:22" ht="19.5" customHeight="1" thickBot="1" x14ac:dyDescent="0.55000000000000004">
      <c r="B315" s="149"/>
      <c r="C315" s="223"/>
      <c r="D315" s="151"/>
      <c r="E315" s="151"/>
      <c r="F315" s="150"/>
      <c r="G315" s="152"/>
      <c r="H315" s="239"/>
      <c r="I315" s="240"/>
      <c r="J315" s="240"/>
      <c r="K315" s="240"/>
      <c r="L315" s="155"/>
      <c r="M315" s="160"/>
      <c r="N315" s="157"/>
      <c r="O315" s="241"/>
      <c r="P315" s="159"/>
      <c r="Q315" s="157"/>
      <c r="R315" s="160"/>
      <c r="S315" s="161"/>
      <c r="T315" s="161"/>
      <c r="U315" s="161"/>
      <c r="V315" s="161"/>
    </row>
    <row r="316" spans="2:22" ht="11.25" customHeight="1" thickTop="1" x14ac:dyDescent="0.5">
      <c r="C316" s="144"/>
      <c r="D316" s="62"/>
      <c r="E316" s="62"/>
      <c r="G316" s="162"/>
      <c r="H316" s="243"/>
      <c r="I316" s="244"/>
      <c r="J316" s="244"/>
      <c r="K316" s="244"/>
      <c r="L316" s="39"/>
    </row>
    <row r="317" spans="2:22" ht="19.5" customHeight="1" x14ac:dyDescent="0.4">
      <c r="B317" s="7" t="s">
        <v>3</v>
      </c>
      <c r="C317" s="111">
        <v>1104</v>
      </c>
      <c r="D317" s="329"/>
      <c r="E317" s="112"/>
      <c r="F317" s="112">
        <v>6789211</v>
      </c>
      <c r="G317" s="112" t="s">
        <v>156</v>
      </c>
      <c r="H317" s="245">
        <v>397000</v>
      </c>
      <c r="I317" s="246"/>
      <c r="J317" s="246"/>
      <c r="K317" s="246"/>
      <c r="L317" s="113">
        <f>SUM(H317:K317)</f>
        <v>397000</v>
      </c>
      <c r="M317" s="369">
        <v>45703</v>
      </c>
      <c r="N317" s="383">
        <v>3000</v>
      </c>
      <c r="O317" s="561">
        <f>SUM(N317:N322)</f>
        <v>397000</v>
      </c>
      <c r="P317" s="545"/>
      <c r="Q317" s="5" t="s">
        <v>157</v>
      </c>
      <c r="R317" s="40">
        <v>45733</v>
      </c>
      <c r="U317" s="384" t="s">
        <v>158</v>
      </c>
    </row>
    <row r="318" spans="2:22" ht="19.5" customHeight="1" x14ac:dyDescent="0.4">
      <c r="C318" s="61"/>
      <c r="D318" s="329"/>
      <c r="E318" s="112"/>
      <c r="F318" s="112"/>
      <c r="G318" s="112"/>
      <c r="H318" s="245"/>
      <c r="I318" s="246"/>
      <c r="J318" s="246"/>
      <c r="K318" s="246"/>
      <c r="L318" s="39"/>
      <c r="M318" s="369">
        <v>45730</v>
      </c>
      <c r="N318" s="383">
        <v>23450</v>
      </c>
      <c r="O318" s="561"/>
      <c r="P318" s="545"/>
      <c r="Q318" s="5" t="s">
        <v>157</v>
      </c>
      <c r="R318" s="40">
        <v>45733</v>
      </c>
      <c r="U318" s="384"/>
    </row>
    <row r="319" spans="2:22" ht="19.5" customHeight="1" x14ac:dyDescent="0.4">
      <c r="C319" s="61"/>
      <c r="D319" s="329"/>
      <c r="E319" s="112"/>
      <c r="F319" s="112"/>
      <c r="G319" s="112"/>
      <c r="H319" s="245"/>
      <c r="I319" s="246"/>
      <c r="J319" s="246"/>
      <c r="K319" s="246"/>
      <c r="L319" s="39"/>
      <c r="M319" s="369">
        <v>45730</v>
      </c>
      <c r="N319" s="383">
        <v>78000</v>
      </c>
      <c r="O319" s="561"/>
      <c r="P319" s="545"/>
      <c r="Q319" s="5" t="s">
        <v>159</v>
      </c>
      <c r="R319" s="40">
        <v>45733</v>
      </c>
      <c r="U319" s="384"/>
    </row>
    <row r="320" spans="2:22" ht="19.5" customHeight="1" x14ac:dyDescent="0.4">
      <c r="C320" s="61"/>
      <c r="D320" s="329"/>
      <c r="E320" s="112"/>
      <c r="F320" s="112"/>
      <c r="G320" s="112"/>
      <c r="H320" s="385"/>
      <c r="I320" s="386"/>
      <c r="J320" s="386"/>
      <c r="K320" s="386"/>
      <c r="L320" s="39"/>
      <c r="M320" s="369">
        <v>45789</v>
      </c>
      <c r="N320" s="383">
        <v>34454.57</v>
      </c>
      <c r="O320" s="561"/>
      <c r="P320" s="545"/>
      <c r="Q320" s="5" t="s">
        <v>160</v>
      </c>
      <c r="R320" s="40">
        <v>45789</v>
      </c>
      <c r="U320" s="384"/>
    </row>
    <row r="321" spans="2:22" ht="19.5" customHeight="1" x14ac:dyDescent="0.4">
      <c r="C321" s="61"/>
      <c r="D321" s="329"/>
      <c r="E321" s="112"/>
      <c r="F321" s="112"/>
      <c r="G321" s="112"/>
      <c r="H321" s="385"/>
      <c r="I321" s="386"/>
      <c r="J321" s="386"/>
      <c r="K321" s="386"/>
      <c r="L321" s="39"/>
      <c r="M321" s="369">
        <v>45791</v>
      </c>
      <c r="N321" s="383">
        <v>45.43</v>
      </c>
      <c r="O321" s="561"/>
      <c r="P321" s="545"/>
      <c r="Q321" s="5" t="s">
        <v>161</v>
      </c>
      <c r="R321" s="40">
        <v>45790</v>
      </c>
      <c r="U321" s="384"/>
    </row>
    <row r="322" spans="2:22" ht="19.5" customHeight="1" thickBot="1" x14ac:dyDescent="0.45">
      <c r="B322" s="136"/>
      <c r="C322" s="527"/>
      <c r="D322" s="387"/>
      <c r="E322" s="249"/>
      <c r="F322" s="249"/>
      <c r="G322" s="249"/>
      <c r="H322" s="388"/>
      <c r="I322" s="389"/>
      <c r="J322" s="389"/>
      <c r="K322" s="389"/>
      <c r="L322" s="139"/>
      <c r="M322" s="390">
        <v>45789</v>
      </c>
      <c r="N322" s="391">
        <v>258050</v>
      </c>
      <c r="O322" s="562"/>
      <c r="P322" s="558"/>
      <c r="Q322" s="142" t="s">
        <v>83</v>
      </c>
      <c r="R322" s="140">
        <v>45789</v>
      </c>
      <c r="S322" s="143"/>
      <c r="T322" s="143"/>
      <c r="U322" s="392"/>
      <c r="V322" s="143"/>
    </row>
    <row r="323" spans="2:22" ht="13.5" customHeight="1" thickTop="1" x14ac:dyDescent="0.5">
      <c r="C323" s="61"/>
      <c r="D323" s="329"/>
      <c r="E323" s="329"/>
      <c r="F323" s="393"/>
      <c r="G323" s="394"/>
      <c r="H323" s="395"/>
      <c r="I323" s="396"/>
      <c r="J323" s="396"/>
      <c r="K323" s="396"/>
      <c r="L323" s="39"/>
      <c r="M323" s="397"/>
      <c r="N323" s="398"/>
      <c r="O323" s="23"/>
      <c r="P323" s="110"/>
      <c r="R323" s="40"/>
      <c r="U323" s="384"/>
    </row>
    <row r="324" spans="2:22" ht="19.2" customHeight="1" x14ac:dyDescent="0.5">
      <c r="B324" s="7" t="s">
        <v>3</v>
      </c>
      <c r="C324" s="111">
        <v>1105</v>
      </c>
      <c r="D324" s="329"/>
      <c r="E324" s="329"/>
      <c r="F324" s="393"/>
      <c r="G324" s="394" t="s">
        <v>325</v>
      </c>
      <c r="H324" s="395">
        <v>429000</v>
      </c>
      <c r="I324" s="396"/>
      <c r="J324" s="396"/>
      <c r="K324" s="396"/>
      <c r="L324" s="135">
        <f>SUM(H324:K324)</f>
        <v>429000</v>
      </c>
      <c r="M324" s="397">
        <v>46104</v>
      </c>
      <c r="N324" s="398">
        <v>3000</v>
      </c>
      <c r="O324" s="23">
        <f>+N324</f>
        <v>3000</v>
      </c>
      <c r="P324" s="110" t="s">
        <v>126</v>
      </c>
      <c r="R324" s="40"/>
      <c r="U324" s="384"/>
    </row>
    <row r="325" spans="2:22" ht="19.2" customHeight="1" x14ac:dyDescent="0.5">
      <c r="C325" s="61"/>
      <c r="D325" s="329"/>
      <c r="E325" s="329"/>
      <c r="F325" s="393"/>
      <c r="G325" s="394"/>
      <c r="H325" s="395"/>
      <c r="I325" s="396"/>
      <c r="J325" s="396"/>
      <c r="K325" s="396"/>
      <c r="L325" s="39"/>
      <c r="M325" s="397"/>
      <c r="N325" s="398"/>
      <c r="O325" s="23"/>
      <c r="P325" s="110"/>
      <c r="R325" s="40"/>
      <c r="U325" s="384"/>
    </row>
    <row r="326" spans="2:22" ht="19.5" customHeight="1" thickBot="1" x14ac:dyDescent="0.55000000000000004">
      <c r="B326" s="149"/>
      <c r="C326" s="223"/>
      <c r="D326" s="151"/>
      <c r="E326" s="151"/>
      <c r="F326" s="150"/>
      <c r="G326" s="152"/>
      <c r="H326" s="239"/>
      <c r="I326" s="240"/>
      <c r="J326" s="240"/>
      <c r="K326" s="240"/>
      <c r="L326" s="155"/>
      <c r="M326" s="160"/>
      <c r="N326" s="272"/>
      <c r="O326" s="224"/>
      <c r="P326" s="399"/>
      <c r="Q326" s="157"/>
      <c r="R326" s="160"/>
      <c r="S326" s="161"/>
      <c r="T326" s="161"/>
      <c r="U326" s="161"/>
      <c r="V326" s="161"/>
    </row>
    <row r="327" spans="2:22" ht="11.25" customHeight="1" thickTop="1" x14ac:dyDescent="0.5">
      <c r="C327" s="144"/>
      <c r="D327" s="62"/>
      <c r="E327" s="62"/>
      <c r="G327" s="162"/>
      <c r="H327" s="243"/>
      <c r="I327" s="244"/>
      <c r="J327" s="244"/>
      <c r="K327" s="244"/>
      <c r="L327" s="39"/>
      <c r="N327" s="41"/>
      <c r="O327" s="23"/>
      <c r="P327" s="110"/>
    </row>
    <row r="328" spans="2:22" ht="18.600000000000001" customHeight="1" x14ac:dyDescent="0.5">
      <c r="B328" s="7" t="s">
        <v>4</v>
      </c>
      <c r="C328" s="144" t="s">
        <v>163</v>
      </c>
      <c r="D328" s="62"/>
      <c r="E328" s="62"/>
      <c r="G328" s="162"/>
      <c r="H328" s="243"/>
      <c r="I328" s="244">
        <v>46500</v>
      </c>
      <c r="J328" s="244"/>
      <c r="K328" s="244"/>
      <c r="L328" s="135">
        <f>SUM(H328:K328)</f>
        <v>46500</v>
      </c>
      <c r="N328" s="41"/>
      <c r="O328" s="23"/>
      <c r="P328" s="110"/>
    </row>
    <row r="329" spans="2:22" ht="19.5" customHeight="1" thickBot="1" x14ac:dyDescent="0.55000000000000004">
      <c r="B329" s="136"/>
      <c r="C329" s="265"/>
      <c r="D329" s="248"/>
      <c r="E329" s="248"/>
      <c r="F329" s="266"/>
      <c r="G329" s="267"/>
      <c r="H329" s="250"/>
      <c r="I329" s="251"/>
      <c r="J329" s="251"/>
      <c r="K329" s="251"/>
      <c r="L329" s="327"/>
      <c r="M329" s="268"/>
      <c r="N329" s="359"/>
      <c r="O329" s="343"/>
      <c r="P329" s="400"/>
      <c r="Q329" s="142"/>
      <c r="R329" s="268"/>
      <c r="S329" s="143"/>
      <c r="T329" s="143"/>
      <c r="U329" s="143"/>
      <c r="V329" s="143"/>
    </row>
    <row r="330" spans="2:22" ht="12" customHeight="1" thickTop="1" x14ac:dyDescent="0.5">
      <c r="C330" s="144"/>
      <c r="D330" s="62"/>
      <c r="E330" s="62"/>
      <c r="G330" s="162"/>
      <c r="H330" s="243"/>
      <c r="I330" s="244"/>
      <c r="J330" s="244"/>
      <c r="K330" s="244"/>
      <c r="L330" s="109"/>
      <c r="N330" s="41"/>
      <c r="O330" s="23"/>
      <c r="P330" s="110"/>
    </row>
    <row r="331" spans="2:22" ht="19.8" customHeight="1" x14ac:dyDescent="0.5">
      <c r="B331" s="7" t="s">
        <v>4</v>
      </c>
      <c r="C331" s="144" t="s">
        <v>164</v>
      </c>
      <c r="D331" s="62"/>
      <c r="E331" s="62"/>
      <c r="G331" s="162"/>
      <c r="H331" s="243"/>
      <c r="I331" s="244">
        <v>44500</v>
      </c>
      <c r="J331" s="244"/>
      <c r="K331" s="244"/>
      <c r="L331" s="109">
        <f>SUM(H331:K331)</f>
        <v>44500</v>
      </c>
      <c r="N331" s="41"/>
      <c r="O331" s="23"/>
      <c r="P331" s="110"/>
    </row>
    <row r="332" spans="2:22" ht="19.5" customHeight="1" thickBot="1" x14ac:dyDescent="0.55000000000000004">
      <c r="B332" s="149"/>
      <c r="C332" s="223"/>
      <c r="D332" s="151"/>
      <c r="E332" s="151"/>
      <c r="F332" s="150"/>
      <c r="G332" s="152"/>
      <c r="H332" s="239"/>
      <c r="I332" s="240"/>
      <c r="J332" s="240"/>
      <c r="K332" s="240"/>
      <c r="L332" s="155"/>
      <c r="M332" s="160"/>
      <c r="N332" s="272"/>
      <c r="O332" s="224"/>
      <c r="P332" s="399"/>
      <c r="Q332" s="157"/>
      <c r="R332" s="160"/>
      <c r="S332" s="161"/>
      <c r="T332" s="161"/>
      <c r="U332" s="161"/>
      <c r="V332" s="161"/>
    </row>
    <row r="333" spans="2:22" ht="12.75" customHeight="1" thickTop="1" x14ac:dyDescent="0.5">
      <c r="C333" s="144"/>
      <c r="D333" s="62"/>
      <c r="E333" s="62"/>
      <c r="G333" s="162"/>
      <c r="H333" s="243"/>
      <c r="I333" s="244"/>
      <c r="J333" s="244"/>
      <c r="K333" s="244"/>
      <c r="L333" s="39"/>
      <c r="N333" s="41"/>
      <c r="O333" s="23"/>
      <c r="P333" s="110"/>
    </row>
    <row r="334" spans="2:22" ht="22.2" customHeight="1" x14ac:dyDescent="0.4">
      <c r="B334" s="7" t="s">
        <v>4</v>
      </c>
      <c r="C334" s="144" t="s">
        <v>165</v>
      </c>
      <c r="D334" s="62"/>
      <c r="E334" s="62"/>
      <c r="F334" s="2">
        <v>71404863</v>
      </c>
      <c r="G334" s="162" t="s">
        <v>57</v>
      </c>
      <c r="H334" s="243"/>
      <c r="I334" s="244">
        <v>47500</v>
      </c>
      <c r="J334" s="244"/>
      <c r="K334" s="244"/>
      <c r="L334" s="135">
        <f>SUM(H334:K334)</f>
        <v>47500</v>
      </c>
      <c r="M334" s="40">
        <v>45903</v>
      </c>
      <c r="N334" s="41">
        <v>10000</v>
      </c>
      <c r="O334" s="23">
        <f>+N334</f>
        <v>10000</v>
      </c>
      <c r="P334" s="273" t="s">
        <v>126</v>
      </c>
    </row>
    <row r="335" spans="2:22" s="14" customFormat="1" ht="19.5" customHeight="1" thickBot="1" x14ac:dyDescent="0.5">
      <c r="B335" s="401"/>
      <c r="C335" s="402"/>
      <c r="D335" s="403"/>
      <c r="E335" s="403"/>
      <c r="F335" s="404"/>
      <c r="G335" s="404"/>
      <c r="H335" s="405"/>
      <c r="I335" s="406"/>
      <c r="J335" s="406"/>
      <c r="K335" s="406"/>
      <c r="L335" s="407"/>
      <c r="M335" s="408"/>
      <c r="N335" s="343"/>
      <c r="O335" s="409"/>
      <c r="P335" s="410"/>
      <c r="Q335" s="333"/>
      <c r="R335" s="411"/>
      <c r="S335" s="401"/>
      <c r="T335" s="401"/>
      <c r="U335" s="401"/>
      <c r="V335" s="401"/>
    </row>
    <row r="336" spans="2:22" ht="29.4" customHeight="1" thickTop="1" x14ac:dyDescent="0.5">
      <c r="B336" s="412" t="s">
        <v>162</v>
      </c>
      <c r="C336" s="413" t="s">
        <v>166</v>
      </c>
      <c r="D336" s="414"/>
      <c r="E336" s="414"/>
      <c r="F336" s="528" t="s">
        <v>333</v>
      </c>
      <c r="G336" s="415" t="s">
        <v>167</v>
      </c>
      <c r="H336" s="416"/>
      <c r="I336" s="417">
        <v>50500</v>
      </c>
      <c r="J336" s="417"/>
      <c r="K336" s="417"/>
      <c r="L336" s="418">
        <f>SUM(I336:K336)</f>
        <v>50500</v>
      </c>
      <c r="M336" s="419">
        <v>45824</v>
      </c>
      <c r="N336" s="420">
        <v>10000</v>
      </c>
      <c r="O336" s="573">
        <f>+N336+N337+N338</f>
        <v>16000</v>
      </c>
      <c r="P336" s="421"/>
      <c r="Q336" s="422" t="s">
        <v>168</v>
      </c>
      <c r="R336" s="423">
        <v>45885</v>
      </c>
    </row>
    <row r="337" spans="2:22" ht="29.4" customHeight="1" x14ac:dyDescent="0.5">
      <c r="C337" s="144"/>
      <c r="D337" s="62"/>
      <c r="E337" s="62"/>
      <c r="F337" s="291"/>
      <c r="G337" s="290"/>
      <c r="H337" s="243"/>
      <c r="I337" s="244"/>
      <c r="J337" s="244"/>
      <c r="K337" s="244"/>
      <c r="L337" s="39"/>
      <c r="M337" s="44">
        <v>45868</v>
      </c>
      <c r="N337" s="424">
        <v>3000</v>
      </c>
      <c r="O337" s="571"/>
      <c r="P337" s="202"/>
      <c r="Q337" s="5" t="s">
        <v>169</v>
      </c>
      <c r="R337" s="40">
        <v>45885</v>
      </c>
    </row>
    <row r="338" spans="2:22" ht="29.4" customHeight="1" x14ac:dyDescent="0.5">
      <c r="C338" s="144"/>
      <c r="D338" s="62"/>
      <c r="E338" s="62"/>
      <c r="F338" s="291"/>
      <c r="G338" s="290"/>
      <c r="H338" s="243"/>
      <c r="I338" s="244"/>
      <c r="J338" s="244"/>
      <c r="K338" s="244"/>
      <c r="L338" s="39"/>
      <c r="M338" s="44">
        <v>45901</v>
      </c>
      <c r="N338" s="424">
        <v>3000</v>
      </c>
      <c r="O338" s="571"/>
      <c r="P338" s="202"/>
      <c r="Q338" s="5" t="s">
        <v>170</v>
      </c>
      <c r="R338" s="40">
        <v>45915</v>
      </c>
    </row>
    <row r="339" spans="2:22" ht="29.4" customHeight="1" x14ac:dyDescent="0.5">
      <c r="C339" s="144"/>
      <c r="D339" s="62"/>
      <c r="E339" s="62"/>
      <c r="F339" s="291"/>
      <c r="G339" s="290"/>
      <c r="H339" s="243"/>
      <c r="I339" s="244"/>
      <c r="J339" s="244"/>
      <c r="K339" s="244"/>
      <c r="L339" s="39"/>
      <c r="M339" s="44">
        <v>45931</v>
      </c>
      <c r="N339" s="424">
        <v>3000</v>
      </c>
      <c r="O339" s="425">
        <f>+O336+N339</f>
        <v>19000</v>
      </c>
      <c r="Q339" s="5" t="s">
        <v>171</v>
      </c>
    </row>
    <row r="340" spans="2:22" ht="29.4" customHeight="1" x14ac:dyDescent="0.5">
      <c r="C340" s="144"/>
      <c r="D340" s="62"/>
      <c r="E340" s="62"/>
      <c r="F340" s="291"/>
      <c r="G340" s="290"/>
      <c r="H340" s="243"/>
      <c r="I340" s="244"/>
      <c r="J340" s="244"/>
      <c r="K340" s="244"/>
      <c r="L340" s="39"/>
      <c r="M340" s="426">
        <v>45959</v>
      </c>
      <c r="N340" s="41">
        <v>3000</v>
      </c>
      <c r="O340" s="425">
        <f>+O339+N340</f>
        <v>22000</v>
      </c>
      <c r="Q340" s="5" t="s">
        <v>172</v>
      </c>
    </row>
    <row r="341" spans="2:22" ht="29.4" customHeight="1" thickBot="1" x14ac:dyDescent="0.55000000000000004">
      <c r="B341" s="83"/>
      <c r="C341" s="276"/>
      <c r="D341" s="277"/>
      <c r="E341" s="277"/>
      <c r="F341" s="427"/>
      <c r="G341" s="428"/>
      <c r="H341" s="280"/>
      <c r="I341" s="281"/>
      <c r="J341" s="281"/>
      <c r="K341" s="281"/>
      <c r="L341" s="282"/>
      <c r="M341" s="283"/>
      <c r="N341" s="94"/>
      <c r="O341" s="284"/>
      <c r="P341" s="289"/>
      <c r="Q341" s="94"/>
      <c r="R341" s="283"/>
      <c r="S341" s="95"/>
      <c r="T341" s="95"/>
      <c r="U341" s="95"/>
      <c r="V341" s="95"/>
    </row>
    <row r="342" spans="2:22" ht="9.75" customHeight="1" thickTop="1" x14ac:dyDescent="0.5">
      <c r="C342" s="144"/>
      <c r="D342" s="62"/>
      <c r="E342" s="62"/>
      <c r="G342" s="162"/>
      <c r="H342" s="243"/>
      <c r="I342" s="244"/>
      <c r="J342" s="244"/>
      <c r="K342" s="244"/>
      <c r="L342" s="39"/>
    </row>
    <row r="343" spans="2:22" ht="19.5" customHeight="1" x14ac:dyDescent="0.5">
      <c r="B343" s="7" t="s">
        <v>162</v>
      </c>
      <c r="C343" s="203" t="s">
        <v>173</v>
      </c>
      <c r="D343" s="62"/>
      <c r="E343" s="62"/>
      <c r="F343" s="291">
        <v>23951642</v>
      </c>
      <c r="G343" s="290" t="s">
        <v>60</v>
      </c>
      <c r="H343" s="245"/>
      <c r="I343" s="246">
        <v>50500</v>
      </c>
      <c r="J343" s="246"/>
      <c r="K343" s="246"/>
      <c r="L343" s="135">
        <f>SUM(I343:K343)</f>
        <v>50500</v>
      </c>
      <c r="M343" s="40">
        <v>45849</v>
      </c>
      <c r="N343" s="41">
        <v>3000</v>
      </c>
      <c r="O343" s="574">
        <f>+N343+N344</f>
        <v>8000</v>
      </c>
      <c r="P343" s="202"/>
      <c r="Q343" s="5" t="s">
        <v>174</v>
      </c>
      <c r="R343" s="40">
        <v>45859</v>
      </c>
    </row>
    <row r="344" spans="2:22" ht="19.5" customHeight="1" x14ac:dyDescent="0.5">
      <c r="C344" s="203"/>
      <c r="D344" s="62"/>
      <c r="E344" s="62"/>
      <c r="F344" s="291"/>
      <c r="G344" s="290"/>
      <c r="H344" s="245"/>
      <c r="I344" s="246"/>
      <c r="J344" s="246"/>
      <c r="K344" s="246"/>
      <c r="L344" s="39"/>
      <c r="M344" s="40">
        <v>45853</v>
      </c>
      <c r="N344" s="41">
        <v>5000</v>
      </c>
      <c r="O344" s="574"/>
      <c r="P344" s="202"/>
      <c r="Q344" s="5" t="s">
        <v>175</v>
      </c>
      <c r="R344" s="40">
        <v>45859</v>
      </c>
    </row>
    <row r="345" spans="2:22" ht="19.5" customHeight="1" x14ac:dyDescent="0.5">
      <c r="C345" s="203"/>
      <c r="D345" s="62"/>
      <c r="E345" s="62"/>
      <c r="F345" s="112"/>
      <c r="G345" s="112"/>
      <c r="H345" s="245"/>
      <c r="I345" s="246"/>
      <c r="J345" s="246"/>
      <c r="K345" s="246"/>
      <c r="L345" s="39"/>
      <c r="M345" s="40"/>
    </row>
    <row r="346" spans="2:22" ht="19.5" customHeight="1" thickBot="1" x14ac:dyDescent="0.55000000000000004">
      <c r="B346" s="191"/>
      <c r="C346" s="300"/>
      <c r="D346" s="301"/>
      <c r="E346" s="301"/>
      <c r="F346" s="193"/>
      <c r="G346" s="193"/>
      <c r="H346" s="303"/>
      <c r="I346" s="304"/>
      <c r="J346" s="304"/>
      <c r="K346" s="304"/>
      <c r="L346" s="429"/>
      <c r="M346" s="196"/>
      <c r="N346" s="198"/>
      <c r="O346" s="194"/>
      <c r="P346" s="326"/>
      <c r="Q346" s="198"/>
      <c r="R346" s="325"/>
      <c r="S346" s="195"/>
      <c r="T346" s="195"/>
      <c r="U346" s="195"/>
      <c r="V346" s="195"/>
    </row>
    <row r="347" spans="2:22" ht="19.5" customHeight="1" thickTop="1" x14ac:dyDescent="0.5">
      <c r="C347" s="203"/>
      <c r="D347" s="62"/>
      <c r="E347" s="62"/>
      <c r="F347" s="112"/>
      <c r="G347" s="112"/>
      <c r="H347" s="245"/>
      <c r="I347" s="246"/>
      <c r="J347" s="246"/>
      <c r="K347" s="246"/>
      <c r="L347" s="39"/>
      <c r="M347" s="40"/>
    </row>
    <row r="348" spans="2:22" ht="22.95" customHeight="1" x14ac:dyDescent="0.5">
      <c r="B348" s="7" t="s">
        <v>162</v>
      </c>
      <c r="C348" s="144" t="s">
        <v>176</v>
      </c>
      <c r="D348" s="62"/>
      <c r="E348" s="62"/>
      <c r="G348" s="162"/>
      <c r="H348" s="243"/>
      <c r="I348" s="244">
        <v>46000</v>
      </c>
      <c r="J348" s="244"/>
      <c r="K348" s="244"/>
      <c r="L348" s="135">
        <f>SUM(I348:K348)</f>
        <v>46000</v>
      </c>
    </row>
    <row r="349" spans="2:22" ht="19.5" customHeight="1" thickBot="1" x14ac:dyDescent="0.55000000000000004">
      <c r="B349" s="149"/>
      <c r="C349" s="223"/>
      <c r="D349" s="151"/>
      <c r="E349" s="151"/>
      <c r="F349" s="150"/>
      <c r="G349" s="152"/>
      <c r="H349" s="239"/>
      <c r="I349" s="240"/>
      <c r="J349" s="240"/>
      <c r="K349" s="240"/>
      <c r="L349" s="155"/>
      <c r="M349" s="160"/>
      <c r="N349" s="157"/>
      <c r="O349" s="241"/>
      <c r="P349" s="159"/>
      <c r="Q349" s="157"/>
      <c r="R349" s="160"/>
      <c r="S349" s="161"/>
      <c r="T349" s="161"/>
      <c r="U349" s="161"/>
      <c r="V349" s="161"/>
    </row>
    <row r="350" spans="2:22" ht="9.75" customHeight="1" thickTop="1" x14ac:dyDescent="0.5">
      <c r="C350" s="144"/>
      <c r="D350" s="62"/>
      <c r="E350" s="62"/>
      <c r="G350" s="162"/>
      <c r="H350" s="243"/>
      <c r="I350" s="244"/>
      <c r="J350" s="244"/>
      <c r="K350" s="244"/>
      <c r="L350" s="39"/>
    </row>
    <row r="351" spans="2:22" ht="21" customHeight="1" x14ac:dyDescent="0.5">
      <c r="B351" s="7" t="s">
        <v>162</v>
      </c>
      <c r="C351" s="144" t="s">
        <v>177</v>
      </c>
      <c r="D351" s="62"/>
      <c r="E351" s="62"/>
      <c r="G351" s="162"/>
      <c r="H351" s="243"/>
      <c r="I351" s="244">
        <v>50500</v>
      </c>
      <c r="J351" s="244"/>
      <c r="K351" s="244"/>
      <c r="L351" s="135">
        <f>SUM(I351:K351)</f>
        <v>50500</v>
      </c>
    </row>
    <row r="352" spans="2:22" ht="19.5" customHeight="1" thickBot="1" x14ac:dyDescent="0.55000000000000004">
      <c r="B352" s="136"/>
      <c r="C352" s="265"/>
      <c r="D352" s="248"/>
      <c r="E352" s="248"/>
      <c r="F352" s="266"/>
      <c r="G352" s="267"/>
      <c r="H352" s="250"/>
      <c r="I352" s="251"/>
      <c r="J352" s="251"/>
      <c r="K352" s="251"/>
      <c r="L352" s="139"/>
      <c r="M352" s="268"/>
      <c r="N352" s="142"/>
      <c r="O352" s="333"/>
      <c r="P352" s="334"/>
      <c r="Q352" s="142"/>
      <c r="R352" s="268"/>
      <c r="S352" s="143"/>
      <c r="T352" s="143"/>
      <c r="U352" s="143"/>
      <c r="V352" s="143"/>
    </row>
    <row r="353" spans="2:22" ht="15.6" customHeight="1" thickTop="1" x14ac:dyDescent="0.5">
      <c r="C353" s="144"/>
      <c r="D353" s="62"/>
      <c r="E353" s="62"/>
      <c r="G353" s="162"/>
      <c r="H353" s="243"/>
      <c r="I353" s="244"/>
      <c r="J353" s="244"/>
      <c r="K353" s="244"/>
      <c r="L353" s="39"/>
    </row>
    <row r="354" spans="2:22" ht="15.6" customHeight="1" x14ac:dyDescent="0.4">
      <c r="B354" s="7" t="s">
        <v>162</v>
      </c>
      <c r="C354" s="203" t="s">
        <v>178</v>
      </c>
      <c r="D354" s="62"/>
      <c r="E354" s="62"/>
      <c r="G354" s="162" t="s">
        <v>179</v>
      </c>
      <c r="H354" s="243"/>
      <c r="I354" s="244">
        <v>51500</v>
      </c>
      <c r="J354" s="244"/>
      <c r="K354" s="244"/>
      <c r="L354" s="109">
        <v>51500</v>
      </c>
      <c r="M354" s="40">
        <v>45871</v>
      </c>
      <c r="N354" s="41">
        <v>5000</v>
      </c>
      <c r="O354" s="41">
        <v>5000</v>
      </c>
      <c r="P354" s="430" t="s">
        <v>126</v>
      </c>
      <c r="Q354" s="275" t="s">
        <v>180</v>
      </c>
    </row>
    <row r="355" spans="2:22" ht="15.6" customHeight="1" x14ac:dyDescent="0.4">
      <c r="C355" s="144"/>
      <c r="D355" s="62"/>
      <c r="E355" s="62"/>
      <c r="G355" s="162"/>
      <c r="H355" s="243"/>
      <c r="I355" s="244"/>
      <c r="J355" s="244"/>
      <c r="K355" s="244"/>
      <c r="L355" s="109"/>
      <c r="M355" s="40">
        <v>45996</v>
      </c>
      <c r="N355" s="41">
        <v>3000</v>
      </c>
      <c r="O355" s="23">
        <f>O354+N355</f>
        <v>8000</v>
      </c>
      <c r="P355" s="431" t="s">
        <v>181</v>
      </c>
      <c r="Q355" s="5" t="s">
        <v>182</v>
      </c>
    </row>
    <row r="356" spans="2:22" ht="15.6" customHeight="1" x14ac:dyDescent="0.4">
      <c r="C356" s="144"/>
      <c r="D356" s="62"/>
      <c r="E356" s="62"/>
      <c r="G356" s="162"/>
      <c r="H356" s="243"/>
      <c r="I356" s="244"/>
      <c r="J356" s="244"/>
      <c r="K356" s="244"/>
      <c r="L356" s="39"/>
      <c r="P356" s="432"/>
    </row>
    <row r="357" spans="2:22" ht="15.6" customHeight="1" thickBot="1" x14ac:dyDescent="0.55000000000000004">
      <c r="B357" s="149"/>
      <c r="C357" s="223"/>
      <c r="D357" s="151"/>
      <c r="E357" s="151"/>
      <c r="F357" s="150"/>
      <c r="G357" s="152"/>
      <c r="H357" s="239"/>
      <c r="I357" s="240"/>
      <c r="J357" s="240"/>
      <c r="K357" s="240"/>
      <c r="L357" s="155"/>
      <c r="M357" s="160"/>
      <c r="N357" s="157"/>
      <c r="O357" s="241"/>
      <c r="P357" s="159"/>
      <c r="Q357" s="157"/>
      <c r="R357" s="160"/>
      <c r="S357" s="161"/>
      <c r="T357" s="161"/>
      <c r="U357" s="161"/>
      <c r="V357" s="161"/>
    </row>
    <row r="358" spans="2:22" ht="9.75" customHeight="1" thickTop="1" x14ac:dyDescent="0.5">
      <c r="C358" s="144"/>
      <c r="D358" s="62"/>
      <c r="E358" s="62"/>
      <c r="G358" s="162"/>
      <c r="H358" s="243"/>
      <c r="I358" s="244"/>
      <c r="J358" s="244"/>
      <c r="K358" s="244"/>
      <c r="L358" s="39"/>
    </row>
    <row r="359" spans="2:22" ht="18" customHeight="1" x14ac:dyDescent="0.4">
      <c r="B359" s="7" t="s">
        <v>162</v>
      </c>
      <c r="C359" s="144" t="s">
        <v>183</v>
      </c>
      <c r="D359" s="62"/>
      <c r="E359" s="62"/>
      <c r="F359" s="2">
        <v>40910651</v>
      </c>
      <c r="G359" s="162" t="s">
        <v>283</v>
      </c>
      <c r="H359" s="243"/>
      <c r="I359" s="244">
        <v>50000</v>
      </c>
      <c r="J359" s="244"/>
      <c r="K359" s="244"/>
      <c r="L359" s="135">
        <f>SUM(I359:K359)</f>
        <v>50000</v>
      </c>
      <c r="M359" s="40">
        <v>46098</v>
      </c>
      <c r="N359" s="501">
        <v>3000</v>
      </c>
      <c r="O359" s="293">
        <f>+N359</f>
        <v>3000</v>
      </c>
      <c r="P359" s="275" t="s">
        <v>126</v>
      </c>
    </row>
    <row r="360" spans="2:22" ht="19.5" customHeight="1" thickBot="1" x14ac:dyDescent="0.55000000000000004">
      <c r="B360" s="136"/>
      <c r="C360" s="265"/>
      <c r="D360" s="248"/>
      <c r="E360" s="248"/>
      <c r="F360" s="266"/>
      <c r="G360" s="267"/>
      <c r="H360" s="250"/>
      <c r="I360" s="251"/>
      <c r="J360" s="251"/>
      <c r="K360" s="251"/>
      <c r="L360" s="139"/>
      <c r="M360" s="268"/>
      <c r="N360" s="142"/>
      <c r="O360" s="333"/>
      <c r="P360" s="334"/>
      <c r="Q360" s="142"/>
      <c r="R360" s="268"/>
      <c r="S360" s="143"/>
      <c r="T360" s="143"/>
      <c r="U360" s="143"/>
      <c r="V360" s="143"/>
    </row>
    <row r="361" spans="2:22" ht="12" customHeight="1" thickTop="1" x14ac:dyDescent="0.5">
      <c r="C361" s="144"/>
      <c r="D361" s="62"/>
      <c r="E361" s="62"/>
      <c r="G361" s="162"/>
      <c r="H361" s="243"/>
      <c r="I361" s="244"/>
      <c r="J361" s="244"/>
      <c r="K361" s="244"/>
      <c r="L361" s="39"/>
    </row>
    <row r="362" spans="2:22" ht="21.6" customHeight="1" x14ac:dyDescent="0.5">
      <c r="B362" s="7" t="s">
        <v>184</v>
      </c>
      <c r="C362" s="203" t="s">
        <v>185</v>
      </c>
      <c r="D362" s="62"/>
      <c r="E362" s="62"/>
      <c r="G362" s="162" t="s">
        <v>114</v>
      </c>
      <c r="H362" s="243"/>
      <c r="I362" s="244"/>
      <c r="J362" s="244"/>
      <c r="K362" s="244">
        <v>52500</v>
      </c>
      <c r="L362" s="135">
        <f>SUM(H362:K362)</f>
        <v>52500</v>
      </c>
    </row>
    <row r="363" spans="2:22" ht="19.5" customHeight="1" thickBot="1" x14ac:dyDescent="0.55000000000000004">
      <c r="B363" s="136"/>
      <c r="C363" s="265"/>
      <c r="D363" s="248"/>
      <c r="E363" s="248"/>
      <c r="F363" s="266"/>
      <c r="G363" s="267"/>
      <c r="H363" s="250"/>
      <c r="I363" s="251"/>
      <c r="J363" s="251"/>
      <c r="K363" s="251"/>
      <c r="L363" s="139"/>
      <c r="M363" s="268"/>
      <c r="N363" s="142"/>
      <c r="O363" s="333"/>
      <c r="P363" s="334"/>
      <c r="Q363" s="142"/>
      <c r="R363" s="268"/>
      <c r="S363" s="143"/>
      <c r="T363" s="143"/>
      <c r="U363" s="143"/>
      <c r="V363" s="143"/>
    </row>
    <row r="364" spans="2:22" ht="10.5" customHeight="1" thickTop="1" x14ac:dyDescent="0.5">
      <c r="C364" s="144"/>
      <c r="D364" s="62"/>
      <c r="E364" s="62"/>
      <c r="G364" s="162"/>
      <c r="H364" s="243"/>
      <c r="I364" s="244"/>
      <c r="J364" s="244"/>
      <c r="K364" s="244"/>
      <c r="L364" s="39"/>
    </row>
    <row r="365" spans="2:22" ht="20.399999999999999" customHeight="1" x14ac:dyDescent="0.5">
      <c r="B365" s="7" t="s">
        <v>184</v>
      </c>
      <c r="C365" s="144" t="s">
        <v>186</v>
      </c>
      <c r="D365" s="62"/>
      <c r="E365" s="62"/>
      <c r="G365" s="162"/>
      <c r="H365" s="243"/>
      <c r="I365" s="244"/>
      <c r="J365" s="244"/>
      <c r="K365" s="244">
        <v>50500</v>
      </c>
      <c r="L365" s="135">
        <f>SUM(H365:K365)</f>
        <v>50500</v>
      </c>
    </row>
    <row r="366" spans="2:22" ht="19.5" customHeight="1" thickBot="1" x14ac:dyDescent="0.55000000000000004">
      <c r="B366" s="149"/>
      <c r="C366" s="223"/>
      <c r="D366" s="151"/>
      <c r="E366" s="151"/>
      <c r="F366" s="150"/>
      <c r="G366" s="152"/>
      <c r="H366" s="239"/>
      <c r="I366" s="240"/>
      <c r="J366" s="240"/>
      <c r="K366" s="240"/>
      <c r="L366" s="155"/>
      <c r="M366" s="160"/>
      <c r="N366" s="157"/>
      <c r="O366" s="241"/>
      <c r="P366" s="159"/>
      <c r="Q366" s="157"/>
      <c r="R366" s="160"/>
      <c r="S366" s="161"/>
      <c r="T366" s="161"/>
      <c r="U366" s="161"/>
      <c r="V366" s="161"/>
    </row>
    <row r="367" spans="2:22" ht="12" customHeight="1" thickTop="1" x14ac:dyDescent="0.5">
      <c r="C367" s="144"/>
      <c r="D367" s="62"/>
      <c r="E367" s="62"/>
      <c r="G367" s="162"/>
      <c r="H367" s="243"/>
      <c r="I367" s="244"/>
      <c r="J367" s="244"/>
      <c r="K367" s="244"/>
      <c r="L367" s="39"/>
    </row>
    <row r="368" spans="2:22" ht="20.399999999999999" customHeight="1" x14ac:dyDescent="0.5">
      <c r="B368" s="7" t="s">
        <v>184</v>
      </c>
      <c r="C368" s="144" t="s">
        <v>187</v>
      </c>
      <c r="D368" s="62"/>
      <c r="E368" s="62"/>
      <c r="G368" s="162"/>
      <c r="H368" s="243"/>
      <c r="I368" s="244"/>
      <c r="J368" s="244"/>
      <c r="K368" s="244">
        <v>70500</v>
      </c>
      <c r="L368" s="135">
        <f>SUM(H368:K368)</f>
        <v>70500</v>
      </c>
    </row>
    <row r="369" spans="2:22" ht="19.5" customHeight="1" thickBot="1" x14ac:dyDescent="0.55000000000000004">
      <c r="B369" s="136"/>
      <c r="C369" s="265"/>
      <c r="D369" s="248"/>
      <c r="E369" s="248"/>
      <c r="F369" s="266"/>
      <c r="G369" s="267"/>
      <c r="H369" s="250"/>
      <c r="I369" s="251"/>
      <c r="J369" s="251"/>
      <c r="K369" s="251"/>
      <c r="L369" s="139"/>
      <c r="M369" s="268"/>
      <c r="N369" s="142"/>
      <c r="O369" s="333"/>
      <c r="P369" s="334"/>
      <c r="Q369" s="142"/>
      <c r="R369" s="268"/>
      <c r="S369" s="143"/>
      <c r="T369" s="143"/>
      <c r="U369" s="143"/>
      <c r="V369" s="143"/>
    </row>
    <row r="370" spans="2:22" ht="11.25" customHeight="1" thickTop="1" x14ac:dyDescent="0.5">
      <c r="C370" s="144"/>
      <c r="D370" s="62"/>
      <c r="E370" s="62"/>
      <c r="G370" s="162"/>
      <c r="H370" s="243"/>
      <c r="I370" s="244"/>
      <c r="J370" s="244"/>
      <c r="K370" s="244"/>
      <c r="L370" s="39"/>
    </row>
    <row r="371" spans="2:22" ht="19.5" customHeight="1" x14ac:dyDescent="0.5">
      <c r="B371" s="7" t="s">
        <v>184</v>
      </c>
      <c r="C371" s="144" t="s">
        <v>188</v>
      </c>
      <c r="D371" s="62"/>
      <c r="E371" s="62"/>
      <c r="F371" s="112">
        <v>40065933</v>
      </c>
      <c r="G371" s="112" t="s">
        <v>127</v>
      </c>
      <c r="H371" s="245"/>
      <c r="I371" s="246"/>
      <c r="J371" s="246"/>
      <c r="K371" s="246">
        <v>52000</v>
      </c>
      <c r="L371" s="135">
        <f>SUM(K371)</f>
        <v>52000</v>
      </c>
      <c r="M371" s="40">
        <v>45813</v>
      </c>
      <c r="N371" s="114">
        <v>2000</v>
      </c>
      <c r="O371" s="575">
        <f>+N371+N372+N373</f>
        <v>18500</v>
      </c>
      <c r="P371" s="202"/>
      <c r="Q371" s="5" t="s">
        <v>189</v>
      </c>
      <c r="R371" s="40">
        <v>45821</v>
      </c>
    </row>
    <row r="372" spans="2:22" ht="19.5" customHeight="1" x14ac:dyDescent="0.5">
      <c r="C372" s="144"/>
      <c r="D372" s="62"/>
      <c r="E372" s="62"/>
      <c r="F372" s="112"/>
      <c r="G372" s="112"/>
      <c r="H372" s="245"/>
      <c r="I372" s="246"/>
      <c r="J372" s="246"/>
      <c r="K372" s="246"/>
      <c r="L372" s="39"/>
      <c r="M372" s="40">
        <v>45813</v>
      </c>
      <c r="N372" s="114">
        <v>8000</v>
      </c>
      <c r="O372" s="575"/>
      <c r="P372" s="202"/>
      <c r="Q372" s="5" t="s">
        <v>190</v>
      </c>
      <c r="R372" s="40">
        <v>45821</v>
      </c>
    </row>
    <row r="373" spans="2:22" ht="19.5" customHeight="1" x14ac:dyDescent="0.5">
      <c r="C373" s="144"/>
      <c r="D373" s="62"/>
      <c r="E373" s="62"/>
      <c r="F373" s="112"/>
      <c r="G373" s="112"/>
      <c r="H373" s="245"/>
      <c r="I373" s="246"/>
      <c r="J373" s="246"/>
      <c r="K373" s="246"/>
      <c r="L373" s="39"/>
      <c r="M373" s="40">
        <v>45886</v>
      </c>
      <c r="N373" s="41">
        <v>8500</v>
      </c>
      <c r="O373" s="575"/>
      <c r="P373" s="202"/>
      <c r="Q373" s="5" t="s">
        <v>191</v>
      </c>
      <c r="R373" s="40">
        <v>45885</v>
      </c>
    </row>
    <row r="374" spans="2:22" ht="19.5" customHeight="1" x14ac:dyDescent="0.5">
      <c r="C374" s="144"/>
      <c r="D374" s="62"/>
      <c r="E374" s="62"/>
      <c r="F374" s="112"/>
      <c r="G374" s="112"/>
      <c r="H374" s="245"/>
      <c r="I374" s="246"/>
      <c r="J374" s="246"/>
      <c r="K374" s="246"/>
      <c r="L374" s="39"/>
      <c r="M374" s="40">
        <v>45943</v>
      </c>
      <c r="N374" s="41">
        <v>1350</v>
      </c>
      <c r="O374" s="293">
        <f>+O371+N374</f>
        <v>19850</v>
      </c>
      <c r="Q374" s="5" t="s">
        <v>192</v>
      </c>
      <c r="R374" s="40"/>
    </row>
    <row r="375" spans="2:22" ht="19.5" customHeight="1" x14ac:dyDescent="0.5">
      <c r="C375" s="144"/>
      <c r="D375" s="62"/>
      <c r="E375" s="62"/>
      <c r="F375" s="112"/>
      <c r="G375" s="112"/>
      <c r="H375" s="245"/>
      <c r="I375" s="246"/>
      <c r="J375" s="246"/>
      <c r="K375" s="246"/>
      <c r="L375" s="39"/>
      <c r="M375" s="40">
        <v>45967</v>
      </c>
      <c r="N375" s="41">
        <v>1350</v>
      </c>
      <c r="O375" s="293">
        <f>+O374+N375</f>
        <v>21200</v>
      </c>
      <c r="Q375" s="5" t="s">
        <v>193</v>
      </c>
      <c r="R375" s="40"/>
    </row>
    <row r="376" spans="2:22" ht="19.5" customHeight="1" x14ac:dyDescent="0.5">
      <c r="C376" s="144"/>
      <c r="D376" s="62"/>
      <c r="E376" s="62"/>
      <c r="F376" s="112"/>
      <c r="G376" s="112"/>
      <c r="H376" s="245"/>
      <c r="I376" s="246"/>
      <c r="J376" s="246"/>
      <c r="K376" s="246"/>
      <c r="L376" s="39"/>
      <c r="M376" s="40">
        <v>46007</v>
      </c>
      <c r="N376" s="41">
        <v>1350</v>
      </c>
      <c r="O376" s="293">
        <f>+O375+N376</f>
        <v>22550</v>
      </c>
      <c r="Q376" s="5" t="s">
        <v>194</v>
      </c>
      <c r="R376" s="40"/>
    </row>
    <row r="377" spans="2:22" ht="19.5" customHeight="1" x14ac:dyDescent="0.5">
      <c r="C377" s="144"/>
      <c r="D377" s="62"/>
      <c r="E377" s="62"/>
      <c r="F377" s="112"/>
      <c r="G377" s="112"/>
      <c r="H377" s="245"/>
      <c r="I377" s="246"/>
      <c r="J377" s="246"/>
      <c r="K377" s="246"/>
      <c r="L377" s="39"/>
      <c r="M377" s="40"/>
      <c r="N377" s="41"/>
      <c r="O377" s="293"/>
      <c r="R377" s="40"/>
    </row>
    <row r="378" spans="2:22" ht="19.5" customHeight="1" thickBot="1" x14ac:dyDescent="0.55000000000000004">
      <c r="B378" s="83"/>
      <c r="C378" s="276"/>
      <c r="D378" s="277"/>
      <c r="E378" s="277"/>
      <c r="F378" s="348"/>
      <c r="G378" s="348"/>
      <c r="H378" s="433"/>
      <c r="I378" s="434"/>
      <c r="J378" s="434"/>
      <c r="K378" s="434"/>
      <c r="L378" s="282"/>
      <c r="M378" s="91"/>
      <c r="N378" s="92"/>
      <c r="O378" s="435"/>
      <c r="P378" s="289"/>
      <c r="Q378" s="94"/>
      <c r="R378" s="91"/>
      <c r="S378" s="95"/>
      <c r="T378" s="95"/>
      <c r="U378" s="95"/>
      <c r="V378" s="95"/>
    </row>
    <row r="379" spans="2:22" s="436" customFormat="1" ht="30" customHeight="1" thickTop="1" x14ac:dyDescent="0.4">
      <c r="B379" s="436" t="s">
        <v>184</v>
      </c>
      <c r="C379" s="529" t="s">
        <v>195</v>
      </c>
      <c r="D379" s="437"/>
      <c r="E379" s="437"/>
      <c r="F379" s="438" t="s">
        <v>196</v>
      </c>
      <c r="G379" s="438" t="s">
        <v>32</v>
      </c>
      <c r="H379" s="439"/>
      <c r="J379" s="440"/>
      <c r="K379" s="441">
        <v>66300</v>
      </c>
      <c r="L379" s="135">
        <f>SUM(H379:K379)</f>
        <v>66300</v>
      </c>
      <c r="M379" s="442">
        <v>45824</v>
      </c>
      <c r="N379" s="443">
        <v>10000</v>
      </c>
      <c r="O379" s="576">
        <f>+N379+N380+N381+N382+N383</f>
        <v>31112.5</v>
      </c>
      <c r="P379" s="444"/>
      <c r="Q379" s="445" t="s">
        <v>197</v>
      </c>
      <c r="R379" s="442" t="s">
        <v>198</v>
      </c>
    </row>
    <row r="380" spans="2:22" s="446" customFormat="1" ht="30" customHeight="1" x14ac:dyDescent="0.3">
      <c r="B380" s="447"/>
      <c r="C380" s="530"/>
      <c r="D380" s="449"/>
      <c r="E380" s="449"/>
      <c r="F380" s="450"/>
      <c r="G380" s="438"/>
      <c r="H380" s="451"/>
      <c r="I380" s="452"/>
      <c r="J380" s="452"/>
      <c r="K380" s="452"/>
      <c r="M380" s="453">
        <v>45862</v>
      </c>
      <c r="N380" s="454">
        <v>7037.5</v>
      </c>
      <c r="O380" s="577"/>
      <c r="P380" s="455"/>
      <c r="Q380" s="456" t="s">
        <v>199</v>
      </c>
      <c r="R380" s="453">
        <v>45885</v>
      </c>
    </row>
    <row r="381" spans="2:22" s="446" customFormat="1" ht="30" customHeight="1" x14ac:dyDescent="0.3">
      <c r="B381" s="447"/>
      <c r="C381" s="530"/>
      <c r="D381" s="449"/>
      <c r="E381" s="449"/>
      <c r="F381" s="450"/>
      <c r="G381" s="438"/>
      <c r="H381" s="451"/>
      <c r="I381" s="452"/>
      <c r="J381" s="452"/>
      <c r="K381" s="452"/>
      <c r="L381" s="457"/>
      <c r="M381" s="453">
        <v>45888</v>
      </c>
      <c r="N381" s="454">
        <v>7037.5</v>
      </c>
      <c r="O381" s="577"/>
      <c r="P381" s="455"/>
      <c r="Q381" s="456" t="s">
        <v>200</v>
      </c>
      <c r="R381" s="453">
        <v>45903</v>
      </c>
    </row>
    <row r="382" spans="2:22" s="446" customFormat="1" ht="30" customHeight="1" x14ac:dyDescent="0.3">
      <c r="B382" s="447"/>
      <c r="C382" s="530"/>
      <c r="D382" s="449"/>
      <c r="E382" s="449"/>
      <c r="F382" s="450"/>
      <c r="G382" s="438"/>
      <c r="H382" s="458"/>
      <c r="I382" s="459"/>
      <c r="J382" s="459"/>
      <c r="K382" s="459"/>
      <c r="L382" s="457"/>
      <c r="M382" s="453">
        <v>45929</v>
      </c>
      <c r="N382" s="454">
        <v>1037.5</v>
      </c>
      <c r="O382" s="577"/>
      <c r="P382" s="455"/>
      <c r="Q382" s="456" t="s">
        <v>201</v>
      </c>
      <c r="R382" s="453">
        <v>45936</v>
      </c>
    </row>
    <row r="383" spans="2:22" s="446" customFormat="1" ht="30" customHeight="1" x14ac:dyDescent="0.3">
      <c r="B383" s="447"/>
      <c r="C383" s="530"/>
      <c r="D383" s="449"/>
      <c r="E383" s="449"/>
      <c r="F383" s="450"/>
      <c r="G383" s="438"/>
      <c r="H383" s="458"/>
      <c r="I383" s="459"/>
      <c r="J383" s="459"/>
      <c r="K383" s="459"/>
      <c r="L383" s="457"/>
      <c r="M383" s="453">
        <v>45929</v>
      </c>
      <c r="N383" s="454">
        <v>6000</v>
      </c>
      <c r="O383" s="577"/>
      <c r="P383" s="455"/>
      <c r="Q383" s="456" t="s">
        <v>201</v>
      </c>
      <c r="R383" s="453">
        <v>45936</v>
      </c>
    </row>
    <row r="384" spans="2:22" s="446" customFormat="1" ht="30" customHeight="1" x14ac:dyDescent="0.3">
      <c r="B384" s="447"/>
      <c r="C384" s="530"/>
      <c r="D384" s="449"/>
      <c r="E384" s="449"/>
      <c r="F384" s="450"/>
      <c r="G384" s="438"/>
      <c r="H384" s="458"/>
      <c r="I384" s="459"/>
      <c r="J384" s="459"/>
      <c r="K384" s="459"/>
      <c r="L384" s="457"/>
      <c r="M384" s="453">
        <v>45957</v>
      </c>
      <c r="N384" s="454">
        <v>7037.5</v>
      </c>
      <c r="O384" s="460">
        <f>+O379+N384</f>
        <v>38150</v>
      </c>
      <c r="P384" s="461"/>
      <c r="Q384" s="456" t="s">
        <v>202</v>
      </c>
      <c r="R384" s="462"/>
    </row>
    <row r="385" spans="2:22" s="446" customFormat="1" ht="30" customHeight="1" x14ac:dyDescent="0.3">
      <c r="B385" s="447"/>
      <c r="C385" s="530"/>
      <c r="D385" s="449"/>
      <c r="E385" s="449"/>
      <c r="F385" s="450"/>
      <c r="G385" s="438"/>
      <c r="H385" s="458"/>
      <c r="I385" s="459"/>
      <c r="J385" s="459"/>
      <c r="K385" s="459"/>
      <c r="L385" s="457"/>
      <c r="M385" s="453">
        <v>45986</v>
      </c>
      <c r="N385" s="454">
        <v>7037.5</v>
      </c>
      <c r="O385" s="463">
        <f>+O384+N385</f>
        <v>45187.5</v>
      </c>
      <c r="P385" s="461"/>
      <c r="Q385" s="456" t="s">
        <v>203</v>
      </c>
      <c r="R385" s="462"/>
    </row>
    <row r="386" spans="2:22" s="446" customFormat="1" ht="30" customHeight="1" thickBot="1" x14ac:dyDescent="0.35">
      <c r="B386" s="464"/>
      <c r="C386" s="531"/>
      <c r="D386" s="449"/>
      <c r="E386" s="449"/>
      <c r="F386" s="450"/>
      <c r="G386" s="438"/>
      <c r="H386" s="458"/>
      <c r="I386" s="459"/>
      <c r="J386" s="459"/>
      <c r="K386" s="459"/>
      <c r="L386" s="457"/>
      <c r="M386" s="453">
        <v>46008</v>
      </c>
      <c r="N386" s="454">
        <v>7037.5</v>
      </c>
      <c r="O386" s="463">
        <f>+O385+N386</f>
        <v>52225</v>
      </c>
      <c r="P386" s="461"/>
      <c r="Q386" s="456" t="s">
        <v>204</v>
      </c>
      <c r="R386" s="462"/>
    </row>
    <row r="387" spans="2:22" s="446" customFormat="1" ht="30" customHeight="1" thickTop="1" thickBot="1" x14ac:dyDescent="0.35">
      <c r="B387" s="464"/>
      <c r="C387" s="531"/>
      <c r="D387" s="465"/>
      <c r="E387" s="465"/>
      <c r="F387" s="450"/>
      <c r="G387" s="438"/>
      <c r="H387" s="405"/>
      <c r="I387" s="466"/>
      <c r="J387" s="466"/>
      <c r="K387" s="466"/>
      <c r="L387" s="467"/>
      <c r="M387" s="468"/>
      <c r="N387" s="469"/>
      <c r="O387" s="470"/>
      <c r="P387" s="471"/>
      <c r="Q387" s="469"/>
      <c r="R387" s="468"/>
      <c r="S387" s="472"/>
      <c r="T387" s="472"/>
      <c r="U387" s="472"/>
      <c r="V387" s="472"/>
    </row>
    <row r="388" spans="2:22" ht="9" customHeight="1" thickTop="1" x14ac:dyDescent="0.5">
      <c r="C388" s="144"/>
      <c r="D388" s="62"/>
      <c r="E388" s="62"/>
      <c r="G388" s="162"/>
      <c r="H388" s="243"/>
      <c r="I388" s="244"/>
      <c r="J388" s="244"/>
      <c r="K388" s="244"/>
      <c r="L388" s="39"/>
    </row>
    <row r="389" spans="2:22" ht="19.5" customHeight="1" x14ac:dyDescent="0.5">
      <c r="B389" s="7" t="s">
        <v>184</v>
      </c>
      <c r="C389" s="144" t="s">
        <v>205</v>
      </c>
      <c r="D389" s="62"/>
      <c r="E389" s="62"/>
      <c r="F389" s="107">
        <v>15580131</v>
      </c>
      <c r="G389" s="473" t="s">
        <v>206</v>
      </c>
      <c r="H389" s="245"/>
      <c r="I389" s="246"/>
      <c r="J389" s="246"/>
      <c r="K389" s="246">
        <v>57800</v>
      </c>
      <c r="L389" s="135">
        <f>SUM(K389)</f>
        <v>57800</v>
      </c>
      <c r="M389" s="40">
        <v>45831</v>
      </c>
      <c r="N389" s="114">
        <v>3000</v>
      </c>
      <c r="O389" s="578">
        <f>+N389+N390</f>
        <v>10000</v>
      </c>
      <c r="P389" s="202"/>
      <c r="Q389" s="5" t="s">
        <v>207</v>
      </c>
      <c r="R389" s="40">
        <v>45859</v>
      </c>
    </row>
    <row r="390" spans="2:22" ht="19.5" customHeight="1" x14ac:dyDescent="0.5">
      <c r="C390" s="144"/>
      <c r="D390" s="62"/>
      <c r="E390" s="62"/>
      <c r="F390" s="107"/>
      <c r="G390" s="473"/>
      <c r="H390" s="245"/>
      <c r="I390" s="246"/>
      <c r="J390" s="246"/>
      <c r="K390" s="246"/>
      <c r="L390" s="39"/>
      <c r="M390" s="40">
        <v>45853</v>
      </c>
      <c r="N390" s="114">
        <v>7000</v>
      </c>
      <c r="O390" s="578"/>
      <c r="P390" s="202"/>
      <c r="Q390" s="5" t="s">
        <v>208</v>
      </c>
      <c r="R390" s="40">
        <v>45859</v>
      </c>
    </row>
    <row r="391" spans="2:22" ht="19.5" customHeight="1" thickBot="1" x14ac:dyDescent="0.55000000000000004">
      <c r="B391" s="83"/>
      <c r="C391" s="276"/>
      <c r="D391" s="277"/>
      <c r="E391" s="277"/>
      <c r="F391" s="100"/>
      <c r="G391" s="87"/>
      <c r="H391" s="433"/>
      <c r="I391" s="434"/>
      <c r="J391" s="434"/>
      <c r="K391" s="434"/>
      <c r="L391" s="282"/>
      <c r="M391" s="91"/>
      <c r="N391" s="474"/>
      <c r="O391" s="284"/>
      <c r="P391" s="289"/>
      <c r="Q391" s="94"/>
      <c r="R391" s="283"/>
      <c r="S391" s="95"/>
      <c r="T391" s="95"/>
      <c r="U391" s="95"/>
      <c r="V391" s="95"/>
    </row>
    <row r="392" spans="2:22" ht="9.75" customHeight="1" thickTop="1" x14ac:dyDescent="0.5">
      <c r="C392" s="144"/>
      <c r="D392" s="62"/>
      <c r="E392" s="62"/>
      <c r="G392" s="162"/>
      <c r="H392" s="243"/>
      <c r="I392" s="244"/>
      <c r="J392" s="244"/>
      <c r="K392" s="244"/>
      <c r="L392" s="39"/>
    </row>
    <row r="393" spans="2:22" ht="19.5" customHeight="1" x14ac:dyDescent="0.45">
      <c r="B393" s="7" t="s">
        <v>184</v>
      </c>
      <c r="C393" s="144" t="s">
        <v>209</v>
      </c>
      <c r="D393" s="62"/>
      <c r="E393" s="62"/>
      <c r="F393" s="290">
        <v>70512701</v>
      </c>
      <c r="G393" s="290" t="s">
        <v>210</v>
      </c>
      <c r="H393" s="245"/>
      <c r="I393" s="246"/>
      <c r="J393" s="246"/>
      <c r="K393" s="246">
        <v>56300</v>
      </c>
      <c r="L393" s="135">
        <f>SUM(K393)</f>
        <v>56300</v>
      </c>
      <c r="M393" s="40">
        <v>45628</v>
      </c>
      <c r="N393" s="114">
        <v>10000</v>
      </c>
      <c r="O393" s="571">
        <f>+N393+N394+N395+N396+N397+N398+N399</f>
        <v>32800</v>
      </c>
      <c r="P393" s="475"/>
      <c r="Q393" s="5" t="s">
        <v>211</v>
      </c>
      <c r="R393" s="40">
        <v>45657</v>
      </c>
      <c r="S393" s="44">
        <v>45628</v>
      </c>
      <c r="U393" t="s">
        <v>26</v>
      </c>
    </row>
    <row r="394" spans="2:22" ht="19.5" customHeight="1" x14ac:dyDescent="0.45">
      <c r="C394" s="144"/>
      <c r="D394" s="62"/>
      <c r="E394" s="62"/>
      <c r="F394" s="290"/>
      <c r="G394" s="290"/>
      <c r="H394" s="245"/>
      <c r="I394" s="246"/>
      <c r="J394" s="246"/>
      <c r="K394" s="246"/>
      <c r="L394" s="135"/>
      <c r="M394" s="40">
        <v>45748</v>
      </c>
      <c r="N394" s="114">
        <v>3800</v>
      </c>
      <c r="O394" s="571"/>
      <c r="P394" s="475"/>
      <c r="Q394" s="5" t="s">
        <v>212</v>
      </c>
      <c r="R394" s="40">
        <v>45821</v>
      </c>
      <c r="S394" s="44"/>
    </row>
    <row r="395" spans="2:22" ht="19.5" customHeight="1" x14ac:dyDescent="0.45">
      <c r="C395" s="144"/>
      <c r="D395" s="62"/>
      <c r="E395" s="62"/>
      <c r="F395" s="290"/>
      <c r="G395" s="290"/>
      <c r="H395" s="245"/>
      <c r="I395" s="246"/>
      <c r="J395" s="246"/>
      <c r="K395" s="246"/>
      <c r="L395" s="135"/>
      <c r="M395" s="40">
        <v>45796</v>
      </c>
      <c r="N395" s="114">
        <v>3800</v>
      </c>
      <c r="O395" s="571"/>
      <c r="P395" s="475"/>
      <c r="Q395" s="5" t="s">
        <v>213</v>
      </c>
      <c r="R395" s="40">
        <v>45821</v>
      </c>
      <c r="S395" s="44"/>
    </row>
    <row r="396" spans="2:22" ht="19.5" customHeight="1" x14ac:dyDescent="0.45">
      <c r="C396" s="144"/>
      <c r="D396" s="62"/>
      <c r="E396" s="62"/>
      <c r="F396" s="290"/>
      <c r="G396" s="290"/>
      <c r="H396" s="245"/>
      <c r="I396" s="246"/>
      <c r="J396" s="246"/>
      <c r="K396" s="246"/>
      <c r="L396" s="135"/>
      <c r="M396" s="40">
        <v>45810</v>
      </c>
      <c r="N396" s="114">
        <v>3800</v>
      </c>
      <c r="O396" s="571"/>
      <c r="P396" s="475"/>
      <c r="Q396" s="5" t="s">
        <v>214</v>
      </c>
      <c r="R396" s="40">
        <v>45851</v>
      </c>
      <c r="S396" s="44"/>
    </row>
    <row r="397" spans="2:22" ht="22.2" customHeight="1" x14ac:dyDescent="0.5">
      <c r="C397" s="144"/>
      <c r="D397" s="62"/>
      <c r="E397" s="62"/>
      <c r="F397" s="290"/>
      <c r="G397" s="290"/>
      <c r="H397" s="243"/>
      <c r="I397" s="244"/>
      <c r="J397" s="244"/>
      <c r="K397" s="244"/>
      <c r="L397" s="135"/>
      <c r="M397" s="40">
        <v>45838</v>
      </c>
      <c r="N397" s="41">
        <v>3800</v>
      </c>
      <c r="O397" s="571"/>
      <c r="P397" s="476"/>
      <c r="Q397" s="5" t="s">
        <v>215</v>
      </c>
      <c r="R397" s="40">
        <v>45885</v>
      </c>
      <c r="S397" s="44"/>
    </row>
    <row r="398" spans="2:22" ht="22.2" customHeight="1" x14ac:dyDescent="0.5">
      <c r="C398" s="144"/>
      <c r="D398" s="62"/>
      <c r="E398" s="62"/>
      <c r="F398" s="290"/>
      <c r="G398" s="290"/>
      <c r="H398" s="243"/>
      <c r="I398" s="244"/>
      <c r="J398" s="244"/>
      <c r="K398" s="244"/>
      <c r="L398" s="135"/>
      <c r="M398" s="40">
        <v>45868</v>
      </c>
      <c r="N398" s="41">
        <v>3800</v>
      </c>
      <c r="O398" s="571"/>
      <c r="P398" s="476"/>
      <c r="Q398" s="5" t="s">
        <v>216</v>
      </c>
      <c r="R398" s="40">
        <v>45885</v>
      </c>
      <c r="S398" s="44"/>
    </row>
    <row r="399" spans="2:22" ht="22.2" customHeight="1" x14ac:dyDescent="0.5">
      <c r="C399" s="144"/>
      <c r="D399" s="62"/>
      <c r="E399" s="62"/>
      <c r="F399" s="290"/>
      <c r="G399" s="290"/>
      <c r="H399" s="243"/>
      <c r="I399" s="244"/>
      <c r="J399" s="244"/>
      <c r="K399" s="244"/>
      <c r="L399" s="135"/>
      <c r="M399" s="40">
        <v>45902</v>
      </c>
      <c r="N399" s="41">
        <v>3800</v>
      </c>
      <c r="O399" s="571"/>
      <c r="P399" s="476"/>
      <c r="Q399" s="5" t="s">
        <v>217</v>
      </c>
      <c r="R399" s="40">
        <v>45915</v>
      </c>
      <c r="S399" s="44"/>
    </row>
    <row r="400" spans="2:22" ht="22.2" customHeight="1" x14ac:dyDescent="0.5">
      <c r="C400" s="144"/>
      <c r="D400" s="62"/>
      <c r="E400" s="62"/>
      <c r="F400" s="290"/>
      <c r="G400" s="290"/>
      <c r="H400" s="243"/>
      <c r="I400" s="244"/>
      <c r="J400" s="244"/>
      <c r="K400" s="244"/>
      <c r="L400" s="135"/>
      <c r="M400" s="40">
        <v>45943</v>
      </c>
      <c r="N400" s="41">
        <v>3800</v>
      </c>
      <c r="O400" s="23">
        <f>+O393+N400</f>
        <v>36600</v>
      </c>
      <c r="P400" s="110"/>
      <c r="Q400" s="5" t="s">
        <v>218</v>
      </c>
      <c r="R400" s="40"/>
      <c r="S400" s="44"/>
    </row>
    <row r="401" spans="2:22" ht="22.2" customHeight="1" x14ac:dyDescent="0.5">
      <c r="C401" s="144"/>
      <c r="D401" s="62"/>
      <c r="E401" s="62"/>
      <c r="F401" s="290"/>
      <c r="G401" s="290"/>
      <c r="H401" s="243"/>
      <c r="I401" s="244"/>
      <c r="J401" s="244"/>
      <c r="K401" s="244"/>
      <c r="L401" s="135"/>
      <c r="M401" s="40">
        <v>45980</v>
      </c>
      <c r="N401" s="41">
        <v>38000</v>
      </c>
      <c r="O401" s="23">
        <f>+O400+N401</f>
        <v>74600</v>
      </c>
      <c r="P401" s="110"/>
      <c r="Q401" s="5" t="s">
        <v>219</v>
      </c>
      <c r="R401" s="40"/>
      <c r="S401" s="44"/>
    </row>
    <row r="402" spans="2:22" ht="22.2" customHeight="1" thickBot="1" x14ac:dyDescent="0.55000000000000004">
      <c r="B402" s="83"/>
      <c r="C402" s="276"/>
      <c r="D402" s="277"/>
      <c r="E402" s="277"/>
      <c r="F402" s="477"/>
      <c r="G402" s="478"/>
      <c r="H402" s="280"/>
      <c r="I402" s="281"/>
      <c r="J402" s="281"/>
      <c r="K402" s="281"/>
      <c r="L402" s="479"/>
      <c r="M402" s="91"/>
      <c r="N402" s="92"/>
      <c r="O402" s="480"/>
      <c r="P402" s="481"/>
      <c r="Q402" s="94"/>
      <c r="R402" s="91"/>
      <c r="S402" s="482"/>
      <c r="T402" s="95"/>
      <c r="U402" s="95"/>
      <c r="V402" s="95"/>
    </row>
    <row r="403" spans="2:22" ht="21.6" thickTop="1" x14ac:dyDescent="0.5">
      <c r="B403" s="177" t="s">
        <v>184</v>
      </c>
      <c r="C403" s="499" t="s">
        <v>220</v>
      </c>
      <c r="D403" s="179"/>
      <c r="E403" s="179"/>
      <c r="F403" s="290">
        <v>28965506</v>
      </c>
      <c r="G403" s="290" t="s">
        <v>63</v>
      </c>
      <c r="H403" s="350"/>
      <c r="I403" s="351"/>
      <c r="J403" s="351"/>
      <c r="K403" s="351">
        <v>52500</v>
      </c>
      <c r="L403" s="352">
        <f>SUM(H403:K403)</f>
        <v>52500</v>
      </c>
      <c r="M403" s="185">
        <v>45869</v>
      </c>
      <c r="N403" s="186">
        <v>4000</v>
      </c>
      <c r="O403" s="572">
        <f>+N404+N403</f>
        <v>5000</v>
      </c>
      <c r="P403" s="355"/>
      <c r="Q403" s="189" t="s">
        <v>221</v>
      </c>
      <c r="R403" s="185">
        <v>45887</v>
      </c>
      <c r="S403" s="181"/>
      <c r="T403" s="181"/>
      <c r="U403" s="181"/>
      <c r="V403" s="181"/>
    </row>
    <row r="404" spans="2:22" x14ac:dyDescent="0.5">
      <c r="C404" s="144"/>
      <c r="D404" s="62"/>
      <c r="E404" s="62"/>
      <c r="F404" s="290"/>
      <c r="G404" s="290"/>
      <c r="H404" s="245"/>
      <c r="I404" s="246"/>
      <c r="J404" s="246"/>
      <c r="K404" s="246"/>
      <c r="L404" s="39"/>
      <c r="M404" s="40">
        <v>45870</v>
      </c>
      <c r="N404" s="41">
        <v>1000</v>
      </c>
      <c r="O404" s="560"/>
      <c r="P404" s="202"/>
      <c r="Q404" s="5" t="s">
        <v>222</v>
      </c>
      <c r="R404" s="40">
        <v>45887</v>
      </c>
    </row>
    <row r="405" spans="2:22" x14ac:dyDescent="0.5">
      <c r="C405" s="144"/>
      <c r="D405" s="62"/>
      <c r="E405" s="62"/>
      <c r="F405" s="290"/>
      <c r="G405" s="290"/>
      <c r="H405" s="245"/>
      <c r="I405" s="246"/>
      <c r="J405" s="246"/>
      <c r="K405" s="246"/>
      <c r="L405" s="39"/>
      <c r="M405" s="40"/>
      <c r="N405" s="41"/>
      <c r="O405" s="23"/>
    </row>
    <row r="406" spans="2:22" ht="21.6" thickBot="1" x14ac:dyDescent="0.55000000000000004">
      <c r="B406" s="83"/>
      <c r="C406" s="276"/>
      <c r="D406" s="277"/>
      <c r="E406" s="277"/>
      <c r="F406" s="483"/>
      <c r="G406" s="484"/>
      <c r="H406" s="433"/>
      <c r="I406" s="434"/>
      <c r="J406" s="434"/>
      <c r="K406" s="434"/>
      <c r="L406" s="282"/>
      <c r="M406" s="91"/>
      <c r="N406" s="474"/>
      <c r="O406" s="105"/>
      <c r="P406" s="289"/>
      <c r="Q406" s="94"/>
      <c r="R406" s="283"/>
      <c r="S406" s="95"/>
      <c r="T406" s="95"/>
      <c r="U406" s="95"/>
      <c r="V406" s="95"/>
    </row>
    <row r="407" spans="2:22" ht="12.75" customHeight="1" thickTop="1" x14ac:dyDescent="0.5">
      <c r="C407" s="144"/>
      <c r="D407" s="62"/>
      <c r="E407" s="62"/>
      <c r="G407" s="162"/>
      <c r="H407" s="243"/>
      <c r="I407" s="244"/>
      <c r="J407" s="244"/>
      <c r="K407" s="244"/>
      <c r="L407" s="39"/>
    </row>
    <row r="408" spans="2:22" ht="21" customHeight="1" x14ac:dyDescent="0.5">
      <c r="B408" s="7" t="s">
        <v>184</v>
      </c>
      <c r="C408" s="144" t="s">
        <v>223</v>
      </c>
      <c r="D408" s="62"/>
      <c r="E408" s="62"/>
      <c r="G408" s="162" t="s">
        <v>334</v>
      </c>
      <c r="H408" s="243"/>
      <c r="I408" s="244"/>
      <c r="J408" s="244"/>
      <c r="K408" s="244">
        <v>50500</v>
      </c>
      <c r="L408" s="135">
        <f>SUM(H408:K408)</f>
        <v>50500</v>
      </c>
      <c r="M408" s="40">
        <v>46044</v>
      </c>
      <c r="N408" s="501">
        <v>3000</v>
      </c>
      <c r="O408" s="293">
        <f>+N408</f>
        <v>3000</v>
      </c>
    </row>
    <row r="409" spans="2:22" ht="21" customHeight="1" x14ac:dyDescent="0.5">
      <c r="C409" s="144"/>
      <c r="D409" s="62"/>
      <c r="E409" s="62"/>
      <c r="G409" s="162"/>
      <c r="H409" s="243"/>
      <c r="I409" s="244"/>
      <c r="J409" s="244"/>
      <c r="K409" s="244"/>
      <c r="L409" s="39"/>
    </row>
    <row r="410" spans="2:22" ht="19.5" customHeight="1" thickBot="1" x14ac:dyDescent="0.55000000000000004">
      <c r="B410" s="149"/>
      <c r="C410" s="223"/>
      <c r="D410" s="151"/>
      <c r="E410" s="151"/>
      <c r="F410" s="150"/>
      <c r="G410" s="152"/>
      <c r="H410" s="239"/>
      <c r="I410" s="240"/>
      <c r="J410" s="240"/>
      <c r="K410" s="240"/>
      <c r="L410" s="155"/>
      <c r="M410" s="160"/>
      <c r="N410" s="157"/>
      <c r="O410" s="241"/>
      <c r="P410" s="159"/>
      <c r="Q410" s="157"/>
      <c r="R410" s="160"/>
      <c r="S410" s="161"/>
      <c r="T410" s="161"/>
      <c r="U410" s="161"/>
      <c r="V410" s="161"/>
    </row>
    <row r="411" spans="2:22" ht="11.25" customHeight="1" thickTop="1" x14ac:dyDescent="0.5">
      <c r="C411" s="144"/>
      <c r="D411" s="62"/>
      <c r="E411" s="62"/>
      <c r="G411" s="162"/>
      <c r="H411" s="243"/>
      <c r="I411" s="244"/>
      <c r="J411" s="244"/>
      <c r="K411" s="244"/>
      <c r="L411" s="39"/>
    </row>
    <row r="412" spans="2:22" ht="19.2" customHeight="1" x14ac:dyDescent="0.5">
      <c r="B412" s="7" t="s">
        <v>184</v>
      </c>
      <c r="C412" s="144" t="s">
        <v>224</v>
      </c>
      <c r="D412" s="62"/>
      <c r="E412" s="62"/>
      <c r="G412" s="162"/>
      <c r="H412" s="243"/>
      <c r="I412" s="244"/>
      <c r="J412" s="244"/>
      <c r="K412" s="244">
        <v>68000</v>
      </c>
      <c r="L412" s="135">
        <f>SUM(H412:K412)</f>
        <v>68000</v>
      </c>
    </row>
    <row r="413" spans="2:22" ht="19.5" customHeight="1" thickBot="1" x14ac:dyDescent="0.55000000000000004">
      <c r="B413" s="136"/>
      <c r="C413" s="265"/>
      <c r="D413" s="248"/>
      <c r="E413" s="248"/>
      <c r="F413" s="266"/>
      <c r="G413" s="267"/>
      <c r="H413" s="250"/>
      <c r="I413" s="251"/>
      <c r="J413" s="251"/>
      <c r="K413" s="251"/>
      <c r="L413" s="139"/>
      <c r="M413" s="268"/>
      <c r="N413" s="142"/>
      <c r="O413" s="333"/>
      <c r="P413" s="334"/>
      <c r="Q413" s="142"/>
      <c r="R413" s="268"/>
      <c r="S413" s="143"/>
      <c r="T413" s="143"/>
      <c r="U413" s="143"/>
      <c r="V413" s="143"/>
    </row>
    <row r="414" spans="2:22" ht="12" customHeight="1" thickTop="1" x14ac:dyDescent="0.5">
      <c r="C414" s="144"/>
      <c r="D414" s="62"/>
      <c r="E414" s="62"/>
      <c r="G414" s="162"/>
      <c r="H414" s="243"/>
      <c r="I414" s="244"/>
      <c r="J414" s="244"/>
      <c r="K414" s="244"/>
      <c r="L414" s="39"/>
    </row>
    <row r="415" spans="2:22" ht="19.95" customHeight="1" x14ac:dyDescent="0.45">
      <c r="B415" s="7" t="s">
        <v>184</v>
      </c>
      <c r="C415" s="203" t="s">
        <v>225</v>
      </c>
      <c r="D415" s="62"/>
      <c r="E415" s="62"/>
      <c r="F415" s="290">
        <v>41844906</v>
      </c>
      <c r="G415" s="290" t="s">
        <v>85</v>
      </c>
      <c r="H415" s="243"/>
      <c r="I415" s="244"/>
      <c r="J415" s="244"/>
      <c r="K415" s="244">
        <v>59300</v>
      </c>
      <c r="L415" s="135">
        <f>SUM(H415:K415)</f>
        <v>59300</v>
      </c>
      <c r="M415" s="40">
        <v>45845</v>
      </c>
      <c r="N415" s="41">
        <v>10300</v>
      </c>
      <c r="O415" s="207">
        <f>SUM(N415)</f>
        <v>10300</v>
      </c>
      <c r="P415" s="357" t="s">
        <v>226</v>
      </c>
      <c r="Q415" s="5" t="s">
        <v>227</v>
      </c>
      <c r="R415" s="40">
        <v>45859</v>
      </c>
    </row>
    <row r="416" spans="2:22" ht="19.5" customHeight="1" thickBot="1" x14ac:dyDescent="0.55000000000000004">
      <c r="B416" s="149"/>
      <c r="C416" s="223"/>
      <c r="D416" s="151"/>
      <c r="E416" s="151"/>
      <c r="F416" s="150"/>
      <c r="G416" s="152"/>
      <c r="H416" s="239"/>
      <c r="I416" s="240"/>
      <c r="J416" s="240"/>
      <c r="K416" s="240"/>
      <c r="L416" s="155"/>
      <c r="M416" s="160"/>
      <c r="N416" s="157"/>
      <c r="O416" s="241"/>
      <c r="P416" s="159"/>
      <c r="Q416" s="157"/>
      <c r="R416" s="160"/>
      <c r="S416" s="161"/>
      <c r="T416" s="161"/>
      <c r="U416" s="161"/>
      <c r="V416" s="161"/>
    </row>
    <row r="417" spans="2:22" ht="9.75" customHeight="1" thickTop="1" x14ac:dyDescent="0.5">
      <c r="C417" s="144"/>
      <c r="D417" s="62"/>
      <c r="E417" s="62"/>
      <c r="G417" s="162"/>
      <c r="H417" s="243"/>
      <c r="I417" s="244"/>
      <c r="J417" s="244"/>
      <c r="K417" s="244"/>
      <c r="L417" s="39"/>
    </row>
    <row r="418" spans="2:22" ht="17.399999999999999" customHeight="1" x14ac:dyDescent="0.4">
      <c r="B418" s="7" t="s">
        <v>184</v>
      </c>
      <c r="C418" s="144" t="s">
        <v>228</v>
      </c>
      <c r="D418" s="62"/>
      <c r="E418" s="62"/>
      <c r="G418" s="162" t="s">
        <v>335</v>
      </c>
      <c r="H418" s="243"/>
      <c r="I418" s="244"/>
      <c r="J418" s="244"/>
      <c r="K418" s="244">
        <v>57300</v>
      </c>
      <c r="L418" s="135">
        <f>SUM(H418:K418)</f>
        <v>57300</v>
      </c>
      <c r="M418" s="40">
        <v>46041</v>
      </c>
      <c r="N418" s="501">
        <v>10000</v>
      </c>
      <c r="O418" s="565">
        <f>SUM(N418:N420)</f>
        <v>57300</v>
      </c>
      <c r="P418" s="557"/>
    </row>
    <row r="419" spans="2:22" ht="17.399999999999999" customHeight="1" x14ac:dyDescent="0.4">
      <c r="C419" s="144"/>
      <c r="D419" s="62"/>
      <c r="E419" s="62"/>
      <c r="G419" s="162"/>
      <c r="H419" s="243"/>
      <c r="I419" s="244"/>
      <c r="J419" s="244"/>
      <c r="K419" s="244"/>
      <c r="L419" s="135"/>
      <c r="M419" s="40">
        <v>46079</v>
      </c>
      <c r="N419" s="501">
        <v>25000</v>
      </c>
      <c r="O419" s="566"/>
      <c r="P419" s="557"/>
    </row>
    <row r="420" spans="2:22" ht="17.399999999999999" customHeight="1" x14ac:dyDescent="0.4">
      <c r="C420" s="144"/>
      <c r="D420" s="62"/>
      <c r="E420" s="62"/>
      <c r="G420" s="162"/>
      <c r="H420" s="243"/>
      <c r="I420" s="244"/>
      <c r="J420" s="244"/>
      <c r="K420" s="244"/>
      <c r="L420" s="135"/>
      <c r="M420" s="40">
        <v>46080</v>
      </c>
      <c r="N420" s="501">
        <v>22300</v>
      </c>
      <c r="O420" s="566"/>
      <c r="P420" s="557"/>
    </row>
    <row r="421" spans="2:22" ht="19.5" customHeight="1" thickBot="1" x14ac:dyDescent="0.55000000000000004">
      <c r="B421" s="136"/>
      <c r="C421" s="382"/>
      <c r="D421" s="248"/>
      <c r="E421" s="248"/>
      <c r="F421" s="266"/>
      <c r="G421" s="267"/>
      <c r="H421" s="250"/>
      <c r="I421" s="251"/>
      <c r="J421" s="251"/>
      <c r="K421" s="251"/>
      <c r="L421" s="139"/>
      <c r="M421" s="268"/>
      <c r="N421" s="142"/>
      <c r="O421" s="333"/>
      <c r="P421" s="334"/>
      <c r="Q421" s="142"/>
      <c r="R421" s="268"/>
      <c r="S421" s="143"/>
      <c r="T421" s="143"/>
      <c r="U421" s="143"/>
      <c r="V421" s="143"/>
    </row>
    <row r="422" spans="2:22" ht="25.2" customHeight="1" thickTop="1" x14ac:dyDescent="0.5">
      <c r="B422" s="412" t="s">
        <v>184</v>
      </c>
      <c r="C422" s="413" t="s">
        <v>229</v>
      </c>
      <c r="D422" s="62"/>
      <c r="E422" s="62"/>
      <c r="F422" s="290">
        <v>46304395</v>
      </c>
      <c r="G422" s="290" t="s">
        <v>230</v>
      </c>
      <c r="H422" s="245"/>
      <c r="I422" s="246"/>
      <c r="J422" s="246"/>
      <c r="K422" s="246">
        <v>52000</v>
      </c>
      <c r="L422" s="135">
        <f>SUM(H422:K422)</f>
        <v>52000</v>
      </c>
      <c r="M422" s="40">
        <v>45873</v>
      </c>
      <c r="N422" s="41">
        <v>10000</v>
      </c>
      <c r="O422" s="238">
        <v>10000</v>
      </c>
      <c r="P422" s="202"/>
      <c r="Q422" s="5" t="s">
        <v>231</v>
      </c>
      <c r="R422" s="40">
        <v>45885</v>
      </c>
    </row>
    <row r="423" spans="2:22" ht="25.2" customHeight="1" x14ac:dyDescent="0.5">
      <c r="C423" s="144"/>
      <c r="D423" s="62"/>
      <c r="E423" s="62"/>
      <c r="F423" s="290"/>
      <c r="G423" s="290"/>
      <c r="H423" s="245"/>
      <c r="I423" s="246"/>
      <c r="J423" s="246"/>
      <c r="K423" s="246"/>
      <c r="L423" s="39"/>
      <c r="M423" s="40">
        <v>45964</v>
      </c>
      <c r="N423" s="41">
        <v>14000</v>
      </c>
      <c r="O423" s="288">
        <f>+O422+N423</f>
        <v>24000</v>
      </c>
      <c r="Q423" s="5" t="s">
        <v>232</v>
      </c>
    </row>
    <row r="424" spans="2:22" ht="25.2" customHeight="1" x14ac:dyDescent="0.5">
      <c r="C424" s="144"/>
      <c r="D424" s="62"/>
      <c r="E424" s="62" t="s">
        <v>336</v>
      </c>
      <c r="F424" s="290"/>
      <c r="G424" s="290"/>
      <c r="H424" s="245"/>
      <c r="I424" s="246"/>
      <c r="J424" s="246"/>
      <c r="K424" s="246"/>
      <c r="L424" s="39"/>
      <c r="N424" s="114"/>
    </row>
    <row r="425" spans="2:22" ht="29.4" customHeight="1" thickBot="1" x14ac:dyDescent="0.55000000000000004">
      <c r="B425" s="149"/>
      <c r="C425" s="500"/>
      <c r="D425" s="151"/>
      <c r="E425" s="151"/>
      <c r="F425" s="150"/>
      <c r="G425" s="152"/>
      <c r="H425" s="239"/>
      <c r="I425" s="240"/>
      <c r="J425" s="240"/>
      <c r="K425" s="240"/>
      <c r="L425" s="155"/>
      <c r="M425" s="160"/>
      <c r="N425" s="157"/>
      <c r="O425" s="241"/>
      <c r="P425" s="159"/>
      <c r="Q425" s="157"/>
      <c r="R425" s="160"/>
      <c r="S425" s="161"/>
      <c r="T425" s="161"/>
      <c r="U425" s="161"/>
      <c r="V425" s="161"/>
    </row>
    <row r="426" spans="2:22" ht="12" customHeight="1" thickTop="1" x14ac:dyDescent="0.5">
      <c r="C426" s="144"/>
      <c r="D426" s="62"/>
      <c r="E426" s="62"/>
      <c r="G426" s="162"/>
      <c r="H426" s="243"/>
      <c r="I426" s="244"/>
      <c r="J426" s="244"/>
      <c r="K426" s="244"/>
      <c r="L426" s="39"/>
    </row>
    <row r="427" spans="2:22" s="446" customFormat="1" ht="19.5" customHeight="1" x14ac:dyDescent="0.4">
      <c r="B427" s="447" t="s">
        <v>184</v>
      </c>
      <c r="C427" s="448" t="s">
        <v>233</v>
      </c>
      <c r="D427" s="449"/>
      <c r="E427" s="449"/>
      <c r="F427" s="290">
        <v>42539680</v>
      </c>
      <c r="G427" s="446" t="s">
        <v>234</v>
      </c>
      <c r="H427" s="451"/>
      <c r="I427" s="452"/>
      <c r="J427" s="452"/>
      <c r="K427" s="452">
        <v>60400</v>
      </c>
      <c r="L427" s="135">
        <f>SUM(H427:K427)</f>
        <v>60400</v>
      </c>
      <c r="M427" s="453">
        <v>45886</v>
      </c>
      <c r="N427" s="485">
        <v>5000</v>
      </c>
      <c r="O427" s="486">
        <f>+N427</f>
        <v>5000</v>
      </c>
      <c r="P427" s="455"/>
      <c r="Q427" s="456"/>
      <c r="R427" s="462"/>
    </row>
    <row r="428" spans="2:22" s="446" customFormat="1" ht="19.5" customHeight="1" x14ac:dyDescent="0.3">
      <c r="B428" s="447"/>
      <c r="C428" s="448"/>
      <c r="D428" s="449"/>
      <c r="E428" s="449"/>
      <c r="F428" s="290"/>
      <c r="H428" s="451"/>
      <c r="I428" s="452"/>
      <c r="J428" s="452"/>
      <c r="K428" s="452"/>
      <c r="L428" s="457"/>
      <c r="M428" s="453">
        <v>46031</v>
      </c>
      <c r="N428" s="485">
        <v>4000</v>
      </c>
      <c r="O428" s="486">
        <f>+N428</f>
        <v>4000</v>
      </c>
      <c r="P428" s="455"/>
      <c r="Q428" s="456"/>
      <c r="R428" s="462"/>
    </row>
    <row r="429" spans="2:22" ht="19.5" customHeight="1" thickBot="1" x14ac:dyDescent="0.55000000000000004">
      <c r="B429" s="163"/>
      <c r="C429" s="532"/>
      <c r="D429" s="165"/>
      <c r="E429" s="165"/>
      <c r="F429" s="506"/>
      <c r="G429" s="507"/>
      <c r="H429" s="508"/>
      <c r="I429" s="533"/>
      <c r="J429" s="533"/>
      <c r="K429" s="533"/>
      <c r="L429" s="510"/>
      <c r="M429" s="235"/>
      <c r="N429" s="234"/>
      <c r="O429" s="534"/>
      <c r="P429" s="512"/>
      <c r="Q429" s="234"/>
      <c r="R429" s="235"/>
      <c r="S429" s="167"/>
      <c r="T429" s="167"/>
      <c r="U429" s="167"/>
      <c r="V429" s="167"/>
    </row>
    <row r="430" spans="2:22" ht="12.6" customHeight="1" thickTop="1" x14ac:dyDescent="0.5">
      <c r="C430" s="203"/>
      <c r="D430" s="62"/>
      <c r="E430" s="62"/>
      <c r="G430" s="162"/>
      <c r="H430" s="245"/>
      <c r="I430" s="246"/>
      <c r="J430" s="246"/>
      <c r="K430" s="246"/>
      <c r="L430" s="39"/>
    </row>
    <row r="431" spans="2:22" ht="19.5" customHeight="1" x14ac:dyDescent="0.5">
      <c r="B431" s="7" t="s">
        <v>184</v>
      </c>
      <c r="C431" s="203" t="s">
        <v>235</v>
      </c>
      <c r="D431" s="62"/>
      <c r="E431" s="62"/>
      <c r="G431" s="162"/>
      <c r="H431" s="245"/>
      <c r="I431" s="246"/>
      <c r="J431" s="246"/>
      <c r="K431" s="246">
        <v>55800</v>
      </c>
      <c r="L431" s="135">
        <f>SUM(H431:K431)</f>
        <v>55800</v>
      </c>
    </row>
    <row r="432" spans="2:22" ht="19.5" customHeight="1" thickBot="1" x14ac:dyDescent="0.55000000000000004">
      <c r="B432" s="149"/>
      <c r="C432" s="223"/>
      <c r="D432" s="151"/>
      <c r="E432" s="151"/>
      <c r="F432" s="150"/>
      <c r="G432" s="152"/>
      <c r="H432" s="239"/>
      <c r="I432" s="240"/>
      <c r="J432" s="240"/>
      <c r="K432" s="240"/>
      <c r="L432" s="155"/>
      <c r="M432" s="160"/>
      <c r="N432" s="157"/>
      <c r="O432" s="241"/>
      <c r="P432" s="159"/>
      <c r="Q432" s="157"/>
      <c r="R432" s="160"/>
      <c r="S432" s="161"/>
      <c r="T432" s="161"/>
      <c r="U432" s="161"/>
      <c r="V432" s="161"/>
    </row>
    <row r="433" spans="2:22" ht="9.75" customHeight="1" thickTop="1" x14ac:dyDescent="0.5">
      <c r="C433" s="144"/>
      <c r="D433" s="62"/>
      <c r="E433" s="62"/>
      <c r="G433" s="162"/>
      <c r="H433" s="243"/>
      <c r="I433" s="244"/>
      <c r="J433" s="244"/>
      <c r="K433" s="244"/>
      <c r="L433" s="39"/>
    </row>
    <row r="434" spans="2:22" ht="19.2" customHeight="1" x14ac:dyDescent="0.5">
      <c r="B434" s="7" t="s">
        <v>184</v>
      </c>
      <c r="C434" s="144" t="s">
        <v>236</v>
      </c>
      <c r="D434" s="62"/>
      <c r="E434" s="62"/>
      <c r="G434" s="162"/>
      <c r="H434" s="243"/>
      <c r="I434" s="244"/>
      <c r="J434" s="244"/>
      <c r="K434" s="244">
        <v>52500</v>
      </c>
      <c r="L434" s="135">
        <f>SUM(H434:K434)</f>
        <v>52500</v>
      </c>
    </row>
    <row r="435" spans="2:22" ht="19.5" customHeight="1" thickBot="1" x14ac:dyDescent="0.55000000000000004">
      <c r="B435" s="149"/>
      <c r="C435" s="223"/>
      <c r="D435" s="151"/>
      <c r="E435" s="151"/>
      <c r="F435" s="150"/>
      <c r="G435" s="152"/>
      <c r="H435" s="239"/>
      <c r="I435" s="240"/>
      <c r="J435" s="240"/>
      <c r="K435" s="240"/>
      <c r="L435" s="155"/>
      <c r="M435" s="160"/>
      <c r="N435" s="157"/>
      <c r="O435" s="241"/>
      <c r="P435" s="159"/>
      <c r="Q435" s="157"/>
      <c r="R435" s="160"/>
      <c r="S435" s="161"/>
      <c r="T435" s="161"/>
      <c r="U435" s="161"/>
      <c r="V435" s="161"/>
    </row>
    <row r="436" spans="2:22" ht="12" customHeight="1" thickTop="1" x14ac:dyDescent="0.5">
      <c r="C436" s="144"/>
      <c r="D436" s="62"/>
      <c r="E436" s="62"/>
      <c r="G436" s="162"/>
      <c r="H436" s="243"/>
      <c r="I436" s="244"/>
      <c r="J436" s="244"/>
      <c r="K436" s="244"/>
      <c r="L436" s="39"/>
    </row>
    <row r="437" spans="2:22" ht="20.399999999999999" customHeight="1" x14ac:dyDescent="0.5">
      <c r="B437" s="7" t="s">
        <v>184</v>
      </c>
      <c r="C437" s="144" t="s">
        <v>237</v>
      </c>
      <c r="D437" s="62"/>
      <c r="E437" s="62"/>
      <c r="G437" s="162"/>
      <c r="H437" s="243"/>
      <c r="I437" s="244"/>
      <c r="J437" s="244"/>
      <c r="K437" s="244">
        <v>62000</v>
      </c>
      <c r="L437" s="135">
        <f>SUM(H437:K437)</f>
        <v>62000</v>
      </c>
    </row>
    <row r="438" spans="2:22" ht="19.5" customHeight="1" thickBot="1" x14ac:dyDescent="0.55000000000000004">
      <c r="B438" s="149"/>
      <c r="C438" s="223"/>
      <c r="D438" s="151"/>
      <c r="E438" s="151"/>
      <c r="F438" s="150"/>
      <c r="G438" s="161"/>
      <c r="H438" s="239"/>
      <c r="I438" s="240"/>
      <c r="J438" s="240"/>
      <c r="K438" s="240"/>
      <c r="L438" s="155"/>
      <c r="M438" s="160"/>
      <c r="N438" s="157"/>
      <c r="O438" s="241"/>
      <c r="P438" s="159"/>
      <c r="Q438" s="157"/>
      <c r="R438" s="160"/>
      <c r="S438" s="161"/>
      <c r="T438" s="161"/>
      <c r="U438" s="161"/>
      <c r="V438" s="161"/>
    </row>
    <row r="439" spans="2:22" ht="10.199999999999999" customHeight="1" thickTop="1" x14ac:dyDescent="0.5">
      <c r="C439" s="144"/>
      <c r="D439" s="62"/>
      <c r="E439" s="62"/>
      <c r="H439" s="243"/>
      <c r="I439" s="244"/>
      <c r="J439" s="244"/>
      <c r="K439" s="244"/>
      <c r="L439" s="39"/>
    </row>
    <row r="440" spans="2:22" ht="21.6" customHeight="1" x14ac:dyDescent="0.4">
      <c r="B440" s="7" t="s">
        <v>184</v>
      </c>
      <c r="C440" s="203" t="s">
        <v>238</v>
      </c>
      <c r="D440" s="62"/>
      <c r="E440" s="62"/>
      <c r="G440" t="s">
        <v>239</v>
      </c>
      <c r="H440" s="243"/>
      <c r="I440" s="244"/>
      <c r="J440" s="244"/>
      <c r="K440" s="244">
        <v>52000</v>
      </c>
      <c r="L440" s="135">
        <f>SUM(H440:K440)</f>
        <v>52000</v>
      </c>
      <c r="M440" s="40">
        <v>45922</v>
      </c>
      <c r="N440" s="41">
        <v>5000</v>
      </c>
      <c r="O440" s="487">
        <f>+N440</f>
        <v>5000</v>
      </c>
      <c r="P440" s="3" t="s">
        <v>126</v>
      </c>
      <c r="Q440" s="5" t="s">
        <v>240</v>
      </c>
    </row>
    <row r="441" spans="2:22" ht="21.6" customHeight="1" x14ac:dyDescent="0.5">
      <c r="C441" s="144"/>
      <c r="D441" s="62"/>
      <c r="E441" s="62"/>
      <c r="H441" s="243"/>
      <c r="I441" s="244"/>
      <c r="J441" s="244"/>
      <c r="K441" s="244"/>
      <c r="L441" s="39"/>
    </row>
    <row r="442" spans="2:22" ht="19.5" customHeight="1" thickBot="1" x14ac:dyDescent="0.55000000000000004">
      <c r="B442" s="136"/>
      <c r="C442" s="265"/>
      <c r="D442" s="248"/>
      <c r="E442" s="248"/>
      <c r="F442" s="266"/>
      <c r="G442" s="143"/>
      <c r="H442" s="250"/>
      <c r="I442" s="251"/>
      <c r="J442" s="251"/>
      <c r="K442" s="251"/>
      <c r="L442" s="139"/>
      <c r="M442" s="268"/>
      <c r="N442" s="142"/>
      <c r="O442" s="333"/>
      <c r="P442" s="334"/>
      <c r="Q442" s="142"/>
      <c r="R442" s="268"/>
      <c r="S442" s="143"/>
      <c r="T442" s="143"/>
      <c r="U442" s="143"/>
      <c r="V442" s="143"/>
    </row>
    <row r="443" spans="2:22" ht="10.5" customHeight="1" thickTop="1" x14ac:dyDescent="0.5">
      <c r="C443" s="144"/>
      <c r="D443" s="62"/>
      <c r="E443" s="62"/>
      <c r="H443" s="243"/>
      <c r="I443" s="244"/>
      <c r="J443" s="244"/>
      <c r="K443" s="244"/>
      <c r="L443" s="39"/>
    </row>
    <row r="444" spans="2:22" ht="18" customHeight="1" x14ac:dyDescent="0.5">
      <c r="B444" s="7" t="s">
        <v>184</v>
      </c>
      <c r="C444" s="144" t="s">
        <v>241</v>
      </c>
      <c r="D444" s="62"/>
      <c r="E444" s="62"/>
      <c r="H444" s="243"/>
      <c r="I444" s="244"/>
      <c r="J444" s="244"/>
      <c r="K444" s="244">
        <v>62700</v>
      </c>
      <c r="L444" s="135">
        <f>SUM(H444:K444)</f>
        <v>62700</v>
      </c>
    </row>
    <row r="445" spans="2:22" ht="19.5" customHeight="1" thickBot="1" x14ac:dyDescent="0.55000000000000004">
      <c r="B445" s="149"/>
      <c r="C445" s="223"/>
      <c r="D445" s="151"/>
      <c r="E445" s="151"/>
      <c r="F445" s="150"/>
      <c r="G445" s="161"/>
      <c r="H445" s="239"/>
      <c r="I445" s="240"/>
      <c r="J445" s="240"/>
      <c r="K445" s="240"/>
      <c r="L445" s="155"/>
      <c r="M445" s="160"/>
      <c r="N445" s="157"/>
      <c r="O445" s="241"/>
      <c r="P445" s="159"/>
      <c r="Q445" s="157"/>
      <c r="R445" s="160"/>
      <c r="S445" s="161"/>
      <c r="T445" s="161"/>
      <c r="U445" s="161"/>
      <c r="V445" s="161"/>
    </row>
    <row r="446" spans="2:22" ht="9.75" customHeight="1" thickTop="1" x14ac:dyDescent="0.5">
      <c r="C446" s="144"/>
      <c r="D446" s="62"/>
      <c r="E446" s="62"/>
      <c r="H446" s="243"/>
      <c r="I446" s="244"/>
      <c r="J446" s="244"/>
      <c r="K446" s="244"/>
      <c r="L446" s="39"/>
    </row>
    <row r="447" spans="2:22" ht="17.399999999999999" customHeight="1" x14ac:dyDescent="0.5">
      <c r="B447" s="7" t="s">
        <v>184</v>
      </c>
      <c r="C447" s="144" t="s">
        <v>242</v>
      </c>
      <c r="D447" s="62"/>
      <c r="E447" s="62"/>
      <c r="H447" s="243"/>
      <c r="I447" s="244"/>
      <c r="J447" s="244"/>
      <c r="K447" s="244">
        <v>57300</v>
      </c>
      <c r="L447" s="135">
        <f>SUM(H447:K447)</f>
        <v>57300</v>
      </c>
    </row>
    <row r="448" spans="2:22" ht="19.5" customHeight="1" thickBot="1" x14ac:dyDescent="0.55000000000000004">
      <c r="B448" s="136"/>
      <c r="C448" s="265"/>
      <c r="D448" s="248"/>
      <c r="E448" s="248"/>
      <c r="F448" s="266"/>
      <c r="G448" s="143"/>
      <c r="H448" s="250"/>
      <c r="I448" s="251"/>
      <c r="J448" s="251"/>
      <c r="K448" s="251"/>
      <c r="L448" s="139"/>
      <c r="M448" s="268"/>
      <c r="N448" s="142"/>
      <c r="O448" s="333"/>
      <c r="P448" s="334"/>
      <c r="Q448" s="142"/>
      <c r="R448" s="268"/>
      <c r="S448" s="143"/>
      <c r="T448" s="143"/>
      <c r="U448" s="143"/>
      <c r="V448" s="143"/>
    </row>
    <row r="449" spans="2:22" ht="10.5" customHeight="1" thickTop="1" x14ac:dyDescent="0.5">
      <c r="C449" s="144"/>
      <c r="D449" s="62"/>
      <c r="E449" s="62"/>
      <c r="H449" s="243"/>
      <c r="I449" s="244"/>
      <c r="J449" s="244"/>
      <c r="K449" s="244"/>
      <c r="L449" s="39"/>
    </row>
    <row r="450" spans="2:22" ht="22.2" customHeight="1" x14ac:dyDescent="0.5">
      <c r="B450" s="7" t="s">
        <v>184</v>
      </c>
      <c r="C450" s="144" t="s">
        <v>243</v>
      </c>
      <c r="D450" s="62"/>
      <c r="E450" s="62"/>
      <c r="H450" s="243"/>
      <c r="I450" s="244"/>
      <c r="J450" s="244"/>
      <c r="K450" s="244">
        <v>65000</v>
      </c>
      <c r="L450" s="135">
        <f>SUM(H450:K450)</f>
        <v>65000</v>
      </c>
    </row>
    <row r="451" spans="2:22" ht="19.5" customHeight="1" thickBot="1" x14ac:dyDescent="0.55000000000000004">
      <c r="B451" s="149"/>
      <c r="C451" s="223"/>
      <c r="D451" s="151"/>
      <c r="E451" s="151"/>
      <c r="F451" s="150"/>
      <c r="G451" s="161"/>
      <c r="H451" s="239"/>
      <c r="I451" s="240"/>
      <c r="J451" s="240"/>
      <c r="K451" s="240"/>
      <c r="L451" s="155"/>
      <c r="M451" s="160"/>
      <c r="N451" s="157"/>
      <c r="O451" s="241"/>
      <c r="P451" s="159"/>
      <c r="Q451" s="157"/>
      <c r="R451" s="160"/>
      <c r="S451" s="161"/>
      <c r="T451" s="161"/>
      <c r="U451" s="161"/>
      <c r="V451" s="161"/>
    </row>
    <row r="452" spans="2:22" ht="10.5" customHeight="1" thickTop="1" x14ac:dyDescent="0.5">
      <c r="C452" s="144"/>
      <c r="D452" s="62"/>
      <c r="E452" s="62"/>
      <c r="H452" s="243"/>
      <c r="I452" s="244"/>
      <c r="J452" s="244"/>
      <c r="K452" s="244"/>
      <c r="L452" s="39"/>
    </row>
    <row r="453" spans="2:22" ht="19.8" customHeight="1" x14ac:dyDescent="0.5">
      <c r="B453" s="7" t="s">
        <v>184</v>
      </c>
      <c r="C453" s="144" t="s">
        <v>244</v>
      </c>
      <c r="D453" s="62"/>
      <c r="E453" s="62"/>
      <c r="H453" s="243"/>
      <c r="I453" s="244"/>
      <c r="J453" s="244"/>
      <c r="K453" s="244">
        <v>59000</v>
      </c>
      <c r="L453" s="135">
        <f>SUM(H453:K453)</f>
        <v>59000</v>
      </c>
    </row>
    <row r="454" spans="2:22" ht="19.5" customHeight="1" thickBot="1" x14ac:dyDescent="0.55000000000000004">
      <c r="B454" s="149"/>
      <c r="C454" s="223"/>
      <c r="D454" s="151"/>
      <c r="E454" s="151"/>
      <c r="F454" s="150"/>
      <c r="G454" s="161"/>
      <c r="H454" s="239"/>
      <c r="I454" s="240"/>
      <c r="J454" s="240"/>
      <c r="K454" s="240"/>
      <c r="L454" s="155"/>
      <c r="M454" s="160"/>
      <c r="N454" s="157"/>
      <c r="O454" s="241"/>
      <c r="P454" s="159"/>
      <c r="Q454" s="157"/>
      <c r="R454" s="160"/>
      <c r="S454" s="161"/>
      <c r="T454" s="161"/>
      <c r="U454" s="161"/>
      <c r="V454" s="161"/>
    </row>
    <row r="455" spans="2:22" ht="10.5" customHeight="1" thickTop="1" x14ac:dyDescent="0.5">
      <c r="C455" s="144"/>
      <c r="D455" s="62"/>
      <c r="E455" s="62"/>
      <c r="H455" s="243"/>
      <c r="I455" s="244"/>
      <c r="J455" s="244"/>
      <c r="K455" s="244"/>
      <c r="L455" s="39"/>
    </row>
    <row r="456" spans="2:22" ht="19.8" customHeight="1" x14ac:dyDescent="0.5">
      <c r="B456" s="7" t="s">
        <v>184</v>
      </c>
      <c r="C456" s="144" t="s">
        <v>245</v>
      </c>
      <c r="D456" s="62"/>
      <c r="E456" s="62"/>
      <c r="H456" s="243"/>
      <c r="I456" s="244"/>
      <c r="J456" s="244"/>
      <c r="K456" s="244">
        <v>54400</v>
      </c>
      <c r="L456" s="135">
        <f>SUM(H456:K456)</f>
        <v>54400</v>
      </c>
    </row>
    <row r="457" spans="2:22" ht="19.5" customHeight="1" thickBot="1" x14ac:dyDescent="0.55000000000000004">
      <c r="B457" s="149"/>
      <c r="C457" s="223"/>
      <c r="D457" s="151"/>
      <c r="E457" s="151"/>
      <c r="F457" s="150"/>
      <c r="G457" s="161"/>
      <c r="H457" s="239"/>
      <c r="I457" s="240"/>
      <c r="J457" s="240"/>
      <c r="K457" s="240"/>
      <c r="L457" s="155"/>
      <c r="M457" s="160"/>
      <c r="N457" s="157"/>
      <c r="O457" s="241"/>
      <c r="P457" s="159"/>
      <c r="Q457" s="157"/>
      <c r="R457" s="160"/>
      <c r="S457" s="161"/>
      <c r="T457" s="161"/>
      <c r="U457" s="161"/>
      <c r="V457" s="161"/>
    </row>
    <row r="458" spans="2:22" ht="10.5" customHeight="1" thickTop="1" x14ac:dyDescent="0.5">
      <c r="C458" s="144"/>
      <c r="D458" s="62"/>
      <c r="E458" s="62"/>
      <c r="H458" s="243"/>
      <c r="I458" s="244"/>
      <c r="J458" s="244"/>
      <c r="K458" s="244"/>
      <c r="L458" s="39"/>
    </row>
    <row r="459" spans="2:22" ht="19.8" customHeight="1" x14ac:dyDescent="0.5">
      <c r="B459" s="7" t="s">
        <v>184</v>
      </c>
      <c r="C459" s="144" t="s">
        <v>246</v>
      </c>
      <c r="D459" s="62"/>
      <c r="E459" s="62"/>
      <c r="H459" s="243"/>
      <c r="I459" s="244"/>
      <c r="J459" s="244"/>
      <c r="K459" s="244">
        <v>68000</v>
      </c>
      <c r="L459" s="135">
        <f>SUM(H459:K459)</f>
        <v>68000</v>
      </c>
    </row>
    <row r="460" spans="2:22" ht="19.5" customHeight="1" thickBot="1" x14ac:dyDescent="0.55000000000000004">
      <c r="B460" s="136"/>
      <c r="C460" s="265"/>
      <c r="D460" s="248"/>
      <c r="E460" s="248"/>
      <c r="F460" s="266"/>
      <c r="G460" s="143"/>
      <c r="H460" s="250"/>
      <c r="I460" s="251"/>
      <c r="J460" s="251"/>
      <c r="K460" s="251"/>
      <c r="L460" s="139"/>
      <c r="M460" s="268"/>
      <c r="N460" s="142"/>
      <c r="O460" s="333"/>
      <c r="P460" s="334"/>
      <c r="Q460" s="142"/>
      <c r="R460" s="268"/>
      <c r="S460" s="143"/>
      <c r="T460" s="143"/>
      <c r="U460" s="143"/>
      <c r="V460" s="143"/>
    </row>
    <row r="461" spans="2:22" ht="9" customHeight="1" thickTop="1" x14ac:dyDescent="0.5">
      <c r="C461" s="144"/>
      <c r="D461" s="62"/>
      <c r="E461" s="62"/>
      <c r="H461" s="243"/>
      <c r="I461" s="244"/>
      <c r="J461" s="244"/>
      <c r="K461" s="244"/>
      <c r="L461" s="39"/>
    </row>
    <row r="462" spans="2:22" ht="21" customHeight="1" x14ac:dyDescent="0.5">
      <c r="B462" s="7" t="s">
        <v>184</v>
      </c>
      <c r="C462" s="144" t="s">
        <v>247</v>
      </c>
      <c r="D462" s="62"/>
      <c r="E462" s="62"/>
      <c r="H462" s="243"/>
      <c r="I462" s="244"/>
      <c r="J462" s="244"/>
      <c r="K462" s="244">
        <v>63800</v>
      </c>
      <c r="L462" s="135">
        <f>SUM(H462:K462)</f>
        <v>63800</v>
      </c>
    </row>
    <row r="463" spans="2:22" ht="19.5" customHeight="1" thickBot="1" x14ac:dyDescent="0.55000000000000004">
      <c r="B463" s="149"/>
      <c r="C463" s="223"/>
      <c r="D463" s="151"/>
      <c r="E463" s="151"/>
      <c r="F463" s="150"/>
      <c r="G463" s="161"/>
      <c r="H463" s="239"/>
      <c r="I463" s="488"/>
      <c r="J463" s="488"/>
      <c r="K463" s="488"/>
      <c r="L463" s="155"/>
      <c r="M463" s="160"/>
      <c r="N463" s="157"/>
      <c r="O463" s="241"/>
      <c r="P463" s="159"/>
      <c r="Q463" s="157"/>
      <c r="R463" s="160"/>
      <c r="S463" s="161"/>
      <c r="T463" s="161"/>
      <c r="U463" s="161"/>
      <c r="V463" s="161"/>
    </row>
    <row r="464" spans="2:22" ht="11.25" customHeight="1" thickTop="1" x14ac:dyDescent="0.5">
      <c r="C464" s="144"/>
      <c r="D464" s="62"/>
      <c r="E464" s="62"/>
      <c r="H464" s="489"/>
      <c r="I464" s="490"/>
      <c r="J464" s="490"/>
      <c r="K464" s="490"/>
      <c r="L464" s="39"/>
    </row>
    <row r="465" spans="2:22" ht="19.8" customHeight="1" x14ac:dyDescent="0.5">
      <c r="B465" s="7" t="s">
        <v>184</v>
      </c>
      <c r="C465" s="144" t="s">
        <v>248</v>
      </c>
      <c r="D465" s="62"/>
      <c r="E465" s="62"/>
      <c r="H465" s="489"/>
      <c r="I465" s="490"/>
      <c r="J465" s="490"/>
      <c r="K465" s="490">
        <v>62000</v>
      </c>
      <c r="L465" s="135">
        <f>SUM(H465:K465)</f>
        <v>62000</v>
      </c>
    </row>
    <row r="466" spans="2:22" ht="19.5" customHeight="1" thickBot="1" x14ac:dyDescent="0.55000000000000004">
      <c r="B466" s="136"/>
      <c r="C466" s="265"/>
      <c r="D466" s="248"/>
      <c r="E466" s="248"/>
      <c r="F466" s="266"/>
      <c r="G466" s="143"/>
      <c r="H466" s="250"/>
      <c r="I466" s="491"/>
      <c r="J466" s="491"/>
      <c r="K466" s="491"/>
      <c r="L466" s="139"/>
      <c r="M466" s="268"/>
      <c r="N466" s="142"/>
      <c r="O466" s="333"/>
      <c r="P466" s="334"/>
      <c r="Q466" s="142"/>
      <c r="R466" s="268"/>
      <c r="S466" s="143"/>
      <c r="T466" s="143"/>
      <c r="U466" s="143"/>
      <c r="V466" s="143"/>
    </row>
    <row r="467" spans="2:22" ht="12" customHeight="1" thickTop="1" x14ac:dyDescent="0.5">
      <c r="C467" s="144"/>
      <c r="D467" s="62"/>
      <c r="E467" s="62"/>
      <c r="H467" s="489"/>
      <c r="I467" s="490"/>
      <c r="J467" s="490"/>
      <c r="K467" s="490"/>
      <c r="L467" s="39"/>
    </row>
    <row r="468" spans="2:22" ht="19.5" customHeight="1" x14ac:dyDescent="0.5">
      <c r="B468" s="7" t="s">
        <v>184</v>
      </c>
      <c r="C468" s="203" t="s">
        <v>249</v>
      </c>
      <c r="D468" s="62"/>
      <c r="E468" s="62"/>
      <c r="H468" s="492"/>
      <c r="I468" s="493"/>
      <c r="J468" s="493"/>
      <c r="K468" s="536">
        <v>79000</v>
      </c>
      <c r="L468" s="135">
        <f>SUM(H468:K468)</f>
        <v>79000</v>
      </c>
    </row>
    <row r="469" spans="2:22" x14ac:dyDescent="0.5">
      <c r="H469" s="492"/>
      <c r="I469" s="493"/>
      <c r="J469" s="493"/>
      <c r="K469" s="493"/>
      <c r="L469" s="39"/>
    </row>
    <row r="470" spans="2:22" x14ac:dyDescent="0.5">
      <c r="H470" s="492"/>
      <c r="I470" s="493"/>
      <c r="J470" s="493"/>
      <c r="K470" s="493"/>
      <c r="L470" s="39"/>
    </row>
    <row r="471" spans="2:22" x14ac:dyDescent="0.5">
      <c r="H471" s="492"/>
      <c r="I471" s="493"/>
      <c r="J471" s="493"/>
      <c r="K471" s="493"/>
      <c r="L471" s="39"/>
    </row>
    <row r="472" spans="2:22" x14ac:dyDescent="0.5">
      <c r="H472" s="492"/>
      <c r="I472" s="493"/>
      <c r="J472" s="493"/>
      <c r="K472" s="493"/>
    </row>
  </sheetData>
  <mergeCells count="44">
    <mergeCell ref="O67:O69"/>
    <mergeCell ref="O26:O28"/>
    <mergeCell ref="O30:O32"/>
    <mergeCell ref="O35:O39"/>
    <mergeCell ref="B5:D5"/>
    <mergeCell ref="D7:U7"/>
    <mergeCell ref="O12:O17"/>
    <mergeCell ref="O19:O24"/>
    <mergeCell ref="O96:O101"/>
    <mergeCell ref="O131:O133"/>
    <mergeCell ref="O144:O145"/>
    <mergeCell ref="O149:O154"/>
    <mergeCell ref="O71:O75"/>
    <mergeCell ref="O42:O44"/>
    <mergeCell ref="O48:O60"/>
    <mergeCell ref="P253:P255"/>
    <mergeCell ref="O253:O255"/>
    <mergeCell ref="O185:O198"/>
    <mergeCell ref="O213:O217"/>
    <mergeCell ref="O219:O222"/>
    <mergeCell ref="O165:O168"/>
    <mergeCell ref="P165:P168"/>
    <mergeCell ref="O173:O175"/>
    <mergeCell ref="O176:O179"/>
    <mergeCell ref="O204:O209"/>
    <mergeCell ref="O156:O158"/>
    <mergeCell ref="O77:O83"/>
    <mergeCell ref="O109:O112"/>
    <mergeCell ref="O121:O124"/>
    <mergeCell ref="O284:O285"/>
    <mergeCell ref="O317:O322"/>
    <mergeCell ref="O200:O202"/>
    <mergeCell ref="O418:O420"/>
    <mergeCell ref="L225:L226"/>
    <mergeCell ref="O225:O235"/>
    <mergeCell ref="O393:O399"/>
    <mergeCell ref="O403:O404"/>
    <mergeCell ref="O336:O338"/>
    <mergeCell ref="O343:O344"/>
    <mergeCell ref="O371:O373"/>
    <mergeCell ref="O379:O383"/>
    <mergeCell ref="O389:O390"/>
    <mergeCell ref="O258:O272"/>
    <mergeCell ref="O280:O282"/>
  </mergeCells>
  <hyperlinks>
    <hyperlink ref="G393" r:id="rId1" display="https://grupomaxx.sperant.com/clients/cce2203b-e7a728-0e21" xr:uid="{C086E48E-BBB3-4E00-A0A0-50DACC86631A}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Eduardo Huamani</cp:lastModifiedBy>
  <dcterms:created xsi:type="dcterms:W3CDTF">2026-03-27T22:27:52Z</dcterms:created>
  <dcterms:modified xsi:type="dcterms:W3CDTF">2026-04-17T16:28:43Z</dcterms:modified>
</cp:coreProperties>
</file>