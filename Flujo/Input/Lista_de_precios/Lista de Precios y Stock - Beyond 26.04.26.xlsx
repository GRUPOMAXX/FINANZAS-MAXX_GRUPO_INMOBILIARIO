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xxgrupo.sharepoint.com/sites/FILEMAXXGRUPOINMOBILIARIO/Documentos compartidos/FILE MAXX GRUPO INMOBILIARIO/COMERCIAL/VENTAS/02 Lista de Precios/Stock/"/>
    </mc:Choice>
  </mc:AlternateContent>
  <xr:revisionPtr revIDLastSave="354" documentId="8_{F462B5E3-F4F0-4BD3-98B2-51CF52F43CE0}" xr6:coauthVersionLast="47" xr6:coauthVersionMax="47" xr10:uidLastSave="{68349112-CED8-4CC0-8A72-EF6371DAE927}"/>
  <bookViews>
    <workbookView xWindow="-120" yWindow="-120" windowWidth="20730" windowHeight="11040" xr2:uid="{CB07F3C3-8808-4AE0-9D1D-0851558A04A0}"/>
  </bookViews>
  <sheets>
    <sheet name="STOCK" sheetId="1" r:id="rId1"/>
  </sheets>
  <definedNames>
    <definedName name="_xlnm._FilterDatabase" localSheetId="0" hidden="1">STOCK!$A$13:$M$184</definedName>
    <definedName name="_xlnm.Print_Area" localSheetId="0">STOCK!$A$1:$M$184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" l="1"/>
  <c r="F45" i="1"/>
  <c r="K27" i="1"/>
  <c r="K54" i="1"/>
  <c r="K18" i="1"/>
  <c r="K19" i="1"/>
  <c r="K20" i="1"/>
  <c r="K21" i="1"/>
  <c r="K23" i="1"/>
  <c r="K24" i="1"/>
  <c r="K25" i="1"/>
  <c r="K26" i="1"/>
  <c r="K28" i="1"/>
  <c r="K29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110" i="1"/>
  <c r="K103" i="1"/>
  <c r="K91" i="1"/>
  <c r="K87" i="1"/>
  <c r="K75" i="1"/>
  <c r="K60" i="1"/>
  <c r="K55" i="1"/>
  <c r="K53" i="1"/>
  <c r="K50" i="1"/>
  <c r="K113" i="1"/>
  <c r="K112" i="1"/>
  <c r="K111" i="1"/>
  <c r="K109" i="1"/>
  <c r="K108" i="1"/>
  <c r="K107" i="1"/>
  <c r="K106" i="1"/>
  <c r="K105" i="1"/>
  <c r="K104" i="1"/>
  <c r="K102" i="1"/>
  <c r="K101" i="1"/>
  <c r="K100" i="1"/>
  <c r="K99" i="1"/>
  <c r="K98" i="1"/>
  <c r="K97" i="1"/>
  <c r="K96" i="1"/>
  <c r="K95" i="1"/>
  <c r="K94" i="1"/>
  <c r="K93" i="1"/>
  <c r="K92" i="1"/>
  <c r="K90" i="1"/>
  <c r="K89" i="1"/>
  <c r="K88" i="1"/>
  <c r="K86" i="1"/>
  <c r="K85" i="1"/>
  <c r="K84" i="1"/>
  <c r="K83" i="1"/>
  <c r="K82" i="1"/>
  <c r="K81" i="1"/>
  <c r="K80" i="1"/>
  <c r="K79" i="1"/>
  <c r="K78" i="1"/>
  <c r="K77" i="1"/>
  <c r="K76" i="1"/>
  <c r="K74" i="1"/>
  <c r="K73" i="1"/>
  <c r="K72" i="1"/>
  <c r="K71" i="1"/>
  <c r="K70" i="1"/>
  <c r="K69" i="1"/>
  <c r="K67" i="1"/>
  <c r="K66" i="1"/>
  <c r="K65" i="1"/>
  <c r="K64" i="1"/>
  <c r="K63" i="1"/>
  <c r="K62" i="1"/>
  <c r="K61" i="1"/>
  <c r="K59" i="1"/>
  <c r="K58" i="1"/>
  <c r="K57" i="1"/>
  <c r="K56" i="1"/>
  <c r="K52" i="1"/>
  <c r="K51" i="1"/>
  <c r="K49" i="1"/>
  <c r="K48" i="1"/>
  <c r="K47" i="1"/>
  <c r="K46" i="1"/>
  <c r="H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K68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4" i="1"/>
  <c r="F43" i="1"/>
  <c r="F42" i="1"/>
  <c r="F41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N27" i="1" l="1"/>
  <c r="N59" i="1"/>
  <c r="N96" i="1"/>
  <c r="N92" i="1"/>
  <c r="N100" i="1"/>
  <c r="N34" i="1"/>
  <c r="N90" i="1"/>
  <c r="N62" i="1"/>
  <c r="N54" i="1"/>
  <c r="N64" i="1"/>
  <c r="N60" i="1"/>
  <c r="N103" i="1"/>
  <c r="N23" i="1"/>
  <c r="N94" i="1"/>
  <c r="N98" i="1"/>
  <c r="N102" i="1"/>
  <c r="N61" i="1"/>
  <c r="N65" i="1"/>
  <c r="N83" i="1"/>
  <c r="N88" i="1"/>
  <c r="N111" i="1"/>
  <c r="N75" i="1"/>
  <c r="N73" i="1"/>
  <c r="N109" i="1"/>
  <c r="N86" i="1"/>
  <c r="N37" i="1"/>
  <c r="N74" i="1"/>
  <c r="N101" i="1"/>
  <c r="N106" i="1"/>
  <c r="N110" i="1"/>
  <c r="N20" i="1"/>
  <c r="N57" i="1"/>
  <c r="N71" i="1"/>
  <c r="N76" i="1"/>
  <c r="N80" i="1"/>
  <c r="N107" i="1"/>
  <c r="N112" i="1"/>
  <c r="N53" i="1"/>
  <c r="N87" i="1"/>
  <c r="N29" i="1"/>
  <c r="N69" i="1"/>
  <c r="N105" i="1"/>
  <c r="N78" i="1"/>
  <c r="N70" i="1"/>
  <c r="N93" i="1"/>
  <c r="N68" i="1"/>
  <c r="N35" i="1"/>
  <c r="N41" i="1"/>
  <c r="N47" i="1"/>
  <c r="N52" i="1"/>
  <c r="N63" i="1"/>
  <c r="N67" i="1"/>
  <c r="N72" i="1"/>
  <c r="N77" i="1"/>
  <c r="N81" i="1"/>
  <c r="N95" i="1"/>
  <c r="N99" i="1"/>
  <c r="N108" i="1"/>
  <c r="N113" i="1"/>
  <c r="N55" i="1"/>
  <c r="N91" i="1"/>
</calcChain>
</file>

<file path=xl/sharedStrings.xml><?xml version="1.0" encoding="utf-8"?>
<sst xmlns="http://schemas.openxmlformats.org/spreadsheetml/2006/main" count="378" uniqueCount="150">
  <si>
    <t>FECHA DE ELABORACION</t>
  </si>
  <si>
    <t xml:space="preserve">LISTA DE PRECIOS </t>
  </si>
  <si>
    <t>PROYECTO</t>
  </si>
  <si>
    <t>CLUB HOUSE "BEYOND"</t>
  </si>
  <si>
    <t>DETALLE DE LAS UNIDADES EN VENTA</t>
  </si>
  <si>
    <t>UNIDADES
(dptos.)</t>
  </si>
  <si>
    <t>AREA m2</t>
  </si>
  <si>
    <t>DORM</t>
  </si>
  <si>
    <t>PRECIO
EN SOLES</t>
  </si>
  <si>
    <t>DSCTO</t>
  </si>
  <si>
    <t>PRECIO CON DSCTO</t>
  </si>
  <si>
    <t>UBICACIÓN</t>
  </si>
  <si>
    <t>STATUS</t>
  </si>
  <si>
    <t>TECHADA</t>
  </si>
  <si>
    <t>LIBRE</t>
  </si>
  <si>
    <t>TOTAL</t>
  </si>
  <si>
    <t>1er</t>
  </si>
  <si>
    <t>2do</t>
  </si>
  <si>
    <t>CALLE</t>
  </si>
  <si>
    <t>INTERNA</t>
  </si>
  <si>
    <t>3ro</t>
  </si>
  <si>
    <t>4to</t>
  </si>
  <si>
    <t>5to</t>
  </si>
  <si>
    <t>6to</t>
  </si>
  <si>
    <t>7mo</t>
  </si>
  <si>
    <t>8vo</t>
  </si>
  <si>
    <t>9no</t>
  </si>
  <si>
    <t>10mo</t>
  </si>
  <si>
    <t>11vo</t>
  </si>
  <si>
    <t>12vo</t>
  </si>
  <si>
    <t>13vo</t>
  </si>
  <si>
    <t>14vo</t>
  </si>
  <si>
    <t>15vo</t>
  </si>
  <si>
    <t>16vo</t>
  </si>
  <si>
    <t>17vo</t>
  </si>
  <si>
    <t>SOTANO 1.</t>
  </si>
  <si>
    <t>E 01</t>
  </si>
  <si>
    <t>E 02</t>
  </si>
  <si>
    <t>E 03 - D 01</t>
  </si>
  <si>
    <t>E 04 - D 02</t>
  </si>
  <si>
    <t>E 05</t>
  </si>
  <si>
    <t xml:space="preserve">E 06 </t>
  </si>
  <si>
    <t xml:space="preserve">E 07 </t>
  </si>
  <si>
    <t>E 08 - D 08</t>
  </si>
  <si>
    <t xml:space="preserve">E 09 </t>
  </si>
  <si>
    <t>E 10 - D 09</t>
  </si>
  <si>
    <t xml:space="preserve">E 11 </t>
  </si>
  <si>
    <t>E 12 - D 10</t>
  </si>
  <si>
    <t>E 13 - D 11</t>
  </si>
  <si>
    <t>E 14 - D 12</t>
  </si>
  <si>
    <t>E 15 - D 13</t>
  </si>
  <si>
    <t>E 16</t>
  </si>
  <si>
    <t>D 03</t>
  </si>
  <si>
    <t>D 04</t>
  </si>
  <si>
    <t>D 05</t>
  </si>
  <si>
    <t>D 06</t>
  </si>
  <si>
    <t>D 07</t>
  </si>
  <si>
    <t>SOTANO 2.</t>
  </si>
  <si>
    <t xml:space="preserve">E 17 </t>
  </si>
  <si>
    <t xml:space="preserve">E 18 </t>
  </si>
  <si>
    <t>E 19 - D 14</t>
  </si>
  <si>
    <t>E 20 - D 15</t>
  </si>
  <si>
    <t xml:space="preserve">E 21 </t>
  </si>
  <si>
    <t>E 22</t>
  </si>
  <si>
    <t xml:space="preserve">E 23 </t>
  </si>
  <si>
    <t xml:space="preserve">E 24 </t>
  </si>
  <si>
    <t xml:space="preserve">E 25 </t>
  </si>
  <si>
    <t>D 16</t>
  </si>
  <si>
    <t>E 26 - D 17</t>
  </si>
  <si>
    <t xml:space="preserve">E 27 </t>
  </si>
  <si>
    <t>E 28 - D 18</t>
  </si>
  <si>
    <t>E 29</t>
  </si>
  <si>
    <t>E 30 - D 19</t>
  </si>
  <si>
    <t>E 31 - D 20</t>
  </si>
  <si>
    <t>E 32 - D 21</t>
  </si>
  <si>
    <t>E 33 - D 22</t>
  </si>
  <si>
    <t xml:space="preserve">E 34 </t>
  </si>
  <si>
    <t>SOTANO 3.</t>
  </si>
  <si>
    <t>E 35</t>
  </si>
  <si>
    <t>E 36</t>
  </si>
  <si>
    <t>E 37 - D 23</t>
  </si>
  <si>
    <t>E 38 - D 24</t>
  </si>
  <si>
    <t xml:space="preserve">E 39 </t>
  </si>
  <si>
    <t xml:space="preserve">E 40 </t>
  </si>
  <si>
    <t>E 41</t>
  </si>
  <si>
    <t>E 42</t>
  </si>
  <si>
    <t>E 43</t>
  </si>
  <si>
    <t>D 25</t>
  </si>
  <si>
    <t>E 44 - D 26</t>
  </si>
  <si>
    <t>E 45</t>
  </si>
  <si>
    <t>E 46 - D 27</t>
  </si>
  <si>
    <t xml:space="preserve">E 47 </t>
  </si>
  <si>
    <t>E 48 - D 28</t>
  </si>
  <si>
    <t>E 49 - D 29</t>
  </si>
  <si>
    <t>E 50 - D 30</t>
  </si>
  <si>
    <t>E 51 - D 31</t>
  </si>
  <si>
    <t>E 52</t>
  </si>
  <si>
    <t>SOTANO 4.</t>
  </si>
  <si>
    <t>E 53</t>
  </si>
  <si>
    <t>E 54</t>
  </si>
  <si>
    <t>E 55 - D 32</t>
  </si>
  <si>
    <t>E 56 - D 33</t>
  </si>
  <si>
    <t>E 57</t>
  </si>
  <si>
    <t>E 58</t>
  </si>
  <si>
    <t>E 59</t>
  </si>
  <si>
    <t>E 60</t>
  </si>
  <si>
    <t>D 34</t>
  </si>
  <si>
    <t>D 35</t>
  </si>
  <si>
    <t>D 36</t>
  </si>
  <si>
    <t>DSCTO ADICIONAL</t>
  </si>
  <si>
    <t>Tania Valladares</t>
  </si>
  <si>
    <t>Darwin Peralta</t>
  </si>
  <si>
    <t>BLOQUEADO</t>
  </si>
  <si>
    <t>Jhoully Kattherine Moreno Saavedra</t>
  </si>
  <si>
    <t>Danixa Thalia Manosalva Ameri</t>
  </si>
  <si>
    <t>Olga Ysabel Bellon Silva</t>
  </si>
  <si>
    <t>Liseth Carguavilva Perez</t>
  </si>
  <si>
    <t>Juana Mercedes Moran Peralta</t>
  </si>
  <si>
    <t>Ronal Jose Claudio Ramirez</t>
  </si>
  <si>
    <t>Jimmy Luis Andrade Morveli</t>
  </si>
  <si>
    <t>Dolores Lissett Castillo Diaz</t>
  </si>
  <si>
    <t>Víctor Daniel Chuquihuaccha Hernandez</t>
  </si>
  <si>
    <t>LC1</t>
  </si>
  <si>
    <t>LC2</t>
  </si>
  <si>
    <t>LC3</t>
  </si>
  <si>
    <t>LC4</t>
  </si>
  <si>
    <t>Vendido</t>
  </si>
  <si>
    <t>Marco Antonio Cordova Oropeza</t>
  </si>
  <si>
    <t>Margarita Mercedes Lujan Pardes</t>
  </si>
  <si>
    <t>Tania Milagros Cotrina Vara</t>
  </si>
  <si>
    <t>Victor Hugo Quispe Cupe</t>
  </si>
  <si>
    <t>Leidy Lucero Espiritu Zabarburu</t>
  </si>
  <si>
    <t>Laura Guerra Sullcarime</t>
  </si>
  <si>
    <t>Gina Victoria Saenz Pasco</t>
  </si>
  <si>
    <t>Francesca Giuliana Ramos Ortiz</t>
  </si>
  <si>
    <t>Erick Raul Bedoya Baca</t>
  </si>
  <si>
    <t>Dante Enrique Segura Florian</t>
  </si>
  <si>
    <t>Luisa Liliana Esther Erazo Medina</t>
  </si>
  <si>
    <t>Vivina Pasco Blas Vda. De Saenz</t>
  </si>
  <si>
    <t>Pablo Jaime Cornejo Pereda</t>
  </si>
  <si>
    <t>Mayra Andrea Montenegro</t>
  </si>
  <si>
    <t>Ronal Ticona Arones</t>
  </si>
  <si>
    <t>Jorge Luis Montoya Mendoza</t>
  </si>
  <si>
    <t>Harry Anderson Yance Ruiz</t>
  </si>
  <si>
    <t>Diana Carolina Asmat Cuno</t>
  </si>
  <si>
    <t>Fabiola Maria Lecca Vargas</t>
  </si>
  <si>
    <t>Elizabeth Mindy Delgado Pereyra</t>
  </si>
  <si>
    <t>Jorge Enrique Brain Bedoya</t>
  </si>
  <si>
    <t>Christian Blas Acosta</t>
  </si>
  <si>
    <t>Rosa Margarita Contreras Apolay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</si>
</sst>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\ &quot;m2&quot;"/>
    <numFmt numFmtId="165" formatCode="#,##0\ &quot;m2&quot;"/>
    <numFmt numFmtId="166" formatCode="_(* #,##0_);_(* \(#,##0\);_(* &quot;-&quot;??_);_(@_)"/>
    <numFmt numFmtId="167" formatCode="#,##0.0\ &quot;m2&quot;"/>
    <numFmt numFmtId="168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Verdana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name val="Arial Narrow"/>
      <family val="2"/>
    </font>
    <font>
      <b/>
      <sz val="16"/>
      <color theme="0"/>
      <name val="Arial Narrow"/>
      <family val="2"/>
    </font>
    <font>
      <sz val="10"/>
      <name val="Verdana"/>
      <family val="2"/>
    </font>
    <font>
      <b/>
      <sz val="10"/>
      <name val="Arial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rgb="FF0091C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hair">
        <color rgb="FF0096D7"/>
      </right>
      <top/>
      <bottom/>
      <diagonal/>
    </border>
    <border>
      <left style="hair">
        <color rgb="FF0096D7"/>
      </left>
      <right style="hair">
        <color rgb="FF0096D7"/>
      </right>
      <top style="hair">
        <color rgb="FF0096D7"/>
      </top>
      <bottom style="hair">
        <color rgb="FF0096D7"/>
      </bottom>
      <diagonal/>
    </border>
    <border>
      <left style="hair">
        <color rgb="FF0096D7"/>
      </left>
      <right/>
      <top/>
      <bottom/>
      <diagonal/>
    </border>
    <border>
      <left style="hair">
        <color rgb="FF0096D7"/>
      </left>
      <right/>
      <top style="hair">
        <color rgb="FF0096D7"/>
      </top>
      <bottom style="hair">
        <color rgb="FF0096D7"/>
      </bottom>
      <diagonal/>
    </border>
    <border>
      <left/>
      <right/>
      <top style="hair">
        <color rgb="FF0096D7"/>
      </top>
      <bottom style="hair">
        <color rgb="FF0096D7"/>
      </bottom>
      <diagonal/>
    </border>
    <border>
      <left/>
      <right style="hair">
        <color rgb="FF0096D7"/>
      </right>
      <top style="hair">
        <color rgb="FF0096D7"/>
      </top>
      <bottom style="hair">
        <color rgb="FF0096D7"/>
      </bottom>
      <diagonal/>
    </border>
    <border>
      <left style="hair">
        <color rgb="FF0096D7"/>
      </left>
      <right style="hair">
        <color rgb="FF0096D7"/>
      </right>
      <top style="hair">
        <color rgb="FF0096D7"/>
      </top>
      <bottom/>
      <diagonal/>
    </border>
    <border>
      <left style="hair">
        <color rgb="FF0096D7"/>
      </left>
      <right/>
      <top style="hair">
        <color rgb="FF0096D7"/>
      </top>
      <bottom/>
      <diagonal/>
    </border>
    <border>
      <left style="hair">
        <color rgb="FF0096D7"/>
      </left>
      <right style="hair">
        <color rgb="FF0096D7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rgb="FF0096D7"/>
      </left>
      <right style="hair">
        <color rgb="FF0096D7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18">
    <xf numFmtId="0" fontId="0" fillId="0" borderId="0" xfId="0"/>
    <xf numFmtId="0" fontId="5" fillId="0" borderId="0" xfId="2" applyFont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/>
    <xf numFmtId="4" fontId="0" fillId="0" borderId="0" xfId="0" applyNumberForma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10" fillId="0" borderId="0" xfId="0" applyFont="1"/>
    <xf numFmtId="0" fontId="10" fillId="2" borderId="0" xfId="0" applyFont="1" applyFill="1"/>
    <xf numFmtId="164" fontId="10" fillId="2" borderId="13" xfId="0" applyNumberFormat="1" applyFont="1" applyFill="1" applyBorder="1" applyProtection="1">
      <protection locked="0"/>
    </xf>
    <xf numFmtId="165" fontId="13" fillId="2" borderId="14" xfId="0" applyNumberFormat="1" applyFont="1" applyFill="1" applyBorder="1" applyProtection="1">
      <protection locked="0"/>
    </xf>
    <xf numFmtId="0" fontId="13" fillId="2" borderId="14" xfId="0" applyFont="1" applyFill="1" applyBorder="1" applyProtection="1">
      <protection locked="0"/>
    </xf>
    <xf numFmtId="166" fontId="0" fillId="2" borderId="14" xfId="0" applyNumberFormat="1" applyFill="1" applyBorder="1"/>
    <xf numFmtId="0" fontId="11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164" fontId="10" fillId="2" borderId="18" xfId="0" applyNumberFormat="1" applyFont="1" applyFill="1" applyBorder="1" applyProtection="1">
      <protection locked="0"/>
    </xf>
    <xf numFmtId="165" fontId="10" fillId="2" borderId="17" xfId="0" applyNumberFormat="1" applyFont="1" applyFill="1" applyBorder="1" applyProtection="1">
      <protection locked="0"/>
    </xf>
    <xf numFmtId="0" fontId="12" fillId="4" borderId="19" xfId="0" applyFont="1" applyFill="1" applyBorder="1" applyAlignment="1">
      <alignment horizontal="center"/>
    </xf>
    <xf numFmtId="165" fontId="10" fillId="4" borderId="17" xfId="0" applyNumberFormat="1" applyFont="1" applyFill="1" applyBorder="1" applyProtection="1">
      <protection locked="0"/>
    </xf>
    <xf numFmtId="164" fontId="10" fillId="4" borderId="18" xfId="0" applyNumberFormat="1" applyFont="1" applyFill="1" applyBorder="1" applyProtection="1">
      <protection locked="0"/>
    </xf>
    <xf numFmtId="165" fontId="13" fillId="4" borderId="14" xfId="0" applyNumberFormat="1" applyFont="1" applyFill="1" applyBorder="1" applyProtection="1">
      <protection locked="0"/>
    </xf>
    <xf numFmtId="0" fontId="13" fillId="4" borderId="14" xfId="0" applyFont="1" applyFill="1" applyBorder="1" applyProtection="1">
      <protection locked="0"/>
    </xf>
    <xf numFmtId="166" fontId="0" fillId="4" borderId="14" xfId="0" applyNumberFormat="1" applyFill="1" applyBorder="1"/>
    <xf numFmtId="164" fontId="10" fillId="2" borderId="20" xfId="0" applyNumberFormat="1" applyFont="1" applyFill="1" applyBorder="1" applyProtection="1">
      <protection locked="0"/>
    </xf>
    <xf numFmtId="0" fontId="12" fillId="0" borderId="16" xfId="0" applyFont="1" applyBorder="1" applyAlignment="1">
      <alignment horizontal="center"/>
    </xf>
    <xf numFmtId="165" fontId="10" fillId="0" borderId="22" xfId="0" applyNumberFormat="1" applyFont="1" applyBorder="1" applyProtection="1">
      <protection locked="0"/>
    </xf>
    <xf numFmtId="165" fontId="13" fillId="0" borderId="23" xfId="0" applyNumberFormat="1" applyFont="1" applyBorder="1" applyProtection="1">
      <protection locked="0"/>
    </xf>
    <xf numFmtId="0" fontId="13" fillId="0" borderId="23" xfId="0" applyFont="1" applyBorder="1" applyProtection="1">
      <protection locked="0"/>
    </xf>
    <xf numFmtId="166" fontId="0" fillId="0" borderId="23" xfId="0" applyNumberFormat="1" applyBorder="1"/>
    <xf numFmtId="0" fontId="12" fillId="2" borderId="19" xfId="0" applyFont="1" applyFill="1" applyBorder="1" applyAlignment="1">
      <alignment horizontal="center"/>
    </xf>
    <xf numFmtId="165" fontId="10" fillId="2" borderId="22" xfId="0" applyNumberFormat="1" applyFont="1" applyFill="1" applyBorder="1" applyProtection="1">
      <protection locked="0"/>
    </xf>
    <xf numFmtId="164" fontId="10" fillId="2" borderId="26" xfId="0" applyNumberFormat="1" applyFont="1" applyFill="1" applyBorder="1" applyProtection="1">
      <protection locked="0"/>
    </xf>
    <xf numFmtId="165" fontId="13" fillId="2" borderId="23" xfId="0" applyNumberFormat="1" applyFont="1" applyFill="1" applyBorder="1" applyProtection="1">
      <protection locked="0"/>
    </xf>
    <xf numFmtId="0" fontId="13" fillId="2" borderId="23" xfId="0" applyFont="1" applyFill="1" applyBorder="1" applyProtection="1">
      <protection locked="0"/>
    </xf>
    <xf numFmtId="166" fontId="0" fillId="2" borderId="23" xfId="0" applyNumberFormat="1" applyFill="1" applyBorder="1"/>
    <xf numFmtId="0" fontId="12" fillId="2" borderId="24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164" fontId="10" fillId="4" borderId="20" xfId="0" applyNumberFormat="1" applyFont="1" applyFill="1" applyBorder="1" applyProtection="1">
      <protection locked="0"/>
    </xf>
    <xf numFmtId="0" fontId="12" fillId="4" borderId="27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165" fontId="10" fillId="4" borderId="22" xfId="0" applyNumberFormat="1" applyFont="1" applyFill="1" applyBorder="1" applyProtection="1">
      <protection locked="0"/>
    </xf>
    <xf numFmtId="164" fontId="10" fillId="4" borderId="26" xfId="0" applyNumberFormat="1" applyFont="1" applyFill="1" applyBorder="1" applyProtection="1">
      <protection locked="0"/>
    </xf>
    <xf numFmtId="165" fontId="13" fillId="4" borderId="23" xfId="0" applyNumberFormat="1" applyFont="1" applyFill="1" applyBorder="1" applyProtection="1">
      <protection locked="0"/>
    </xf>
    <xf numFmtId="0" fontId="13" fillId="4" borderId="23" xfId="0" applyFont="1" applyFill="1" applyBorder="1" applyProtection="1">
      <protection locked="0"/>
    </xf>
    <xf numFmtId="166" fontId="0" fillId="4" borderId="23" xfId="0" applyNumberFormat="1" applyFill="1" applyBorder="1"/>
    <xf numFmtId="165" fontId="10" fillId="2" borderId="29" xfId="0" applyNumberFormat="1" applyFont="1" applyFill="1" applyBorder="1" applyProtection="1">
      <protection locked="0"/>
    </xf>
    <xf numFmtId="0" fontId="12" fillId="4" borderId="24" xfId="0" applyFont="1" applyFill="1" applyBorder="1" applyAlignment="1">
      <alignment horizontal="center"/>
    </xf>
    <xf numFmtId="164" fontId="10" fillId="2" borderId="30" xfId="0" applyNumberFormat="1" applyFont="1" applyFill="1" applyBorder="1" applyProtection="1">
      <protection locked="0"/>
    </xf>
    <xf numFmtId="0" fontId="12" fillId="2" borderId="31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0" fillId="0" borderId="25" xfId="0" applyFont="1" applyBorder="1"/>
    <xf numFmtId="0" fontId="10" fillId="0" borderId="27" xfId="0" applyFont="1" applyBorder="1"/>
    <xf numFmtId="164" fontId="10" fillId="2" borderId="14" xfId="0" applyNumberFormat="1" applyFont="1" applyFill="1" applyBorder="1" applyAlignment="1" applyProtection="1">
      <alignment horizontal="right"/>
      <protection locked="0"/>
    </xf>
    <xf numFmtId="167" fontId="13" fillId="2" borderId="14" xfId="0" applyNumberFormat="1" applyFont="1" applyFill="1" applyBorder="1" applyProtection="1">
      <protection locked="0"/>
    </xf>
    <xf numFmtId="168" fontId="0" fillId="2" borderId="14" xfId="1" applyNumberFormat="1" applyFont="1" applyFill="1" applyBorder="1"/>
    <xf numFmtId="0" fontId="10" fillId="0" borderId="14" xfId="0" applyFont="1" applyBorder="1"/>
    <xf numFmtId="168" fontId="0" fillId="5" borderId="14" xfId="1" applyNumberFormat="1" applyFont="1" applyFill="1" applyBorder="1"/>
    <xf numFmtId="4" fontId="0" fillId="2" borderId="14" xfId="0" applyNumberFormat="1" applyFill="1" applyBorder="1"/>
    <xf numFmtId="0" fontId="10" fillId="0" borderId="23" xfId="0" applyFont="1" applyBorder="1"/>
    <xf numFmtId="4" fontId="0" fillId="2" borderId="23" xfId="0" applyNumberFormat="1" applyFill="1" applyBorder="1"/>
    <xf numFmtId="167" fontId="13" fillId="2" borderId="23" xfId="0" applyNumberFormat="1" applyFont="1" applyFill="1" applyBorder="1" applyProtection="1">
      <protection locked="0"/>
    </xf>
    <xf numFmtId="168" fontId="0" fillId="2" borderId="23" xfId="1" applyNumberFormat="1" applyFont="1" applyFill="1" applyBorder="1"/>
    <xf numFmtId="0" fontId="10" fillId="0" borderId="30" xfId="0" applyFont="1" applyBorder="1"/>
    <xf numFmtId="43" fontId="0" fillId="2" borderId="14" xfId="1" applyFont="1" applyFill="1" applyBorder="1"/>
    <xf numFmtId="0" fontId="10" fillId="0" borderId="36" xfId="0" applyFont="1" applyBorder="1"/>
    <xf numFmtId="43" fontId="3" fillId="0" borderId="0" xfId="1" applyFont="1"/>
    <xf numFmtId="43" fontId="0" fillId="0" borderId="0" xfId="1" applyFont="1"/>
    <xf numFmtId="0" fontId="12" fillId="5" borderId="16" xfId="0" applyFont="1" applyFill="1" applyBorder="1" applyAlignment="1">
      <alignment horizontal="center"/>
    </xf>
    <xf numFmtId="165" fontId="10" fillId="5" borderId="17" xfId="0" applyNumberFormat="1" applyFont="1" applyFill="1" applyBorder="1" applyProtection="1">
      <protection locked="0"/>
    </xf>
    <xf numFmtId="164" fontId="10" fillId="5" borderId="20" xfId="0" applyNumberFormat="1" applyFont="1" applyFill="1" applyBorder="1" applyProtection="1">
      <protection locked="0"/>
    </xf>
    <xf numFmtId="165" fontId="13" fillId="5" borderId="14" xfId="0" applyNumberFormat="1" applyFont="1" applyFill="1" applyBorder="1" applyProtection="1">
      <protection locked="0"/>
    </xf>
    <xf numFmtId="0" fontId="13" fillId="5" borderId="14" xfId="0" applyFont="1" applyFill="1" applyBorder="1" applyProtection="1">
      <protection locked="0"/>
    </xf>
    <xf numFmtId="166" fontId="0" fillId="5" borderId="14" xfId="0" applyNumberFormat="1" applyFill="1" applyBorder="1"/>
    <xf numFmtId="164" fontId="10" fillId="5" borderId="18" xfId="0" applyNumberFormat="1" applyFont="1" applyFill="1" applyBorder="1" applyProtection="1">
      <protection locked="0"/>
    </xf>
    <xf numFmtId="0" fontId="12" fillId="5" borderId="24" xfId="0" applyFont="1" applyFill="1" applyBorder="1" applyAlignment="1">
      <alignment horizontal="center"/>
    </xf>
    <xf numFmtId="165" fontId="10" fillId="5" borderId="37" xfId="0" applyNumberFormat="1" applyFont="1" applyFill="1" applyBorder="1" applyProtection="1">
      <protection locked="0"/>
    </xf>
    <xf numFmtId="165" fontId="13" fillId="5" borderId="38" xfId="0" applyNumberFormat="1" applyFont="1" applyFill="1" applyBorder="1" applyProtection="1">
      <protection locked="0"/>
    </xf>
    <xf numFmtId="0" fontId="13" fillId="5" borderId="38" xfId="0" applyFont="1" applyFill="1" applyBorder="1" applyProtection="1">
      <protection locked="0"/>
    </xf>
    <xf numFmtId="166" fontId="0" fillId="5" borderId="38" xfId="0" applyNumberFormat="1" applyFill="1" applyBorder="1"/>
    <xf numFmtId="0" fontId="10" fillId="5" borderId="27" xfId="0" applyFont="1" applyFill="1" applyBorder="1"/>
    <xf numFmtId="0" fontId="10" fillId="5" borderId="14" xfId="0" applyFont="1" applyFill="1" applyBorder="1"/>
    <xf numFmtId="164" fontId="10" fillId="5" borderId="14" xfId="0" applyNumberFormat="1" applyFont="1" applyFill="1" applyBorder="1" applyAlignment="1" applyProtection="1">
      <alignment horizontal="right"/>
      <protection locked="0"/>
    </xf>
    <xf numFmtId="167" fontId="13" fillId="5" borderId="14" xfId="0" applyNumberFormat="1" applyFont="1" applyFill="1" applyBorder="1" applyProtection="1">
      <protection locked="0"/>
    </xf>
    <xf numFmtId="0" fontId="10" fillId="5" borderId="25" xfId="0" applyFont="1" applyFill="1" applyBorder="1"/>
    <xf numFmtId="4" fontId="0" fillId="5" borderId="14" xfId="0" applyNumberFormat="1" applyFill="1" applyBorder="1"/>
    <xf numFmtId="165" fontId="10" fillId="5" borderId="22" xfId="0" applyNumberFormat="1" applyFont="1" applyFill="1" applyBorder="1" applyProtection="1">
      <protection locked="0"/>
    </xf>
    <xf numFmtId="164" fontId="10" fillId="5" borderId="30" xfId="0" applyNumberFormat="1" applyFont="1" applyFill="1" applyBorder="1" applyProtection="1">
      <protection locked="0"/>
    </xf>
    <xf numFmtId="165" fontId="13" fillId="5" borderId="23" xfId="0" applyNumberFormat="1" applyFont="1" applyFill="1" applyBorder="1" applyProtection="1">
      <protection locked="0"/>
    </xf>
    <xf numFmtId="0" fontId="13" fillId="5" borderId="23" xfId="0" applyFont="1" applyFill="1" applyBorder="1" applyProtection="1">
      <protection locked="0"/>
    </xf>
    <xf numFmtId="166" fontId="0" fillId="5" borderId="23" xfId="0" applyNumberFormat="1" applyFill="1" applyBorder="1"/>
    <xf numFmtId="0" fontId="12" fillId="5" borderId="19" xfId="0" applyFont="1" applyFill="1" applyBorder="1" applyAlignment="1">
      <alignment horizontal="center"/>
    </xf>
    <xf numFmtId="164" fontId="10" fillId="5" borderId="13" xfId="0" applyNumberFormat="1" applyFont="1" applyFill="1" applyBorder="1" applyProtection="1">
      <protection locked="0"/>
    </xf>
    <xf numFmtId="0" fontId="11" fillId="2" borderId="21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/>
    </xf>
    <xf numFmtId="165" fontId="10" fillId="0" borderId="17" xfId="0" applyNumberFormat="1" applyFont="1" applyBorder="1" applyProtection="1">
      <protection locked="0"/>
    </xf>
    <xf numFmtId="164" fontId="10" fillId="0" borderId="18" xfId="0" applyNumberFormat="1" applyFont="1" applyBorder="1" applyProtection="1">
      <protection locked="0"/>
    </xf>
    <xf numFmtId="165" fontId="13" fillId="0" borderId="14" xfId="0" applyNumberFormat="1" applyFont="1" applyBorder="1" applyProtection="1">
      <protection locked="0"/>
    </xf>
    <xf numFmtId="0" fontId="13" fillId="0" borderId="14" xfId="0" applyFont="1" applyBorder="1" applyProtection="1">
      <protection locked="0"/>
    </xf>
    <xf numFmtId="166" fontId="0" fillId="0" borderId="14" xfId="0" applyNumberFormat="1" applyBorder="1"/>
    <xf numFmtId="0" fontId="12" fillId="0" borderId="19" xfId="0" applyFont="1" applyBorder="1" applyAlignment="1">
      <alignment horizontal="center"/>
    </xf>
    <xf numFmtId="0" fontId="10" fillId="5" borderId="32" xfId="0" applyFont="1" applyFill="1" applyBorder="1"/>
    <xf numFmtId="0" fontId="10" fillId="5" borderId="23" xfId="0" applyFont="1" applyFill="1" applyBorder="1"/>
    <xf numFmtId="4" fontId="0" fillId="5" borderId="23" xfId="0" applyNumberFormat="1" applyFill="1" applyBorder="1"/>
    <xf numFmtId="167" fontId="13" fillId="5" borderId="23" xfId="0" applyNumberFormat="1" applyFont="1" applyFill="1" applyBorder="1" applyProtection="1">
      <protection locked="0"/>
    </xf>
    <xf numFmtId="168" fontId="0" fillId="5" borderId="23" xfId="1" applyNumberFormat="1" applyFont="1" applyFill="1" applyBorder="1"/>
    <xf numFmtId="0" fontId="12" fillId="4" borderId="11" xfId="0" applyFont="1" applyFill="1" applyBorder="1" applyAlignment="1">
      <alignment horizontal="center"/>
    </xf>
    <xf numFmtId="164" fontId="10" fillId="4" borderId="12" xfId="0" applyNumberFormat="1" applyFont="1" applyFill="1" applyBorder="1" applyProtection="1">
      <protection locked="0"/>
    </xf>
    <xf numFmtId="164" fontId="10" fillId="4" borderId="13" xfId="0" applyNumberFormat="1" applyFont="1" applyFill="1" applyBorder="1" applyProtection="1">
      <protection locked="0"/>
    </xf>
    <xf numFmtId="165" fontId="10" fillId="4" borderId="14" xfId="0" applyNumberFormat="1" applyFont="1" applyFill="1" applyBorder="1" applyProtection="1">
      <protection locked="0"/>
    </xf>
    <xf numFmtId="0" fontId="10" fillId="4" borderId="14" xfId="0" applyFont="1" applyFill="1" applyBorder="1" applyProtection="1">
      <protection locked="0"/>
    </xf>
    <xf numFmtId="166" fontId="14" fillId="4" borderId="14" xfId="0" applyNumberFormat="1" applyFont="1" applyFill="1" applyBorder="1"/>
    <xf numFmtId="164" fontId="10" fillId="4" borderId="17" xfId="0" applyNumberFormat="1" applyFont="1" applyFill="1" applyBorder="1" applyProtection="1">
      <protection locked="0"/>
    </xf>
    <xf numFmtId="165" fontId="10" fillId="4" borderId="39" xfId="0" applyNumberFormat="1" applyFont="1" applyFill="1" applyBorder="1" applyProtection="1">
      <protection locked="0"/>
    </xf>
    <xf numFmtId="0" fontId="10" fillId="4" borderId="39" xfId="0" applyFont="1" applyFill="1" applyBorder="1" applyProtection="1">
      <protection locked="0"/>
    </xf>
    <xf numFmtId="166" fontId="14" fillId="4" borderId="39" xfId="0" applyNumberFormat="1" applyFont="1" applyFill="1" applyBorder="1"/>
    <xf numFmtId="0" fontId="14" fillId="4" borderId="40" xfId="0" applyFont="1" applyFill="1" applyBorder="1"/>
    <xf numFmtId="0" fontId="14" fillId="4" borderId="41" xfId="0" applyFont="1" applyFill="1" applyBorder="1"/>
    <xf numFmtId="0" fontId="12" fillId="4" borderId="32" xfId="0" applyFont="1" applyFill="1" applyBorder="1" applyAlignment="1">
      <alignment horizontal="center"/>
    </xf>
    <xf numFmtId="164" fontId="10" fillId="4" borderId="29" xfId="0" applyNumberFormat="1" applyFont="1" applyFill="1" applyBorder="1" applyProtection="1">
      <protection locked="0"/>
    </xf>
    <xf numFmtId="165" fontId="10" fillId="4" borderId="23" xfId="0" applyNumberFormat="1" applyFont="1" applyFill="1" applyBorder="1" applyProtection="1">
      <protection locked="0"/>
    </xf>
    <xf numFmtId="0" fontId="10" fillId="4" borderId="23" xfId="0" applyFont="1" applyFill="1" applyBorder="1" applyProtection="1">
      <protection locked="0"/>
    </xf>
    <xf numFmtId="166" fontId="14" fillId="4" borderId="23" xfId="0" applyNumberFormat="1" applyFont="1" applyFill="1" applyBorder="1"/>
    <xf numFmtId="0" fontId="14" fillId="4" borderId="42" xfId="0" applyFont="1" applyFill="1" applyBorder="1"/>
    <xf numFmtId="165" fontId="10" fillId="5" borderId="12" xfId="0" applyNumberFormat="1" applyFont="1" applyFill="1" applyBorder="1" applyProtection="1">
      <protection locked="0"/>
    </xf>
    <xf numFmtId="165" fontId="13" fillId="5" borderId="39" xfId="0" applyNumberFormat="1" applyFont="1" applyFill="1" applyBorder="1" applyProtection="1">
      <protection locked="0"/>
    </xf>
    <xf numFmtId="0" fontId="13" fillId="5" borderId="39" xfId="0" applyFont="1" applyFill="1" applyBorder="1" applyProtection="1">
      <protection locked="0"/>
    </xf>
    <xf numFmtId="166" fontId="0" fillId="5" borderId="39" xfId="0" applyNumberFormat="1" applyFill="1" applyBorder="1"/>
    <xf numFmtId="0" fontId="0" fillId="5" borderId="40" xfId="0" applyFill="1" applyBorder="1"/>
    <xf numFmtId="0" fontId="0" fillId="5" borderId="41" xfId="0" applyFill="1" applyBorder="1"/>
    <xf numFmtId="0" fontId="0" fillId="4" borderId="41" xfId="0" applyFill="1" applyBorder="1"/>
    <xf numFmtId="0" fontId="12" fillId="0" borderId="32" xfId="0" applyFont="1" applyBorder="1" applyAlignment="1">
      <alignment horizontal="center"/>
    </xf>
    <xf numFmtId="164" fontId="10" fillId="0" borderId="26" xfId="0" applyNumberFormat="1" applyFont="1" applyBorder="1" applyProtection="1">
      <protection locked="0"/>
    </xf>
    <xf numFmtId="0" fontId="0" fillId="0" borderId="42" xfId="0" applyBorder="1"/>
    <xf numFmtId="0" fontId="0" fillId="0" borderId="41" xfId="0" applyBorder="1"/>
    <xf numFmtId="0" fontId="12" fillId="2" borderId="32" xfId="0" applyFont="1" applyFill="1" applyBorder="1" applyAlignment="1">
      <alignment horizontal="center"/>
    </xf>
    <xf numFmtId="0" fontId="0" fillId="2" borderId="42" xfId="0" applyFill="1" applyBorder="1"/>
    <xf numFmtId="0" fontId="0" fillId="2" borderId="41" xfId="0" applyFill="1" applyBorder="1"/>
    <xf numFmtId="0" fontId="0" fillId="5" borderId="43" xfId="0" applyFill="1" applyBorder="1"/>
    <xf numFmtId="0" fontId="12" fillId="2" borderId="30" xfId="0" applyFont="1" applyFill="1" applyBorder="1" applyAlignment="1">
      <alignment horizontal="center"/>
    </xf>
    <xf numFmtId="0" fontId="12" fillId="4" borderId="44" xfId="0" applyFont="1" applyFill="1" applyBorder="1" applyAlignment="1">
      <alignment horizontal="center"/>
    </xf>
    <xf numFmtId="0" fontId="0" fillId="4" borderId="42" xfId="0" applyFill="1" applyBorder="1"/>
    <xf numFmtId="165" fontId="10" fillId="2" borderId="12" xfId="0" applyNumberFormat="1" applyFont="1" applyFill="1" applyBorder="1" applyProtection="1">
      <protection locked="0"/>
    </xf>
    <xf numFmtId="165" fontId="13" fillId="2" borderId="39" xfId="0" applyNumberFormat="1" applyFont="1" applyFill="1" applyBorder="1" applyProtection="1">
      <protection locked="0"/>
    </xf>
    <xf numFmtId="0" fontId="13" fillId="2" borderId="39" xfId="0" applyFont="1" applyFill="1" applyBorder="1" applyProtection="1">
      <protection locked="0"/>
    </xf>
    <xf numFmtId="166" fontId="0" fillId="2" borderId="39" xfId="0" applyNumberFormat="1" applyFill="1" applyBorder="1"/>
    <xf numFmtId="0" fontId="0" fillId="2" borderId="40" xfId="0" applyFill="1" applyBorder="1"/>
    <xf numFmtId="165" fontId="10" fillId="4" borderId="12" xfId="0" applyNumberFormat="1" applyFont="1" applyFill="1" applyBorder="1" applyProtection="1">
      <protection locked="0"/>
    </xf>
    <xf numFmtId="165" fontId="13" fillId="4" borderId="39" xfId="0" applyNumberFormat="1" applyFont="1" applyFill="1" applyBorder="1" applyProtection="1">
      <protection locked="0"/>
    </xf>
    <xf numFmtId="0" fontId="13" fillId="4" borderId="39" xfId="0" applyFont="1" applyFill="1" applyBorder="1" applyProtection="1">
      <protection locked="0"/>
    </xf>
    <xf numFmtId="166" fontId="0" fillId="4" borderId="39" xfId="0" applyNumberFormat="1" applyFill="1" applyBorder="1"/>
    <xf numFmtId="0" fontId="0" fillId="4" borderId="40" xfId="0" applyFill="1" applyBorder="1"/>
    <xf numFmtId="0" fontId="12" fillId="5" borderId="32" xfId="0" applyFont="1" applyFill="1" applyBorder="1" applyAlignment="1">
      <alignment horizontal="center"/>
    </xf>
    <xf numFmtId="0" fontId="0" fillId="5" borderId="42" xfId="0" applyFill="1" applyBorder="1"/>
    <xf numFmtId="0" fontId="10" fillId="0" borderId="39" xfId="0" applyFont="1" applyBorder="1"/>
    <xf numFmtId="165" fontId="10" fillId="2" borderId="39" xfId="0" applyNumberFormat="1" applyFont="1" applyFill="1" applyBorder="1" applyProtection="1">
      <protection locked="0"/>
    </xf>
    <xf numFmtId="167" fontId="13" fillId="2" borderId="39" xfId="0" applyNumberFormat="1" applyFont="1" applyFill="1" applyBorder="1" applyProtection="1">
      <protection locked="0"/>
    </xf>
    <xf numFmtId="168" fontId="0" fillId="2" borderId="39" xfId="1" applyNumberFormat="1" applyFont="1" applyFill="1" applyBorder="1"/>
    <xf numFmtId="0" fontId="10" fillId="2" borderId="24" xfId="0" applyFont="1" applyFill="1" applyBorder="1"/>
    <xf numFmtId="0" fontId="10" fillId="2" borderId="27" xfId="0" applyFont="1" applyFill="1" applyBorder="1"/>
    <xf numFmtId="0" fontId="10" fillId="5" borderId="24" xfId="0" applyFont="1" applyFill="1" applyBorder="1"/>
    <xf numFmtId="0" fontId="10" fillId="5" borderId="39" xfId="0" applyFont="1" applyFill="1" applyBorder="1"/>
    <xf numFmtId="4" fontId="0" fillId="5" borderId="39" xfId="0" applyNumberFormat="1" applyFill="1" applyBorder="1"/>
    <xf numFmtId="167" fontId="13" fillId="5" borderId="39" xfId="0" applyNumberFormat="1" applyFont="1" applyFill="1" applyBorder="1" applyProtection="1">
      <protection locked="0"/>
    </xf>
    <xf numFmtId="168" fontId="0" fillId="5" borderId="39" xfId="1" applyNumberFormat="1" applyFont="1" applyFill="1" applyBorder="1"/>
    <xf numFmtId="4" fontId="0" fillId="2" borderId="39" xfId="0" applyNumberFormat="1" applyFill="1" applyBorder="1"/>
    <xf numFmtId="43" fontId="0" fillId="2" borderId="23" xfId="1" applyFont="1" applyFill="1" applyBorder="1"/>
    <xf numFmtId="43" fontId="0" fillId="2" borderId="39" xfId="1" applyFont="1" applyFill="1" applyBorder="1"/>
    <xf numFmtId="0" fontId="10" fillId="2" borderId="30" xfId="0" applyFont="1" applyFill="1" applyBorder="1"/>
    <xf numFmtId="43" fontId="0" fillId="2" borderId="0" xfId="0" applyNumberFormat="1" applyFill="1"/>
    <xf numFmtId="0" fontId="12" fillId="6" borderId="19" xfId="0" applyFont="1" applyFill="1" applyBorder="1" applyAlignment="1">
      <alignment horizontal="center"/>
    </xf>
    <xf numFmtId="165" fontId="10" fillId="6" borderId="17" xfId="0" applyNumberFormat="1" applyFont="1" applyFill="1" applyBorder="1" applyProtection="1">
      <protection locked="0"/>
    </xf>
    <xf numFmtId="164" fontId="10" fillId="6" borderId="18" xfId="0" applyNumberFormat="1" applyFont="1" applyFill="1" applyBorder="1" applyProtection="1">
      <protection locked="0"/>
    </xf>
    <xf numFmtId="165" fontId="13" fillId="6" borderId="14" xfId="0" applyNumberFormat="1" applyFont="1" applyFill="1" applyBorder="1" applyProtection="1">
      <protection locked="0"/>
    </xf>
    <xf numFmtId="0" fontId="13" fillId="6" borderId="14" xfId="0" applyFont="1" applyFill="1" applyBorder="1" applyProtection="1">
      <protection locked="0"/>
    </xf>
    <xf numFmtId="166" fontId="0" fillId="6" borderId="14" xfId="0" applyNumberFormat="1" applyFill="1" applyBorder="1"/>
    <xf numFmtId="0" fontId="0" fillId="6" borderId="41" xfId="0" applyFill="1" applyBorder="1"/>
    <xf numFmtId="0" fontId="12" fillId="5" borderId="27" xfId="0" applyFont="1" applyFill="1" applyBorder="1" applyAlignment="1">
      <alignment horizontal="center"/>
    </xf>
    <xf numFmtId="165" fontId="10" fillId="5" borderId="28" xfId="0" applyNumberFormat="1" applyFont="1" applyFill="1" applyBorder="1" applyProtection="1">
      <protection locked="0"/>
    </xf>
    <xf numFmtId="0" fontId="12" fillId="6" borderId="16" xfId="0" applyFont="1" applyFill="1" applyBorder="1" applyAlignment="1">
      <alignment horizontal="center"/>
    </xf>
    <xf numFmtId="0" fontId="12" fillId="6" borderId="3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textRotation="90"/>
    </xf>
    <xf numFmtId="0" fontId="2" fillId="2" borderId="15" xfId="0" applyFont="1" applyFill="1" applyBorder="1" applyAlignment="1">
      <alignment horizontal="center" vertical="center" textRotation="90"/>
    </xf>
    <xf numFmtId="0" fontId="2" fillId="2" borderId="21" xfId="0" applyFont="1" applyFill="1" applyBorder="1" applyAlignment="1">
      <alignment horizontal="center" vertical="center" textRotation="90"/>
    </xf>
    <xf numFmtId="0" fontId="11" fillId="2" borderId="10" xfId="0" applyFont="1" applyFill="1" applyBorder="1" applyAlignment="1">
      <alignment horizontal="center" vertical="center" textRotation="90"/>
    </xf>
    <xf numFmtId="0" fontId="11" fillId="2" borderId="15" xfId="0" applyFont="1" applyFill="1" applyBorder="1" applyAlignment="1">
      <alignment horizontal="center" vertical="center" textRotation="90"/>
    </xf>
    <xf numFmtId="0" fontId="11" fillId="2" borderId="21" xfId="0" applyFont="1" applyFill="1" applyBorder="1" applyAlignment="1">
      <alignment horizontal="center" vertical="center" textRotation="90"/>
    </xf>
    <xf numFmtId="0" fontId="11" fillId="2" borderId="33" xfId="0" applyFont="1" applyFill="1" applyBorder="1" applyAlignment="1">
      <alignment horizontal="center" vertical="center" textRotation="90"/>
    </xf>
    <xf numFmtId="0" fontId="11" fillId="2" borderId="34" xfId="0" applyFont="1" applyFill="1" applyBorder="1" applyAlignment="1">
      <alignment horizontal="center" vertical="center" textRotation="90"/>
    </xf>
    <xf numFmtId="0" fontId="11" fillId="2" borderId="35" xfId="0" applyFont="1" applyFill="1" applyBorder="1" applyAlignment="1">
      <alignment horizontal="center" vertical="center" textRotation="90"/>
    </xf>
  </cellXfs>
  <cellStyles count="3">
    <cellStyle name="Millares" xfId="1" builtinId="3"/>
    <cellStyle name="Normal" xfId="0" builtinId="0"/>
    <cellStyle name="Normal_AREAS ROMERO" xfId="2" xr:uid="{E5F910C3-78AF-47B4-BBF5-2830C0186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28575</xdr:rowOff>
    </xdr:from>
    <xdr:to>
      <xdr:col>4</xdr:col>
      <xdr:colOff>590550</xdr:colOff>
      <xdr:row>3</xdr:row>
      <xdr:rowOff>28574</xdr:rowOff>
    </xdr:to>
    <xdr:pic>
      <xdr:nvPicPr>
        <xdr:cNvPr id="5" name="Gráfico 4">
          <a:extLst>
            <a:ext uri="{FF2B5EF4-FFF2-40B4-BE49-F238E27FC236}">
              <a16:creationId xmlns:a16="http://schemas.microsoft.com/office/drawing/2014/main" id="{95924690-9FE7-4E5E-A44D-1990CEF22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4425" y="28575"/>
          <a:ext cx="1771650" cy="571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5E9F-DC6D-4BC1-80F1-10061B0E9CBA}">
  <sheetPr filterMode="1"/>
  <dimension ref="A1:N184"/>
  <sheetViews>
    <sheetView showGridLines="0" tabSelected="1" zoomScaleNormal="100" workbookViewId="0">
      <selection activeCell="O10" sqref="O10"/>
    </sheetView>
  </sheetViews>
  <sheetFormatPr baseColWidth="10" defaultRowHeight="15" x14ac:dyDescent="0.25"/>
  <cols>
    <col min="1" max="1" width="5.7109375" customWidth="1"/>
    <col min="2" max="2" width="5.7109375" style="9" customWidth="1"/>
    <col min="3" max="3" width="12.28515625" customWidth="1"/>
    <col min="4" max="6" width="10.7109375" style="5" customWidth="1"/>
    <col min="7" max="11" width="10.7109375" customWidth="1"/>
    <col min="12" max="12" width="11.42578125" customWidth="1"/>
    <col min="13" max="13" width="33.7109375" bestFit="1" customWidth="1"/>
    <col min="187" max="187" width="0" hidden="1" customWidth="1"/>
    <col min="188" max="189" width="8.5703125" customWidth="1"/>
    <col min="190" max="190" width="19.140625" customWidth="1"/>
    <col min="191" max="191" width="16" customWidth="1"/>
    <col min="192" max="192" width="12.85546875" customWidth="1"/>
    <col min="193" max="193" width="14.140625" customWidth="1"/>
    <col min="194" max="194" width="15.85546875" customWidth="1"/>
    <col min="195" max="195" width="15.28515625" customWidth="1"/>
    <col min="196" max="196" width="18.42578125" customWidth="1"/>
    <col min="197" max="197" width="14.5703125" customWidth="1"/>
    <col min="198" max="198" width="15.85546875" customWidth="1"/>
    <col min="199" max="204" width="0" hidden="1" customWidth="1"/>
    <col min="205" max="205" width="14" customWidth="1"/>
    <col min="206" max="206" width="10.28515625" customWidth="1"/>
    <col min="207" max="207" width="8.5703125" customWidth="1"/>
    <col min="208" max="208" width="9.28515625" customWidth="1"/>
    <col min="209" max="212" width="11.42578125" customWidth="1"/>
    <col min="443" max="443" width="0" hidden="1" customWidth="1"/>
    <col min="444" max="445" width="8.5703125" customWidth="1"/>
    <col min="446" max="446" width="19.140625" customWidth="1"/>
    <col min="447" max="447" width="16" customWidth="1"/>
    <col min="448" max="448" width="12.85546875" customWidth="1"/>
    <col min="449" max="449" width="14.140625" customWidth="1"/>
    <col min="450" max="450" width="15.85546875" customWidth="1"/>
    <col min="451" max="451" width="15.28515625" customWidth="1"/>
    <col min="452" max="452" width="18.42578125" customWidth="1"/>
    <col min="453" max="453" width="14.5703125" customWidth="1"/>
    <col min="454" max="454" width="15.85546875" customWidth="1"/>
    <col min="455" max="460" width="0" hidden="1" customWidth="1"/>
    <col min="461" max="461" width="14" customWidth="1"/>
    <col min="462" max="462" width="10.28515625" customWidth="1"/>
    <col min="463" max="463" width="8.5703125" customWidth="1"/>
    <col min="464" max="464" width="9.28515625" customWidth="1"/>
    <col min="465" max="468" width="11.42578125" customWidth="1"/>
    <col min="699" max="699" width="0" hidden="1" customWidth="1"/>
    <col min="700" max="701" width="8.5703125" customWidth="1"/>
    <col min="702" max="702" width="19.140625" customWidth="1"/>
    <col min="703" max="703" width="16" customWidth="1"/>
    <col min="704" max="704" width="12.85546875" customWidth="1"/>
    <col min="705" max="705" width="14.140625" customWidth="1"/>
    <col min="706" max="706" width="15.85546875" customWidth="1"/>
    <col min="707" max="707" width="15.28515625" customWidth="1"/>
    <col min="708" max="708" width="18.42578125" customWidth="1"/>
    <col min="709" max="709" width="14.5703125" customWidth="1"/>
    <col min="710" max="710" width="15.85546875" customWidth="1"/>
    <col min="711" max="716" width="0" hidden="1" customWidth="1"/>
    <col min="717" max="717" width="14" customWidth="1"/>
    <col min="718" max="718" width="10.28515625" customWidth="1"/>
    <col min="719" max="719" width="8.5703125" customWidth="1"/>
    <col min="720" max="720" width="9.28515625" customWidth="1"/>
    <col min="721" max="724" width="11.42578125" customWidth="1"/>
    <col min="955" max="955" width="0" hidden="1" customWidth="1"/>
    <col min="956" max="957" width="8.5703125" customWidth="1"/>
    <col min="958" max="958" width="19.140625" customWidth="1"/>
    <col min="959" max="959" width="16" customWidth="1"/>
    <col min="960" max="960" width="12.85546875" customWidth="1"/>
    <col min="961" max="961" width="14.140625" customWidth="1"/>
    <col min="962" max="962" width="15.85546875" customWidth="1"/>
    <col min="963" max="963" width="15.28515625" customWidth="1"/>
    <col min="964" max="964" width="18.42578125" customWidth="1"/>
    <col min="965" max="965" width="14.5703125" customWidth="1"/>
    <col min="966" max="966" width="15.85546875" customWidth="1"/>
    <col min="967" max="972" width="0" hidden="1" customWidth="1"/>
    <col min="973" max="973" width="14" customWidth="1"/>
    <col min="974" max="974" width="10.28515625" customWidth="1"/>
    <col min="975" max="975" width="8.5703125" customWidth="1"/>
    <col min="976" max="976" width="9.28515625" customWidth="1"/>
    <col min="977" max="980" width="11.42578125" customWidth="1"/>
    <col min="1211" max="1211" width="0" hidden="1" customWidth="1"/>
    <col min="1212" max="1213" width="8.5703125" customWidth="1"/>
    <col min="1214" max="1214" width="19.140625" customWidth="1"/>
    <col min="1215" max="1215" width="16" customWidth="1"/>
    <col min="1216" max="1216" width="12.85546875" customWidth="1"/>
    <col min="1217" max="1217" width="14.140625" customWidth="1"/>
    <col min="1218" max="1218" width="15.85546875" customWidth="1"/>
    <col min="1219" max="1219" width="15.28515625" customWidth="1"/>
    <col min="1220" max="1220" width="18.42578125" customWidth="1"/>
    <col min="1221" max="1221" width="14.5703125" customWidth="1"/>
    <col min="1222" max="1222" width="15.85546875" customWidth="1"/>
    <col min="1223" max="1228" width="0" hidden="1" customWidth="1"/>
    <col min="1229" max="1229" width="14" customWidth="1"/>
    <col min="1230" max="1230" width="10.28515625" customWidth="1"/>
    <col min="1231" max="1231" width="8.5703125" customWidth="1"/>
    <col min="1232" max="1232" width="9.28515625" customWidth="1"/>
    <col min="1233" max="1236" width="11.42578125" customWidth="1"/>
    <col min="1467" max="1467" width="0" hidden="1" customWidth="1"/>
    <col min="1468" max="1469" width="8.5703125" customWidth="1"/>
    <col min="1470" max="1470" width="19.140625" customWidth="1"/>
    <col min="1471" max="1471" width="16" customWidth="1"/>
    <col min="1472" max="1472" width="12.85546875" customWidth="1"/>
    <col min="1473" max="1473" width="14.140625" customWidth="1"/>
    <col min="1474" max="1474" width="15.85546875" customWidth="1"/>
    <col min="1475" max="1475" width="15.28515625" customWidth="1"/>
    <col min="1476" max="1476" width="18.42578125" customWidth="1"/>
    <col min="1477" max="1477" width="14.5703125" customWidth="1"/>
    <col min="1478" max="1478" width="15.85546875" customWidth="1"/>
    <col min="1479" max="1484" width="0" hidden="1" customWidth="1"/>
    <col min="1485" max="1485" width="14" customWidth="1"/>
    <col min="1486" max="1486" width="10.28515625" customWidth="1"/>
    <col min="1487" max="1487" width="8.5703125" customWidth="1"/>
    <col min="1488" max="1488" width="9.28515625" customWidth="1"/>
    <col min="1489" max="1492" width="11.42578125" customWidth="1"/>
    <col min="1723" max="1723" width="0" hidden="1" customWidth="1"/>
    <col min="1724" max="1725" width="8.5703125" customWidth="1"/>
    <col min="1726" max="1726" width="19.140625" customWidth="1"/>
    <col min="1727" max="1727" width="16" customWidth="1"/>
    <col min="1728" max="1728" width="12.85546875" customWidth="1"/>
    <col min="1729" max="1729" width="14.140625" customWidth="1"/>
    <col min="1730" max="1730" width="15.85546875" customWidth="1"/>
    <col min="1731" max="1731" width="15.28515625" customWidth="1"/>
    <col min="1732" max="1732" width="18.42578125" customWidth="1"/>
    <col min="1733" max="1733" width="14.5703125" customWidth="1"/>
    <col min="1734" max="1734" width="15.85546875" customWidth="1"/>
    <col min="1735" max="1740" width="0" hidden="1" customWidth="1"/>
    <col min="1741" max="1741" width="14" customWidth="1"/>
    <col min="1742" max="1742" width="10.28515625" customWidth="1"/>
    <col min="1743" max="1743" width="8.5703125" customWidth="1"/>
    <col min="1744" max="1744" width="9.28515625" customWidth="1"/>
    <col min="1745" max="1748" width="11.42578125" customWidth="1"/>
    <col min="1979" max="1979" width="0" hidden="1" customWidth="1"/>
    <col min="1980" max="1981" width="8.5703125" customWidth="1"/>
    <col min="1982" max="1982" width="19.140625" customWidth="1"/>
    <col min="1983" max="1983" width="16" customWidth="1"/>
    <col min="1984" max="1984" width="12.85546875" customWidth="1"/>
    <col min="1985" max="1985" width="14.140625" customWidth="1"/>
    <col min="1986" max="1986" width="15.85546875" customWidth="1"/>
    <col min="1987" max="1987" width="15.28515625" customWidth="1"/>
    <col min="1988" max="1988" width="18.42578125" customWidth="1"/>
    <col min="1989" max="1989" width="14.5703125" customWidth="1"/>
    <col min="1990" max="1990" width="15.85546875" customWidth="1"/>
    <col min="1991" max="1996" width="0" hidden="1" customWidth="1"/>
    <col min="1997" max="1997" width="14" customWidth="1"/>
    <col min="1998" max="1998" width="10.28515625" customWidth="1"/>
    <col min="1999" max="1999" width="8.5703125" customWidth="1"/>
    <col min="2000" max="2000" width="9.28515625" customWidth="1"/>
    <col min="2001" max="2004" width="11.42578125" customWidth="1"/>
    <col min="2235" max="2235" width="0" hidden="1" customWidth="1"/>
    <col min="2236" max="2237" width="8.5703125" customWidth="1"/>
    <col min="2238" max="2238" width="19.140625" customWidth="1"/>
    <col min="2239" max="2239" width="16" customWidth="1"/>
    <col min="2240" max="2240" width="12.85546875" customWidth="1"/>
    <col min="2241" max="2241" width="14.140625" customWidth="1"/>
    <col min="2242" max="2242" width="15.85546875" customWidth="1"/>
    <col min="2243" max="2243" width="15.28515625" customWidth="1"/>
    <col min="2244" max="2244" width="18.42578125" customWidth="1"/>
    <col min="2245" max="2245" width="14.5703125" customWidth="1"/>
    <col min="2246" max="2246" width="15.85546875" customWidth="1"/>
    <col min="2247" max="2252" width="0" hidden="1" customWidth="1"/>
    <col min="2253" max="2253" width="14" customWidth="1"/>
    <col min="2254" max="2254" width="10.28515625" customWidth="1"/>
    <col min="2255" max="2255" width="8.5703125" customWidth="1"/>
    <col min="2256" max="2256" width="9.28515625" customWidth="1"/>
    <col min="2257" max="2260" width="11.42578125" customWidth="1"/>
    <col min="2491" max="2491" width="0" hidden="1" customWidth="1"/>
    <col min="2492" max="2493" width="8.5703125" customWidth="1"/>
    <col min="2494" max="2494" width="19.140625" customWidth="1"/>
    <col min="2495" max="2495" width="16" customWidth="1"/>
    <col min="2496" max="2496" width="12.85546875" customWidth="1"/>
    <col min="2497" max="2497" width="14.140625" customWidth="1"/>
    <col min="2498" max="2498" width="15.85546875" customWidth="1"/>
    <col min="2499" max="2499" width="15.28515625" customWidth="1"/>
    <col min="2500" max="2500" width="18.42578125" customWidth="1"/>
    <col min="2501" max="2501" width="14.5703125" customWidth="1"/>
    <col min="2502" max="2502" width="15.85546875" customWidth="1"/>
    <col min="2503" max="2508" width="0" hidden="1" customWidth="1"/>
    <col min="2509" max="2509" width="14" customWidth="1"/>
    <col min="2510" max="2510" width="10.28515625" customWidth="1"/>
    <col min="2511" max="2511" width="8.5703125" customWidth="1"/>
    <col min="2512" max="2512" width="9.28515625" customWidth="1"/>
    <col min="2513" max="2516" width="11.42578125" customWidth="1"/>
    <col min="2747" max="2747" width="0" hidden="1" customWidth="1"/>
    <col min="2748" max="2749" width="8.5703125" customWidth="1"/>
    <col min="2750" max="2750" width="19.140625" customWidth="1"/>
    <col min="2751" max="2751" width="16" customWidth="1"/>
    <col min="2752" max="2752" width="12.85546875" customWidth="1"/>
    <col min="2753" max="2753" width="14.140625" customWidth="1"/>
    <col min="2754" max="2754" width="15.85546875" customWidth="1"/>
    <col min="2755" max="2755" width="15.28515625" customWidth="1"/>
    <col min="2756" max="2756" width="18.42578125" customWidth="1"/>
    <col min="2757" max="2757" width="14.5703125" customWidth="1"/>
    <col min="2758" max="2758" width="15.85546875" customWidth="1"/>
    <col min="2759" max="2764" width="0" hidden="1" customWidth="1"/>
    <col min="2765" max="2765" width="14" customWidth="1"/>
    <col min="2766" max="2766" width="10.28515625" customWidth="1"/>
    <col min="2767" max="2767" width="8.5703125" customWidth="1"/>
    <col min="2768" max="2768" width="9.28515625" customWidth="1"/>
    <col min="2769" max="2772" width="11.42578125" customWidth="1"/>
    <col min="3003" max="3003" width="0" hidden="1" customWidth="1"/>
    <col min="3004" max="3005" width="8.5703125" customWidth="1"/>
    <col min="3006" max="3006" width="19.140625" customWidth="1"/>
    <col min="3007" max="3007" width="16" customWidth="1"/>
    <col min="3008" max="3008" width="12.85546875" customWidth="1"/>
    <col min="3009" max="3009" width="14.140625" customWidth="1"/>
    <col min="3010" max="3010" width="15.85546875" customWidth="1"/>
    <col min="3011" max="3011" width="15.28515625" customWidth="1"/>
    <col min="3012" max="3012" width="18.42578125" customWidth="1"/>
    <col min="3013" max="3013" width="14.5703125" customWidth="1"/>
    <col min="3014" max="3014" width="15.85546875" customWidth="1"/>
    <col min="3015" max="3020" width="0" hidden="1" customWidth="1"/>
    <col min="3021" max="3021" width="14" customWidth="1"/>
    <col min="3022" max="3022" width="10.28515625" customWidth="1"/>
    <col min="3023" max="3023" width="8.5703125" customWidth="1"/>
    <col min="3024" max="3024" width="9.28515625" customWidth="1"/>
    <col min="3025" max="3028" width="11.42578125" customWidth="1"/>
    <col min="3259" max="3259" width="0" hidden="1" customWidth="1"/>
    <col min="3260" max="3261" width="8.5703125" customWidth="1"/>
    <col min="3262" max="3262" width="19.140625" customWidth="1"/>
    <col min="3263" max="3263" width="16" customWidth="1"/>
    <col min="3264" max="3264" width="12.85546875" customWidth="1"/>
    <col min="3265" max="3265" width="14.140625" customWidth="1"/>
    <col min="3266" max="3266" width="15.85546875" customWidth="1"/>
    <col min="3267" max="3267" width="15.28515625" customWidth="1"/>
    <col min="3268" max="3268" width="18.42578125" customWidth="1"/>
    <col min="3269" max="3269" width="14.5703125" customWidth="1"/>
    <col min="3270" max="3270" width="15.85546875" customWidth="1"/>
    <col min="3271" max="3276" width="0" hidden="1" customWidth="1"/>
    <col min="3277" max="3277" width="14" customWidth="1"/>
    <col min="3278" max="3278" width="10.28515625" customWidth="1"/>
    <col min="3279" max="3279" width="8.5703125" customWidth="1"/>
    <col min="3280" max="3280" width="9.28515625" customWidth="1"/>
    <col min="3281" max="3284" width="11.42578125" customWidth="1"/>
    <col min="3515" max="3515" width="0" hidden="1" customWidth="1"/>
    <col min="3516" max="3517" width="8.5703125" customWidth="1"/>
    <col min="3518" max="3518" width="19.140625" customWidth="1"/>
    <col min="3519" max="3519" width="16" customWidth="1"/>
    <col min="3520" max="3520" width="12.85546875" customWidth="1"/>
    <col min="3521" max="3521" width="14.140625" customWidth="1"/>
    <col min="3522" max="3522" width="15.85546875" customWidth="1"/>
    <col min="3523" max="3523" width="15.28515625" customWidth="1"/>
    <col min="3524" max="3524" width="18.42578125" customWidth="1"/>
    <col min="3525" max="3525" width="14.5703125" customWidth="1"/>
    <col min="3526" max="3526" width="15.85546875" customWidth="1"/>
    <col min="3527" max="3532" width="0" hidden="1" customWidth="1"/>
    <col min="3533" max="3533" width="14" customWidth="1"/>
    <col min="3534" max="3534" width="10.28515625" customWidth="1"/>
    <col min="3535" max="3535" width="8.5703125" customWidth="1"/>
    <col min="3536" max="3536" width="9.28515625" customWidth="1"/>
    <col min="3537" max="3540" width="11.42578125" customWidth="1"/>
    <col min="3771" max="3771" width="0" hidden="1" customWidth="1"/>
    <col min="3772" max="3773" width="8.5703125" customWidth="1"/>
    <col min="3774" max="3774" width="19.140625" customWidth="1"/>
    <col min="3775" max="3775" width="16" customWidth="1"/>
    <col min="3776" max="3776" width="12.85546875" customWidth="1"/>
    <col min="3777" max="3777" width="14.140625" customWidth="1"/>
    <col min="3778" max="3778" width="15.85546875" customWidth="1"/>
    <col min="3779" max="3779" width="15.28515625" customWidth="1"/>
    <col min="3780" max="3780" width="18.42578125" customWidth="1"/>
    <col min="3781" max="3781" width="14.5703125" customWidth="1"/>
    <col min="3782" max="3782" width="15.85546875" customWidth="1"/>
    <col min="3783" max="3788" width="0" hidden="1" customWidth="1"/>
    <col min="3789" max="3789" width="14" customWidth="1"/>
    <col min="3790" max="3790" width="10.28515625" customWidth="1"/>
    <col min="3791" max="3791" width="8.5703125" customWidth="1"/>
    <col min="3792" max="3792" width="9.28515625" customWidth="1"/>
    <col min="3793" max="3796" width="11.42578125" customWidth="1"/>
    <col min="4027" max="4027" width="0" hidden="1" customWidth="1"/>
    <col min="4028" max="4029" width="8.5703125" customWidth="1"/>
    <col min="4030" max="4030" width="19.140625" customWidth="1"/>
    <col min="4031" max="4031" width="16" customWidth="1"/>
    <col min="4032" max="4032" width="12.85546875" customWidth="1"/>
    <col min="4033" max="4033" width="14.140625" customWidth="1"/>
    <col min="4034" max="4034" width="15.85546875" customWidth="1"/>
    <col min="4035" max="4035" width="15.28515625" customWidth="1"/>
    <col min="4036" max="4036" width="18.42578125" customWidth="1"/>
    <col min="4037" max="4037" width="14.5703125" customWidth="1"/>
    <col min="4038" max="4038" width="15.85546875" customWidth="1"/>
    <col min="4039" max="4044" width="0" hidden="1" customWidth="1"/>
    <col min="4045" max="4045" width="14" customWidth="1"/>
    <col min="4046" max="4046" width="10.28515625" customWidth="1"/>
    <col min="4047" max="4047" width="8.5703125" customWidth="1"/>
    <col min="4048" max="4048" width="9.28515625" customWidth="1"/>
    <col min="4049" max="4052" width="11.42578125" customWidth="1"/>
    <col min="4283" max="4283" width="0" hidden="1" customWidth="1"/>
    <col min="4284" max="4285" width="8.5703125" customWidth="1"/>
    <col min="4286" max="4286" width="19.140625" customWidth="1"/>
    <col min="4287" max="4287" width="16" customWidth="1"/>
    <col min="4288" max="4288" width="12.85546875" customWidth="1"/>
    <col min="4289" max="4289" width="14.140625" customWidth="1"/>
    <col min="4290" max="4290" width="15.85546875" customWidth="1"/>
    <col min="4291" max="4291" width="15.28515625" customWidth="1"/>
    <col min="4292" max="4292" width="18.42578125" customWidth="1"/>
    <col min="4293" max="4293" width="14.5703125" customWidth="1"/>
    <col min="4294" max="4294" width="15.85546875" customWidth="1"/>
    <col min="4295" max="4300" width="0" hidden="1" customWidth="1"/>
    <col min="4301" max="4301" width="14" customWidth="1"/>
    <col min="4302" max="4302" width="10.28515625" customWidth="1"/>
    <col min="4303" max="4303" width="8.5703125" customWidth="1"/>
    <col min="4304" max="4304" width="9.28515625" customWidth="1"/>
    <col min="4305" max="4308" width="11.42578125" customWidth="1"/>
    <col min="4539" max="4539" width="0" hidden="1" customWidth="1"/>
    <col min="4540" max="4541" width="8.5703125" customWidth="1"/>
    <col min="4542" max="4542" width="19.140625" customWidth="1"/>
    <col min="4543" max="4543" width="16" customWidth="1"/>
    <col min="4544" max="4544" width="12.85546875" customWidth="1"/>
    <col min="4545" max="4545" width="14.140625" customWidth="1"/>
    <col min="4546" max="4546" width="15.85546875" customWidth="1"/>
    <col min="4547" max="4547" width="15.28515625" customWidth="1"/>
    <col min="4548" max="4548" width="18.42578125" customWidth="1"/>
    <col min="4549" max="4549" width="14.5703125" customWidth="1"/>
    <col min="4550" max="4550" width="15.85546875" customWidth="1"/>
    <col min="4551" max="4556" width="0" hidden="1" customWidth="1"/>
    <col min="4557" max="4557" width="14" customWidth="1"/>
    <col min="4558" max="4558" width="10.28515625" customWidth="1"/>
    <col min="4559" max="4559" width="8.5703125" customWidth="1"/>
    <col min="4560" max="4560" width="9.28515625" customWidth="1"/>
    <col min="4561" max="4564" width="11.42578125" customWidth="1"/>
    <col min="4795" max="4795" width="0" hidden="1" customWidth="1"/>
    <col min="4796" max="4797" width="8.5703125" customWidth="1"/>
    <col min="4798" max="4798" width="19.140625" customWidth="1"/>
    <col min="4799" max="4799" width="16" customWidth="1"/>
    <col min="4800" max="4800" width="12.85546875" customWidth="1"/>
    <col min="4801" max="4801" width="14.140625" customWidth="1"/>
    <col min="4802" max="4802" width="15.85546875" customWidth="1"/>
    <col min="4803" max="4803" width="15.28515625" customWidth="1"/>
    <col min="4804" max="4804" width="18.42578125" customWidth="1"/>
    <col min="4805" max="4805" width="14.5703125" customWidth="1"/>
    <col min="4806" max="4806" width="15.85546875" customWidth="1"/>
    <col min="4807" max="4812" width="0" hidden="1" customWidth="1"/>
    <col min="4813" max="4813" width="14" customWidth="1"/>
    <col min="4814" max="4814" width="10.28515625" customWidth="1"/>
    <col min="4815" max="4815" width="8.5703125" customWidth="1"/>
    <col min="4816" max="4816" width="9.28515625" customWidth="1"/>
    <col min="4817" max="4820" width="11.42578125" customWidth="1"/>
    <col min="5051" max="5051" width="0" hidden="1" customWidth="1"/>
    <col min="5052" max="5053" width="8.5703125" customWidth="1"/>
    <col min="5054" max="5054" width="19.140625" customWidth="1"/>
    <col min="5055" max="5055" width="16" customWidth="1"/>
    <col min="5056" max="5056" width="12.85546875" customWidth="1"/>
    <col min="5057" max="5057" width="14.140625" customWidth="1"/>
    <col min="5058" max="5058" width="15.85546875" customWidth="1"/>
    <col min="5059" max="5059" width="15.28515625" customWidth="1"/>
    <col min="5060" max="5060" width="18.42578125" customWidth="1"/>
    <col min="5061" max="5061" width="14.5703125" customWidth="1"/>
    <col min="5062" max="5062" width="15.85546875" customWidth="1"/>
    <col min="5063" max="5068" width="0" hidden="1" customWidth="1"/>
    <col min="5069" max="5069" width="14" customWidth="1"/>
    <col min="5070" max="5070" width="10.28515625" customWidth="1"/>
    <col min="5071" max="5071" width="8.5703125" customWidth="1"/>
    <col min="5072" max="5072" width="9.28515625" customWidth="1"/>
    <col min="5073" max="5076" width="11.42578125" customWidth="1"/>
    <col min="5307" max="5307" width="0" hidden="1" customWidth="1"/>
    <col min="5308" max="5309" width="8.5703125" customWidth="1"/>
    <col min="5310" max="5310" width="19.140625" customWidth="1"/>
    <col min="5311" max="5311" width="16" customWidth="1"/>
    <col min="5312" max="5312" width="12.85546875" customWidth="1"/>
    <col min="5313" max="5313" width="14.140625" customWidth="1"/>
    <col min="5314" max="5314" width="15.85546875" customWidth="1"/>
    <col min="5315" max="5315" width="15.28515625" customWidth="1"/>
    <col min="5316" max="5316" width="18.42578125" customWidth="1"/>
    <col min="5317" max="5317" width="14.5703125" customWidth="1"/>
    <col min="5318" max="5318" width="15.85546875" customWidth="1"/>
    <col min="5319" max="5324" width="0" hidden="1" customWidth="1"/>
    <col min="5325" max="5325" width="14" customWidth="1"/>
    <col min="5326" max="5326" width="10.28515625" customWidth="1"/>
    <col min="5327" max="5327" width="8.5703125" customWidth="1"/>
    <col min="5328" max="5328" width="9.28515625" customWidth="1"/>
    <col min="5329" max="5332" width="11.42578125" customWidth="1"/>
    <col min="5563" max="5563" width="0" hidden="1" customWidth="1"/>
    <col min="5564" max="5565" width="8.5703125" customWidth="1"/>
    <col min="5566" max="5566" width="19.140625" customWidth="1"/>
    <col min="5567" max="5567" width="16" customWidth="1"/>
    <col min="5568" max="5568" width="12.85546875" customWidth="1"/>
    <col min="5569" max="5569" width="14.140625" customWidth="1"/>
    <col min="5570" max="5570" width="15.85546875" customWidth="1"/>
    <col min="5571" max="5571" width="15.28515625" customWidth="1"/>
    <col min="5572" max="5572" width="18.42578125" customWidth="1"/>
    <col min="5573" max="5573" width="14.5703125" customWidth="1"/>
    <col min="5574" max="5574" width="15.85546875" customWidth="1"/>
    <col min="5575" max="5580" width="0" hidden="1" customWidth="1"/>
    <col min="5581" max="5581" width="14" customWidth="1"/>
    <col min="5582" max="5582" width="10.28515625" customWidth="1"/>
    <col min="5583" max="5583" width="8.5703125" customWidth="1"/>
    <col min="5584" max="5584" width="9.28515625" customWidth="1"/>
    <col min="5585" max="5588" width="11.42578125" customWidth="1"/>
    <col min="5819" max="5819" width="0" hidden="1" customWidth="1"/>
    <col min="5820" max="5821" width="8.5703125" customWidth="1"/>
    <col min="5822" max="5822" width="19.140625" customWidth="1"/>
    <col min="5823" max="5823" width="16" customWidth="1"/>
    <col min="5824" max="5824" width="12.85546875" customWidth="1"/>
    <col min="5825" max="5825" width="14.140625" customWidth="1"/>
    <col min="5826" max="5826" width="15.85546875" customWidth="1"/>
    <col min="5827" max="5827" width="15.28515625" customWidth="1"/>
    <col min="5828" max="5828" width="18.42578125" customWidth="1"/>
    <col min="5829" max="5829" width="14.5703125" customWidth="1"/>
    <col min="5830" max="5830" width="15.85546875" customWidth="1"/>
    <col min="5831" max="5836" width="0" hidden="1" customWidth="1"/>
    <col min="5837" max="5837" width="14" customWidth="1"/>
    <col min="5838" max="5838" width="10.28515625" customWidth="1"/>
    <col min="5839" max="5839" width="8.5703125" customWidth="1"/>
    <col min="5840" max="5840" width="9.28515625" customWidth="1"/>
    <col min="5841" max="5844" width="11.42578125" customWidth="1"/>
    <col min="6075" max="6075" width="0" hidden="1" customWidth="1"/>
    <col min="6076" max="6077" width="8.5703125" customWidth="1"/>
    <col min="6078" max="6078" width="19.140625" customWidth="1"/>
    <col min="6079" max="6079" width="16" customWidth="1"/>
    <col min="6080" max="6080" width="12.85546875" customWidth="1"/>
    <col min="6081" max="6081" width="14.140625" customWidth="1"/>
    <col min="6082" max="6082" width="15.85546875" customWidth="1"/>
    <col min="6083" max="6083" width="15.28515625" customWidth="1"/>
    <col min="6084" max="6084" width="18.42578125" customWidth="1"/>
    <col min="6085" max="6085" width="14.5703125" customWidth="1"/>
    <col min="6086" max="6086" width="15.85546875" customWidth="1"/>
    <col min="6087" max="6092" width="0" hidden="1" customWidth="1"/>
    <col min="6093" max="6093" width="14" customWidth="1"/>
    <col min="6094" max="6094" width="10.28515625" customWidth="1"/>
    <col min="6095" max="6095" width="8.5703125" customWidth="1"/>
    <col min="6096" max="6096" width="9.28515625" customWidth="1"/>
    <col min="6097" max="6100" width="11.42578125" customWidth="1"/>
    <col min="6331" max="6331" width="0" hidden="1" customWidth="1"/>
    <col min="6332" max="6333" width="8.5703125" customWidth="1"/>
    <col min="6334" max="6334" width="19.140625" customWidth="1"/>
    <col min="6335" max="6335" width="16" customWidth="1"/>
    <col min="6336" max="6336" width="12.85546875" customWidth="1"/>
    <col min="6337" max="6337" width="14.140625" customWidth="1"/>
    <col min="6338" max="6338" width="15.85546875" customWidth="1"/>
    <col min="6339" max="6339" width="15.28515625" customWidth="1"/>
    <col min="6340" max="6340" width="18.42578125" customWidth="1"/>
    <col min="6341" max="6341" width="14.5703125" customWidth="1"/>
    <col min="6342" max="6342" width="15.85546875" customWidth="1"/>
    <col min="6343" max="6348" width="0" hidden="1" customWidth="1"/>
    <col min="6349" max="6349" width="14" customWidth="1"/>
    <col min="6350" max="6350" width="10.28515625" customWidth="1"/>
    <col min="6351" max="6351" width="8.5703125" customWidth="1"/>
    <col min="6352" max="6352" width="9.28515625" customWidth="1"/>
    <col min="6353" max="6356" width="11.42578125" customWidth="1"/>
    <col min="6587" max="6587" width="0" hidden="1" customWidth="1"/>
    <col min="6588" max="6589" width="8.5703125" customWidth="1"/>
    <col min="6590" max="6590" width="19.140625" customWidth="1"/>
    <col min="6591" max="6591" width="16" customWidth="1"/>
    <col min="6592" max="6592" width="12.85546875" customWidth="1"/>
    <col min="6593" max="6593" width="14.140625" customWidth="1"/>
    <col min="6594" max="6594" width="15.85546875" customWidth="1"/>
    <col min="6595" max="6595" width="15.28515625" customWidth="1"/>
    <col min="6596" max="6596" width="18.42578125" customWidth="1"/>
    <col min="6597" max="6597" width="14.5703125" customWidth="1"/>
    <col min="6598" max="6598" width="15.85546875" customWidth="1"/>
    <col min="6599" max="6604" width="0" hidden="1" customWidth="1"/>
    <col min="6605" max="6605" width="14" customWidth="1"/>
    <col min="6606" max="6606" width="10.28515625" customWidth="1"/>
    <col min="6607" max="6607" width="8.5703125" customWidth="1"/>
    <col min="6608" max="6608" width="9.28515625" customWidth="1"/>
    <col min="6609" max="6612" width="11.42578125" customWidth="1"/>
    <col min="6843" max="6843" width="0" hidden="1" customWidth="1"/>
    <col min="6844" max="6845" width="8.5703125" customWidth="1"/>
    <col min="6846" max="6846" width="19.140625" customWidth="1"/>
    <col min="6847" max="6847" width="16" customWidth="1"/>
    <col min="6848" max="6848" width="12.85546875" customWidth="1"/>
    <col min="6849" max="6849" width="14.140625" customWidth="1"/>
    <col min="6850" max="6850" width="15.85546875" customWidth="1"/>
    <col min="6851" max="6851" width="15.28515625" customWidth="1"/>
    <col min="6852" max="6852" width="18.42578125" customWidth="1"/>
    <col min="6853" max="6853" width="14.5703125" customWidth="1"/>
    <col min="6854" max="6854" width="15.85546875" customWidth="1"/>
    <col min="6855" max="6860" width="0" hidden="1" customWidth="1"/>
    <col min="6861" max="6861" width="14" customWidth="1"/>
    <col min="6862" max="6862" width="10.28515625" customWidth="1"/>
    <col min="6863" max="6863" width="8.5703125" customWidth="1"/>
    <col min="6864" max="6864" width="9.28515625" customWidth="1"/>
    <col min="6865" max="6868" width="11.42578125" customWidth="1"/>
    <col min="7099" max="7099" width="0" hidden="1" customWidth="1"/>
    <col min="7100" max="7101" width="8.5703125" customWidth="1"/>
    <col min="7102" max="7102" width="19.140625" customWidth="1"/>
    <col min="7103" max="7103" width="16" customWidth="1"/>
    <col min="7104" max="7104" width="12.85546875" customWidth="1"/>
    <col min="7105" max="7105" width="14.140625" customWidth="1"/>
    <col min="7106" max="7106" width="15.85546875" customWidth="1"/>
    <col min="7107" max="7107" width="15.28515625" customWidth="1"/>
    <col min="7108" max="7108" width="18.42578125" customWidth="1"/>
    <col min="7109" max="7109" width="14.5703125" customWidth="1"/>
    <col min="7110" max="7110" width="15.85546875" customWidth="1"/>
    <col min="7111" max="7116" width="0" hidden="1" customWidth="1"/>
    <col min="7117" max="7117" width="14" customWidth="1"/>
    <col min="7118" max="7118" width="10.28515625" customWidth="1"/>
    <col min="7119" max="7119" width="8.5703125" customWidth="1"/>
    <col min="7120" max="7120" width="9.28515625" customWidth="1"/>
    <col min="7121" max="7124" width="11.42578125" customWidth="1"/>
    <col min="7355" max="7355" width="0" hidden="1" customWidth="1"/>
    <col min="7356" max="7357" width="8.5703125" customWidth="1"/>
    <col min="7358" max="7358" width="19.140625" customWidth="1"/>
    <col min="7359" max="7359" width="16" customWidth="1"/>
    <col min="7360" max="7360" width="12.85546875" customWidth="1"/>
    <col min="7361" max="7361" width="14.140625" customWidth="1"/>
    <col min="7362" max="7362" width="15.85546875" customWidth="1"/>
    <col min="7363" max="7363" width="15.28515625" customWidth="1"/>
    <col min="7364" max="7364" width="18.42578125" customWidth="1"/>
    <col min="7365" max="7365" width="14.5703125" customWidth="1"/>
    <col min="7366" max="7366" width="15.85546875" customWidth="1"/>
    <col min="7367" max="7372" width="0" hidden="1" customWidth="1"/>
    <col min="7373" max="7373" width="14" customWidth="1"/>
    <col min="7374" max="7374" width="10.28515625" customWidth="1"/>
    <col min="7375" max="7375" width="8.5703125" customWidth="1"/>
    <col min="7376" max="7376" width="9.28515625" customWidth="1"/>
    <col min="7377" max="7380" width="11.42578125" customWidth="1"/>
    <col min="7611" max="7611" width="0" hidden="1" customWidth="1"/>
    <col min="7612" max="7613" width="8.5703125" customWidth="1"/>
    <col min="7614" max="7614" width="19.140625" customWidth="1"/>
    <col min="7615" max="7615" width="16" customWidth="1"/>
    <col min="7616" max="7616" width="12.85546875" customWidth="1"/>
    <col min="7617" max="7617" width="14.140625" customWidth="1"/>
    <col min="7618" max="7618" width="15.85546875" customWidth="1"/>
    <col min="7619" max="7619" width="15.28515625" customWidth="1"/>
    <col min="7620" max="7620" width="18.42578125" customWidth="1"/>
    <col min="7621" max="7621" width="14.5703125" customWidth="1"/>
    <col min="7622" max="7622" width="15.85546875" customWidth="1"/>
    <col min="7623" max="7628" width="0" hidden="1" customWidth="1"/>
    <col min="7629" max="7629" width="14" customWidth="1"/>
    <col min="7630" max="7630" width="10.28515625" customWidth="1"/>
    <col min="7631" max="7631" width="8.5703125" customWidth="1"/>
    <col min="7632" max="7632" width="9.28515625" customWidth="1"/>
    <col min="7633" max="7636" width="11.42578125" customWidth="1"/>
    <col min="7867" max="7867" width="0" hidden="1" customWidth="1"/>
    <col min="7868" max="7869" width="8.5703125" customWidth="1"/>
    <col min="7870" max="7870" width="19.140625" customWidth="1"/>
    <col min="7871" max="7871" width="16" customWidth="1"/>
    <col min="7872" max="7872" width="12.85546875" customWidth="1"/>
    <col min="7873" max="7873" width="14.140625" customWidth="1"/>
    <col min="7874" max="7874" width="15.85546875" customWidth="1"/>
    <col min="7875" max="7875" width="15.28515625" customWidth="1"/>
    <col min="7876" max="7876" width="18.42578125" customWidth="1"/>
    <col min="7877" max="7877" width="14.5703125" customWidth="1"/>
    <col min="7878" max="7878" width="15.85546875" customWidth="1"/>
    <col min="7879" max="7884" width="0" hidden="1" customWidth="1"/>
    <col min="7885" max="7885" width="14" customWidth="1"/>
    <col min="7886" max="7886" width="10.28515625" customWidth="1"/>
    <col min="7887" max="7887" width="8.5703125" customWidth="1"/>
    <col min="7888" max="7888" width="9.28515625" customWidth="1"/>
    <col min="7889" max="7892" width="11.42578125" customWidth="1"/>
    <col min="8123" max="8123" width="0" hidden="1" customWidth="1"/>
    <col min="8124" max="8125" width="8.5703125" customWidth="1"/>
    <col min="8126" max="8126" width="19.140625" customWidth="1"/>
    <col min="8127" max="8127" width="16" customWidth="1"/>
    <col min="8128" max="8128" width="12.85546875" customWidth="1"/>
    <col min="8129" max="8129" width="14.140625" customWidth="1"/>
    <col min="8130" max="8130" width="15.85546875" customWidth="1"/>
    <col min="8131" max="8131" width="15.28515625" customWidth="1"/>
    <col min="8132" max="8132" width="18.42578125" customWidth="1"/>
    <col min="8133" max="8133" width="14.5703125" customWidth="1"/>
    <col min="8134" max="8134" width="15.85546875" customWidth="1"/>
    <col min="8135" max="8140" width="0" hidden="1" customWidth="1"/>
    <col min="8141" max="8141" width="14" customWidth="1"/>
    <col min="8142" max="8142" width="10.28515625" customWidth="1"/>
    <col min="8143" max="8143" width="8.5703125" customWidth="1"/>
    <col min="8144" max="8144" width="9.28515625" customWidth="1"/>
    <col min="8145" max="8148" width="11.42578125" customWidth="1"/>
    <col min="8379" max="8379" width="0" hidden="1" customWidth="1"/>
    <col min="8380" max="8381" width="8.5703125" customWidth="1"/>
    <col min="8382" max="8382" width="19.140625" customWidth="1"/>
    <col min="8383" max="8383" width="16" customWidth="1"/>
    <col min="8384" max="8384" width="12.85546875" customWidth="1"/>
    <col min="8385" max="8385" width="14.140625" customWidth="1"/>
    <col min="8386" max="8386" width="15.85546875" customWidth="1"/>
    <col min="8387" max="8387" width="15.28515625" customWidth="1"/>
    <col min="8388" max="8388" width="18.42578125" customWidth="1"/>
    <col min="8389" max="8389" width="14.5703125" customWidth="1"/>
    <col min="8390" max="8390" width="15.85546875" customWidth="1"/>
    <col min="8391" max="8396" width="0" hidden="1" customWidth="1"/>
    <col min="8397" max="8397" width="14" customWidth="1"/>
    <col min="8398" max="8398" width="10.28515625" customWidth="1"/>
    <col min="8399" max="8399" width="8.5703125" customWidth="1"/>
    <col min="8400" max="8400" width="9.28515625" customWidth="1"/>
    <col min="8401" max="8404" width="11.42578125" customWidth="1"/>
    <col min="8635" max="8635" width="0" hidden="1" customWidth="1"/>
    <col min="8636" max="8637" width="8.5703125" customWidth="1"/>
    <col min="8638" max="8638" width="19.140625" customWidth="1"/>
    <col min="8639" max="8639" width="16" customWidth="1"/>
    <col min="8640" max="8640" width="12.85546875" customWidth="1"/>
    <col min="8641" max="8641" width="14.140625" customWidth="1"/>
    <col min="8642" max="8642" width="15.85546875" customWidth="1"/>
    <col min="8643" max="8643" width="15.28515625" customWidth="1"/>
    <col min="8644" max="8644" width="18.42578125" customWidth="1"/>
    <col min="8645" max="8645" width="14.5703125" customWidth="1"/>
    <col min="8646" max="8646" width="15.85546875" customWidth="1"/>
    <col min="8647" max="8652" width="0" hidden="1" customWidth="1"/>
    <col min="8653" max="8653" width="14" customWidth="1"/>
    <col min="8654" max="8654" width="10.28515625" customWidth="1"/>
    <col min="8655" max="8655" width="8.5703125" customWidth="1"/>
    <col min="8656" max="8656" width="9.28515625" customWidth="1"/>
    <col min="8657" max="8660" width="11.42578125" customWidth="1"/>
    <col min="8891" max="8891" width="0" hidden="1" customWidth="1"/>
    <col min="8892" max="8893" width="8.5703125" customWidth="1"/>
    <col min="8894" max="8894" width="19.140625" customWidth="1"/>
    <col min="8895" max="8895" width="16" customWidth="1"/>
    <col min="8896" max="8896" width="12.85546875" customWidth="1"/>
    <col min="8897" max="8897" width="14.140625" customWidth="1"/>
    <col min="8898" max="8898" width="15.85546875" customWidth="1"/>
    <col min="8899" max="8899" width="15.28515625" customWidth="1"/>
    <col min="8900" max="8900" width="18.42578125" customWidth="1"/>
    <col min="8901" max="8901" width="14.5703125" customWidth="1"/>
    <col min="8902" max="8902" width="15.85546875" customWidth="1"/>
    <col min="8903" max="8908" width="0" hidden="1" customWidth="1"/>
    <col min="8909" max="8909" width="14" customWidth="1"/>
    <col min="8910" max="8910" width="10.28515625" customWidth="1"/>
    <col min="8911" max="8911" width="8.5703125" customWidth="1"/>
    <col min="8912" max="8912" width="9.28515625" customWidth="1"/>
    <col min="8913" max="8916" width="11.42578125" customWidth="1"/>
    <col min="9147" max="9147" width="0" hidden="1" customWidth="1"/>
    <col min="9148" max="9149" width="8.5703125" customWidth="1"/>
    <col min="9150" max="9150" width="19.140625" customWidth="1"/>
    <col min="9151" max="9151" width="16" customWidth="1"/>
    <col min="9152" max="9152" width="12.85546875" customWidth="1"/>
    <col min="9153" max="9153" width="14.140625" customWidth="1"/>
    <col min="9154" max="9154" width="15.85546875" customWidth="1"/>
    <col min="9155" max="9155" width="15.28515625" customWidth="1"/>
    <col min="9156" max="9156" width="18.42578125" customWidth="1"/>
    <col min="9157" max="9157" width="14.5703125" customWidth="1"/>
    <col min="9158" max="9158" width="15.85546875" customWidth="1"/>
    <col min="9159" max="9164" width="0" hidden="1" customWidth="1"/>
    <col min="9165" max="9165" width="14" customWidth="1"/>
    <col min="9166" max="9166" width="10.28515625" customWidth="1"/>
    <col min="9167" max="9167" width="8.5703125" customWidth="1"/>
    <col min="9168" max="9168" width="9.28515625" customWidth="1"/>
    <col min="9169" max="9172" width="11.42578125" customWidth="1"/>
    <col min="9403" max="9403" width="0" hidden="1" customWidth="1"/>
    <col min="9404" max="9405" width="8.5703125" customWidth="1"/>
    <col min="9406" max="9406" width="19.140625" customWidth="1"/>
    <col min="9407" max="9407" width="16" customWidth="1"/>
    <col min="9408" max="9408" width="12.85546875" customWidth="1"/>
    <col min="9409" max="9409" width="14.140625" customWidth="1"/>
    <col min="9410" max="9410" width="15.85546875" customWidth="1"/>
    <col min="9411" max="9411" width="15.28515625" customWidth="1"/>
    <col min="9412" max="9412" width="18.42578125" customWidth="1"/>
    <col min="9413" max="9413" width="14.5703125" customWidth="1"/>
    <col min="9414" max="9414" width="15.85546875" customWidth="1"/>
    <col min="9415" max="9420" width="0" hidden="1" customWidth="1"/>
    <col min="9421" max="9421" width="14" customWidth="1"/>
    <col min="9422" max="9422" width="10.28515625" customWidth="1"/>
    <col min="9423" max="9423" width="8.5703125" customWidth="1"/>
    <col min="9424" max="9424" width="9.28515625" customWidth="1"/>
    <col min="9425" max="9428" width="11.42578125" customWidth="1"/>
    <col min="9659" max="9659" width="0" hidden="1" customWidth="1"/>
    <col min="9660" max="9661" width="8.5703125" customWidth="1"/>
    <col min="9662" max="9662" width="19.140625" customWidth="1"/>
    <col min="9663" max="9663" width="16" customWidth="1"/>
    <col min="9664" max="9664" width="12.85546875" customWidth="1"/>
    <col min="9665" max="9665" width="14.140625" customWidth="1"/>
    <col min="9666" max="9666" width="15.85546875" customWidth="1"/>
    <col min="9667" max="9667" width="15.28515625" customWidth="1"/>
    <col min="9668" max="9668" width="18.42578125" customWidth="1"/>
    <col min="9669" max="9669" width="14.5703125" customWidth="1"/>
    <col min="9670" max="9670" width="15.85546875" customWidth="1"/>
    <col min="9671" max="9676" width="0" hidden="1" customWidth="1"/>
    <col min="9677" max="9677" width="14" customWidth="1"/>
    <col min="9678" max="9678" width="10.28515625" customWidth="1"/>
    <col min="9679" max="9679" width="8.5703125" customWidth="1"/>
    <col min="9680" max="9680" width="9.28515625" customWidth="1"/>
    <col min="9681" max="9684" width="11.42578125" customWidth="1"/>
    <col min="9915" max="9915" width="0" hidden="1" customWidth="1"/>
    <col min="9916" max="9917" width="8.5703125" customWidth="1"/>
    <col min="9918" max="9918" width="19.140625" customWidth="1"/>
    <col min="9919" max="9919" width="16" customWidth="1"/>
    <col min="9920" max="9920" width="12.85546875" customWidth="1"/>
    <col min="9921" max="9921" width="14.140625" customWidth="1"/>
    <col min="9922" max="9922" width="15.85546875" customWidth="1"/>
    <col min="9923" max="9923" width="15.28515625" customWidth="1"/>
    <col min="9924" max="9924" width="18.42578125" customWidth="1"/>
    <col min="9925" max="9925" width="14.5703125" customWidth="1"/>
    <col min="9926" max="9926" width="15.85546875" customWidth="1"/>
    <col min="9927" max="9932" width="0" hidden="1" customWidth="1"/>
    <col min="9933" max="9933" width="14" customWidth="1"/>
    <col min="9934" max="9934" width="10.28515625" customWidth="1"/>
    <col min="9935" max="9935" width="8.5703125" customWidth="1"/>
    <col min="9936" max="9936" width="9.28515625" customWidth="1"/>
    <col min="9937" max="9940" width="11.42578125" customWidth="1"/>
    <col min="10171" max="10171" width="0" hidden="1" customWidth="1"/>
    <col min="10172" max="10173" width="8.5703125" customWidth="1"/>
    <col min="10174" max="10174" width="19.140625" customWidth="1"/>
    <col min="10175" max="10175" width="16" customWidth="1"/>
    <col min="10176" max="10176" width="12.85546875" customWidth="1"/>
    <col min="10177" max="10177" width="14.140625" customWidth="1"/>
    <col min="10178" max="10178" width="15.85546875" customWidth="1"/>
    <col min="10179" max="10179" width="15.28515625" customWidth="1"/>
    <col min="10180" max="10180" width="18.42578125" customWidth="1"/>
    <col min="10181" max="10181" width="14.5703125" customWidth="1"/>
    <col min="10182" max="10182" width="15.85546875" customWidth="1"/>
    <col min="10183" max="10188" width="0" hidden="1" customWidth="1"/>
    <col min="10189" max="10189" width="14" customWidth="1"/>
    <col min="10190" max="10190" width="10.28515625" customWidth="1"/>
    <col min="10191" max="10191" width="8.5703125" customWidth="1"/>
    <col min="10192" max="10192" width="9.28515625" customWidth="1"/>
    <col min="10193" max="10196" width="11.42578125" customWidth="1"/>
    <col min="10427" max="10427" width="0" hidden="1" customWidth="1"/>
    <col min="10428" max="10429" width="8.5703125" customWidth="1"/>
    <col min="10430" max="10430" width="19.140625" customWidth="1"/>
    <col min="10431" max="10431" width="16" customWidth="1"/>
    <col min="10432" max="10432" width="12.85546875" customWidth="1"/>
    <col min="10433" max="10433" width="14.140625" customWidth="1"/>
    <col min="10434" max="10434" width="15.85546875" customWidth="1"/>
    <col min="10435" max="10435" width="15.28515625" customWidth="1"/>
    <col min="10436" max="10436" width="18.42578125" customWidth="1"/>
    <col min="10437" max="10437" width="14.5703125" customWidth="1"/>
    <col min="10438" max="10438" width="15.85546875" customWidth="1"/>
    <col min="10439" max="10444" width="0" hidden="1" customWidth="1"/>
    <col min="10445" max="10445" width="14" customWidth="1"/>
    <col min="10446" max="10446" width="10.28515625" customWidth="1"/>
    <col min="10447" max="10447" width="8.5703125" customWidth="1"/>
    <col min="10448" max="10448" width="9.28515625" customWidth="1"/>
    <col min="10449" max="10452" width="11.42578125" customWidth="1"/>
    <col min="10683" max="10683" width="0" hidden="1" customWidth="1"/>
    <col min="10684" max="10685" width="8.5703125" customWidth="1"/>
    <col min="10686" max="10686" width="19.140625" customWidth="1"/>
    <col min="10687" max="10687" width="16" customWidth="1"/>
    <col min="10688" max="10688" width="12.85546875" customWidth="1"/>
    <col min="10689" max="10689" width="14.140625" customWidth="1"/>
    <col min="10690" max="10690" width="15.85546875" customWidth="1"/>
    <col min="10691" max="10691" width="15.28515625" customWidth="1"/>
    <col min="10692" max="10692" width="18.42578125" customWidth="1"/>
    <col min="10693" max="10693" width="14.5703125" customWidth="1"/>
    <col min="10694" max="10694" width="15.85546875" customWidth="1"/>
    <col min="10695" max="10700" width="0" hidden="1" customWidth="1"/>
    <col min="10701" max="10701" width="14" customWidth="1"/>
    <col min="10702" max="10702" width="10.28515625" customWidth="1"/>
    <col min="10703" max="10703" width="8.5703125" customWidth="1"/>
    <col min="10704" max="10704" width="9.28515625" customWidth="1"/>
    <col min="10705" max="10708" width="11.42578125" customWidth="1"/>
    <col min="10939" max="10939" width="0" hidden="1" customWidth="1"/>
    <col min="10940" max="10941" width="8.5703125" customWidth="1"/>
    <col min="10942" max="10942" width="19.140625" customWidth="1"/>
    <col min="10943" max="10943" width="16" customWidth="1"/>
    <col min="10944" max="10944" width="12.85546875" customWidth="1"/>
    <col min="10945" max="10945" width="14.140625" customWidth="1"/>
    <col min="10946" max="10946" width="15.85546875" customWidth="1"/>
    <col min="10947" max="10947" width="15.28515625" customWidth="1"/>
    <col min="10948" max="10948" width="18.42578125" customWidth="1"/>
    <col min="10949" max="10949" width="14.5703125" customWidth="1"/>
    <col min="10950" max="10950" width="15.85546875" customWidth="1"/>
    <col min="10951" max="10956" width="0" hidden="1" customWidth="1"/>
    <col min="10957" max="10957" width="14" customWidth="1"/>
    <col min="10958" max="10958" width="10.28515625" customWidth="1"/>
    <col min="10959" max="10959" width="8.5703125" customWidth="1"/>
    <col min="10960" max="10960" width="9.28515625" customWidth="1"/>
    <col min="10961" max="10964" width="11.42578125" customWidth="1"/>
    <col min="11195" max="11195" width="0" hidden="1" customWidth="1"/>
    <col min="11196" max="11197" width="8.5703125" customWidth="1"/>
    <col min="11198" max="11198" width="19.140625" customWidth="1"/>
    <col min="11199" max="11199" width="16" customWidth="1"/>
    <col min="11200" max="11200" width="12.85546875" customWidth="1"/>
    <col min="11201" max="11201" width="14.140625" customWidth="1"/>
    <col min="11202" max="11202" width="15.85546875" customWidth="1"/>
    <col min="11203" max="11203" width="15.28515625" customWidth="1"/>
    <col min="11204" max="11204" width="18.42578125" customWidth="1"/>
    <col min="11205" max="11205" width="14.5703125" customWidth="1"/>
    <col min="11206" max="11206" width="15.85546875" customWidth="1"/>
    <col min="11207" max="11212" width="0" hidden="1" customWidth="1"/>
    <col min="11213" max="11213" width="14" customWidth="1"/>
    <col min="11214" max="11214" width="10.28515625" customWidth="1"/>
    <col min="11215" max="11215" width="8.5703125" customWidth="1"/>
    <col min="11216" max="11216" width="9.28515625" customWidth="1"/>
    <col min="11217" max="11220" width="11.42578125" customWidth="1"/>
    <col min="11451" max="11451" width="0" hidden="1" customWidth="1"/>
    <col min="11452" max="11453" width="8.5703125" customWidth="1"/>
    <col min="11454" max="11454" width="19.140625" customWidth="1"/>
    <col min="11455" max="11455" width="16" customWidth="1"/>
    <col min="11456" max="11456" width="12.85546875" customWidth="1"/>
    <col min="11457" max="11457" width="14.140625" customWidth="1"/>
    <col min="11458" max="11458" width="15.85546875" customWidth="1"/>
    <col min="11459" max="11459" width="15.28515625" customWidth="1"/>
    <col min="11460" max="11460" width="18.42578125" customWidth="1"/>
    <col min="11461" max="11461" width="14.5703125" customWidth="1"/>
    <col min="11462" max="11462" width="15.85546875" customWidth="1"/>
    <col min="11463" max="11468" width="0" hidden="1" customWidth="1"/>
    <col min="11469" max="11469" width="14" customWidth="1"/>
    <col min="11470" max="11470" width="10.28515625" customWidth="1"/>
    <col min="11471" max="11471" width="8.5703125" customWidth="1"/>
    <col min="11472" max="11472" width="9.28515625" customWidth="1"/>
    <col min="11473" max="11476" width="11.42578125" customWidth="1"/>
    <col min="11707" max="11707" width="0" hidden="1" customWidth="1"/>
    <col min="11708" max="11709" width="8.5703125" customWidth="1"/>
    <col min="11710" max="11710" width="19.140625" customWidth="1"/>
    <col min="11711" max="11711" width="16" customWidth="1"/>
    <col min="11712" max="11712" width="12.85546875" customWidth="1"/>
    <col min="11713" max="11713" width="14.140625" customWidth="1"/>
    <col min="11714" max="11714" width="15.85546875" customWidth="1"/>
    <col min="11715" max="11715" width="15.28515625" customWidth="1"/>
    <col min="11716" max="11716" width="18.42578125" customWidth="1"/>
    <col min="11717" max="11717" width="14.5703125" customWidth="1"/>
    <col min="11718" max="11718" width="15.85546875" customWidth="1"/>
    <col min="11719" max="11724" width="0" hidden="1" customWidth="1"/>
    <col min="11725" max="11725" width="14" customWidth="1"/>
    <col min="11726" max="11726" width="10.28515625" customWidth="1"/>
    <col min="11727" max="11727" width="8.5703125" customWidth="1"/>
    <col min="11728" max="11728" width="9.28515625" customWidth="1"/>
    <col min="11729" max="11732" width="11.42578125" customWidth="1"/>
    <col min="11963" max="11963" width="0" hidden="1" customWidth="1"/>
    <col min="11964" max="11965" width="8.5703125" customWidth="1"/>
    <col min="11966" max="11966" width="19.140625" customWidth="1"/>
    <col min="11967" max="11967" width="16" customWidth="1"/>
    <col min="11968" max="11968" width="12.85546875" customWidth="1"/>
    <col min="11969" max="11969" width="14.140625" customWidth="1"/>
    <col min="11970" max="11970" width="15.85546875" customWidth="1"/>
    <col min="11971" max="11971" width="15.28515625" customWidth="1"/>
    <col min="11972" max="11972" width="18.42578125" customWidth="1"/>
    <col min="11973" max="11973" width="14.5703125" customWidth="1"/>
    <col min="11974" max="11974" width="15.85546875" customWidth="1"/>
    <col min="11975" max="11980" width="0" hidden="1" customWidth="1"/>
    <col min="11981" max="11981" width="14" customWidth="1"/>
    <col min="11982" max="11982" width="10.28515625" customWidth="1"/>
    <col min="11983" max="11983" width="8.5703125" customWidth="1"/>
    <col min="11984" max="11984" width="9.28515625" customWidth="1"/>
    <col min="11985" max="11988" width="11.42578125" customWidth="1"/>
    <col min="12219" max="12219" width="0" hidden="1" customWidth="1"/>
    <col min="12220" max="12221" width="8.5703125" customWidth="1"/>
    <col min="12222" max="12222" width="19.140625" customWidth="1"/>
    <col min="12223" max="12223" width="16" customWidth="1"/>
    <col min="12224" max="12224" width="12.85546875" customWidth="1"/>
    <col min="12225" max="12225" width="14.140625" customWidth="1"/>
    <col min="12226" max="12226" width="15.85546875" customWidth="1"/>
    <col min="12227" max="12227" width="15.28515625" customWidth="1"/>
    <col min="12228" max="12228" width="18.42578125" customWidth="1"/>
    <col min="12229" max="12229" width="14.5703125" customWidth="1"/>
    <col min="12230" max="12230" width="15.85546875" customWidth="1"/>
    <col min="12231" max="12236" width="0" hidden="1" customWidth="1"/>
    <col min="12237" max="12237" width="14" customWidth="1"/>
    <col min="12238" max="12238" width="10.28515625" customWidth="1"/>
    <col min="12239" max="12239" width="8.5703125" customWidth="1"/>
    <col min="12240" max="12240" width="9.28515625" customWidth="1"/>
    <col min="12241" max="12244" width="11.42578125" customWidth="1"/>
    <col min="12475" max="12475" width="0" hidden="1" customWidth="1"/>
    <col min="12476" max="12477" width="8.5703125" customWidth="1"/>
    <col min="12478" max="12478" width="19.140625" customWidth="1"/>
    <col min="12479" max="12479" width="16" customWidth="1"/>
    <col min="12480" max="12480" width="12.85546875" customWidth="1"/>
    <col min="12481" max="12481" width="14.140625" customWidth="1"/>
    <col min="12482" max="12482" width="15.85546875" customWidth="1"/>
    <col min="12483" max="12483" width="15.28515625" customWidth="1"/>
    <col min="12484" max="12484" width="18.42578125" customWidth="1"/>
    <col min="12485" max="12485" width="14.5703125" customWidth="1"/>
    <col min="12486" max="12486" width="15.85546875" customWidth="1"/>
    <col min="12487" max="12492" width="0" hidden="1" customWidth="1"/>
    <col min="12493" max="12493" width="14" customWidth="1"/>
    <col min="12494" max="12494" width="10.28515625" customWidth="1"/>
    <col min="12495" max="12495" width="8.5703125" customWidth="1"/>
    <col min="12496" max="12496" width="9.28515625" customWidth="1"/>
    <col min="12497" max="12500" width="11.42578125" customWidth="1"/>
    <col min="12731" max="12731" width="0" hidden="1" customWidth="1"/>
    <col min="12732" max="12733" width="8.5703125" customWidth="1"/>
    <col min="12734" max="12734" width="19.140625" customWidth="1"/>
    <col min="12735" max="12735" width="16" customWidth="1"/>
    <col min="12736" max="12736" width="12.85546875" customWidth="1"/>
    <col min="12737" max="12737" width="14.140625" customWidth="1"/>
    <col min="12738" max="12738" width="15.85546875" customWidth="1"/>
    <col min="12739" max="12739" width="15.28515625" customWidth="1"/>
    <col min="12740" max="12740" width="18.42578125" customWidth="1"/>
    <col min="12741" max="12741" width="14.5703125" customWidth="1"/>
    <col min="12742" max="12742" width="15.85546875" customWidth="1"/>
    <col min="12743" max="12748" width="0" hidden="1" customWidth="1"/>
    <col min="12749" max="12749" width="14" customWidth="1"/>
    <col min="12750" max="12750" width="10.28515625" customWidth="1"/>
    <col min="12751" max="12751" width="8.5703125" customWidth="1"/>
    <col min="12752" max="12752" width="9.28515625" customWidth="1"/>
    <col min="12753" max="12756" width="11.42578125" customWidth="1"/>
    <col min="12987" max="12987" width="0" hidden="1" customWidth="1"/>
    <col min="12988" max="12989" width="8.5703125" customWidth="1"/>
    <col min="12990" max="12990" width="19.140625" customWidth="1"/>
    <col min="12991" max="12991" width="16" customWidth="1"/>
    <col min="12992" max="12992" width="12.85546875" customWidth="1"/>
    <col min="12993" max="12993" width="14.140625" customWidth="1"/>
    <col min="12994" max="12994" width="15.85546875" customWidth="1"/>
    <col min="12995" max="12995" width="15.28515625" customWidth="1"/>
    <col min="12996" max="12996" width="18.42578125" customWidth="1"/>
    <col min="12997" max="12997" width="14.5703125" customWidth="1"/>
    <col min="12998" max="12998" width="15.85546875" customWidth="1"/>
    <col min="12999" max="13004" width="0" hidden="1" customWidth="1"/>
    <col min="13005" max="13005" width="14" customWidth="1"/>
    <col min="13006" max="13006" width="10.28515625" customWidth="1"/>
    <col min="13007" max="13007" width="8.5703125" customWidth="1"/>
    <col min="13008" max="13008" width="9.28515625" customWidth="1"/>
    <col min="13009" max="13012" width="11.42578125" customWidth="1"/>
    <col min="13243" max="13243" width="0" hidden="1" customWidth="1"/>
    <col min="13244" max="13245" width="8.5703125" customWidth="1"/>
    <col min="13246" max="13246" width="19.140625" customWidth="1"/>
    <col min="13247" max="13247" width="16" customWidth="1"/>
    <col min="13248" max="13248" width="12.85546875" customWidth="1"/>
    <col min="13249" max="13249" width="14.140625" customWidth="1"/>
    <col min="13250" max="13250" width="15.85546875" customWidth="1"/>
    <col min="13251" max="13251" width="15.28515625" customWidth="1"/>
    <col min="13252" max="13252" width="18.42578125" customWidth="1"/>
    <col min="13253" max="13253" width="14.5703125" customWidth="1"/>
    <col min="13254" max="13254" width="15.85546875" customWidth="1"/>
    <col min="13255" max="13260" width="0" hidden="1" customWidth="1"/>
    <col min="13261" max="13261" width="14" customWidth="1"/>
    <col min="13262" max="13262" width="10.28515625" customWidth="1"/>
    <col min="13263" max="13263" width="8.5703125" customWidth="1"/>
    <col min="13264" max="13264" width="9.28515625" customWidth="1"/>
    <col min="13265" max="13268" width="11.42578125" customWidth="1"/>
    <col min="13499" max="13499" width="0" hidden="1" customWidth="1"/>
    <col min="13500" max="13501" width="8.5703125" customWidth="1"/>
    <col min="13502" max="13502" width="19.140625" customWidth="1"/>
    <col min="13503" max="13503" width="16" customWidth="1"/>
    <col min="13504" max="13504" width="12.85546875" customWidth="1"/>
    <col min="13505" max="13505" width="14.140625" customWidth="1"/>
    <col min="13506" max="13506" width="15.85546875" customWidth="1"/>
    <col min="13507" max="13507" width="15.28515625" customWidth="1"/>
    <col min="13508" max="13508" width="18.42578125" customWidth="1"/>
    <col min="13509" max="13509" width="14.5703125" customWidth="1"/>
    <col min="13510" max="13510" width="15.85546875" customWidth="1"/>
    <col min="13511" max="13516" width="0" hidden="1" customWidth="1"/>
    <col min="13517" max="13517" width="14" customWidth="1"/>
    <col min="13518" max="13518" width="10.28515625" customWidth="1"/>
    <col min="13519" max="13519" width="8.5703125" customWidth="1"/>
    <col min="13520" max="13520" width="9.28515625" customWidth="1"/>
    <col min="13521" max="13524" width="11.42578125" customWidth="1"/>
    <col min="13755" max="13755" width="0" hidden="1" customWidth="1"/>
    <col min="13756" max="13757" width="8.5703125" customWidth="1"/>
    <col min="13758" max="13758" width="19.140625" customWidth="1"/>
    <col min="13759" max="13759" width="16" customWidth="1"/>
    <col min="13760" max="13760" width="12.85546875" customWidth="1"/>
    <col min="13761" max="13761" width="14.140625" customWidth="1"/>
    <col min="13762" max="13762" width="15.85546875" customWidth="1"/>
    <col min="13763" max="13763" width="15.28515625" customWidth="1"/>
    <col min="13764" max="13764" width="18.42578125" customWidth="1"/>
    <col min="13765" max="13765" width="14.5703125" customWidth="1"/>
    <col min="13766" max="13766" width="15.85546875" customWidth="1"/>
    <col min="13767" max="13772" width="0" hidden="1" customWidth="1"/>
    <col min="13773" max="13773" width="14" customWidth="1"/>
    <col min="13774" max="13774" width="10.28515625" customWidth="1"/>
    <col min="13775" max="13775" width="8.5703125" customWidth="1"/>
    <col min="13776" max="13776" width="9.28515625" customWidth="1"/>
    <col min="13777" max="13780" width="11.42578125" customWidth="1"/>
    <col min="14011" max="14011" width="0" hidden="1" customWidth="1"/>
    <col min="14012" max="14013" width="8.5703125" customWidth="1"/>
    <col min="14014" max="14014" width="19.140625" customWidth="1"/>
    <col min="14015" max="14015" width="16" customWidth="1"/>
    <col min="14016" max="14016" width="12.85546875" customWidth="1"/>
    <col min="14017" max="14017" width="14.140625" customWidth="1"/>
    <col min="14018" max="14018" width="15.85546875" customWidth="1"/>
    <col min="14019" max="14019" width="15.28515625" customWidth="1"/>
    <col min="14020" max="14020" width="18.42578125" customWidth="1"/>
    <col min="14021" max="14021" width="14.5703125" customWidth="1"/>
    <col min="14022" max="14022" width="15.85546875" customWidth="1"/>
    <col min="14023" max="14028" width="0" hidden="1" customWidth="1"/>
    <col min="14029" max="14029" width="14" customWidth="1"/>
    <col min="14030" max="14030" width="10.28515625" customWidth="1"/>
    <col min="14031" max="14031" width="8.5703125" customWidth="1"/>
    <col min="14032" max="14032" width="9.28515625" customWidth="1"/>
    <col min="14033" max="14036" width="11.42578125" customWidth="1"/>
    <col min="14267" max="14267" width="0" hidden="1" customWidth="1"/>
    <col min="14268" max="14269" width="8.5703125" customWidth="1"/>
    <col min="14270" max="14270" width="19.140625" customWidth="1"/>
    <col min="14271" max="14271" width="16" customWidth="1"/>
    <col min="14272" max="14272" width="12.85546875" customWidth="1"/>
    <col min="14273" max="14273" width="14.140625" customWidth="1"/>
    <col min="14274" max="14274" width="15.85546875" customWidth="1"/>
    <col min="14275" max="14275" width="15.28515625" customWidth="1"/>
    <col min="14276" max="14276" width="18.42578125" customWidth="1"/>
    <col min="14277" max="14277" width="14.5703125" customWidth="1"/>
    <col min="14278" max="14278" width="15.85546875" customWidth="1"/>
    <col min="14279" max="14284" width="0" hidden="1" customWidth="1"/>
    <col min="14285" max="14285" width="14" customWidth="1"/>
    <col min="14286" max="14286" width="10.28515625" customWidth="1"/>
    <col min="14287" max="14287" width="8.5703125" customWidth="1"/>
    <col min="14288" max="14288" width="9.28515625" customWidth="1"/>
    <col min="14289" max="14292" width="11.42578125" customWidth="1"/>
    <col min="14523" max="14523" width="0" hidden="1" customWidth="1"/>
    <col min="14524" max="14525" width="8.5703125" customWidth="1"/>
    <col min="14526" max="14526" width="19.140625" customWidth="1"/>
    <col min="14527" max="14527" width="16" customWidth="1"/>
    <col min="14528" max="14528" width="12.85546875" customWidth="1"/>
    <col min="14529" max="14529" width="14.140625" customWidth="1"/>
    <col min="14530" max="14530" width="15.85546875" customWidth="1"/>
    <col min="14531" max="14531" width="15.28515625" customWidth="1"/>
    <col min="14532" max="14532" width="18.42578125" customWidth="1"/>
    <col min="14533" max="14533" width="14.5703125" customWidth="1"/>
    <col min="14534" max="14534" width="15.85546875" customWidth="1"/>
    <col min="14535" max="14540" width="0" hidden="1" customWidth="1"/>
    <col min="14541" max="14541" width="14" customWidth="1"/>
    <col min="14542" max="14542" width="10.28515625" customWidth="1"/>
    <col min="14543" max="14543" width="8.5703125" customWidth="1"/>
    <col min="14544" max="14544" width="9.28515625" customWidth="1"/>
    <col min="14545" max="14548" width="11.42578125" customWidth="1"/>
    <col min="14779" max="14779" width="0" hidden="1" customWidth="1"/>
    <col min="14780" max="14781" width="8.5703125" customWidth="1"/>
    <col min="14782" max="14782" width="19.140625" customWidth="1"/>
    <col min="14783" max="14783" width="16" customWidth="1"/>
    <col min="14784" max="14784" width="12.85546875" customWidth="1"/>
    <col min="14785" max="14785" width="14.140625" customWidth="1"/>
    <col min="14786" max="14786" width="15.85546875" customWidth="1"/>
    <col min="14787" max="14787" width="15.28515625" customWidth="1"/>
    <col min="14788" max="14788" width="18.42578125" customWidth="1"/>
    <col min="14789" max="14789" width="14.5703125" customWidth="1"/>
    <col min="14790" max="14790" width="15.85546875" customWidth="1"/>
    <col min="14791" max="14796" width="0" hidden="1" customWidth="1"/>
    <col min="14797" max="14797" width="14" customWidth="1"/>
    <col min="14798" max="14798" width="10.28515625" customWidth="1"/>
    <col min="14799" max="14799" width="8.5703125" customWidth="1"/>
    <col min="14800" max="14800" width="9.28515625" customWidth="1"/>
    <col min="14801" max="14804" width="11.42578125" customWidth="1"/>
    <col min="15035" max="15035" width="0" hidden="1" customWidth="1"/>
    <col min="15036" max="15037" width="8.5703125" customWidth="1"/>
    <col min="15038" max="15038" width="19.140625" customWidth="1"/>
    <col min="15039" max="15039" width="16" customWidth="1"/>
    <col min="15040" max="15040" width="12.85546875" customWidth="1"/>
    <col min="15041" max="15041" width="14.140625" customWidth="1"/>
    <col min="15042" max="15042" width="15.85546875" customWidth="1"/>
    <col min="15043" max="15043" width="15.28515625" customWidth="1"/>
    <col min="15044" max="15044" width="18.42578125" customWidth="1"/>
    <col min="15045" max="15045" width="14.5703125" customWidth="1"/>
    <col min="15046" max="15046" width="15.85546875" customWidth="1"/>
    <col min="15047" max="15052" width="0" hidden="1" customWidth="1"/>
    <col min="15053" max="15053" width="14" customWidth="1"/>
    <col min="15054" max="15054" width="10.28515625" customWidth="1"/>
    <col min="15055" max="15055" width="8.5703125" customWidth="1"/>
    <col min="15056" max="15056" width="9.28515625" customWidth="1"/>
    <col min="15057" max="15060" width="11.42578125" customWidth="1"/>
    <col min="15291" max="15291" width="0" hidden="1" customWidth="1"/>
    <col min="15292" max="15293" width="8.5703125" customWidth="1"/>
    <col min="15294" max="15294" width="19.140625" customWidth="1"/>
    <col min="15295" max="15295" width="16" customWidth="1"/>
    <col min="15296" max="15296" width="12.85546875" customWidth="1"/>
    <col min="15297" max="15297" width="14.140625" customWidth="1"/>
    <col min="15298" max="15298" width="15.85546875" customWidth="1"/>
    <col min="15299" max="15299" width="15.28515625" customWidth="1"/>
    <col min="15300" max="15300" width="18.42578125" customWidth="1"/>
    <col min="15301" max="15301" width="14.5703125" customWidth="1"/>
    <col min="15302" max="15302" width="15.85546875" customWidth="1"/>
    <col min="15303" max="15308" width="0" hidden="1" customWidth="1"/>
    <col min="15309" max="15309" width="14" customWidth="1"/>
    <col min="15310" max="15310" width="10.28515625" customWidth="1"/>
    <col min="15311" max="15311" width="8.5703125" customWidth="1"/>
    <col min="15312" max="15312" width="9.28515625" customWidth="1"/>
    <col min="15313" max="15316" width="11.42578125" customWidth="1"/>
    <col min="15547" max="15547" width="0" hidden="1" customWidth="1"/>
    <col min="15548" max="15549" width="8.5703125" customWidth="1"/>
    <col min="15550" max="15550" width="19.140625" customWidth="1"/>
    <col min="15551" max="15551" width="16" customWidth="1"/>
    <col min="15552" max="15552" width="12.85546875" customWidth="1"/>
    <col min="15553" max="15553" width="14.140625" customWidth="1"/>
    <col min="15554" max="15554" width="15.85546875" customWidth="1"/>
    <col min="15555" max="15555" width="15.28515625" customWidth="1"/>
    <col min="15556" max="15556" width="18.42578125" customWidth="1"/>
    <col min="15557" max="15557" width="14.5703125" customWidth="1"/>
    <col min="15558" max="15558" width="15.85546875" customWidth="1"/>
    <col min="15559" max="15564" width="0" hidden="1" customWidth="1"/>
    <col min="15565" max="15565" width="14" customWidth="1"/>
    <col min="15566" max="15566" width="10.28515625" customWidth="1"/>
    <col min="15567" max="15567" width="8.5703125" customWidth="1"/>
    <col min="15568" max="15568" width="9.28515625" customWidth="1"/>
    <col min="15569" max="15572" width="11.42578125" customWidth="1"/>
    <col min="15803" max="15803" width="0" hidden="1" customWidth="1"/>
    <col min="15804" max="15805" width="8.5703125" customWidth="1"/>
    <col min="15806" max="15806" width="19.140625" customWidth="1"/>
    <col min="15807" max="15807" width="16" customWidth="1"/>
    <col min="15808" max="15808" width="12.85546875" customWidth="1"/>
    <col min="15809" max="15809" width="14.140625" customWidth="1"/>
    <col min="15810" max="15810" width="15.85546875" customWidth="1"/>
    <col min="15811" max="15811" width="15.28515625" customWidth="1"/>
    <col min="15812" max="15812" width="18.42578125" customWidth="1"/>
    <col min="15813" max="15813" width="14.5703125" customWidth="1"/>
    <col min="15814" max="15814" width="15.85546875" customWidth="1"/>
    <col min="15815" max="15820" width="0" hidden="1" customWidth="1"/>
    <col min="15821" max="15821" width="14" customWidth="1"/>
    <col min="15822" max="15822" width="10.28515625" customWidth="1"/>
    <col min="15823" max="15823" width="8.5703125" customWidth="1"/>
    <col min="15824" max="15824" width="9.28515625" customWidth="1"/>
    <col min="15825" max="15828" width="11.42578125" customWidth="1"/>
    <col min="16059" max="16059" width="0" hidden="1" customWidth="1"/>
    <col min="16060" max="16061" width="8.5703125" customWidth="1"/>
    <col min="16062" max="16062" width="19.140625" customWidth="1"/>
    <col min="16063" max="16063" width="16" customWidth="1"/>
    <col min="16064" max="16064" width="12.85546875" customWidth="1"/>
    <col min="16065" max="16065" width="14.140625" customWidth="1"/>
    <col min="16066" max="16066" width="15.85546875" customWidth="1"/>
    <col min="16067" max="16067" width="15.28515625" customWidth="1"/>
    <col min="16068" max="16068" width="18.42578125" customWidth="1"/>
    <col min="16069" max="16069" width="14.5703125" customWidth="1"/>
    <col min="16070" max="16070" width="15.85546875" customWidth="1"/>
    <col min="16071" max="16076" width="0" hidden="1" customWidth="1"/>
    <col min="16077" max="16077" width="14" customWidth="1"/>
    <col min="16078" max="16078" width="10.28515625" customWidth="1"/>
    <col min="16079" max="16079" width="8.5703125" customWidth="1"/>
    <col min="16080" max="16080" width="9.28515625" customWidth="1"/>
    <col min="16081" max="16084" width="11.42578125" customWidth="1"/>
  </cols>
  <sheetData>
    <row r="1" spans="1:13" ht="15" customHeight="1" x14ac:dyDescent="0.25">
      <c r="A1" s="1"/>
      <c r="B1" s="2"/>
      <c r="C1" s="3"/>
      <c r="D1" s="2"/>
      <c r="E1" s="2"/>
      <c r="F1" s="2"/>
      <c r="G1" s="2"/>
    </row>
    <row r="2" spans="1:13" ht="15" customHeight="1" x14ac:dyDescent="0.25">
      <c r="A2" s="1"/>
      <c r="B2" s="2"/>
      <c r="C2" s="3"/>
      <c r="D2" s="2"/>
      <c r="E2" s="2"/>
      <c r="H2" s="186" t="s">
        <v>0</v>
      </c>
      <c r="I2" s="186"/>
      <c r="J2" s="186"/>
      <c r="K2" s="186"/>
      <c r="L2" s="187"/>
      <c r="M2" s="188">
        <v>46138</v>
      </c>
    </row>
    <row r="3" spans="1:13" ht="15" customHeight="1" x14ac:dyDescent="0.25">
      <c r="A3" s="1"/>
      <c r="B3" s="2"/>
      <c r="C3" s="3"/>
      <c r="D3" s="2"/>
      <c r="E3" s="2"/>
      <c r="H3" s="186"/>
      <c r="I3" s="186"/>
      <c r="J3" s="186"/>
      <c r="K3" s="186"/>
      <c r="L3" s="187"/>
      <c r="M3" s="189"/>
    </row>
    <row r="4" spans="1:13" ht="5.0999999999999996" customHeight="1" x14ac:dyDescent="0.25">
      <c r="A4" s="1"/>
      <c r="B4" s="6"/>
      <c r="C4" s="7"/>
      <c r="D4" s="6"/>
      <c r="E4" s="6"/>
      <c r="F4" s="8"/>
      <c r="G4" s="8"/>
    </row>
    <row r="5" spans="1:13" ht="15" customHeight="1" x14ac:dyDescent="0.25">
      <c r="A5" s="1"/>
      <c r="B5" s="190" t="s">
        <v>1</v>
      </c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</row>
    <row r="6" spans="1:13" ht="15" customHeight="1" x14ac:dyDescent="0.25">
      <c r="A6" s="1"/>
      <c r="B6" s="190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</row>
    <row r="7" spans="1:13" ht="5.0999999999999996" customHeight="1" x14ac:dyDescent="0.25">
      <c r="A7" s="1"/>
      <c r="B7" s="2"/>
      <c r="C7" s="3"/>
      <c r="D7" s="2"/>
      <c r="E7" s="2"/>
      <c r="F7" s="2"/>
      <c r="G7" s="2"/>
    </row>
    <row r="8" spans="1:13" ht="15" customHeight="1" x14ac:dyDescent="0.25">
      <c r="A8" s="1"/>
      <c r="B8" s="184" t="s">
        <v>2</v>
      </c>
      <c r="C8" s="192"/>
      <c r="D8" s="193" t="s">
        <v>3</v>
      </c>
      <c r="E8" s="194"/>
      <c r="F8" s="194"/>
      <c r="G8" s="194"/>
      <c r="H8" s="194"/>
      <c r="I8" s="194"/>
      <c r="J8" s="194"/>
      <c r="K8" s="194"/>
      <c r="L8" s="194"/>
      <c r="M8" s="194"/>
    </row>
    <row r="9" spans="1:13" ht="5.0999999999999996" customHeight="1" x14ac:dyDescent="0.25">
      <c r="A9" s="1"/>
      <c r="B9" s="2"/>
      <c r="C9" s="3"/>
      <c r="D9" s="2"/>
      <c r="E9" s="2"/>
      <c r="F9" s="2"/>
      <c r="G9" s="2"/>
    </row>
    <row r="10" spans="1:13" ht="15" customHeight="1" x14ac:dyDescent="0.25">
      <c r="A10" s="1"/>
      <c r="B10" s="184" t="s">
        <v>4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</row>
    <row r="11" spans="1:13" ht="5.0999999999999996" customHeight="1" x14ac:dyDescent="0.25">
      <c r="A11" s="1"/>
      <c r="B11" s="2"/>
      <c r="C11" s="3"/>
      <c r="D11" s="2"/>
      <c r="E11" s="2"/>
      <c r="F11" s="2"/>
      <c r="G11" s="2"/>
    </row>
    <row r="12" spans="1:13" ht="15" customHeight="1" x14ac:dyDescent="0.25">
      <c r="A12" s="1"/>
      <c r="C12" s="202" t="s">
        <v>5</v>
      </c>
      <c r="D12" s="204" t="s">
        <v>6</v>
      </c>
      <c r="E12" s="205"/>
      <c r="F12" s="206"/>
      <c r="G12" s="203" t="s">
        <v>7</v>
      </c>
      <c r="H12" s="198" t="s">
        <v>8</v>
      </c>
      <c r="I12" s="198" t="s">
        <v>9</v>
      </c>
      <c r="J12" s="198" t="s">
        <v>109</v>
      </c>
      <c r="K12" s="198" t="s">
        <v>10</v>
      </c>
      <c r="L12" s="198" t="s">
        <v>11</v>
      </c>
      <c r="M12" s="200" t="s">
        <v>12</v>
      </c>
    </row>
    <row r="13" spans="1:13" ht="15" customHeight="1" thickBot="1" x14ac:dyDescent="0.3">
      <c r="A13" s="11"/>
      <c r="C13" s="203"/>
      <c r="D13" s="10" t="s">
        <v>13</v>
      </c>
      <c r="E13" s="10" t="s">
        <v>14</v>
      </c>
      <c r="F13" s="10" t="s">
        <v>15</v>
      </c>
      <c r="G13" s="207"/>
      <c r="H13" s="199"/>
      <c r="I13" s="199"/>
      <c r="J13" s="208"/>
      <c r="K13" s="199"/>
      <c r="L13" s="199"/>
      <c r="M13" s="201"/>
    </row>
    <row r="14" spans="1:13" s="4" customFormat="1" ht="18" hidden="1" customHeight="1" x14ac:dyDescent="0.25">
      <c r="A14" s="12"/>
      <c r="B14" s="195" t="s">
        <v>16</v>
      </c>
      <c r="C14" s="109" t="s">
        <v>122</v>
      </c>
      <c r="D14" s="110"/>
      <c r="E14" s="111"/>
      <c r="F14" s="116"/>
      <c r="G14" s="117"/>
      <c r="H14" s="118"/>
      <c r="I14" s="118"/>
      <c r="J14" s="118"/>
      <c r="K14" s="118"/>
      <c r="L14" s="118"/>
      <c r="M14" s="119" t="s">
        <v>126</v>
      </c>
    </row>
    <row r="15" spans="1:13" s="4" customFormat="1" ht="18" hidden="1" customHeight="1" x14ac:dyDescent="0.25">
      <c r="A15" s="12"/>
      <c r="B15" s="196"/>
      <c r="C15" s="40" t="s">
        <v>123</v>
      </c>
      <c r="D15" s="115"/>
      <c r="E15" s="23"/>
      <c r="F15" s="112"/>
      <c r="G15" s="113"/>
      <c r="H15" s="114"/>
      <c r="I15" s="114"/>
      <c r="J15" s="114"/>
      <c r="K15" s="114"/>
      <c r="L15" s="114"/>
      <c r="M15" s="120" t="s">
        <v>126</v>
      </c>
    </row>
    <row r="16" spans="1:13" s="4" customFormat="1" ht="18" hidden="1" customHeight="1" x14ac:dyDescent="0.25">
      <c r="A16" s="12"/>
      <c r="B16" s="17"/>
      <c r="C16" s="40" t="s">
        <v>124</v>
      </c>
      <c r="D16" s="115"/>
      <c r="E16" s="23"/>
      <c r="F16" s="112"/>
      <c r="G16" s="113"/>
      <c r="H16" s="114"/>
      <c r="I16" s="114"/>
      <c r="J16" s="114"/>
      <c r="K16" s="114"/>
      <c r="L16" s="114"/>
      <c r="M16" s="120" t="s">
        <v>126</v>
      </c>
    </row>
    <row r="17" spans="1:14" s="4" customFormat="1" ht="18" hidden="1" customHeight="1" thickBot="1" x14ac:dyDescent="0.3">
      <c r="A17" s="12"/>
      <c r="B17" s="96"/>
      <c r="C17" s="121" t="s">
        <v>125</v>
      </c>
      <c r="D17" s="122"/>
      <c r="E17" s="45"/>
      <c r="F17" s="123"/>
      <c r="G17" s="124"/>
      <c r="H17" s="125"/>
      <c r="I17" s="125"/>
      <c r="J17" s="125"/>
      <c r="K17" s="125"/>
      <c r="L17" s="125"/>
      <c r="M17" s="126" t="s">
        <v>126</v>
      </c>
    </row>
    <row r="18" spans="1:14" s="4" customFormat="1" ht="18" hidden="1" customHeight="1" x14ac:dyDescent="0.25">
      <c r="A18" s="12"/>
      <c r="B18" s="195" t="s">
        <v>17</v>
      </c>
      <c r="C18" s="97">
        <v>201</v>
      </c>
      <c r="D18" s="127">
        <v>70</v>
      </c>
      <c r="E18" s="95"/>
      <c r="F18" s="128">
        <f t="shared" ref="F18:F124" si="0">+D18+E18</f>
        <v>70</v>
      </c>
      <c r="G18" s="129">
        <v>3</v>
      </c>
      <c r="H18" s="130">
        <v>518500</v>
      </c>
      <c r="I18" s="130">
        <v>38000</v>
      </c>
      <c r="J18" s="130">
        <v>11000</v>
      </c>
      <c r="K18" s="130">
        <f>+H18-I18-J18</f>
        <v>469500</v>
      </c>
      <c r="L18" s="130" t="s">
        <v>18</v>
      </c>
      <c r="M18" s="131" t="s">
        <v>127</v>
      </c>
      <c r="N18" s="172"/>
    </row>
    <row r="19" spans="1:14" s="4" customFormat="1" ht="18" hidden="1" customHeight="1" x14ac:dyDescent="0.25">
      <c r="A19" s="12"/>
      <c r="B19" s="196"/>
      <c r="C19" s="71">
        <v>202</v>
      </c>
      <c r="D19" s="72">
        <v>57</v>
      </c>
      <c r="E19" s="77"/>
      <c r="F19" s="74">
        <f t="shared" si="0"/>
        <v>57</v>
      </c>
      <c r="G19" s="75">
        <v>2</v>
      </c>
      <c r="H19" s="76">
        <v>430000</v>
      </c>
      <c r="I19" s="76">
        <v>38000</v>
      </c>
      <c r="J19" s="76"/>
      <c r="K19" s="76">
        <f>+H19-I19-J19</f>
        <v>392000</v>
      </c>
      <c r="L19" s="76" t="s">
        <v>18</v>
      </c>
      <c r="M19" s="132" t="s">
        <v>128</v>
      </c>
      <c r="N19" s="172"/>
    </row>
    <row r="20" spans="1:14" s="4" customFormat="1" ht="18" hidden="1" customHeight="1" x14ac:dyDescent="0.25">
      <c r="A20" s="12"/>
      <c r="B20" s="196"/>
      <c r="C20" s="21">
        <v>203</v>
      </c>
      <c r="D20" s="22">
        <v>68</v>
      </c>
      <c r="E20" s="23"/>
      <c r="F20" s="24">
        <f t="shared" si="0"/>
        <v>68</v>
      </c>
      <c r="G20" s="25">
        <v>3</v>
      </c>
      <c r="H20" s="26">
        <v>504700</v>
      </c>
      <c r="I20" s="26">
        <v>38000</v>
      </c>
      <c r="J20" s="26">
        <v>11000</v>
      </c>
      <c r="K20" s="26">
        <f>+H20-I20-J20</f>
        <v>455700</v>
      </c>
      <c r="L20" s="26" t="s">
        <v>18</v>
      </c>
      <c r="M20" s="133" t="s">
        <v>112</v>
      </c>
      <c r="N20" s="172">
        <f>K20/F20</f>
        <v>6701.4705882352937</v>
      </c>
    </row>
    <row r="21" spans="1:14" s="4" customFormat="1" ht="18" hidden="1" customHeight="1" x14ac:dyDescent="0.25">
      <c r="A21" s="12"/>
      <c r="B21" s="196"/>
      <c r="C21" s="71">
        <v>204</v>
      </c>
      <c r="D21" s="72">
        <v>67</v>
      </c>
      <c r="E21" s="73"/>
      <c r="F21" s="74">
        <f t="shared" si="0"/>
        <v>67</v>
      </c>
      <c r="G21" s="75">
        <v>3</v>
      </c>
      <c r="H21" s="76">
        <v>498000</v>
      </c>
      <c r="I21" s="76">
        <v>38000</v>
      </c>
      <c r="J21" s="76">
        <v>11000</v>
      </c>
      <c r="K21" s="76">
        <f>+H21-I21-J21</f>
        <v>449000</v>
      </c>
      <c r="L21" s="76" t="s">
        <v>18</v>
      </c>
      <c r="M21" s="132" t="s">
        <v>113</v>
      </c>
      <c r="N21" s="172"/>
    </row>
    <row r="22" spans="1:14" s="4" customFormat="1" ht="18" hidden="1" customHeight="1" x14ac:dyDescent="0.25">
      <c r="A22" s="12"/>
      <c r="B22" s="196"/>
      <c r="C22" s="94">
        <v>205</v>
      </c>
      <c r="D22" s="72">
        <v>72</v>
      </c>
      <c r="E22" s="73">
        <v>16</v>
      </c>
      <c r="F22" s="74">
        <f t="shared" si="0"/>
        <v>88</v>
      </c>
      <c r="G22" s="75">
        <v>3</v>
      </c>
      <c r="H22" s="76">
        <v>587000</v>
      </c>
      <c r="I22" s="76">
        <v>38000</v>
      </c>
      <c r="J22" s="76"/>
      <c r="K22" s="76">
        <v>577000</v>
      </c>
      <c r="L22" s="76" t="s">
        <v>18</v>
      </c>
      <c r="M22" s="132" t="s">
        <v>129</v>
      </c>
      <c r="N22" s="172"/>
    </row>
    <row r="23" spans="1:14" s="4" customFormat="1" ht="18" customHeight="1" thickBot="1" x14ac:dyDescent="0.3">
      <c r="A23" s="12"/>
      <c r="B23" s="197"/>
      <c r="C23" s="134">
        <v>206</v>
      </c>
      <c r="D23" s="29">
        <v>47</v>
      </c>
      <c r="E23" s="135"/>
      <c r="F23" s="30">
        <f t="shared" si="0"/>
        <v>47</v>
      </c>
      <c r="G23" s="31">
        <v>1</v>
      </c>
      <c r="H23" s="32">
        <v>360500</v>
      </c>
      <c r="I23" s="32">
        <v>30000</v>
      </c>
      <c r="J23" s="38">
        <v>0</v>
      </c>
      <c r="K23" s="38">
        <f>+H23-I23-J23</f>
        <v>330500</v>
      </c>
      <c r="L23" s="32" t="s">
        <v>19</v>
      </c>
      <c r="M23" s="136" t="s">
        <v>14</v>
      </c>
      <c r="N23" s="172">
        <f>K23/F23</f>
        <v>7031.9148936170213</v>
      </c>
    </row>
    <row r="24" spans="1:14" s="4" customFormat="1" ht="18" hidden="1" customHeight="1" x14ac:dyDescent="0.25">
      <c r="A24" s="12"/>
      <c r="B24" s="195" t="s">
        <v>20</v>
      </c>
      <c r="C24" s="78">
        <v>301</v>
      </c>
      <c r="D24" s="127">
        <v>70</v>
      </c>
      <c r="E24" s="95"/>
      <c r="F24" s="128">
        <f t="shared" si="0"/>
        <v>70</v>
      </c>
      <c r="G24" s="129">
        <v>3</v>
      </c>
      <c r="H24" s="130">
        <v>518500</v>
      </c>
      <c r="I24" s="130">
        <v>38000</v>
      </c>
      <c r="J24" s="130">
        <v>11000</v>
      </c>
      <c r="K24" s="130">
        <f>+H24-I24-J24</f>
        <v>469500</v>
      </c>
      <c r="L24" s="130" t="s">
        <v>18</v>
      </c>
      <c r="M24" s="131" t="s">
        <v>130</v>
      </c>
      <c r="N24" s="172"/>
    </row>
    <row r="25" spans="1:14" s="4" customFormat="1" ht="18" hidden="1" customHeight="1" x14ac:dyDescent="0.25">
      <c r="A25" s="12"/>
      <c r="B25" s="196"/>
      <c r="C25" s="71">
        <v>302</v>
      </c>
      <c r="D25" s="72">
        <v>57</v>
      </c>
      <c r="E25" s="77"/>
      <c r="F25" s="74">
        <f t="shared" si="0"/>
        <v>57</v>
      </c>
      <c r="G25" s="75">
        <v>2</v>
      </c>
      <c r="H25" s="76">
        <v>430000</v>
      </c>
      <c r="I25" s="76">
        <v>38000</v>
      </c>
      <c r="J25" s="76">
        <v>11000</v>
      </c>
      <c r="K25" s="76">
        <f>+H25-I25-J25</f>
        <v>381000</v>
      </c>
      <c r="L25" s="76" t="s">
        <v>18</v>
      </c>
      <c r="M25" s="132" t="s">
        <v>114</v>
      </c>
      <c r="N25" s="172"/>
    </row>
    <row r="26" spans="1:14" s="4" customFormat="1" ht="18" hidden="1" customHeight="1" x14ac:dyDescent="0.25">
      <c r="A26" s="12"/>
      <c r="B26" s="196"/>
      <c r="C26" s="94">
        <v>303</v>
      </c>
      <c r="D26" s="72">
        <v>68</v>
      </c>
      <c r="E26" s="77"/>
      <c r="F26" s="74">
        <f t="shared" si="0"/>
        <v>68</v>
      </c>
      <c r="G26" s="75">
        <v>3</v>
      </c>
      <c r="H26" s="76">
        <v>504700</v>
      </c>
      <c r="I26" s="76">
        <v>38000</v>
      </c>
      <c r="J26" s="76">
        <v>11000</v>
      </c>
      <c r="K26" s="76">
        <f>+H26-I26-J26</f>
        <v>455700</v>
      </c>
      <c r="L26" s="76" t="s">
        <v>18</v>
      </c>
      <c r="M26" s="132" t="s">
        <v>131</v>
      </c>
      <c r="N26" s="172"/>
    </row>
    <row r="27" spans="1:14" s="4" customFormat="1" ht="18" customHeight="1" x14ac:dyDescent="0.25">
      <c r="A27" s="12"/>
      <c r="B27" s="196"/>
      <c r="C27" s="28">
        <v>304</v>
      </c>
      <c r="D27" s="98">
        <v>67</v>
      </c>
      <c r="E27" s="99"/>
      <c r="F27" s="100">
        <f t="shared" si="0"/>
        <v>67</v>
      </c>
      <c r="G27" s="101">
        <v>3</v>
      </c>
      <c r="H27" s="102">
        <v>498000</v>
      </c>
      <c r="I27" s="102">
        <v>28000</v>
      </c>
      <c r="J27" s="102">
        <v>0</v>
      </c>
      <c r="K27" s="16">
        <f t="shared" ref="K27" si="1">+H27-I27-J27</f>
        <v>470000</v>
      </c>
      <c r="L27" s="102" t="s">
        <v>18</v>
      </c>
      <c r="M27" s="137" t="s">
        <v>14</v>
      </c>
      <c r="N27" s="172">
        <f>K27/F27</f>
        <v>7014.9253731343288</v>
      </c>
    </row>
    <row r="28" spans="1:14" s="4" customFormat="1" ht="18" hidden="1" customHeight="1" x14ac:dyDescent="0.25">
      <c r="A28" s="12"/>
      <c r="B28" s="196"/>
      <c r="C28" s="173">
        <v>305</v>
      </c>
      <c r="D28" s="174">
        <v>72</v>
      </c>
      <c r="E28" s="175"/>
      <c r="F28" s="176">
        <f t="shared" si="0"/>
        <v>72</v>
      </c>
      <c r="G28" s="177">
        <v>3</v>
      </c>
      <c r="H28" s="178">
        <v>532100</v>
      </c>
      <c r="I28" s="178">
        <v>38000</v>
      </c>
      <c r="J28" s="178">
        <v>11000</v>
      </c>
      <c r="K28" s="178">
        <f t="shared" ref="K28:K38" si="2">+H28-I28-J28</f>
        <v>483100</v>
      </c>
      <c r="L28" s="178" t="s">
        <v>18</v>
      </c>
      <c r="M28" s="179" t="s">
        <v>132</v>
      </c>
      <c r="N28" s="172"/>
    </row>
    <row r="29" spans="1:14" s="4" customFormat="1" ht="18" customHeight="1" thickBot="1" x14ac:dyDescent="0.3">
      <c r="A29" s="12"/>
      <c r="B29" s="197"/>
      <c r="C29" s="138">
        <v>306</v>
      </c>
      <c r="D29" s="34">
        <v>47</v>
      </c>
      <c r="E29" s="35"/>
      <c r="F29" s="36">
        <f t="shared" si="0"/>
        <v>47</v>
      </c>
      <c r="G29" s="37">
        <v>1</v>
      </c>
      <c r="H29" s="38">
        <v>360500</v>
      </c>
      <c r="I29" s="32">
        <v>30000</v>
      </c>
      <c r="J29" s="38">
        <v>0</v>
      </c>
      <c r="K29" s="38">
        <f t="shared" si="2"/>
        <v>330500</v>
      </c>
      <c r="L29" s="38" t="s">
        <v>19</v>
      </c>
      <c r="M29" s="139" t="s">
        <v>14</v>
      </c>
      <c r="N29" s="172">
        <f>K29/F29</f>
        <v>7031.9148936170213</v>
      </c>
    </row>
    <row r="30" spans="1:14" s="4" customFormat="1" ht="18" hidden="1" customHeight="1" x14ac:dyDescent="0.25">
      <c r="A30" s="12"/>
      <c r="B30" s="195" t="s">
        <v>21</v>
      </c>
      <c r="C30" s="78">
        <v>401</v>
      </c>
      <c r="D30" s="127">
        <v>70</v>
      </c>
      <c r="E30" s="95"/>
      <c r="F30" s="128">
        <f t="shared" si="0"/>
        <v>70</v>
      </c>
      <c r="G30" s="129">
        <v>3</v>
      </c>
      <c r="H30" s="130">
        <v>518500</v>
      </c>
      <c r="I30" s="130">
        <v>38000</v>
      </c>
      <c r="J30" s="130">
        <v>11000</v>
      </c>
      <c r="K30" s="130">
        <f t="shared" si="2"/>
        <v>469500</v>
      </c>
      <c r="L30" s="130" t="s">
        <v>18</v>
      </c>
      <c r="M30" s="131" t="s">
        <v>115</v>
      </c>
      <c r="N30" s="172"/>
    </row>
    <row r="31" spans="1:14" s="4" customFormat="1" ht="18" hidden="1" customHeight="1" x14ac:dyDescent="0.25">
      <c r="A31" s="12"/>
      <c r="B31" s="196"/>
      <c r="C31" s="71">
        <v>402</v>
      </c>
      <c r="D31" s="72">
        <v>57</v>
      </c>
      <c r="E31" s="77"/>
      <c r="F31" s="74">
        <f t="shared" si="0"/>
        <v>57</v>
      </c>
      <c r="G31" s="75">
        <v>2</v>
      </c>
      <c r="H31" s="76">
        <v>430000</v>
      </c>
      <c r="I31" s="76">
        <v>38000</v>
      </c>
      <c r="J31" s="76">
        <v>11000</v>
      </c>
      <c r="K31" s="76">
        <f t="shared" si="2"/>
        <v>381000</v>
      </c>
      <c r="L31" s="76" t="s">
        <v>18</v>
      </c>
      <c r="M31" s="132" t="s">
        <v>133</v>
      </c>
      <c r="N31" s="172"/>
    </row>
    <row r="32" spans="1:14" s="4" customFormat="1" ht="18" hidden="1" customHeight="1" x14ac:dyDescent="0.25">
      <c r="A32" s="12"/>
      <c r="B32" s="196"/>
      <c r="C32" s="94">
        <v>403</v>
      </c>
      <c r="D32" s="72">
        <v>68</v>
      </c>
      <c r="E32" s="77"/>
      <c r="F32" s="74">
        <f t="shared" si="0"/>
        <v>68</v>
      </c>
      <c r="G32" s="75">
        <v>3</v>
      </c>
      <c r="H32" s="76">
        <v>504700</v>
      </c>
      <c r="I32" s="76">
        <v>38000</v>
      </c>
      <c r="J32" s="76">
        <v>11000</v>
      </c>
      <c r="K32" s="76">
        <f t="shared" si="2"/>
        <v>455700</v>
      </c>
      <c r="L32" s="76" t="s">
        <v>18</v>
      </c>
      <c r="M32" s="132" t="s">
        <v>116</v>
      </c>
      <c r="N32" s="172"/>
    </row>
    <row r="33" spans="1:14" s="4" customFormat="1" ht="18" hidden="1" customHeight="1" x14ac:dyDescent="0.25">
      <c r="A33" s="12"/>
      <c r="B33" s="196"/>
      <c r="C33" s="71">
        <v>404</v>
      </c>
      <c r="D33" s="72">
        <v>67</v>
      </c>
      <c r="E33" s="73"/>
      <c r="F33" s="74">
        <f t="shared" si="0"/>
        <v>67</v>
      </c>
      <c r="G33" s="75">
        <v>3</v>
      </c>
      <c r="H33" s="76">
        <v>498000</v>
      </c>
      <c r="I33" s="76">
        <v>38000</v>
      </c>
      <c r="J33" s="76">
        <v>11000</v>
      </c>
      <c r="K33" s="76">
        <f t="shared" si="2"/>
        <v>449000</v>
      </c>
      <c r="L33" s="76" t="s">
        <v>18</v>
      </c>
      <c r="M33" s="132" t="s">
        <v>117</v>
      </c>
      <c r="N33" s="172"/>
    </row>
    <row r="34" spans="1:14" s="4" customFormat="1" ht="18" hidden="1" customHeight="1" x14ac:dyDescent="0.25">
      <c r="A34" s="12"/>
      <c r="B34" s="196"/>
      <c r="C34" s="21">
        <v>405</v>
      </c>
      <c r="D34" s="22">
        <v>72</v>
      </c>
      <c r="E34" s="41"/>
      <c r="F34" s="24">
        <f t="shared" si="0"/>
        <v>72</v>
      </c>
      <c r="G34" s="25">
        <v>3</v>
      </c>
      <c r="H34" s="26">
        <v>532100</v>
      </c>
      <c r="I34" s="26">
        <v>38000</v>
      </c>
      <c r="J34" s="26">
        <v>11000</v>
      </c>
      <c r="K34" s="26">
        <f t="shared" si="2"/>
        <v>483100</v>
      </c>
      <c r="L34" s="26" t="s">
        <v>18</v>
      </c>
      <c r="M34" s="133" t="s">
        <v>112</v>
      </c>
      <c r="N34" s="172">
        <f>K34/F34</f>
        <v>6709.7222222222226</v>
      </c>
    </row>
    <row r="35" spans="1:14" s="4" customFormat="1" ht="18" customHeight="1" thickBot="1" x14ac:dyDescent="0.3">
      <c r="A35" s="12"/>
      <c r="B35" s="197"/>
      <c r="C35" s="138">
        <v>406</v>
      </c>
      <c r="D35" s="34">
        <v>47</v>
      </c>
      <c r="E35" s="35"/>
      <c r="F35" s="36">
        <f t="shared" si="0"/>
        <v>47</v>
      </c>
      <c r="G35" s="37">
        <v>1</v>
      </c>
      <c r="H35" s="38">
        <v>360500</v>
      </c>
      <c r="I35" s="32">
        <v>30000</v>
      </c>
      <c r="J35" s="38">
        <v>0</v>
      </c>
      <c r="K35" s="38">
        <f t="shared" si="2"/>
        <v>330500</v>
      </c>
      <c r="L35" s="38" t="s">
        <v>19</v>
      </c>
      <c r="M35" s="139" t="s">
        <v>14</v>
      </c>
      <c r="N35" s="172">
        <f>K35/F35</f>
        <v>7031.9148936170213</v>
      </c>
    </row>
    <row r="36" spans="1:14" s="4" customFormat="1" ht="18" hidden="1" customHeight="1" x14ac:dyDescent="0.25">
      <c r="A36" s="12"/>
      <c r="B36" s="195" t="s">
        <v>22</v>
      </c>
      <c r="C36" s="78">
        <v>501</v>
      </c>
      <c r="D36" s="127">
        <v>70</v>
      </c>
      <c r="E36" s="95"/>
      <c r="F36" s="128">
        <f t="shared" si="0"/>
        <v>70</v>
      </c>
      <c r="G36" s="129">
        <v>3</v>
      </c>
      <c r="H36" s="130">
        <v>518500</v>
      </c>
      <c r="I36" s="130">
        <v>38000</v>
      </c>
      <c r="J36" s="130">
        <v>11000</v>
      </c>
      <c r="K36" s="130">
        <f t="shared" si="2"/>
        <v>469500</v>
      </c>
      <c r="L36" s="130" t="s">
        <v>18</v>
      </c>
      <c r="M36" s="131" t="s">
        <v>134</v>
      </c>
      <c r="N36" s="172"/>
    </row>
    <row r="37" spans="1:14" s="4" customFormat="1" ht="18" customHeight="1" x14ac:dyDescent="0.25">
      <c r="A37" s="12"/>
      <c r="B37" s="196"/>
      <c r="C37" s="18">
        <v>502</v>
      </c>
      <c r="D37" s="20">
        <v>57</v>
      </c>
      <c r="E37" s="19"/>
      <c r="F37" s="14">
        <f t="shared" si="0"/>
        <v>57</v>
      </c>
      <c r="G37" s="15">
        <v>2</v>
      </c>
      <c r="H37" s="16">
        <v>430000</v>
      </c>
      <c r="I37" s="16">
        <v>28000</v>
      </c>
      <c r="J37" s="16">
        <v>0</v>
      </c>
      <c r="K37" s="16">
        <f t="shared" si="2"/>
        <v>402000</v>
      </c>
      <c r="L37" s="16" t="s">
        <v>18</v>
      </c>
      <c r="M37" s="140" t="s">
        <v>14</v>
      </c>
      <c r="N37" s="172">
        <f>K37/F37</f>
        <v>7052.6315789473683</v>
      </c>
    </row>
    <row r="38" spans="1:14" s="4" customFormat="1" ht="18" hidden="1" customHeight="1" x14ac:dyDescent="0.25">
      <c r="A38" s="12"/>
      <c r="B38" s="196"/>
      <c r="C38" s="94">
        <v>503</v>
      </c>
      <c r="D38" s="72">
        <v>68</v>
      </c>
      <c r="E38" s="77"/>
      <c r="F38" s="74">
        <f t="shared" si="0"/>
        <v>68</v>
      </c>
      <c r="G38" s="75">
        <v>3</v>
      </c>
      <c r="H38" s="76">
        <v>504700</v>
      </c>
      <c r="I38" s="76">
        <v>38000</v>
      </c>
      <c r="J38" s="76">
        <v>11000</v>
      </c>
      <c r="K38" s="76">
        <f t="shared" si="2"/>
        <v>455700</v>
      </c>
      <c r="L38" s="76" t="s">
        <v>18</v>
      </c>
      <c r="M38" s="132" t="s">
        <v>135</v>
      </c>
      <c r="N38" s="172"/>
    </row>
    <row r="39" spans="1:14" s="4" customFormat="1" ht="18" hidden="1" customHeight="1" x14ac:dyDescent="0.25">
      <c r="A39" s="12"/>
      <c r="B39" s="196"/>
      <c r="C39" s="71">
        <v>504</v>
      </c>
      <c r="D39" s="72">
        <v>67</v>
      </c>
      <c r="E39" s="73"/>
      <c r="F39" s="74">
        <f t="shared" si="0"/>
        <v>67</v>
      </c>
      <c r="G39" s="75">
        <v>3</v>
      </c>
      <c r="H39" s="76">
        <v>498000</v>
      </c>
      <c r="I39" s="76">
        <v>38000</v>
      </c>
      <c r="J39" s="76">
        <v>0</v>
      </c>
      <c r="K39" s="76">
        <f>+H39-I39</f>
        <v>460000</v>
      </c>
      <c r="L39" s="76" t="s">
        <v>18</v>
      </c>
      <c r="M39" s="132" t="s">
        <v>118</v>
      </c>
      <c r="N39" s="172"/>
    </row>
    <row r="40" spans="1:14" s="4" customFormat="1" ht="18" hidden="1" customHeight="1" x14ac:dyDescent="0.25">
      <c r="A40" s="12"/>
      <c r="B40" s="196"/>
      <c r="C40" s="71">
        <v>505</v>
      </c>
      <c r="D40" s="79">
        <v>72</v>
      </c>
      <c r="E40" s="73"/>
      <c r="F40" s="80">
        <v>72</v>
      </c>
      <c r="G40" s="81"/>
      <c r="H40" s="82">
        <v>532100</v>
      </c>
      <c r="I40" s="82"/>
      <c r="J40" s="76"/>
      <c r="K40" s="76">
        <v>532100</v>
      </c>
      <c r="L40" s="82" t="s">
        <v>18</v>
      </c>
      <c r="M40" s="141" t="s">
        <v>136</v>
      </c>
      <c r="N40" s="172"/>
    </row>
    <row r="41" spans="1:14" s="4" customFormat="1" ht="18" customHeight="1" thickBot="1" x14ac:dyDescent="0.3">
      <c r="A41" s="12"/>
      <c r="B41" s="197"/>
      <c r="C41" s="138">
        <v>506</v>
      </c>
      <c r="D41" s="34">
        <v>47</v>
      </c>
      <c r="E41" s="35"/>
      <c r="F41" s="36">
        <f t="shared" si="0"/>
        <v>47</v>
      </c>
      <c r="G41" s="37">
        <v>1</v>
      </c>
      <c r="H41" s="38">
        <v>360500</v>
      </c>
      <c r="I41" s="32">
        <v>30000</v>
      </c>
      <c r="J41" s="38">
        <v>0</v>
      </c>
      <c r="K41" s="38">
        <f>+H41-I41-J41</f>
        <v>330500</v>
      </c>
      <c r="L41" s="38" t="s">
        <v>19</v>
      </c>
      <c r="M41" s="139" t="s">
        <v>14</v>
      </c>
      <c r="N41" s="172">
        <f>K41/F41</f>
        <v>7031.9148936170213</v>
      </c>
    </row>
    <row r="42" spans="1:14" s="4" customFormat="1" ht="18" hidden="1" customHeight="1" x14ac:dyDescent="0.25">
      <c r="A42" s="12"/>
      <c r="B42" s="195" t="s">
        <v>23</v>
      </c>
      <c r="C42" s="78">
        <v>601</v>
      </c>
      <c r="D42" s="127">
        <v>70</v>
      </c>
      <c r="E42" s="95"/>
      <c r="F42" s="128">
        <f t="shared" si="0"/>
        <v>70</v>
      </c>
      <c r="G42" s="129">
        <v>3</v>
      </c>
      <c r="H42" s="130">
        <v>518500</v>
      </c>
      <c r="I42" s="130">
        <v>38000</v>
      </c>
      <c r="J42" s="130">
        <v>11000</v>
      </c>
      <c r="K42" s="130">
        <f>+H42-I42-J42</f>
        <v>469500</v>
      </c>
      <c r="L42" s="130" t="s">
        <v>18</v>
      </c>
      <c r="M42" s="131" t="s">
        <v>119</v>
      </c>
      <c r="N42" s="172"/>
    </row>
    <row r="43" spans="1:14" s="4" customFormat="1" ht="18" hidden="1" customHeight="1" x14ac:dyDescent="0.25">
      <c r="A43" s="12"/>
      <c r="B43" s="196"/>
      <c r="C43" s="180">
        <v>602</v>
      </c>
      <c r="D43" s="72">
        <v>57</v>
      </c>
      <c r="E43" s="77"/>
      <c r="F43" s="74">
        <f t="shared" si="0"/>
        <v>57</v>
      </c>
      <c r="G43" s="75">
        <v>2</v>
      </c>
      <c r="H43" s="76">
        <v>430000</v>
      </c>
      <c r="I43" s="76">
        <v>38000</v>
      </c>
      <c r="J43" s="76">
        <v>11000</v>
      </c>
      <c r="K43" s="76">
        <f>+H43-I43-J43</f>
        <v>381000</v>
      </c>
      <c r="L43" s="76" t="s">
        <v>18</v>
      </c>
      <c r="M43" s="132" t="s">
        <v>137</v>
      </c>
      <c r="N43" s="172"/>
    </row>
    <row r="44" spans="1:14" s="4" customFormat="1" ht="18" hidden="1" customHeight="1" x14ac:dyDescent="0.25">
      <c r="A44" s="12"/>
      <c r="B44" s="196"/>
      <c r="C44" s="71">
        <v>603</v>
      </c>
      <c r="D44" s="72">
        <v>68</v>
      </c>
      <c r="E44" s="73"/>
      <c r="F44" s="74">
        <f t="shared" si="0"/>
        <v>68</v>
      </c>
      <c r="G44" s="75">
        <v>3</v>
      </c>
      <c r="H44" s="76">
        <v>504700</v>
      </c>
      <c r="I44" s="76">
        <v>38000</v>
      </c>
      <c r="J44" s="76">
        <v>11000</v>
      </c>
      <c r="K44" s="76">
        <f>+H44-I44-J44</f>
        <v>455700</v>
      </c>
      <c r="L44" s="76" t="s">
        <v>18</v>
      </c>
      <c r="M44" s="132" t="s">
        <v>138</v>
      </c>
      <c r="N44" s="172"/>
    </row>
    <row r="45" spans="1:14" s="4" customFormat="1" ht="18" hidden="1" customHeight="1" x14ac:dyDescent="0.25">
      <c r="A45" s="12"/>
      <c r="B45" s="196"/>
      <c r="C45" s="71">
        <v>604</v>
      </c>
      <c r="D45" s="72">
        <v>67</v>
      </c>
      <c r="E45" s="73"/>
      <c r="F45" s="74">
        <f t="shared" si="0"/>
        <v>67</v>
      </c>
      <c r="G45" s="75">
        <v>3</v>
      </c>
      <c r="H45" s="76">
        <v>498000</v>
      </c>
      <c r="I45" s="76">
        <v>38000</v>
      </c>
      <c r="J45" s="76">
        <v>0</v>
      </c>
      <c r="K45" s="76">
        <f>+H45-I45</f>
        <v>460000</v>
      </c>
      <c r="L45" s="76" t="s">
        <v>18</v>
      </c>
      <c r="M45" s="132" t="s">
        <v>139</v>
      </c>
      <c r="N45" s="172"/>
    </row>
    <row r="46" spans="1:14" s="4" customFormat="1" ht="18" hidden="1" customHeight="1" x14ac:dyDescent="0.25">
      <c r="A46" s="12"/>
      <c r="B46" s="196"/>
      <c r="C46" s="71">
        <v>605</v>
      </c>
      <c r="D46" s="72">
        <v>72</v>
      </c>
      <c r="E46" s="73"/>
      <c r="F46" s="74">
        <f t="shared" si="0"/>
        <v>72</v>
      </c>
      <c r="G46" s="75">
        <v>3</v>
      </c>
      <c r="H46" s="76">
        <v>532100</v>
      </c>
      <c r="I46" s="76">
        <v>38000</v>
      </c>
      <c r="J46" s="76">
        <v>11000</v>
      </c>
      <c r="K46" s="76">
        <f t="shared" ref="K46:K67" si="3">+H46-I46-J46</f>
        <v>483100</v>
      </c>
      <c r="L46" s="76" t="s">
        <v>18</v>
      </c>
      <c r="M46" s="132" t="s">
        <v>140</v>
      </c>
      <c r="N46" s="172"/>
    </row>
    <row r="47" spans="1:14" s="4" customFormat="1" ht="18" customHeight="1" thickBot="1" x14ac:dyDescent="0.3">
      <c r="A47" s="12"/>
      <c r="B47" s="197"/>
      <c r="C47" s="142">
        <v>606</v>
      </c>
      <c r="D47" s="34">
        <v>47</v>
      </c>
      <c r="E47" s="35"/>
      <c r="F47" s="36">
        <f t="shared" si="0"/>
        <v>47</v>
      </c>
      <c r="G47" s="37">
        <v>1</v>
      </c>
      <c r="H47" s="38">
        <v>360500</v>
      </c>
      <c r="I47" s="32">
        <v>30000</v>
      </c>
      <c r="J47" s="38">
        <v>0</v>
      </c>
      <c r="K47" s="38">
        <f t="shared" si="3"/>
        <v>330500</v>
      </c>
      <c r="L47" s="38" t="s">
        <v>19</v>
      </c>
      <c r="M47" s="139" t="s">
        <v>14</v>
      </c>
      <c r="N47" s="172">
        <f>K47/F47</f>
        <v>7031.9148936170213</v>
      </c>
    </row>
    <row r="48" spans="1:14" s="4" customFormat="1" ht="18" hidden="1" customHeight="1" x14ac:dyDescent="0.25">
      <c r="A48" s="12"/>
      <c r="B48" s="195" t="s">
        <v>24</v>
      </c>
      <c r="C48" s="97">
        <v>701</v>
      </c>
      <c r="D48" s="127">
        <v>70</v>
      </c>
      <c r="E48" s="95"/>
      <c r="F48" s="128">
        <f t="shared" si="0"/>
        <v>70</v>
      </c>
      <c r="G48" s="129">
        <v>3</v>
      </c>
      <c r="H48" s="130">
        <v>518500</v>
      </c>
      <c r="I48" s="130">
        <v>38000</v>
      </c>
      <c r="J48" s="130">
        <v>11000</v>
      </c>
      <c r="K48" s="130">
        <f t="shared" si="3"/>
        <v>469500</v>
      </c>
      <c r="L48" s="130" t="s">
        <v>18</v>
      </c>
      <c r="M48" s="131" t="s">
        <v>120</v>
      </c>
      <c r="N48" s="172"/>
    </row>
    <row r="49" spans="1:14" s="4" customFormat="1" ht="18" hidden="1" customHeight="1" x14ac:dyDescent="0.25">
      <c r="A49" s="12"/>
      <c r="B49" s="196"/>
      <c r="C49" s="94">
        <v>702</v>
      </c>
      <c r="D49" s="72">
        <v>57</v>
      </c>
      <c r="E49" s="77"/>
      <c r="F49" s="74">
        <f t="shared" si="0"/>
        <v>57</v>
      </c>
      <c r="G49" s="75">
        <v>2</v>
      </c>
      <c r="H49" s="76">
        <v>430000</v>
      </c>
      <c r="I49" s="76">
        <v>38000</v>
      </c>
      <c r="J49" s="76">
        <v>11000</v>
      </c>
      <c r="K49" s="76">
        <f t="shared" si="3"/>
        <v>381000</v>
      </c>
      <c r="L49" s="76" t="s">
        <v>18</v>
      </c>
      <c r="M49" s="132" t="s">
        <v>121</v>
      </c>
      <c r="N49" s="172"/>
    </row>
    <row r="50" spans="1:14" s="4" customFormat="1" ht="18" hidden="1" customHeight="1" x14ac:dyDescent="0.25">
      <c r="A50" s="12"/>
      <c r="B50" s="196"/>
      <c r="C50" s="94">
        <v>703</v>
      </c>
      <c r="D50" s="72">
        <v>68</v>
      </c>
      <c r="E50" s="77"/>
      <c r="F50" s="74">
        <f t="shared" si="0"/>
        <v>68</v>
      </c>
      <c r="G50" s="75">
        <v>3</v>
      </c>
      <c r="H50" s="76">
        <v>504700</v>
      </c>
      <c r="I50" s="76">
        <v>38000</v>
      </c>
      <c r="J50" s="76">
        <v>11000</v>
      </c>
      <c r="K50" s="76">
        <f t="shared" si="3"/>
        <v>455700</v>
      </c>
      <c r="L50" s="76" t="s">
        <v>18</v>
      </c>
      <c r="M50" s="132" t="s">
        <v>141</v>
      </c>
      <c r="N50" s="172"/>
    </row>
    <row r="51" spans="1:14" s="4" customFormat="1" ht="18" hidden="1" customHeight="1" x14ac:dyDescent="0.25">
      <c r="A51" s="12"/>
      <c r="B51" s="196"/>
      <c r="C51" s="94">
        <v>704</v>
      </c>
      <c r="D51" s="72">
        <v>67</v>
      </c>
      <c r="E51" s="73"/>
      <c r="F51" s="74">
        <f t="shared" si="0"/>
        <v>67</v>
      </c>
      <c r="G51" s="75">
        <v>3</v>
      </c>
      <c r="H51" s="76">
        <v>498000</v>
      </c>
      <c r="I51" s="76">
        <v>38000</v>
      </c>
      <c r="J51" s="76">
        <v>11000</v>
      </c>
      <c r="K51" s="76">
        <f t="shared" si="3"/>
        <v>449000</v>
      </c>
      <c r="L51" s="76" t="s">
        <v>18</v>
      </c>
      <c r="M51" s="132" t="s">
        <v>141</v>
      </c>
      <c r="N51" s="172"/>
    </row>
    <row r="52" spans="1:14" s="4" customFormat="1" ht="18" customHeight="1" thickBot="1" x14ac:dyDescent="0.3">
      <c r="A52" s="12"/>
      <c r="B52" s="196"/>
      <c r="C52" s="33">
        <v>705</v>
      </c>
      <c r="D52" s="20">
        <v>72</v>
      </c>
      <c r="E52" s="27"/>
      <c r="F52" s="14">
        <f t="shared" si="0"/>
        <v>72</v>
      </c>
      <c r="G52" s="15">
        <v>3</v>
      </c>
      <c r="H52" s="16">
        <v>532100</v>
      </c>
      <c r="I52" s="16">
        <v>28000</v>
      </c>
      <c r="J52" s="16">
        <v>0</v>
      </c>
      <c r="K52" s="16">
        <f t="shared" si="3"/>
        <v>504100</v>
      </c>
      <c r="L52" s="16" t="s">
        <v>18</v>
      </c>
      <c r="M52" s="140" t="s">
        <v>14</v>
      </c>
      <c r="N52" s="172">
        <f>K52/F52</f>
        <v>7001.3888888888887</v>
      </c>
    </row>
    <row r="53" spans="1:14" s="4" customFormat="1" ht="18" hidden="1" customHeight="1" thickBot="1" x14ac:dyDescent="0.3">
      <c r="A53" s="12"/>
      <c r="B53" s="197"/>
      <c r="C53" s="143">
        <v>706</v>
      </c>
      <c r="D53" s="44">
        <v>47</v>
      </c>
      <c r="E53" s="45"/>
      <c r="F53" s="46">
        <f t="shared" si="0"/>
        <v>47</v>
      </c>
      <c r="G53" s="47">
        <v>1</v>
      </c>
      <c r="H53" s="48">
        <v>360500</v>
      </c>
      <c r="I53" s="48">
        <v>38000</v>
      </c>
      <c r="J53" s="48">
        <v>11000</v>
      </c>
      <c r="K53" s="48">
        <f t="shared" si="3"/>
        <v>311500</v>
      </c>
      <c r="L53" s="48" t="s">
        <v>19</v>
      </c>
      <c r="M53" s="144" t="s">
        <v>112</v>
      </c>
      <c r="N53" s="172">
        <f>K53/F53</f>
        <v>6627.6595744680853</v>
      </c>
    </row>
    <row r="54" spans="1:14" s="4" customFormat="1" ht="18" customHeight="1" x14ac:dyDescent="0.25">
      <c r="A54" s="12"/>
      <c r="B54" s="195" t="s">
        <v>25</v>
      </c>
      <c r="C54" s="39">
        <v>801</v>
      </c>
      <c r="D54" s="145">
        <v>70</v>
      </c>
      <c r="E54" s="13"/>
      <c r="F54" s="146">
        <f t="shared" si="0"/>
        <v>70</v>
      </c>
      <c r="G54" s="147">
        <v>3</v>
      </c>
      <c r="H54" s="148">
        <v>518500</v>
      </c>
      <c r="I54" s="148">
        <v>28000</v>
      </c>
      <c r="J54" s="148">
        <v>0</v>
      </c>
      <c r="K54" s="148">
        <f>+H54-I54-J54</f>
        <v>490500</v>
      </c>
      <c r="L54" s="148" t="s">
        <v>18</v>
      </c>
      <c r="M54" s="149" t="s">
        <v>14</v>
      </c>
      <c r="N54" s="172">
        <f>K54/F54</f>
        <v>7007.1428571428569</v>
      </c>
    </row>
    <row r="55" spans="1:14" s="4" customFormat="1" ht="18" hidden="1" customHeight="1" x14ac:dyDescent="0.25">
      <c r="A55" s="12"/>
      <c r="B55" s="196"/>
      <c r="C55" s="42">
        <v>802</v>
      </c>
      <c r="D55" s="22">
        <v>57</v>
      </c>
      <c r="E55" s="23"/>
      <c r="F55" s="24">
        <f t="shared" si="0"/>
        <v>57</v>
      </c>
      <c r="G55" s="25">
        <v>2</v>
      </c>
      <c r="H55" s="26">
        <v>430000</v>
      </c>
      <c r="I55" s="26">
        <v>38000</v>
      </c>
      <c r="J55" s="26">
        <v>11000</v>
      </c>
      <c r="K55" s="26">
        <f t="shared" si="3"/>
        <v>381000</v>
      </c>
      <c r="L55" s="26" t="s">
        <v>18</v>
      </c>
      <c r="M55" s="133" t="s">
        <v>112</v>
      </c>
      <c r="N55" s="172">
        <f>K55/F55</f>
        <v>6684.2105263157891</v>
      </c>
    </row>
    <row r="56" spans="1:14" s="4" customFormat="1" ht="18" hidden="1" customHeight="1" x14ac:dyDescent="0.25">
      <c r="A56" s="12"/>
      <c r="B56" s="196"/>
      <c r="C56" s="94">
        <v>803</v>
      </c>
      <c r="D56" s="72">
        <v>68</v>
      </c>
      <c r="E56" s="77"/>
      <c r="F56" s="74">
        <f t="shared" si="0"/>
        <v>68</v>
      </c>
      <c r="G56" s="75">
        <v>3</v>
      </c>
      <c r="H56" s="76">
        <v>504700</v>
      </c>
      <c r="I56" s="76">
        <v>38000</v>
      </c>
      <c r="J56" s="76">
        <v>11000</v>
      </c>
      <c r="K56" s="76">
        <f t="shared" si="3"/>
        <v>455700</v>
      </c>
      <c r="L56" s="76" t="s">
        <v>18</v>
      </c>
      <c r="M56" s="132" t="s">
        <v>142</v>
      </c>
      <c r="N56" s="172"/>
    </row>
    <row r="57" spans="1:14" s="4" customFormat="1" ht="18" customHeight="1" x14ac:dyDescent="0.25">
      <c r="A57" s="12"/>
      <c r="B57" s="196"/>
      <c r="C57" s="43">
        <v>804</v>
      </c>
      <c r="D57" s="20">
        <v>67</v>
      </c>
      <c r="E57" s="27"/>
      <c r="F57" s="14">
        <f t="shared" si="0"/>
        <v>67</v>
      </c>
      <c r="G57" s="15">
        <v>3</v>
      </c>
      <c r="H57" s="16">
        <v>498000</v>
      </c>
      <c r="I57" s="102">
        <v>28000</v>
      </c>
      <c r="J57" s="16">
        <v>0</v>
      </c>
      <c r="K57" s="16">
        <f t="shared" si="3"/>
        <v>470000</v>
      </c>
      <c r="L57" s="16" t="s">
        <v>18</v>
      </c>
      <c r="M57" s="140" t="s">
        <v>14</v>
      </c>
      <c r="N57" s="172">
        <f>K57/F57</f>
        <v>7014.9253731343288</v>
      </c>
    </row>
    <row r="58" spans="1:14" s="4" customFormat="1" ht="18" hidden="1" customHeight="1" x14ac:dyDescent="0.25">
      <c r="A58" s="12"/>
      <c r="B58" s="196"/>
      <c r="C58" s="94">
        <v>805</v>
      </c>
      <c r="D58" s="181">
        <v>72</v>
      </c>
      <c r="E58" s="73"/>
      <c r="F58" s="74">
        <f t="shared" si="0"/>
        <v>72</v>
      </c>
      <c r="G58" s="75">
        <v>3</v>
      </c>
      <c r="H58" s="76">
        <v>532100</v>
      </c>
      <c r="I58" s="76">
        <v>38000</v>
      </c>
      <c r="J58" s="76">
        <v>11000</v>
      </c>
      <c r="K58" s="76">
        <f t="shared" si="3"/>
        <v>483100</v>
      </c>
      <c r="L58" s="76" t="s">
        <v>18</v>
      </c>
      <c r="M58" s="132" t="s">
        <v>143</v>
      </c>
      <c r="N58" s="172"/>
    </row>
    <row r="59" spans="1:14" s="4" customFormat="1" ht="18" customHeight="1" thickBot="1" x14ac:dyDescent="0.3">
      <c r="A59" s="12"/>
      <c r="B59" s="197"/>
      <c r="C59" s="142">
        <v>806</v>
      </c>
      <c r="D59" s="49">
        <v>47</v>
      </c>
      <c r="E59" s="35"/>
      <c r="F59" s="36">
        <f t="shared" si="0"/>
        <v>47</v>
      </c>
      <c r="G59" s="37">
        <v>1</v>
      </c>
      <c r="H59" s="38">
        <v>360500</v>
      </c>
      <c r="I59" s="32">
        <v>30000</v>
      </c>
      <c r="J59" s="38">
        <v>0</v>
      </c>
      <c r="K59" s="38">
        <f t="shared" si="3"/>
        <v>330500</v>
      </c>
      <c r="L59" s="38" t="s">
        <v>19</v>
      </c>
      <c r="M59" s="139" t="s">
        <v>14</v>
      </c>
      <c r="N59" s="172">
        <f t="shared" ref="N59:N65" si="4">K59/F59</f>
        <v>7031.9148936170213</v>
      </c>
    </row>
    <row r="60" spans="1:14" s="4" customFormat="1" ht="18" hidden="1" customHeight="1" x14ac:dyDescent="0.25">
      <c r="A60" s="12"/>
      <c r="B60" s="195" t="s">
        <v>26</v>
      </c>
      <c r="C60" s="50">
        <v>901</v>
      </c>
      <c r="D60" s="150">
        <v>70</v>
      </c>
      <c r="E60" s="111"/>
      <c r="F60" s="151">
        <f t="shared" si="0"/>
        <v>70</v>
      </c>
      <c r="G60" s="152">
        <v>3</v>
      </c>
      <c r="H60" s="153">
        <v>518500</v>
      </c>
      <c r="I60" s="153">
        <v>38000</v>
      </c>
      <c r="J60" s="153">
        <v>11000</v>
      </c>
      <c r="K60" s="153">
        <f t="shared" si="3"/>
        <v>469500</v>
      </c>
      <c r="L60" s="153" t="s">
        <v>18</v>
      </c>
      <c r="M60" s="154" t="s">
        <v>112</v>
      </c>
      <c r="N60" s="172">
        <f t="shared" si="4"/>
        <v>6707.1428571428569</v>
      </c>
    </row>
    <row r="61" spans="1:14" s="4" customFormat="1" ht="18" customHeight="1" x14ac:dyDescent="0.25">
      <c r="A61" s="12"/>
      <c r="B61" s="196"/>
      <c r="C61" s="43">
        <v>902</v>
      </c>
      <c r="D61" s="20">
        <v>57</v>
      </c>
      <c r="E61" s="19"/>
      <c r="F61" s="14">
        <f t="shared" si="0"/>
        <v>57</v>
      </c>
      <c r="G61" s="15">
        <v>2</v>
      </c>
      <c r="H61" s="16">
        <v>430000</v>
      </c>
      <c r="I61" s="16">
        <v>28000</v>
      </c>
      <c r="J61" s="16">
        <v>0</v>
      </c>
      <c r="K61" s="16">
        <f t="shared" si="3"/>
        <v>402000</v>
      </c>
      <c r="L61" s="16" t="s">
        <v>18</v>
      </c>
      <c r="M61" s="140" t="s">
        <v>14</v>
      </c>
      <c r="N61" s="172">
        <f t="shared" si="4"/>
        <v>7052.6315789473683</v>
      </c>
    </row>
    <row r="62" spans="1:14" s="4" customFormat="1" ht="18" customHeight="1" x14ac:dyDescent="0.25">
      <c r="A62" s="12"/>
      <c r="B62" s="196"/>
      <c r="C62" s="33">
        <v>903</v>
      </c>
      <c r="D62" s="20">
        <v>68</v>
      </c>
      <c r="E62" s="19"/>
      <c r="F62" s="14">
        <f t="shared" si="0"/>
        <v>68</v>
      </c>
      <c r="G62" s="15">
        <v>3</v>
      </c>
      <c r="H62" s="16">
        <v>504700</v>
      </c>
      <c r="I62" s="16">
        <v>28000</v>
      </c>
      <c r="J62" s="16">
        <v>0</v>
      </c>
      <c r="K62" s="16">
        <f t="shared" si="3"/>
        <v>476700</v>
      </c>
      <c r="L62" s="16" t="s">
        <v>18</v>
      </c>
      <c r="M62" s="140" t="s">
        <v>14</v>
      </c>
      <c r="N62" s="172">
        <f t="shared" si="4"/>
        <v>7010.2941176470586</v>
      </c>
    </row>
    <row r="63" spans="1:14" s="4" customFormat="1" ht="18" customHeight="1" x14ac:dyDescent="0.25">
      <c r="A63" s="12"/>
      <c r="B63" s="196"/>
      <c r="C63" s="43">
        <v>904</v>
      </c>
      <c r="D63" s="20">
        <v>67</v>
      </c>
      <c r="E63" s="27"/>
      <c r="F63" s="14">
        <f t="shared" si="0"/>
        <v>67</v>
      </c>
      <c r="G63" s="15">
        <v>3</v>
      </c>
      <c r="H63" s="16">
        <v>498000</v>
      </c>
      <c r="I63" s="102">
        <v>28000</v>
      </c>
      <c r="J63" s="16">
        <v>0</v>
      </c>
      <c r="K63" s="16">
        <f t="shared" si="3"/>
        <v>470000</v>
      </c>
      <c r="L63" s="16" t="s">
        <v>18</v>
      </c>
      <c r="M63" s="140" t="s">
        <v>14</v>
      </c>
      <c r="N63" s="172">
        <f t="shared" si="4"/>
        <v>7014.9253731343288</v>
      </c>
    </row>
    <row r="64" spans="1:14" s="4" customFormat="1" ht="18" customHeight="1" x14ac:dyDescent="0.25">
      <c r="A64" s="12"/>
      <c r="B64" s="196"/>
      <c r="C64" s="33">
        <v>905</v>
      </c>
      <c r="D64" s="20">
        <v>72</v>
      </c>
      <c r="E64" s="27"/>
      <c r="F64" s="14">
        <f t="shared" si="0"/>
        <v>72</v>
      </c>
      <c r="G64" s="15">
        <v>3</v>
      </c>
      <c r="H64" s="16">
        <v>532100</v>
      </c>
      <c r="I64" s="16">
        <v>28000</v>
      </c>
      <c r="J64" s="16">
        <v>0</v>
      </c>
      <c r="K64" s="16">
        <f t="shared" si="3"/>
        <v>504100</v>
      </c>
      <c r="L64" s="16" t="s">
        <v>18</v>
      </c>
      <c r="M64" s="140" t="s">
        <v>14</v>
      </c>
      <c r="N64" s="172">
        <f t="shared" si="4"/>
        <v>7001.3888888888887</v>
      </c>
    </row>
    <row r="65" spans="1:14" s="4" customFormat="1" ht="18" customHeight="1" thickBot="1" x14ac:dyDescent="0.3">
      <c r="A65" s="12"/>
      <c r="B65" s="197"/>
      <c r="C65" s="142">
        <v>906</v>
      </c>
      <c r="D65" s="34">
        <v>47</v>
      </c>
      <c r="E65" s="35"/>
      <c r="F65" s="36">
        <f t="shared" si="0"/>
        <v>47</v>
      </c>
      <c r="G65" s="37">
        <v>1</v>
      </c>
      <c r="H65" s="38">
        <v>360500</v>
      </c>
      <c r="I65" s="32">
        <v>30000</v>
      </c>
      <c r="J65" s="38">
        <v>0</v>
      </c>
      <c r="K65" s="38">
        <f t="shared" si="3"/>
        <v>330500</v>
      </c>
      <c r="L65" s="38" t="s">
        <v>19</v>
      </c>
      <c r="M65" s="139" t="s">
        <v>14</v>
      </c>
      <c r="N65" s="172">
        <f t="shared" si="4"/>
        <v>7031.9148936170213</v>
      </c>
    </row>
    <row r="66" spans="1:14" s="4" customFormat="1" ht="18" hidden="1" customHeight="1" x14ac:dyDescent="0.25">
      <c r="A66" s="12"/>
      <c r="B66" s="195" t="s">
        <v>27</v>
      </c>
      <c r="C66" s="78">
        <v>1001</v>
      </c>
      <c r="D66" s="127">
        <v>70</v>
      </c>
      <c r="E66" s="95"/>
      <c r="F66" s="128">
        <f t="shared" si="0"/>
        <v>70</v>
      </c>
      <c r="G66" s="129">
        <v>3</v>
      </c>
      <c r="H66" s="130">
        <v>518500</v>
      </c>
      <c r="I66" s="130">
        <v>38000</v>
      </c>
      <c r="J66" s="130"/>
      <c r="K66" s="130">
        <f t="shared" si="3"/>
        <v>480500</v>
      </c>
      <c r="L66" s="130" t="s">
        <v>18</v>
      </c>
      <c r="M66" s="131" t="s">
        <v>110</v>
      </c>
      <c r="N66" s="172"/>
    </row>
    <row r="67" spans="1:14" s="4" customFormat="1" ht="18" customHeight="1" x14ac:dyDescent="0.25">
      <c r="A67" s="12"/>
      <c r="B67" s="196"/>
      <c r="C67" s="43">
        <v>1002</v>
      </c>
      <c r="D67" s="20">
        <v>57</v>
      </c>
      <c r="E67" s="19"/>
      <c r="F67" s="14">
        <f t="shared" si="0"/>
        <v>57</v>
      </c>
      <c r="G67" s="15">
        <v>2</v>
      </c>
      <c r="H67" s="16">
        <v>430000</v>
      </c>
      <c r="I67" s="16">
        <v>28000</v>
      </c>
      <c r="J67" s="16">
        <v>0</v>
      </c>
      <c r="K67" s="16">
        <f t="shared" si="3"/>
        <v>402000</v>
      </c>
      <c r="L67" s="16" t="s">
        <v>18</v>
      </c>
      <c r="M67" s="140" t="s">
        <v>14</v>
      </c>
      <c r="N67" s="172">
        <f t="shared" ref="N67:N78" si="5">K67/F67</f>
        <v>7052.6315789473683</v>
      </c>
    </row>
    <row r="68" spans="1:14" s="4" customFormat="1" ht="18" customHeight="1" x14ac:dyDescent="0.25">
      <c r="A68" s="12"/>
      <c r="B68" s="196"/>
      <c r="C68" s="103">
        <v>1003</v>
      </c>
      <c r="D68" s="98">
        <v>68</v>
      </c>
      <c r="E68" s="99"/>
      <c r="F68" s="100">
        <f t="shared" si="0"/>
        <v>68</v>
      </c>
      <c r="G68" s="101">
        <v>3</v>
      </c>
      <c r="H68" s="102">
        <v>504700</v>
      </c>
      <c r="I68" s="16">
        <v>28000</v>
      </c>
      <c r="J68" s="102">
        <v>0</v>
      </c>
      <c r="K68" s="102">
        <f>+H68-I68</f>
        <v>476700</v>
      </c>
      <c r="L68" s="102" t="s">
        <v>18</v>
      </c>
      <c r="M68" s="140" t="s">
        <v>14</v>
      </c>
      <c r="N68" s="172">
        <f t="shared" si="5"/>
        <v>7010.2941176470586</v>
      </c>
    </row>
    <row r="69" spans="1:14" s="4" customFormat="1" ht="18" customHeight="1" x14ac:dyDescent="0.25">
      <c r="A69" s="12"/>
      <c r="B69" s="196"/>
      <c r="C69" s="43">
        <v>1004</v>
      </c>
      <c r="D69" s="20">
        <v>67</v>
      </c>
      <c r="E69" s="27"/>
      <c r="F69" s="14">
        <f t="shared" si="0"/>
        <v>67</v>
      </c>
      <c r="G69" s="15">
        <v>3</v>
      </c>
      <c r="H69" s="16">
        <v>498000</v>
      </c>
      <c r="I69" s="102">
        <v>28000</v>
      </c>
      <c r="J69" s="16">
        <v>0</v>
      </c>
      <c r="K69" s="16">
        <f t="shared" ref="K69:K113" si="6">+H69-I69-J69</f>
        <v>470000</v>
      </c>
      <c r="L69" s="16" t="s">
        <v>18</v>
      </c>
      <c r="M69" s="140" t="s">
        <v>14</v>
      </c>
      <c r="N69" s="172">
        <f t="shared" si="5"/>
        <v>7014.9253731343288</v>
      </c>
    </row>
    <row r="70" spans="1:14" s="4" customFormat="1" ht="18" customHeight="1" x14ac:dyDescent="0.25">
      <c r="A70" s="12"/>
      <c r="B70" s="196"/>
      <c r="C70" s="33">
        <v>1005</v>
      </c>
      <c r="D70" s="20">
        <v>72</v>
      </c>
      <c r="E70" s="27"/>
      <c r="F70" s="14">
        <f t="shared" si="0"/>
        <v>72</v>
      </c>
      <c r="G70" s="15">
        <v>3</v>
      </c>
      <c r="H70" s="16">
        <v>532100</v>
      </c>
      <c r="I70" s="16">
        <v>28000</v>
      </c>
      <c r="J70" s="16">
        <v>0</v>
      </c>
      <c r="K70" s="16">
        <f t="shared" si="6"/>
        <v>504100</v>
      </c>
      <c r="L70" s="16" t="s">
        <v>18</v>
      </c>
      <c r="M70" s="140" t="s">
        <v>14</v>
      </c>
      <c r="N70" s="172">
        <f t="shared" si="5"/>
        <v>7001.3888888888887</v>
      </c>
    </row>
    <row r="71" spans="1:14" s="4" customFormat="1" ht="18" customHeight="1" thickBot="1" x14ac:dyDescent="0.3">
      <c r="A71" s="12"/>
      <c r="B71" s="197"/>
      <c r="C71" s="142">
        <v>1006</v>
      </c>
      <c r="D71" s="34">
        <v>47</v>
      </c>
      <c r="E71" s="51"/>
      <c r="F71" s="36">
        <f t="shared" si="0"/>
        <v>47</v>
      </c>
      <c r="G71" s="37">
        <v>1</v>
      </c>
      <c r="H71" s="38">
        <v>360500</v>
      </c>
      <c r="I71" s="32">
        <v>30000</v>
      </c>
      <c r="J71" s="38">
        <v>0</v>
      </c>
      <c r="K71" s="38">
        <f t="shared" si="6"/>
        <v>330500</v>
      </c>
      <c r="L71" s="38" t="s">
        <v>19</v>
      </c>
      <c r="M71" s="139" t="s">
        <v>14</v>
      </c>
      <c r="N71" s="172">
        <f t="shared" si="5"/>
        <v>7031.9148936170213</v>
      </c>
    </row>
    <row r="72" spans="1:14" s="4" customFormat="1" ht="18" customHeight="1" x14ac:dyDescent="0.25">
      <c r="A72" s="12"/>
      <c r="B72" s="195" t="s">
        <v>28</v>
      </c>
      <c r="C72" s="39">
        <v>1101</v>
      </c>
      <c r="D72" s="145">
        <v>70</v>
      </c>
      <c r="E72" s="13"/>
      <c r="F72" s="146">
        <f t="shared" si="0"/>
        <v>70</v>
      </c>
      <c r="G72" s="147">
        <v>3</v>
      </c>
      <c r="H72" s="148">
        <v>518500</v>
      </c>
      <c r="I72" s="148">
        <v>28000</v>
      </c>
      <c r="J72" s="148">
        <v>0</v>
      </c>
      <c r="K72" s="148">
        <f t="shared" si="6"/>
        <v>490500</v>
      </c>
      <c r="L72" s="148" t="s">
        <v>18</v>
      </c>
      <c r="M72" s="149" t="s">
        <v>14</v>
      </c>
      <c r="N72" s="172">
        <f t="shared" si="5"/>
        <v>7007.1428571428569</v>
      </c>
    </row>
    <row r="73" spans="1:14" s="4" customFormat="1" ht="18" customHeight="1" x14ac:dyDescent="0.25">
      <c r="A73" s="12"/>
      <c r="B73" s="196"/>
      <c r="C73" s="43">
        <v>1102</v>
      </c>
      <c r="D73" s="20">
        <v>57</v>
      </c>
      <c r="E73" s="19"/>
      <c r="F73" s="14">
        <f t="shared" si="0"/>
        <v>57</v>
      </c>
      <c r="G73" s="15">
        <v>2</v>
      </c>
      <c r="H73" s="16">
        <v>430000</v>
      </c>
      <c r="I73" s="16">
        <v>28000</v>
      </c>
      <c r="J73" s="16">
        <v>0</v>
      </c>
      <c r="K73" s="16">
        <f t="shared" si="6"/>
        <v>402000</v>
      </c>
      <c r="L73" s="16" t="s">
        <v>18</v>
      </c>
      <c r="M73" s="140" t="s">
        <v>14</v>
      </c>
      <c r="N73" s="172">
        <f t="shared" si="5"/>
        <v>7052.6315789473683</v>
      </c>
    </row>
    <row r="74" spans="1:14" s="4" customFormat="1" ht="18" customHeight="1" x14ac:dyDescent="0.25">
      <c r="A74" s="12"/>
      <c r="B74" s="196"/>
      <c r="C74" s="33">
        <v>1103</v>
      </c>
      <c r="D74" s="20">
        <v>68</v>
      </c>
      <c r="E74" s="19"/>
      <c r="F74" s="14">
        <f t="shared" si="0"/>
        <v>68</v>
      </c>
      <c r="G74" s="15">
        <v>3</v>
      </c>
      <c r="H74" s="16">
        <v>504700</v>
      </c>
      <c r="I74" s="16">
        <v>28000</v>
      </c>
      <c r="J74" s="16">
        <v>0</v>
      </c>
      <c r="K74" s="16">
        <f t="shared" si="6"/>
        <v>476700</v>
      </c>
      <c r="L74" s="16" t="s">
        <v>18</v>
      </c>
      <c r="M74" s="140" t="s">
        <v>14</v>
      </c>
      <c r="N74" s="172">
        <f t="shared" si="5"/>
        <v>7010.2941176470586</v>
      </c>
    </row>
    <row r="75" spans="1:14" s="4" customFormat="1" ht="18" hidden="1" customHeight="1" x14ac:dyDescent="0.25">
      <c r="A75" s="12"/>
      <c r="B75" s="196"/>
      <c r="C75" s="42">
        <v>1104</v>
      </c>
      <c r="D75" s="22">
        <v>67</v>
      </c>
      <c r="E75" s="41"/>
      <c r="F75" s="24">
        <f t="shared" si="0"/>
        <v>67</v>
      </c>
      <c r="G75" s="25">
        <v>3</v>
      </c>
      <c r="H75" s="26">
        <v>498000</v>
      </c>
      <c r="I75" s="26">
        <v>38000</v>
      </c>
      <c r="J75" s="26">
        <v>11000</v>
      </c>
      <c r="K75" s="26">
        <f t="shared" si="6"/>
        <v>449000</v>
      </c>
      <c r="L75" s="26" t="s">
        <v>18</v>
      </c>
      <c r="M75" s="133" t="s">
        <v>112</v>
      </c>
      <c r="N75" s="172">
        <f t="shared" si="5"/>
        <v>6701.4925373134329</v>
      </c>
    </row>
    <row r="76" spans="1:14" s="4" customFormat="1" ht="18" customHeight="1" x14ac:dyDescent="0.25">
      <c r="A76" s="12"/>
      <c r="B76" s="196"/>
      <c r="C76" s="33">
        <v>1105</v>
      </c>
      <c r="D76" s="20">
        <v>72</v>
      </c>
      <c r="E76" s="27"/>
      <c r="F76" s="14">
        <f t="shared" si="0"/>
        <v>72</v>
      </c>
      <c r="G76" s="15">
        <v>3</v>
      </c>
      <c r="H76" s="16">
        <v>532100</v>
      </c>
      <c r="I76" s="16">
        <v>28000</v>
      </c>
      <c r="J76" s="16">
        <v>0</v>
      </c>
      <c r="K76" s="16">
        <f t="shared" si="6"/>
        <v>504100</v>
      </c>
      <c r="L76" s="16" t="s">
        <v>18</v>
      </c>
      <c r="M76" s="140" t="s">
        <v>14</v>
      </c>
      <c r="N76" s="172">
        <f t="shared" si="5"/>
        <v>7001.3888888888887</v>
      </c>
    </row>
    <row r="77" spans="1:14" s="4" customFormat="1" ht="18" customHeight="1" thickBot="1" x14ac:dyDescent="0.3">
      <c r="A77" s="12"/>
      <c r="B77" s="197"/>
      <c r="C77" s="142">
        <v>1106</v>
      </c>
      <c r="D77" s="34">
        <v>47</v>
      </c>
      <c r="E77" s="51"/>
      <c r="F77" s="36">
        <f t="shared" si="0"/>
        <v>47</v>
      </c>
      <c r="G77" s="37">
        <v>1</v>
      </c>
      <c r="H77" s="38">
        <v>360500</v>
      </c>
      <c r="I77" s="32">
        <v>30000</v>
      </c>
      <c r="J77" s="38">
        <v>0</v>
      </c>
      <c r="K77" s="38">
        <f t="shared" si="6"/>
        <v>330500</v>
      </c>
      <c r="L77" s="38" t="s">
        <v>19</v>
      </c>
      <c r="M77" s="139" t="s">
        <v>14</v>
      </c>
      <c r="N77" s="172">
        <f t="shared" si="5"/>
        <v>7031.9148936170213</v>
      </c>
    </row>
    <row r="78" spans="1:14" s="4" customFormat="1" ht="18" customHeight="1" x14ac:dyDescent="0.25">
      <c r="A78" s="12"/>
      <c r="B78" s="195" t="s">
        <v>29</v>
      </c>
      <c r="C78" s="39">
        <v>1201</v>
      </c>
      <c r="D78" s="145">
        <v>70</v>
      </c>
      <c r="E78" s="13"/>
      <c r="F78" s="146">
        <f t="shared" si="0"/>
        <v>70</v>
      </c>
      <c r="G78" s="147">
        <v>3</v>
      </c>
      <c r="H78" s="148">
        <v>518500</v>
      </c>
      <c r="I78" s="148">
        <v>53000</v>
      </c>
      <c r="J78" s="148">
        <v>0</v>
      </c>
      <c r="K78" s="148">
        <f t="shared" si="6"/>
        <v>465500</v>
      </c>
      <c r="L78" s="148" t="s">
        <v>18</v>
      </c>
      <c r="M78" s="149" t="s">
        <v>14</v>
      </c>
      <c r="N78" s="172">
        <f t="shared" si="5"/>
        <v>6650</v>
      </c>
    </row>
    <row r="79" spans="1:14" s="4" customFormat="1" ht="18" hidden="1" customHeight="1" x14ac:dyDescent="0.25">
      <c r="A79" s="12"/>
      <c r="B79" s="196"/>
      <c r="C79" s="71">
        <v>1202</v>
      </c>
      <c r="D79" s="72">
        <v>57</v>
      </c>
      <c r="E79" s="77"/>
      <c r="F79" s="74">
        <f t="shared" si="0"/>
        <v>57</v>
      </c>
      <c r="G79" s="75">
        <v>2</v>
      </c>
      <c r="H79" s="76">
        <v>430000</v>
      </c>
      <c r="I79" s="76">
        <v>38000</v>
      </c>
      <c r="J79" s="76">
        <v>11000</v>
      </c>
      <c r="K79" s="76">
        <f t="shared" si="6"/>
        <v>381000</v>
      </c>
      <c r="L79" s="76" t="s">
        <v>18</v>
      </c>
      <c r="M79" s="132" t="s">
        <v>144</v>
      </c>
      <c r="N79" s="172"/>
    </row>
    <row r="80" spans="1:14" s="4" customFormat="1" ht="18" customHeight="1" x14ac:dyDescent="0.25">
      <c r="A80" s="12"/>
      <c r="B80" s="196"/>
      <c r="C80" s="52">
        <v>1203</v>
      </c>
      <c r="D80" s="20">
        <v>68</v>
      </c>
      <c r="E80" s="19"/>
      <c r="F80" s="14">
        <f t="shared" si="0"/>
        <v>68</v>
      </c>
      <c r="G80" s="15">
        <v>3</v>
      </c>
      <c r="H80" s="16">
        <v>504700</v>
      </c>
      <c r="I80" s="16">
        <v>53000</v>
      </c>
      <c r="J80" s="16">
        <v>0</v>
      </c>
      <c r="K80" s="16">
        <f t="shared" si="6"/>
        <v>451700</v>
      </c>
      <c r="L80" s="16" t="s">
        <v>18</v>
      </c>
      <c r="M80" s="140" t="s">
        <v>14</v>
      </c>
      <c r="N80" s="172">
        <f>K80/F80</f>
        <v>6642.6470588235297</v>
      </c>
    </row>
    <row r="81" spans="1:14" s="4" customFormat="1" ht="18" customHeight="1" x14ac:dyDescent="0.25">
      <c r="A81" s="12"/>
      <c r="B81" s="196"/>
      <c r="C81" s="18">
        <v>1204</v>
      </c>
      <c r="D81" s="20">
        <v>67</v>
      </c>
      <c r="E81" s="27"/>
      <c r="F81" s="14">
        <f t="shared" si="0"/>
        <v>67</v>
      </c>
      <c r="G81" s="15">
        <v>3</v>
      </c>
      <c r="H81" s="16">
        <v>498000</v>
      </c>
      <c r="I81" s="16">
        <v>53000</v>
      </c>
      <c r="J81" s="16">
        <v>0</v>
      </c>
      <c r="K81" s="16">
        <f t="shared" si="6"/>
        <v>445000</v>
      </c>
      <c r="L81" s="16" t="s">
        <v>18</v>
      </c>
      <c r="M81" s="140" t="s">
        <v>14</v>
      </c>
      <c r="N81" s="172">
        <f>K81/F81</f>
        <v>6641.7910447761196</v>
      </c>
    </row>
    <row r="82" spans="1:14" s="4" customFormat="1" ht="18" hidden="1" customHeight="1" x14ac:dyDescent="0.25">
      <c r="A82" s="12"/>
      <c r="B82" s="196"/>
      <c r="C82" s="94">
        <v>1205</v>
      </c>
      <c r="D82" s="72">
        <v>72</v>
      </c>
      <c r="E82" s="73"/>
      <c r="F82" s="74">
        <f t="shared" si="0"/>
        <v>72</v>
      </c>
      <c r="G82" s="75">
        <v>3</v>
      </c>
      <c r="H82" s="76">
        <v>532100</v>
      </c>
      <c r="I82" s="76">
        <v>38000</v>
      </c>
      <c r="J82" s="76">
        <v>11000</v>
      </c>
      <c r="K82" s="76">
        <f t="shared" si="6"/>
        <v>483100</v>
      </c>
      <c r="L82" s="76" t="s">
        <v>18</v>
      </c>
      <c r="M82" s="132" t="s">
        <v>145</v>
      </c>
      <c r="N82" s="172"/>
    </row>
    <row r="83" spans="1:14" s="4" customFormat="1" ht="18" customHeight="1" thickBot="1" x14ac:dyDescent="0.3">
      <c r="A83" s="12"/>
      <c r="B83" s="197"/>
      <c r="C83" s="142">
        <v>1206</v>
      </c>
      <c r="D83" s="34">
        <v>47</v>
      </c>
      <c r="E83" s="51"/>
      <c r="F83" s="36">
        <f t="shared" si="0"/>
        <v>47</v>
      </c>
      <c r="G83" s="37">
        <v>1</v>
      </c>
      <c r="H83" s="38">
        <v>360500</v>
      </c>
      <c r="I83" s="38">
        <v>53000</v>
      </c>
      <c r="J83" s="38">
        <v>0</v>
      </c>
      <c r="K83" s="38">
        <f t="shared" si="6"/>
        <v>307500</v>
      </c>
      <c r="L83" s="38" t="s">
        <v>19</v>
      </c>
      <c r="M83" s="139" t="s">
        <v>14</v>
      </c>
      <c r="N83" s="172">
        <f>K83/F83</f>
        <v>6542.5531914893618</v>
      </c>
    </row>
    <row r="84" spans="1:14" s="4" customFormat="1" ht="18" hidden="1" customHeight="1" x14ac:dyDescent="0.25">
      <c r="A84" s="12"/>
      <c r="B84" s="195" t="s">
        <v>30</v>
      </c>
      <c r="C84" s="78">
        <v>1301</v>
      </c>
      <c r="D84" s="127">
        <v>70</v>
      </c>
      <c r="E84" s="95"/>
      <c r="F84" s="128">
        <f t="shared" si="0"/>
        <v>70</v>
      </c>
      <c r="G84" s="129">
        <v>3</v>
      </c>
      <c r="H84" s="130">
        <v>518500</v>
      </c>
      <c r="I84" s="130">
        <v>38000</v>
      </c>
      <c r="J84" s="130">
        <v>11000</v>
      </c>
      <c r="K84" s="130">
        <f t="shared" si="6"/>
        <v>469500</v>
      </c>
      <c r="L84" s="130" t="s">
        <v>18</v>
      </c>
      <c r="M84" s="131" t="s">
        <v>146</v>
      </c>
      <c r="N84" s="172"/>
    </row>
    <row r="85" spans="1:14" s="4" customFormat="1" ht="18" hidden="1" customHeight="1" x14ac:dyDescent="0.25">
      <c r="A85" s="12"/>
      <c r="B85" s="196"/>
      <c r="C85" s="182">
        <v>1302</v>
      </c>
      <c r="D85" s="174">
        <v>57</v>
      </c>
      <c r="E85" s="175"/>
      <c r="F85" s="176">
        <f t="shared" si="0"/>
        <v>57</v>
      </c>
      <c r="G85" s="177">
        <v>2</v>
      </c>
      <c r="H85" s="178">
        <v>430000</v>
      </c>
      <c r="I85" s="178">
        <v>38000</v>
      </c>
      <c r="J85" s="178">
        <v>11000</v>
      </c>
      <c r="K85" s="178">
        <f t="shared" si="6"/>
        <v>381000</v>
      </c>
      <c r="L85" s="178" t="s">
        <v>18</v>
      </c>
      <c r="M85" s="179" t="s">
        <v>147</v>
      </c>
      <c r="N85" s="172"/>
    </row>
    <row r="86" spans="1:14" s="4" customFormat="1" ht="18" customHeight="1" x14ac:dyDescent="0.25">
      <c r="A86" s="12"/>
      <c r="B86" s="196"/>
      <c r="C86" s="52">
        <v>1303</v>
      </c>
      <c r="D86" s="20">
        <v>68</v>
      </c>
      <c r="E86" s="19"/>
      <c r="F86" s="14">
        <f t="shared" si="0"/>
        <v>68</v>
      </c>
      <c r="G86" s="15">
        <v>3</v>
      </c>
      <c r="H86" s="16">
        <v>504700</v>
      </c>
      <c r="I86" s="16">
        <v>53000</v>
      </c>
      <c r="J86" s="16">
        <v>0</v>
      </c>
      <c r="K86" s="16">
        <f t="shared" si="6"/>
        <v>451700</v>
      </c>
      <c r="L86" s="16" t="s">
        <v>18</v>
      </c>
      <c r="M86" s="140" t="s">
        <v>14</v>
      </c>
      <c r="N86" s="172">
        <f>K86/F86</f>
        <v>6642.6470588235297</v>
      </c>
    </row>
    <row r="87" spans="1:14" s="4" customFormat="1" ht="18" hidden="1" customHeight="1" x14ac:dyDescent="0.25">
      <c r="A87" s="12"/>
      <c r="B87" s="196"/>
      <c r="C87" s="40">
        <v>1304</v>
      </c>
      <c r="D87" s="22">
        <v>67</v>
      </c>
      <c r="E87" s="41"/>
      <c r="F87" s="24">
        <f t="shared" si="0"/>
        <v>67</v>
      </c>
      <c r="G87" s="25">
        <v>3</v>
      </c>
      <c r="H87" s="26">
        <v>498000</v>
      </c>
      <c r="I87" s="26">
        <v>38000</v>
      </c>
      <c r="J87" s="26">
        <v>11000</v>
      </c>
      <c r="K87" s="26">
        <f t="shared" si="6"/>
        <v>449000</v>
      </c>
      <c r="L87" s="26" t="s">
        <v>18</v>
      </c>
      <c r="M87" s="133" t="s">
        <v>112</v>
      </c>
      <c r="N87" s="172">
        <f>K87/F87</f>
        <v>6701.4925373134329</v>
      </c>
    </row>
    <row r="88" spans="1:14" s="4" customFormat="1" ht="18" customHeight="1" thickBot="1" x14ac:dyDescent="0.3">
      <c r="A88" s="12"/>
      <c r="B88" s="196"/>
      <c r="C88" s="52">
        <v>1305</v>
      </c>
      <c r="D88" s="20">
        <v>72</v>
      </c>
      <c r="E88" s="27"/>
      <c r="F88" s="14">
        <f t="shared" si="0"/>
        <v>72</v>
      </c>
      <c r="G88" s="15">
        <v>3</v>
      </c>
      <c r="H88" s="16">
        <v>532100</v>
      </c>
      <c r="I88" s="16">
        <v>53000</v>
      </c>
      <c r="J88" s="16">
        <v>0</v>
      </c>
      <c r="K88" s="16">
        <f t="shared" si="6"/>
        <v>479100</v>
      </c>
      <c r="L88" s="16" t="s">
        <v>18</v>
      </c>
      <c r="M88" s="140" t="s">
        <v>14</v>
      </c>
      <c r="N88" s="172">
        <f>K88/F88</f>
        <v>6654.166666666667</v>
      </c>
    </row>
    <row r="89" spans="1:14" s="4" customFormat="1" ht="18" hidden="1" customHeight="1" thickBot="1" x14ac:dyDescent="0.3">
      <c r="A89" s="12"/>
      <c r="B89" s="197"/>
      <c r="C89" s="155">
        <v>1306</v>
      </c>
      <c r="D89" s="89">
        <v>40</v>
      </c>
      <c r="E89" s="90"/>
      <c r="F89" s="91">
        <f t="shared" si="0"/>
        <v>40</v>
      </c>
      <c r="G89" s="92">
        <v>1</v>
      </c>
      <c r="H89" s="93">
        <v>312500</v>
      </c>
      <c r="I89" s="93">
        <v>38000</v>
      </c>
      <c r="J89" s="93">
        <v>11000</v>
      </c>
      <c r="K89" s="93">
        <f t="shared" si="6"/>
        <v>263500</v>
      </c>
      <c r="L89" s="93" t="s">
        <v>19</v>
      </c>
      <c r="M89" s="156" t="s">
        <v>111</v>
      </c>
      <c r="N89" s="172"/>
    </row>
    <row r="90" spans="1:14" s="4" customFormat="1" ht="18" customHeight="1" x14ac:dyDescent="0.25">
      <c r="A90" s="12"/>
      <c r="B90" s="195" t="s">
        <v>31</v>
      </c>
      <c r="C90" s="39">
        <v>1401</v>
      </c>
      <c r="D90" s="145">
        <v>70</v>
      </c>
      <c r="E90" s="13"/>
      <c r="F90" s="146">
        <f t="shared" si="0"/>
        <v>70</v>
      </c>
      <c r="G90" s="147">
        <v>3</v>
      </c>
      <c r="H90" s="148">
        <v>518500</v>
      </c>
      <c r="I90" s="148">
        <v>53000</v>
      </c>
      <c r="J90" s="148">
        <v>0</v>
      </c>
      <c r="K90" s="148">
        <f t="shared" si="6"/>
        <v>465500</v>
      </c>
      <c r="L90" s="148" t="s">
        <v>18</v>
      </c>
      <c r="M90" s="149" t="s">
        <v>14</v>
      </c>
      <c r="N90" s="172">
        <f t="shared" ref="N90:N96" si="7">K90/F90</f>
        <v>6650</v>
      </c>
    </row>
    <row r="91" spans="1:14" s="4" customFormat="1" ht="18" hidden="1" customHeight="1" x14ac:dyDescent="0.25">
      <c r="A91" s="12"/>
      <c r="B91" s="196"/>
      <c r="C91" s="40">
        <v>1402</v>
      </c>
      <c r="D91" s="22">
        <v>57</v>
      </c>
      <c r="E91" s="23"/>
      <c r="F91" s="24">
        <f t="shared" si="0"/>
        <v>57</v>
      </c>
      <c r="G91" s="25">
        <v>2</v>
      </c>
      <c r="H91" s="26">
        <v>430000</v>
      </c>
      <c r="I91" s="26">
        <v>38000</v>
      </c>
      <c r="J91" s="26">
        <v>11000</v>
      </c>
      <c r="K91" s="26">
        <f t="shared" si="6"/>
        <v>381000</v>
      </c>
      <c r="L91" s="26" t="s">
        <v>18</v>
      </c>
      <c r="M91" s="133" t="s">
        <v>112</v>
      </c>
      <c r="N91" s="172">
        <f t="shared" si="7"/>
        <v>6684.2105263157891</v>
      </c>
    </row>
    <row r="92" spans="1:14" s="4" customFormat="1" ht="18" customHeight="1" x14ac:dyDescent="0.25">
      <c r="A92" s="12"/>
      <c r="B92" s="196"/>
      <c r="C92" s="52">
        <v>1403</v>
      </c>
      <c r="D92" s="20">
        <v>68</v>
      </c>
      <c r="E92" s="19"/>
      <c r="F92" s="14">
        <f t="shared" si="0"/>
        <v>68</v>
      </c>
      <c r="G92" s="15">
        <v>3</v>
      </c>
      <c r="H92" s="16">
        <v>504700</v>
      </c>
      <c r="I92" s="16">
        <v>53000</v>
      </c>
      <c r="J92" s="16">
        <v>0</v>
      </c>
      <c r="K92" s="16">
        <f t="shared" si="6"/>
        <v>451700</v>
      </c>
      <c r="L92" s="16" t="s">
        <v>18</v>
      </c>
      <c r="M92" s="140" t="s">
        <v>14</v>
      </c>
      <c r="N92" s="172">
        <f t="shared" si="7"/>
        <v>6642.6470588235297</v>
      </c>
    </row>
    <row r="93" spans="1:14" s="4" customFormat="1" ht="18" customHeight="1" x14ac:dyDescent="0.25">
      <c r="A93" s="12"/>
      <c r="B93" s="196"/>
      <c r="C93" s="18">
        <v>1404</v>
      </c>
      <c r="D93" s="20">
        <v>67</v>
      </c>
      <c r="E93" s="27"/>
      <c r="F93" s="14">
        <f t="shared" si="0"/>
        <v>67</v>
      </c>
      <c r="G93" s="15">
        <v>3</v>
      </c>
      <c r="H93" s="16">
        <v>498000</v>
      </c>
      <c r="I93" s="16">
        <v>53000</v>
      </c>
      <c r="J93" s="16">
        <v>0</v>
      </c>
      <c r="K93" s="16">
        <f t="shared" si="6"/>
        <v>445000</v>
      </c>
      <c r="L93" s="16" t="s">
        <v>18</v>
      </c>
      <c r="M93" s="140" t="s">
        <v>14</v>
      </c>
      <c r="N93" s="172">
        <f t="shared" si="7"/>
        <v>6641.7910447761196</v>
      </c>
    </row>
    <row r="94" spans="1:14" s="4" customFormat="1" ht="18" customHeight="1" x14ac:dyDescent="0.25">
      <c r="A94" s="12"/>
      <c r="B94" s="196"/>
      <c r="C94" s="52">
        <v>1405</v>
      </c>
      <c r="D94" s="20">
        <v>72</v>
      </c>
      <c r="E94" s="27"/>
      <c r="F94" s="14">
        <f t="shared" si="0"/>
        <v>72</v>
      </c>
      <c r="G94" s="15">
        <v>3</v>
      </c>
      <c r="H94" s="16">
        <v>532100</v>
      </c>
      <c r="I94" s="16">
        <v>53000</v>
      </c>
      <c r="J94" s="16">
        <v>0</v>
      </c>
      <c r="K94" s="16">
        <f t="shared" si="6"/>
        <v>479100</v>
      </c>
      <c r="L94" s="16" t="s">
        <v>18</v>
      </c>
      <c r="M94" s="140" t="s">
        <v>14</v>
      </c>
      <c r="N94" s="172">
        <f t="shared" si="7"/>
        <v>6654.166666666667</v>
      </c>
    </row>
    <row r="95" spans="1:14" s="4" customFormat="1" ht="18" customHeight="1" thickBot="1" x14ac:dyDescent="0.3">
      <c r="A95" s="12"/>
      <c r="B95" s="197"/>
      <c r="C95" s="138">
        <v>1406</v>
      </c>
      <c r="D95" s="34">
        <v>40</v>
      </c>
      <c r="E95" s="51"/>
      <c r="F95" s="36">
        <f t="shared" si="0"/>
        <v>40</v>
      </c>
      <c r="G95" s="37">
        <v>1</v>
      </c>
      <c r="H95" s="38">
        <v>312500</v>
      </c>
      <c r="I95" s="38">
        <v>53000</v>
      </c>
      <c r="J95" s="38">
        <v>0</v>
      </c>
      <c r="K95" s="38">
        <f t="shared" si="6"/>
        <v>259500</v>
      </c>
      <c r="L95" s="38" t="s">
        <v>19</v>
      </c>
      <c r="M95" s="139" t="s">
        <v>14</v>
      </c>
      <c r="N95" s="172">
        <f t="shared" si="7"/>
        <v>6487.5</v>
      </c>
    </row>
    <row r="96" spans="1:14" s="4" customFormat="1" ht="18" customHeight="1" x14ac:dyDescent="0.25">
      <c r="A96" s="12"/>
      <c r="B96" s="195" t="s">
        <v>32</v>
      </c>
      <c r="C96" s="39">
        <v>1501</v>
      </c>
      <c r="D96" s="145">
        <v>70</v>
      </c>
      <c r="E96" s="13"/>
      <c r="F96" s="146">
        <f t="shared" si="0"/>
        <v>70</v>
      </c>
      <c r="G96" s="147">
        <v>3</v>
      </c>
      <c r="H96" s="148">
        <v>518500</v>
      </c>
      <c r="I96" s="148">
        <v>53000</v>
      </c>
      <c r="J96" s="148">
        <v>0</v>
      </c>
      <c r="K96" s="148">
        <f t="shared" si="6"/>
        <v>465500</v>
      </c>
      <c r="L96" s="148" t="s">
        <v>18</v>
      </c>
      <c r="M96" s="149" t="s">
        <v>14</v>
      </c>
      <c r="N96" s="172">
        <f t="shared" si="7"/>
        <v>6650</v>
      </c>
    </row>
    <row r="97" spans="1:14" s="4" customFormat="1" ht="18" hidden="1" customHeight="1" x14ac:dyDescent="0.25">
      <c r="A97" s="12"/>
      <c r="B97" s="196"/>
      <c r="C97" s="71">
        <v>1502</v>
      </c>
      <c r="D97" s="72">
        <v>57</v>
      </c>
      <c r="E97" s="77"/>
      <c r="F97" s="74">
        <f t="shared" si="0"/>
        <v>57</v>
      </c>
      <c r="G97" s="75">
        <v>2</v>
      </c>
      <c r="H97" s="76">
        <v>430000</v>
      </c>
      <c r="I97" s="76">
        <v>38000</v>
      </c>
      <c r="J97" s="76">
        <v>11000</v>
      </c>
      <c r="K97" s="76">
        <f t="shared" si="6"/>
        <v>381000</v>
      </c>
      <c r="L97" s="76" t="s">
        <v>18</v>
      </c>
      <c r="M97" s="132" t="s">
        <v>148</v>
      </c>
      <c r="N97" s="172"/>
    </row>
    <row r="98" spans="1:14" s="4" customFormat="1" ht="18" customHeight="1" x14ac:dyDescent="0.25">
      <c r="A98" s="12"/>
      <c r="B98" s="196"/>
      <c r="C98" s="52">
        <v>1503</v>
      </c>
      <c r="D98" s="20">
        <v>68</v>
      </c>
      <c r="E98" s="19"/>
      <c r="F98" s="14">
        <f t="shared" si="0"/>
        <v>68</v>
      </c>
      <c r="G98" s="15">
        <v>3</v>
      </c>
      <c r="H98" s="16">
        <v>504700</v>
      </c>
      <c r="I98" s="16">
        <v>53000</v>
      </c>
      <c r="J98" s="16">
        <v>0</v>
      </c>
      <c r="K98" s="16">
        <f t="shared" si="6"/>
        <v>451700</v>
      </c>
      <c r="L98" s="16" t="s">
        <v>18</v>
      </c>
      <c r="M98" s="140" t="s">
        <v>14</v>
      </c>
      <c r="N98" s="172">
        <f t="shared" ref="N98:N103" si="8">K98/F98</f>
        <v>6642.6470588235297</v>
      </c>
    </row>
    <row r="99" spans="1:14" s="4" customFormat="1" ht="18" customHeight="1" x14ac:dyDescent="0.25">
      <c r="A99" s="12"/>
      <c r="B99" s="196"/>
      <c r="C99" s="18">
        <v>1504</v>
      </c>
      <c r="D99" s="20">
        <v>67</v>
      </c>
      <c r="E99" s="27"/>
      <c r="F99" s="14">
        <f t="shared" si="0"/>
        <v>67</v>
      </c>
      <c r="G99" s="15">
        <v>3</v>
      </c>
      <c r="H99" s="16">
        <v>498000</v>
      </c>
      <c r="I99" s="16">
        <v>53000</v>
      </c>
      <c r="J99" s="16">
        <v>0</v>
      </c>
      <c r="K99" s="16">
        <f t="shared" si="6"/>
        <v>445000</v>
      </c>
      <c r="L99" s="16" t="s">
        <v>18</v>
      </c>
      <c r="M99" s="140" t="s">
        <v>14</v>
      </c>
      <c r="N99" s="172">
        <f t="shared" si="8"/>
        <v>6641.7910447761196</v>
      </c>
    </row>
    <row r="100" spans="1:14" s="4" customFormat="1" ht="18" customHeight="1" x14ac:dyDescent="0.25">
      <c r="A100" s="12"/>
      <c r="B100" s="196"/>
      <c r="C100" s="52">
        <v>1505</v>
      </c>
      <c r="D100" s="20">
        <v>72</v>
      </c>
      <c r="E100" s="27"/>
      <c r="F100" s="14">
        <f t="shared" si="0"/>
        <v>72</v>
      </c>
      <c r="G100" s="15">
        <v>3</v>
      </c>
      <c r="H100" s="16">
        <v>532100</v>
      </c>
      <c r="I100" s="16">
        <v>53000</v>
      </c>
      <c r="J100" s="16">
        <v>0</v>
      </c>
      <c r="K100" s="16">
        <f t="shared" si="6"/>
        <v>479100</v>
      </c>
      <c r="L100" s="16" t="s">
        <v>18</v>
      </c>
      <c r="M100" s="140" t="s">
        <v>14</v>
      </c>
      <c r="N100" s="172">
        <f t="shared" si="8"/>
        <v>6654.166666666667</v>
      </c>
    </row>
    <row r="101" spans="1:14" s="4" customFormat="1" ht="18" customHeight="1" thickBot="1" x14ac:dyDescent="0.3">
      <c r="A101" s="12"/>
      <c r="B101" s="197"/>
      <c r="C101" s="138">
        <v>1506</v>
      </c>
      <c r="D101" s="34">
        <v>37</v>
      </c>
      <c r="E101" s="51"/>
      <c r="F101" s="36">
        <f t="shared" si="0"/>
        <v>37</v>
      </c>
      <c r="G101" s="37">
        <v>1</v>
      </c>
      <c r="H101" s="38">
        <v>292000</v>
      </c>
      <c r="I101" s="38">
        <v>53000</v>
      </c>
      <c r="J101" s="38">
        <v>0</v>
      </c>
      <c r="K101" s="38">
        <f t="shared" si="6"/>
        <v>239000</v>
      </c>
      <c r="L101" s="38" t="s">
        <v>19</v>
      </c>
      <c r="M101" s="139" t="s">
        <v>14</v>
      </c>
      <c r="N101" s="172">
        <f t="shared" si="8"/>
        <v>6459.4594594594591</v>
      </c>
    </row>
    <row r="102" spans="1:14" s="4" customFormat="1" ht="18" customHeight="1" x14ac:dyDescent="0.25">
      <c r="A102" s="12"/>
      <c r="B102" s="195" t="s">
        <v>33</v>
      </c>
      <c r="C102" s="39">
        <v>1601</v>
      </c>
      <c r="D102" s="145">
        <v>70</v>
      </c>
      <c r="E102" s="13"/>
      <c r="F102" s="146">
        <f t="shared" si="0"/>
        <v>70</v>
      </c>
      <c r="G102" s="147">
        <v>3</v>
      </c>
      <c r="H102" s="148">
        <v>518500</v>
      </c>
      <c r="I102" s="148">
        <v>53000</v>
      </c>
      <c r="J102" s="148">
        <v>0</v>
      </c>
      <c r="K102" s="148">
        <f t="shared" si="6"/>
        <v>465500</v>
      </c>
      <c r="L102" s="148" t="s">
        <v>18</v>
      </c>
      <c r="M102" s="149" t="s">
        <v>14</v>
      </c>
      <c r="N102" s="172">
        <f t="shared" si="8"/>
        <v>6650</v>
      </c>
    </row>
    <row r="103" spans="1:14" s="4" customFormat="1" ht="18" hidden="1" customHeight="1" x14ac:dyDescent="0.25">
      <c r="A103" s="12"/>
      <c r="B103" s="196"/>
      <c r="C103" s="40">
        <v>1602</v>
      </c>
      <c r="D103" s="22">
        <v>57</v>
      </c>
      <c r="E103" s="23"/>
      <c r="F103" s="24">
        <f t="shared" si="0"/>
        <v>57</v>
      </c>
      <c r="G103" s="25">
        <v>2</v>
      </c>
      <c r="H103" s="26">
        <v>430000</v>
      </c>
      <c r="I103" s="26">
        <v>38000</v>
      </c>
      <c r="J103" s="26">
        <v>11000</v>
      </c>
      <c r="K103" s="26">
        <f t="shared" si="6"/>
        <v>381000</v>
      </c>
      <c r="L103" s="26" t="s">
        <v>18</v>
      </c>
      <c r="M103" s="133" t="s">
        <v>112</v>
      </c>
      <c r="N103" s="172">
        <f t="shared" si="8"/>
        <v>6684.2105263157891</v>
      </c>
    </row>
    <row r="104" spans="1:14" s="4" customFormat="1" ht="18" hidden="1" customHeight="1" x14ac:dyDescent="0.25">
      <c r="A104" s="12"/>
      <c r="B104" s="196"/>
      <c r="C104" s="183">
        <v>1603</v>
      </c>
      <c r="D104" s="174">
        <v>68</v>
      </c>
      <c r="E104" s="175"/>
      <c r="F104" s="176">
        <f t="shared" si="0"/>
        <v>68</v>
      </c>
      <c r="G104" s="177">
        <v>3</v>
      </c>
      <c r="H104" s="178">
        <v>504700</v>
      </c>
      <c r="I104" s="178">
        <v>38000</v>
      </c>
      <c r="J104" s="178">
        <v>11000</v>
      </c>
      <c r="K104" s="178">
        <f t="shared" si="6"/>
        <v>455700</v>
      </c>
      <c r="L104" s="178" t="s">
        <v>18</v>
      </c>
      <c r="M104" s="179" t="s">
        <v>149</v>
      </c>
      <c r="N104" s="172"/>
    </row>
    <row r="105" spans="1:14" s="4" customFormat="1" ht="18" customHeight="1" x14ac:dyDescent="0.25">
      <c r="A105" s="12"/>
      <c r="B105" s="196"/>
      <c r="C105" s="18">
        <v>1604</v>
      </c>
      <c r="D105" s="20">
        <v>67</v>
      </c>
      <c r="E105" s="27"/>
      <c r="F105" s="14">
        <f t="shared" si="0"/>
        <v>67</v>
      </c>
      <c r="G105" s="15">
        <v>3</v>
      </c>
      <c r="H105" s="16">
        <v>498000</v>
      </c>
      <c r="I105" s="16">
        <v>53000</v>
      </c>
      <c r="J105" s="16">
        <v>0</v>
      </c>
      <c r="K105" s="16">
        <f t="shared" si="6"/>
        <v>445000</v>
      </c>
      <c r="L105" s="16" t="s">
        <v>18</v>
      </c>
      <c r="M105" s="140" t="s">
        <v>14</v>
      </c>
      <c r="N105" s="172">
        <f t="shared" ref="N105:N113" si="9">K105/F105</f>
        <v>6641.7910447761196</v>
      </c>
    </row>
    <row r="106" spans="1:14" s="4" customFormat="1" ht="18" customHeight="1" x14ac:dyDescent="0.25">
      <c r="A106" s="12"/>
      <c r="B106" s="196"/>
      <c r="C106" s="52">
        <v>1605</v>
      </c>
      <c r="D106" s="20">
        <v>72</v>
      </c>
      <c r="E106" s="27"/>
      <c r="F106" s="14">
        <f t="shared" si="0"/>
        <v>72</v>
      </c>
      <c r="G106" s="15">
        <v>3</v>
      </c>
      <c r="H106" s="16">
        <v>532100</v>
      </c>
      <c r="I106" s="16">
        <v>53000</v>
      </c>
      <c r="J106" s="16">
        <v>0</v>
      </c>
      <c r="K106" s="16">
        <f t="shared" si="6"/>
        <v>479100</v>
      </c>
      <c r="L106" s="16" t="s">
        <v>18</v>
      </c>
      <c r="M106" s="140" t="s">
        <v>14</v>
      </c>
      <c r="N106" s="172">
        <f t="shared" si="9"/>
        <v>6654.166666666667</v>
      </c>
    </row>
    <row r="107" spans="1:14" s="4" customFormat="1" ht="18" customHeight="1" thickBot="1" x14ac:dyDescent="0.3">
      <c r="A107" s="12"/>
      <c r="B107" s="197"/>
      <c r="C107" s="138">
        <v>1606</v>
      </c>
      <c r="D107" s="34">
        <v>37</v>
      </c>
      <c r="E107" s="51"/>
      <c r="F107" s="36">
        <f t="shared" si="0"/>
        <v>37</v>
      </c>
      <c r="G107" s="37">
        <v>1</v>
      </c>
      <c r="H107" s="38">
        <v>292000</v>
      </c>
      <c r="I107" s="38">
        <v>53000</v>
      </c>
      <c r="J107" s="38">
        <v>0</v>
      </c>
      <c r="K107" s="38">
        <f t="shared" si="6"/>
        <v>239000</v>
      </c>
      <c r="L107" s="38" t="s">
        <v>19</v>
      </c>
      <c r="M107" s="139" t="s">
        <v>14</v>
      </c>
      <c r="N107" s="172">
        <f t="shared" si="9"/>
        <v>6459.4594594594591</v>
      </c>
    </row>
    <row r="108" spans="1:14" s="4" customFormat="1" ht="18" customHeight="1" x14ac:dyDescent="0.25">
      <c r="A108" s="12"/>
      <c r="B108" s="195" t="s">
        <v>34</v>
      </c>
      <c r="C108" s="39">
        <v>1701</v>
      </c>
      <c r="D108" s="145">
        <v>70</v>
      </c>
      <c r="E108" s="13"/>
      <c r="F108" s="146">
        <f t="shared" si="0"/>
        <v>70</v>
      </c>
      <c r="G108" s="147">
        <v>3</v>
      </c>
      <c r="H108" s="148">
        <v>518500</v>
      </c>
      <c r="I108" s="148">
        <v>53000</v>
      </c>
      <c r="J108" s="148">
        <v>0</v>
      </c>
      <c r="K108" s="148">
        <f t="shared" si="6"/>
        <v>465500</v>
      </c>
      <c r="L108" s="148" t="s">
        <v>18</v>
      </c>
      <c r="M108" s="149" t="s">
        <v>14</v>
      </c>
      <c r="N108" s="172">
        <f t="shared" si="9"/>
        <v>6650</v>
      </c>
    </row>
    <row r="109" spans="1:14" s="4" customFormat="1" ht="18" customHeight="1" x14ac:dyDescent="0.25">
      <c r="A109" s="12"/>
      <c r="B109" s="196"/>
      <c r="C109" s="18">
        <v>1702</v>
      </c>
      <c r="D109" s="20">
        <v>57</v>
      </c>
      <c r="E109" s="19"/>
      <c r="F109" s="14">
        <f t="shared" si="0"/>
        <v>57</v>
      </c>
      <c r="G109" s="15">
        <v>2</v>
      </c>
      <c r="H109" s="16">
        <v>430000</v>
      </c>
      <c r="I109" s="16">
        <v>53000</v>
      </c>
      <c r="J109" s="16">
        <v>0</v>
      </c>
      <c r="K109" s="16">
        <f t="shared" si="6"/>
        <v>377000</v>
      </c>
      <c r="L109" s="16" t="s">
        <v>18</v>
      </c>
      <c r="M109" s="140" t="s">
        <v>14</v>
      </c>
      <c r="N109" s="172">
        <f t="shared" si="9"/>
        <v>6614.0350877192986</v>
      </c>
    </row>
    <row r="110" spans="1:14" s="4" customFormat="1" ht="18" hidden="1" customHeight="1" x14ac:dyDescent="0.25">
      <c r="A110" s="12"/>
      <c r="B110" s="196"/>
      <c r="C110" s="53">
        <v>1703</v>
      </c>
      <c r="D110" s="22">
        <v>68</v>
      </c>
      <c r="E110" s="23"/>
      <c r="F110" s="24">
        <f t="shared" si="0"/>
        <v>68</v>
      </c>
      <c r="G110" s="25">
        <v>3</v>
      </c>
      <c r="H110" s="26">
        <v>504700</v>
      </c>
      <c r="I110" s="26">
        <v>38000</v>
      </c>
      <c r="J110" s="26">
        <v>11000</v>
      </c>
      <c r="K110" s="26">
        <f t="shared" si="6"/>
        <v>455700</v>
      </c>
      <c r="L110" s="26" t="s">
        <v>18</v>
      </c>
      <c r="M110" s="133" t="s">
        <v>112</v>
      </c>
      <c r="N110" s="172">
        <f t="shared" si="9"/>
        <v>6701.4705882352937</v>
      </c>
    </row>
    <row r="111" spans="1:14" s="4" customFormat="1" ht="18" customHeight="1" x14ac:dyDescent="0.25">
      <c r="A111" s="12"/>
      <c r="B111" s="196"/>
      <c r="C111" s="18">
        <v>1704</v>
      </c>
      <c r="D111" s="20">
        <v>67</v>
      </c>
      <c r="E111" s="27"/>
      <c r="F111" s="14">
        <f t="shared" si="0"/>
        <v>67</v>
      </c>
      <c r="G111" s="15">
        <v>3</v>
      </c>
      <c r="H111" s="16">
        <v>498000</v>
      </c>
      <c r="I111" s="16">
        <v>53000</v>
      </c>
      <c r="J111" s="16">
        <v>0</v>
      </c>
      <c r="K111" s="16">
        <f t="shared" si="6"/>
        <v>445000</v>
      </c>
      <c r="L111" s="16" t="s">
        <v>18</v>
      </c>
      <c r="M111" s="140" t="s">
        <v>14</v>
      </c>
      <c r="N111" s="172">
        <f t="shared" si="9"/>
        <v>6641.7910447761196</v>
      </c>
    </row>
    <row r="112" spans="1:14" s="4" customFormat="1" ht="18" customHeight="1" x14ac:dyDescent="0.25">
      <c r="A112" s="12"/>
      <c r="B112" s="196"/>
      <c r="C112" s="52">
        <v>1705</v>
      </c>
      <c r="D112" s="20">
        <v>72</v>
      </c>
      <c r="E112" s="27"/>
      <c r="F112" s="14">
        <f t="shared" si="0"/>
        <v>72</v>
      </c>
      <c r="G112" s="15">
        <v>3</v>
      </c>
      <c r="H112" s="16">
        <v>532100</v>
      </c>
      <c r="I112" s="16">
        <v>53000</v>
      </c>
      <c r="J112" s="16">
        <v>0</v>
      </c>
      <c r="K112" s="16">
        <f t="shared" si="6"/>
        <v>479100</v>
      </c>
      <c r="L112" s="16" t="s">
        <v>18</v>
      </c>
      <c r="M112" s="140" t="s">
        <v>14</v>
      </c>
      <c r="N112" s="172">
        <f t="shared" si="9"/>
        <v>6654.166666666667</v>
      </c>
    </row>
    <row r="113" spans="1:14" s="4" customFormat="1" ht="18" customHeight="1" thickBot="1" x14ac:dyDescent="0.3">
      <c r="A113" s="12"/>
      <c r="B113" s="197"/>
      <c r="C113" s="138">
        <v>1706</v>
      </c>
      <c r="D113" s="34">
        <v>37</v>
      </c>
      <c r="E113" s="51"/>
      <c r="F113" s="36">
        <f t="shared" si="0"/>
        <v>37</v>
      </c>
      <c r="G113" s="37">
        <v>1</v>
      </c>
      <c r="H113" s="38">
        <v>292000</v>
      </c>
      <c r="I113" s="38">
        <v>53000</v>
      </c>
      <c r="J113" s="38">
        <v>0</v>
      </c>
      <c r="K113" s="38">
        <f t="shared" si="6"/>
        <v>239000</v>
      </c>
      <c r="L113" s="38" t="s">
        <v>19</v>
      </c>
      <c r="M113" s="139" t="s">
        <v>14</v>
      </c>
      <c r="N113" s="172">
        <f t="shared" si="9"/>
        <v>6459.4594594594591</v>
      </c>
    </row>
    <row r="114" spans="1:14" s="4" customFormat="1" ht="18" customHeight="1" x14ac:dyDescent="0.25">
      <c r="A114" s="12"/>
      <c r="B114" s="212" t="s">
        <v>35</v>
      </c>
      <c r="C114" s="161" t="s">
        <v>36</v>
      </c>
      <c r="D114" s="157">
        <v>12.5</v>
      </c>
      <c r="E114" s="158"/>
      <c r="F114" s="159">
        <f t="shared" si="0"/>
        <v>12.5</v>
      </c>
      <c r="G114" s="147"/>
      <c r="H114" s="160">
        <v>50400</v>
      </c>
      <c r="I114" s="160"/>
      <c r="J114" s="160"/>
      <c r="K114" s="160"/>
      <c r="L114" s="148"/>
      <c r="M114" s="149" t="s">
        <v>14</v>
      </c>
      <c r="N114" s="172"/>
    </row>
    <row r="115" spans="1:14" s="4" customFormat="1" ht="18" hidden="1" customHeight="1" x14ac:dyDescent="0.25">
      <c r="B115" s="213"/>
      <c r="C115" s="83" t="s">
        <v>37</v>
      </c>
      <c r="D115" s="87">
        <v>12.5</v>
      </c>
      <c r="E115" s="85"/>
      <c r="F115" s="86">
        <f t="shared" si="0"/>
        <v>12.5</v>
      </c>
      <c r="G115" s="75"/>
      <c r="H115" s="60">
        <v>47500</v>
      </c>
      <c r="I115" s="60"/>
      <c r="J115" s="60"/>
      <c r="K115" s="60"/>
      <c r="L115" s="76"/>
      <c r="M115" s="132" t="s">
        <v>126</v>
      </c>
      <c r="N115" s="172"/>
    </row>
    <row r="116" spans="1:14" s="4" customFormat="1" ht="18" customHeight="1" x14ac:dyDescent="0.25">
      <c r="B116" s="213"/>
      <c r="C116" s="162" t="s">
        <v>38</v>
      </c>
      <c r="D116" s="59">
        <v>12.5</v>
      </c>
      <c r="E116" s="56">
        <v>2.62</v>
      </c>
      <c r="F116" s="57">
        <f t="shared" si="0"/>
        <v>15.120000000000001</v>
      </c>
      <c r="G116" s="15"/>
      <c r="H116" s="58">
        <v>54500</v>
      </c>
      <c r="I116" s="58"/>
      <c r="J116" s="58"/>
      <c r="K116" s="58"/>
      <c r="L116" s="58"/>
      <c r="M116" s="140" t="s">
        <v>14</v>
      </c>
      <c r="N116" s="172"/>
    </row>
    <row r="117" spans="1:14" s="4" customFormat="1" ht="18" hidden="1" customHeight="1" x14ac:dyDescent="0.25">
      <c r="B117" s="213"/>
      <c r="C117" s="83" t="s">
        <v>39</v>
      </c>
      <c r="D117" s="84">
        <v>12.5</v>
      </c>
      <c r="E117" s="85">
        <v>2</v>
      </c>
      <c r="F117" s="86">
        <f t="shared" si="0"/>
        <v>14.5</v>
      </c>
      <c r="G117" s="75"/>
      <c r="H117" s="60">
        <v>52500</v>
      </c>
      <c r="I117" s="60"/>
      <c r="J117" s="60"/>
      <c r="K117" s="60"/>
      <c r="L117" s="60"/>
      <c r="M117" s="132" t="s">
        <v>126</v>
      </c>
      <c r="N117" s="172"/>
    </row>
    <row r="118" spans="1:14" s="4" customFormat="1" ht="18" hidden="1" customHeight="1" x14ac:dyDescent="0.25">
      <c r="B118" s="213"/>
      <c r="C118" s="83" t="s">
        <v>40</v>
      </c>
      <c r="D118" s="84">
        <v>12</v>
      </c>
      <c r="E118" s="85"/>
      <c r="F118" s="86">
        <f t="shared" si="0"/>
        <v>12</v>
      </c>
      <c r="G118" s="75"/>
      <c r="H118" s="60">
        <v>45600</v>
      </c>
      <c r="I118" s="60"/>
      <c r="J118" s="60"/>
      <c r="K118" s="60"/>
      <c r="L118" s="60"/>
      <c r="M118" s="132" t="s">
        <v>126</v>
      </c>
      <c r="N118" s="172"/>
    </row>
    <row r="119" spans="1:14" s="4" customFormat="1" ht="18" hidden="1" customHeight="1" x14ac:dyDescent="0.25">
      <c r="B119" s="213"/>
      <c r="C119" s="83" t="s">
        <v>41</v>
      </c>
      <c r="D119" s="84">
        <v>12</v>
      </c>
      <c r="E119" s="85"/>
      <c r="F119" s="86">
        <f t="shared" si="0"/>
        <v>12</v>
      </c>
      <c r="G119" s="75"/>
      <c r="H119" s="60">
        <v>50000</v>
      </c>
      <c r="I119" s="60"/>
      <c r="J119" s="60"/>
      <c r="K119" s="60"/>
      <c r="L119" s="60"/>
      <c r="M119" s="132" t="s">
        <v>126</v>
      </c>
      <c r="N119" s="172"/>
    </row>
    <row r="120" spans="1:14" s="4" customFormat="1" ht="18" hidden="1" customHeight="1" x14ac:dyDescent="0.25">
      <c r="B120" s="213"/>
      <c r="C120" s="83" t="s">
        <v>42</v>
      </c>
      <c r="D120" s="84">
        <v>12</v>
      </c>
      <c r="E120" s="85"/>
      <c r="F120" s="86">
        <f t="shared" si="0"/>
        <v>12</v>
      </c>
      <c r="G120" s="75"/>
      <c r="H120" s="60">
        <v>45600</v>
      </c>
      <c r="I120" s="60"/>
      <c r="J120" s="60"/>
      <c r="K120" s="60"/>
      <c r="L120" s="60"/>
      <c r="M120" s="132" t="s">
        <v>126</v>
      </c>
      <c r="N120" s="172"/>
    </row>
    <row r="121" spans="1:14" s="4" customFormat="1" ht="18" hidden="1" customHeight="1" x14ac:dyDescent="0.25">
      <c r="B121" s="213"/>
      <c r="C121" s="83" t="s">
        <v>43</v>
      </c>
      <c r="D121" s="84">
        <v>12.5</v>
      </c>
      <c r="E121" s="85">
        <v>2.4</v>
      </c>
      <c r="F121" s="86">
        <f t="shared" si="0"/>
        <v>14.9</v>
      </c>
      <c r="G121" s="75"/>
      <c r="H121" s="60">
        <v>53800</v>
      </c>
      <c r="I121" s="60"/>
      <c r="J121" s="60"/>
      <c r="K121" s="60"/>
      <c r="L121" s="60"/>
      <c r="M121" s="132" t="s">
        <v>126</v>
      </c>
      <c r="N121" s="172"/>
    </row>
    <row r="122" spans="1:14" s="4" customFormat="1" hidden="1" x14ac:dyDescent="0.25">
      <c r="B122" s="213"/>
      <c r="C122" s="83" t="s">
        <v>44</v>
      </c>
      <c r="D122" s="84">
        <v>12.5</v>
      </c>
      <c r="E122" s="88"/>
      <c r="F122" s="86">
        <f t="shared" si="0"/>
        <v>12.5</v>
      </c>
      <c r="G122" s="75"/>
      <c r="H122" s="60">
        <v>50000</v>
      </c>
      <c r="I122" s="60"/>
      <c r="J122" s="60"/>
      <c r="K122" s="60"/>
      <c r="L122" s="60"/>
      <c r="M122" s="132" t="s">
        <v>126</v>
      </c>
      <c r="N122" s="172"/>
    </row>
    <row r="123" spans="1:14" s="4" customFormat="1" hidden="1" x14ac:dyDescent="0.25">
      <c r="B123" s="213"/>
      <c r="C123" s="83" t="s">
        <v>45</v>
      </c>
      <c r="D123" s="84">
        <v>12.5</v>
      </c>
      <c r="E123" s="88">
        <v>1.7</v>
      </c>
      <c r="F123" s="86">
        <f t="shared" si="0"/>
        <v>14.2</v>
      </c>
      <c r="G123" s="75"/>
      <c r="H123" s="60">
        <v>51300</v>
      </c>
      <c r="I123" s="60"/>
      <c r="J123" s="60"/>
      <c r="K123" s="60"/>
      <c r="L123" s="60"/>
      <c r="M123" s="132" t="s">
        <v>126</v>
      </c>
      <c r="N123" s="172"/>
    </row>
    <row r="124" spans="1:14" s="4" customFormat="1" hidden="1" x14ac:dyDescent="0.25">
      <c r="B124" s="213"/>
      <c r="C124" s="83" t="s">
        <v>46</v>
      </c>
      <c r="D124" s="84">
        <v>12.5</v>
      </c>
      <c r="E124" s="88"/>
      <c r="F124" s="86">
        <f t="shared" si="0"/>
        <v>12.5</v>
      </c>
      <c r="G124" s="75"/>
      <c r="H124" s="60">
        <v>47500</v>
      </c>
      <c r="I124" s="60"/>
      <c r="J124" s="60"/>
      <c r="K124" s="60"/>
      <c r="L124" s="60"/>
      <c r="M124" s="132" t="s">
        <v>126</v>
      </c>
      <c r="N124" s="172"/>
    </row>
    <row r="125" spans="1:14" s="4" customFormat="1" hidden="1" x14ac:dyDescent="0.25">
      <c r="B125" s="213"/>
      <c r="C125" s="83" t="s">
        <v>47</v>
      </c>
      <c r="D125" s="84">
        <v>12.5</v>
      </c>
      <c r="E125" s="88">
        <v>1.77</v>
      </c>
      <c r="F125" s="86">
        <f t="shared" ref="F125:F169" si="10">+D125+E125</f>
        <v>14.27</v>
      </c>
      <c r="G125" s="75"/>
      <c r="H125" s="60">
        <v>51500</v>
      </c>
      <c r="I125" s="60"/>
      <c r="J125" s="60"/>
      <c r="K125" s="60"/>
      <c r="L125" s="60"/>
      <c r="M125" s="132" t="s">
        <v>126</v>
      </c>
      <c r="N125" s="172"/>
    </row>
    <row r="126" spans="1:14" s="4" customFormat="1" x14ac:dyDescent="0.25">
      <c r="B126" s="213"/>
      <c r="C126" s="162" t="s">
        <v>48</v>
      </c>
      <c r="D126" s="54">
        <v>12.5</v>
      </c>
      <c r="E126" s="61">
        <v>2</v>
      </c>
      <c r="F126" s="57">
        <f t="shared" si="10"/>
        <v>14.5</v>
      </c>
      <c r="G126" s="15"/>
      <c r="H126" s="58">
        <v>52500</v>
      </c>
      <c r="I126" s="58"/>
      <c r="J126" s="58"/>
      <c r="K126" s="58"/>
      <c r="L126" s="58"/>
      <c r="M126" s="140" t="s">
        <v>14</v>
      </c>
      <c r="N126" s="172"/>
    </row>
    <row r="127" spans="1:14" s="4" customFormat="1" hidden="1" x14ac:dyDescent="0.25">
      <c r="B127" s="213"/>
      <c r="C127" s="83" t="s">
        <v>49</v>
      </c>
      <c r="D127" s="87">
        <v>12.5</v>
      </c>
      <c r="E127" s="88">
        <v>2.75</v>
      </c>
      <c r="F127" s="86">
        <f t="shared" si="10"/>
        <v>15.25</v>
      </c>
      <c r="G127" s="75"/>
      <c r="H127" s="60">
        <v>55000</v>
      </c>
      <c r="I127" s="60"/>
      <c r="J127" s="60"/>
      <c r="K127" s="60"/>
      <c r="L127" s="60"/>
      <c r="M127" s="132" t="s">
        <v>126</v>
      </c>
      <c r="N127" s="172"/>
    </row>
    <row r="128" spans="1:14" s="4" customFormat="1" ht="15" hidden="1" customHeight="1" x14ac:dyDescent="0.25">
      <c r="B128" s="213"/>
      <c r="C128" s="83" t="s">
        <v>50</v>
      </c>
      <c r="D128" s="87">
        <v>12.5</v>
      </c>
      <c r="E128" s="88">
        <v>2.48</v>
      </c>
      <c r="F128" s="86">
        <f t="shared" si="10"/>
        <v>14.98</v>
      </c>
      <c r="G128" s="75"/>
      <c r="H128" s="60">
        <v>54000</v>
      </c>
      <c r="I128" s="60"/>
      <c r="J128" s="60"/>
      <c r="K128" s="60"/>
      <c r="L128" s="60"/>
      <c r="M128" s="132" t="s">
        <v>126</v>
      </c>
      <c r="N128" s="172"/>
    </row>
    <row r="129" spans="2:14" s="4" customFormat="1" ht="14.45" customHeight="1" x14ac:dyDescent="0.25">
      <c r="B129" s="213"/>
      <c r="C129" s="162" t="s">
        <v>51</v>
      </c>
      <c r="D129" s="59">
        <v>12.5</v>
      </c>
      <c r="E129" s="61"/>
      <c r="F129" s="57">
        <f>+D129+E129</f>
        <v>12.5</v>
      </c>
      <c r="G129" s="15"/>
      <c r="H129" s="58">
        <v>50400</v>
      </c>
      <c r="I129" s="58"/>
      <c r="J129" s="58"/>
      <c r="K129" s="58"/>
      <c r="L129" s="58"/>
      <c r="M129" s="140" t="s">
        <v>14</v>
      </c>
      <c r="N129" s="172"/>
    </row>
    <row r="130" spans="2:14" s="4" customFormat="1" ht="15" customHeight="1" x14ac:dyDescent="0.25">
      <c r="B130" s="213"/>
      <c r="C130" s="55" t="s">
        <v>52</v>
      </c>
      <c r="D130" s="54">
        <v>2.5</v>
      </c>
      <c r="E130" s="61"/>
      <c r="F130" s="57">
        <f t="shared" si="10"/>
        <v>2.5</v>
      </c>
      <c r="G130" s="15"/>
      <c r="H130" s="58">
        <v>8100</v>
      </c>
      <c r="I130" s="58"/>
      <c r="J130" s="58"/>
      <c r="K130" s="58"/>
      <c r="L130" s="58"/>
      <c r="M130" s="140" t="s">
        <v>14</v>
      </c>
      <c r="N130" s="172"/>
    </row>
    <row r="131" spans="2:14" s="4" customFormat="1" ht="15" customHeight="1" x14ac:dyDescent="0.25">
      <c r="B131" s="213"/>
      <c r="C131" s="55" t="s">
        <v>53</v>
      </c>
      <c r="D131" s="54">
        <v>2.81</v>
      </c>
      <c r="E131" s="61"/>
      <c r="F131" s="57">
        <f t="shared" si="10"/>
        <v>2.81</v>
      </c>
      <c r="G131" s="15"/>
      <c r="H131" s="58">
        <v>9100</v>
      </c>
      <c r="I131" s="58"/>
      <c r="J131" s="58"/>
      <c r="K131" s="58"/>
      <c r="L131" s="58"/>
      <c r="M131" s="140" t="s">
        <v>14</v>
      </c>
      <c r="N131" s="172"/>
    </row>
    <row r="132" spans="2:14" s="4" customFormat="1" ht="15" hidden="1" customHeight="1" x14ac:dyDescent="0.25">
      <c r="B132" s="213"/>
      <c r="C132" s="83" t="s">
        <v>54</v>
      </c>
      <c r="D132" s="87">
        <v>4.4000000000000004</v>
      </c>
      <c r="E132" s="88"/>
      <c r="F132" s="86">
        <f t="shared" si="10"/>
        <v>4.4000000000000004</v>
      </c>
      <c r="G132" s="75"/>
      <c r="H132" s="60">
        <v>15900</v>
      </c>
      <c r="I132" s="60"/>
      <c r="J132" s="60"/>
      <c r="K132" s="60"/>
      <c r="L132" s="60"/>
      <c r="M132" s="132" t="s">
        <v>126</v>
      </c>
      <c r="N132" s="172"/>
    </row>
    <row r="133" spans="2:14" s="4" customFormat="1" ht="15" hidden="1" customHeight="1" x14ac:dyDescent="0.25">
      <c r="B133" s="213"/>
      <c r="C133" s="83" t="s">
        <v>55</v>
      </c>
      <c r="D133" s="87">
        <v>6</v>
      </c>
      <c r="E133" s="88"/>
      <c r="F133" s="86">
        <f t="shared" si="10"/>
        <v>6</v>
      </c>
      <c r="G133" s="75"/>
      <c r="H133" s="60">
        <v>21700</v>
      </c>
      <c r="I133" s="60"/>
      <c r="J133" s="60"/>
      <c r="K133" s="60"/>
      <c r="L133" s="60"/>
      <c r="M133" s="132" t="s">
        <v>126</v>
      </c>
      <c r="N133" s="172"/>
    </row>
    <row r="134" spans="2:14" s="4" customFormat="1" ht="15" hidden="1" customHeight="1" thickBot="1" x14ac:dyDescent="0.3">
      <c r="B134" s="214"/>
      <c r="C134" s="104" t="s">
        <v>56</v>
      </c>
      <c r="D134" s="105">
        <v>2.62</v>
      </c>
      <c r="E134" s="106"/>
      <c r="F134" s="107">
        <f t="shared" si="10"/>
        <v>2.62</v>
      </c>
      <c r="G134" s="92"/>
      <c r="H134" s="108">
        <v>9500</v>
      </c>
      <c r="I134" s="108"/>
      <c r="J134" s="108"/>
      <c r="K134" s="108"/>
      <c r="L134" s="108"/>
      <c r="M134" s="156" t="s">
        <v>126</v>
      </c>
      <c r="N134" s="172"/>
    </row>
    <row r="135" spans="2:14" s="4" customFormat="1" ht="14.45" hidden="1" customHeight="1" x14ac:dyDescent="0.25">
      <c r="B135" s="215" t="s">
        <v>57</v>
      </c>
      <c r="C135" s="163" t="s">
        <v>58</v>
      </c>
      <c r="D135" s="164">
        <v>12.5</v>
      </c>
      <c r="E135" s="165"/>
      <c r="F135" s="166">
        <f t="shared" si="10"/>
        <v>12.5</v>
      </c>
      <c r="G135" s="129"/>
      <c r="H135" s="167">
        <v>47500</v>
      </c>
      <c r="I135" s="167"/>
      <c r="J135" s="167"/>
      <c r="K135" s="167"/>
      <c r="L135" s="167"/>
      <c r="M135" s="131" t="s">
        <v>126</v>
      </c>
      <c r="N135" s="172"/>
    </row>
    <row r="136" spans="2:14" s="4" customFormat="1" hidden="1" x14ac:dyDescent="0.25">
      <c r="B136" s="216"/>
      <c r="C136" s="83" t="s">
        <v>59</v>
      </c>
      <c r="D136" s="84">
        <v>12.5</v>
      </c>
      <c r="E136" s="88"/>
      <c r="F136" s="86">
        <f t="shared" si="10"/>
        <v>12.5</v>
      </c>
      <c r="G136" s="75"/>
      <c r="H136" s="60">
        <v>46800</v>
      </c>
      <c r="I136" s="60"/>
      <c r="J136" s="60"/>
      <c r="K136" s="60"/>
      <c r="L136" s="60"/>
      <c r="M136" s="132" t="s">
        <v>126</v>
      </c>
      <c r="N136" s="172"/>
    </row>
    <row r="137" spans="2:14" s="4" customFormat="1" hidden="1" x14ac:dyDescent="0.25">
      <c r="B137" s="216"/>
      <c r="C137" s="83" t="s">
        <v>60</v>
      </c>
      <c r="D137" s="84">
        <v>12.5</v>
      </c>
      <c r="E137" s="88">
        <v>2.6230000000000002</v>
      </c>
      <c r="F137" s="86">
        <f t="shared" si="10"/>
        <v>15.123000000000001</v>
      </c>
      <c r="G137" s="75"/>
      <c r="H137" s="60">
        <v>54500</v>
      </c>
      <c r="I137" s="60"/>
      <c r="J137" s="60"/>
      <c r="K137" s="60"/>
      <c r="L137" s="60"/>
      <c r="M137" s="132" t="s">
        <v>126</v>
      </c>
      <c r="N137" s="172"/>
    </row>
    <row r="138" spans="2:14" s="4" customFormat="1" ht="14.45" customHeight="1" x14ac:dyDescent="0.25">
      <c r="B138" s="216"/>
      <c r="C138" s="162" t="s">
        <v>61</v>
      </c>
      <c r="D138" s="59">
        <v>12.5</v>
      </c>
      <c r="E138" s="61">
        <v>2</v>
      </c>
      <c r="F138" s="57">
        <f t="shared" si="10"/>
        <v>14.5</v>
      </c>
      <c r="G138" s="15"/>
      <c r="H138" s="58">
        <v>50000</v>
      </c>
      <c r="I138" s="58"/>
      <c r="J138" s="58"/>
      <c r="K138" s="58"/>
      <c r="L138" s="58"/>
      <c r="M138" s="140" t="s">
        <v>14</v>
      </c>
      <c r="N138" s="172"/>
    </row>
    <row r="139" spans="2:14" s="4" customFormat="1" x14ac:dyDescent="0.25">
      <c r="B139" s="216"/>
      <c r="C139" s="162" t="s">
        <v>62</v>
      </c>
      <c r="D139" s="59">
        <v>12.5</v>
      </c>
      <c r="E139" s="61"/>
      <c r="F139" s="57">
        <f t="shared" si="10"/>
        <v>12.5</v>
      </c>
      <c r="G139" s="15"/>
      <c r="H139" s="58">
        <v>46800</v>
      </c>
      <c r="I139" s="58"/>
      <c r="J139" s="58"/>
      <c r="K139" s="58"/>
      <c r="L139" s="58"/>
      <c r="M139" s="140" t="s">
        <v>14</v>
      </c>
      <c r="N139" s="172"/>
    </row>
    <row r="140" spans="2:14" s="4" customFormat="1" x14ac:dyDescent="0.25">
      <c r="B140" s="216"/>
      <c r="C140" s="162" t="s">
        <v>63</v>
      </c>
      <c r="D140" s="59">
        <v>12.5</v>
      </c>
      <c r="E140" s="61"/>
      <c r="F140" s="57">
        <f t="shared" si="10"/>
        <v>12.5</v>
      </c>
      <c r="G140" s="15"/>
      <c r="H140" s="58">
        <v>46800</v>
      </c>
      <c r="I140" s="58"/>
      <c r="J140" s="58"/>
      <c r="K140" s="58"/>
      <c r="L140" s="58"/>
      <c r="M140" s="140" t="s">
        <v>14</v>
      </c>
      <c r="N140" s="172"/>
    </row>
    <row r="141" spans="2:14" s="4" customFormat="1" x14ac:dyDescent="0.25">
      <c r="B141" s="216"/>
      <c r="C141" s="162" t="s">
        <v>64</v>
      </c>
      <c r="D141" s="59">
        <v>12</v>
      </c>
      <c r="E141" s="61"/>
      <c r="F141" s="57">
        <f t="shared" si="10"/>
        <v>12</v>
      </c>
      <c r="G141" s="15"/>
      <c r="H141" s="58">
        <v>46800</v>
      </c>
      <c r="I141" s="58"/>
      <c r="J141" s="58"/>
      <c r="K141" s="58"/>
      <c r="L141" s="58"/>
      <c r="M141" s="140" t="s">
        <v>14</v>
      </c>
      <c r="N141" s="172"/>
    </row>
    <row r="142" spans="2:14" s="4" customFormat="1" x14ac:dyDescent="0.25">
      <c r="B142" s="216"/>
      <c r="C142" s="162" t="s">
        <v>65</v>
      </c>
      <c r="D142" s="59">
        <v>12</v>
      </c>
      <c r="E142" s="61"/>
      <c r="F142" s="57">
        <f t="shared" si="10"/>
        <v>12</v>
      </c>
      <c r="G142" s="15"/>
      <c r="H142" s="58">
        <v>46800</v>
      </c>
      <c r="I142" s="58"/>
      <c r="J142" s="58"/>
      <c r="K142" s="58"/>
      <c r="L142" s="58"/>
      <c r="M142" s="140" t="s">
        <v>14</v>
      </c>
      <c r="N142" s="172"/>
    </row>
    <row r="143" spans="2:14" s="4" customFormat="1" x14ac:dyDescent="0.25">
      <c r="B143" s="216"/>
      <c r="C143" s="162" t="s">
        <v>66</v>
      </c>
      <c r="D143" s="59">
        <v>12</v>
      </c>
      <c r="E143" s="61"/>
      <c r="F143" s="57">
        <f t="shared" si="10"/>
        <v>12</v>
      </c>
      <c r="G143" s="15"/>
      <c r="H143" s="58">
        <v>46800</v>
      </c>
      <c r="I143" s="58"/>
      <c r="J143" s="58"/>
      <c r="K143" s="58"/>
      <c r="L143" s="58"/>
      <c r="M143" s="140" t="s">
        <v>14</v>
      </c>
      <c r="N143" s="172"/>
    </row>
    <row r="144" spans="2:14" s="4" customFormat="1" ht="15" customHeight="1" x14ac:dyDescent="0.25">
      <c r="B144" s="216"/>
      <c r="C144" s="162" t="s">
        <v>67</v>
      </c>
      <c r="D144" s="54">
        <v>1.67</v>
      </c>
      <c r="E144" s="61"/>
      <c r="F144" s="57">
        <f t="shared" si="10"/>
        <v>1.67</v>
      </c>
      <c r="G144" s="15"/>
      <c r="H144" s="58">
        <v>5500</v>
      </c>
      <c r="I144" s="58"/>
      <c r="J144" s="58"/>
      <c r="K144" s="58"/>
      <c r="L144" s="58"/>
      <c r="M144" s="140" t="s">
        <v>14</v>
      </c>
      <c r="N144" s="172"/>
    </row>
    <row r="145" spans="2:14" s="4" customFormat="1" x14ac:dyDescent="0.25">
      <c r="B145" s="216"/>
      <c r="C145" s="162" t="s">
        <v>68</v>
      </c>
      <c r="D145" s="59">
        <v>12.5</v>
      </c>
      <c r="E145" s="61">
        <v>2.4500000000000002</v>
      </c>
      <c r="F145" s="57">
        <f t="shared" si="10"/>
        <v>14.95</v>
      </c>
      <c r="G145" s="15"/>
      <c r="H145" s="58">
        <v>51000</v>
      </c>
      <c r="I145" s="58"/>
      <c r="J145" s="58"/>
      <c r="K145" s="58"/>
      <c r="L145" s="58"/>
      <c r="M145" s="140" t="s">
        <v>14</v>
      </c>
      <c r="N145" s="172"/>
    </row>
    <row r="146" spans="2:14" s="4" customFormat="1" x14ac:dyDescent="0.25">
      <c r="B146" s="216"/>
      <c r="C146" s="162" t="s">
        <v>69</v>
      </c>
      <c r="D146" s="59">
        <v>12.5</v>
      </c>
      <c r="E146" s="61"/>
      <c r="F146" s="57">
        <f t="shared" si="10"/>
        <v>12.5</v>
      </c>
      <c r="G146" s="15"/>
      <c r="H146" s="58">
        <v>46800</v>
      </c>
      <c r="I146" s="58"/>
      <c r="J146" s="58"/>
      <c r="K146" s="58"/>
      <c r="L146" s="58"/>
      <c r="M146" s="140" t="s">
        <v>14</v>
      </c>
      <c r="N146" s="172"/>
    </row>
    <row r="147" spans="2:14" s="4" customFormat="1" hidden="1" x14ac:dyDescent="0.25">
      <c r="B147" s="216"/>
      <c r="C147" s="83" t="s">
        <v>70</v>
      </c>
      <c r="D147" s="84">
        <v>12.5</v>
      </c>
      <c r="E147" s="88">
        <v>1.72</v>
      </c>
      <c r="F147" s="86">
        <f t="shared" si="10"/>
        <v>14.22</v>
      </c>
      <c r="G147" s="75"/>
      <c r="H147" s="60">
        <v>48600</v>
      </c>
      <c r="I147" s="60"/>
      <c r="J147" s="60"/>
      <c r="K147" s="60"/>
      <c r="L147" s="60"/>
      <c r="M147" s="132" t="s">
        <v>126</v>
      </c>
      <c r="N147" s="172"/>
    </row>
    <row r="148" spans="2:14" s="4" customFormat="1" hidden="1" x14ac:dyDescent="0.25">
      <c r="B148" s="216"/>
      <c r="C148" s="83" t="s">
        <v>71</v>
      </c>
      <c r="D148" s="84">
        <v>12.5</v>
      </c>
      <c r="E148" s="88"/>
      <c r="F148" s="86">
        <f t="shared" si="10"/>
        <v>12.5</v>
      </c>
      <c r="G148" s="75"/>
      <c r="H148" s="60">
        <v>47500</v>
      </c>
      <c r="I148" s="60"/>
      <c r="J148" s="60"/>
      <c r="K148" s="60"/>
      <c r="L148" s="60"/>
      <c r="M148" s="132" t="s">
        <v>126</v>
      </c>
      <c r="N148" s="172"/>
    </row>
    <row r="149" spans="2:14" s="4" customFormat="1" ht="14.45" customHeight="1" x14ac:dyDescent="0.25">
      <c r="B149" s="216"/>
      <c r="C149" s="162" t="s">
        <v>72</v>
      </c>
      <c r="D149" s="59">
        <v>12.5</v>
      </c>
      <c r="E149" s="61">
        <v>1.72</v>
      </c>
      <c r="F149" s="57">
        <f>+D149+E149</f>
        <v>14.22</v>
      </c>
      <c r="G149" s="15"/>
      <c r="H149" s="58">
        <v>48600</v>
      </c>
      <c r="I149" s="58"/>
      <c r="J149" s="58"/>
      <c r="K149" s="58"/>
      <c r="L149" s="58"/>
      <c r="M149" s="140" t="s">
        <v>14</v>
      </c>
      <c r="N149" s="172"/>
    </row>
    <row r="150" spans="2:14" s="4" customFormat="1" ht="14.45" hidden="1" customHeight="1" x14ac:dyDescent="0.25">
      <c r="B150" s="216"/>
      <c r="C150" s="83" t="s">
        <v>73</v>
      </c>
      <c r="D150" s="84">
        <v>12.5</v>
      </c>
      <c r="E150" s="88">
        <v>2</v>
      </c>
      <c r="F150" s="86">
        <f t="shared" si="10"/>
        <v>14.5</v>
      </c>
      <c r="G150" s="75"/>
      <c r="H150" s="60">
        <v>50000</v>
      </c>
      <c r="I150" s="60"/>
      <c r="J150" s="60"/>
      <c r="K150" s="60"/>
      <c r="L150" s="60"/>
      <c r="M150" s="132" t="s">
        <v>126</v>
      </c>
      <c r="N150" s="172"/>
    </row>
    <row r="151" spans="2:14" s="4" customFormat="1" hidden="1" x14ac:dyDescent="0.25">
      <c r="B151" s="216"/>
      <c r="C151" s="83" t="s">
        <v>74</v>
      </c>
      <c r="D151" s="84">
        <v>12.5</v>
      </c>
      <c r="E151" s="88">
        <v>2.8</v>
      </c>
      <c r="F151" s="86">
        <f t="shared" si="10"/>
        <v>15.3</v>
      </c>
      <c r="G151" s="75"/>
      <c r="H151" s="60">
        <v>52500</v>
      </c>
      <c r="I151" s="60"/>
      <c r="J151" s="60"/>
      <c r="K151" s="60"/>
      <c r="L151" s="60"/>
      <c r="M151" s="132" t="s">
        <v>126</v>
      </c>
      <c r="N151" s="172"/>
    </row>
    <row r="152" spans="2:14" s="4" customFormat="1" x14ac:dyDescent="0.25">
      <c r="B152" s="216"/>
      <c r="C152" s="162" t="s">
        <v>75</v>
      </c>
      <c r="D152" s="59">
        <v>12.5</v>
      </c>
      <c r="E152" s="61">
        <v>2.4300000000000002</v>
      </c>
      <c r="F152" s="57">
        <f t="shared" si="10"/>
        <v>14.93</v>
      </c>
      <c r="G152" s="15"/>
      <c r="H152" s="58">
        <v>51000</v>
      </c>
      <c r="I152" s="58"/>
      <c r="J152" s="58"/>
      <c r="K152" s="58"/>
      <c r="L152" s="58"/>
      <c r="M152" s="140" t="s">
        <v>14</v>
      </c>
      <c r="N152" s="172"/>
    </row>
    <row r="153" spans="2:14" s="4" customFormat="1" ht="15.75" thickBot="1" x14ac:dyDescent="0.3">
      <c r="B153" s="217"/>
      <c r="C153" s="171" t="s">
        <v>76</v>
      </c>
      <c r="D153" s="62">
        <v>12.5</v>
      </c>
      <c r="E153" s="63"/>
      <c r="F153" s="64">
        <f t="shared" si="10"/>
        <v>12.5</v>
      </c>
      <c r="G153" s="37"/>
      <c r="H153" s="65">
        <v>46800</v>
      </c>
      <c r="I153" s="65"/>
      <c r="J153" s="65"/>
      <c r="K153" s="65"/>
      <c r="L153" s="65"/>
      <c r="M153" s="139" t="s">
        <v>14</v>
      </c>
      <c r="N153" s="172"/>
    </row>
    <row r="154" spans="2:14" s="4" customFormat="1" ht="14.45" customHeight="1" x14ac:dyDescent="0.25">
      <c r="B154" s="215" t="s">
        <v>77</v>
      </c>
      <c r="C154" s="161" t="s">
        <v>78</v>
      </c>
      <c r="D154" s="157">
        <v>12.5</v>
      </c>
      <c r="E154" s="168"/>
      <c r="F154" s="159">
        <f t="shared" si="10"/>
        <v>12.5</v>
      </c>
      <c r="G154" s="147"/>
      <c r="H154" s="160">
        <v>43200</v>
      </c>
      <c r="I154" s="160"/>
      <c r="J154" s="160"/>
      <c r="K154" s="160"/>
      <c r="L154" s="160"/>
      <c r="M154" s="149" t="s">
        <v>14</v>
      </c>
      <c r="N154" s="172"/>
    </row>
    <row r="155" spans="2:14" s="4" customFormat="1" x14ac:dyDescent="0.25">
      <c r="B155" s="216"/>
      <c r="C155" s="162" t="s">
        <v>79</v>
      </c>
      <c r="D155" s="59">
        <v>12.5</v>
      </c>
      <c r="E155" s="61"/>
      <c r="F155" s="57">
        <f t="shared" si="10"/>
        <v>12.5</v>
      </c>
      <c r="G155" s="15"/>
      <c r="H155" s="58">
        <v>43200</v>
      </c>
      <c r="I155" s="58"/>
      <c r="J155" s="58"/>
      <c r="K155" s="58"/>
      <c r="L155" s="58"/>
      <c r="M155" s="140" t="s">
        <v>14</v>
      </c>
      <c r="N155" s="172"/>
    </row>
    <row r="156" spans="2:14" s="4" customFormat="1" hidden="1" x14ac:dyDescent="0.25">
      <c r="B156" s="216"/>
      <c r="C156" s="83" t="s">
        <v>80</v>
      </c>
      <c r="D156" s="84">
        <v>12.5</v>
      </c>
      <c r="E156" s="88">
        <v>2.78</v>
      </c>
      <c r="F156" s="86">
        <f t="shared" si="10"/>
        <v>15.28</v>
      </c>
      <c r="G156" s="75"/>
      <c r="H156" s="60">
        <v>50000</v>
      </c>
      <c r="I156" s="60"/>
      <c r="J156" s="60"/>
      <c r="K156" s="60"/>
      <c r="L156" s="60"/>
      <c r="M156" s="132" t="s">
        <v>126</v>
      </c>
      <c r="N156" s="172"/>
    </row>
    <row r="157" spans="2:14" s="4" customFormat="1" x14ac:dyDescent="0.25">
      <c r="B157" s="216"/>
      <c r="C157" s="162" t="s">
        <v>81</v>
      </c>
      <c r="D157" s="59">
        <v>12.5</v>
      </c>
      <c r="E157" s="61">
        <v>2</v>
      </c>
      <c r="F157" s="57">
        <f t="shared" si="10"/>
        <v>14.5</v>
      </c>
      <c r="G157" s="15"/>
      <c r="H157" s="58">
        <v>47000</v>
      </c>
      <c r="I157" s="58"/>
      <c r="J157" s="58"/>
      <c r="K157" s="58"/>
      <c r="L157" s="58"/>
      <c r="M157" s="140" t="s">
        <v>14</v>
      </c>
      <c r="N157" s="172"/>
    </row>
    <row r="158" spans="2:14" s="4" customFormat="1" ht="14.45" hidden="1" customHeight="1" x14ac:dyDescent="0.25">
      <c r="B158" s="216"/>
      <c r="C158" s="83" t="s">
        <v>82</v>
      </c>
      <c r="D158" s="84">
        <v>12.5</v>
      </c>
      <c r="E158" s="88"/>
      <c r="F158" s="86">
        <f t="shared" si="10"/>
        <v>12.5</v>
      </c>
      <c r="G158" s="75"/>
      <c r="H158" s="60">
        <v>43200</v>
      </c>
      <c r="I158" s="60"/>
      <c r="J158" s="60"/>
      <c r="K158" s="60"/>
      <c r="L158" s="60"/>
      <c r="M158" s="132" t="s">
        <v>126</v>
      </c>
      <c r="N158" s="172"/>
    </row>
    <row r="159" spans="2:14" s="4" customFormat="1" x14ac:dyDescent="0.25">
      <c r="B159" s="216"/>
      <c r="C159" s="162" t="s">
        <v>83</v>
      </c>
      <c r="D159" s="59">
        <v>12.5</v>
      </c>
      <c r="E159" s="61"/>
      <c r="F159" s="57">
        <f t="shared" si="10"/>
        <v>12.5</v>
      </c>
      <c r="G159" s="15"/>
      <c r="H159" s="58">
        <v>43200</v>
      </c>
      <c r="I159" s="58"/>
      <c r="J159" s="58"/>
      <c r="K159" s="58"/>
      <c r="L159" s="58"/>
      <c r="M159" s="140" t="s">
        <v>14</v>
      </c>
      <c r="N159" s="172"/>
    </row>
    <row r="160" spans="2:14" s="4" customFormat="1" x14ac:dyDescent="0.25">
      <c r="B160" s="216"/>
      <c r="C160" s="162" t="s">
        <v>84</v>
      </c>
      <c r="D160" s="59">
        <v>12</v>
      </c>
      <c r="E160" s="61"/>
      <c r="F160" s="57">
        <f t="shared" si="10"/>
        <v>12</v>
      </c>
      <c r="G160" s="15"/>
      <c r="H160" s="58">
        <v>43200</v>
      </c>
      <c r="I160" s="58"/>
      <c r="J160" s="58"/>
      <c r="K160" s="58"/>
      <c r="L160" s="58"/>
      <c r="M160" s="140" t="s">
        <v>14</v>
      </c>
      <c r="N160" s="172"/>
    </row>
    <row r="161" spans="2:14" s="4" customFormat="1" x14ac:dyDescent="0.25">
      <c r="B161" s="216"/>
      <c r="C161" s="162" t="s">
        <v>85</v>
      </c>
      <c r="D161" s="59">
        <v>12</v>
      </c>
      <c r="E161" s="61"/>
      <c r="F161" s="57">
        <f t="shared" si="10"/>
        <v>12</v>
      </c>
      <c r="G161" s="15"/>
      <c r="H161" s="58">
        <v>43200</v>
      </c>
      <c r="I161" s="58"/>
      <c r="J161" s="58"/>
      <c r="K161" s="58"/>
      <c r="L161" s="58"/>
      <c r="M161" s="140" t="s">
        <v>14</v>
      </c>
      <c r="N161" s="172"/>
    </row>
    <row r="162" spans="2:14" s="4" customFormat="1" x14ac:dyDescent="0.25">
      <c r="B162" s="216"/>
      <c r="C162" s="162" t="s">
        <v>86</v>
      </c>
      <c r="D162" s="59">
        <v>12</v>
      </c>
      <c r="E162" s="61"/>
      <c r="F162" s="57">
        <f t="shared" si="10"/>
        <v>12</v>
      </c>
      <c r="G162" s="15"/>
      <c r="H162" s="58">
        <v>43200</v>
      </c>
      <c r="I162" s="58"/>
      <c r="J162" s="58"/>
      <c r="K162" s="58"/>
      <c r="L162" s="58"/>
      <c r="M162" s="140" t="s">
        <v>14</v>
      </c>
      <c r="N162" s="172"/>
    </row>
    <row r="163" spans="2:14" s="4" customFormat="1" ht="15" customHeight="1" x14ac:dyDescent="0.25">
      <c r="B163" s="216"/>
      <c r="C163" s="162" t="s">
        <v>87</v>
      </c>
      <c r="D163" s="54">
        <v>1.67</v>
      </c>
      <c r="E163" s="61"/>
      <c r="F163" s="57">
        <f>+D163+E163</f>
        <v>1.67</v>
      </c>
      <c r="G163" s="15"/>
      <c r="H163" s="58">
        <v>5100</v>
      </c>
      <c r="I163" s="58"/>
      <c r="J163" s="58"/>
      <c r="K163" s="58"/>
      <c r="L163" s="58"/>
      <c r="M163" s="140" t="s">
        <v>14</v>
      </c>
      <c r="N163" s="172"/>
    </row>
    <row r="164" spans="2:14" s="4" customFormat="1" ht="15.6" hidden="1" customHeight="1" x14ac:dyDescent="0.25">
      <c r="B164" s="216"/>
      <c r="C164" s="83" t="s">
        <v>88</v>
      </c>
      <c r="D164" s="84">
        <v>12.5</v>
      </c>
      <c r="E164" s="88">
        <v>2.4500000000000002</v>
      </c>
      <c r="F164" s="86">
        <f t="shared" si="10"/>
        <v>14.95</v>
      </c>
      <c r="G164" s="75"/>
      <c r="H164" s="60">
        <v>48500</v>
      </c>
      <c r="I164" s="60"/>
      <c r="J164" s="60"/>
      <c r="K164" s="60"/>
      <c r="L164" s="60"/>
      <c r="M164" s="132" t="s">
        <v>126</v>
      </c>
      <c r="N164" s="172"/>
    </row>
    <row r="165" spans="2:14" s="4" customFormat="1" ht="14.45" customHeight="1" x14ac:dyDescent="0.25">
      <c r="B165" s="216"/>
      <c r="C165" s="162" t="s">
        <v>89</v>
      </c>
      <c r="D165" s="59">
        <v>12.5</v>
      </c>
      <c r="E165" s="61"/>
      <c r="F165" s="57">
        <f t="shared" si="10"/>
        <v>12.5</v>
      </c>
      <c r="G165" s="15"/>
      <c r="H165" s="58">
        <v>43200</v>
      </c>
      <c r="I165" s="58"/>
      <c r="J165" s="58"/>
      <c r="K165" s="58"/>
      <c r="L165" s="58"/>
      <c r="M165" s="140" t="s">
        <v>14</v>
      </c>
      <c r="N165" s="172"/>
    </row>
    <row r="166" spans="2:14" s="4" customFormat="1" x14ac:dyDescent="0.25">
      <c r="B166" s="216"/>
      <c r="C166" s="162" t="s">
        <v>90</v>
      </c>
      <c r="D166" s="59">
        <v>12.5</v>
      </c>
      <c r="E166" s="61">
        <v>1.72</v>
      </c>
      <c r="F166" s="57">
        <f t="shared" si="10"/>
        <v>14.22</v>
      </c>
      <c r="G166" s="15"/>
      <c r="H166" s="58">
        <v>46000</v>
      </c>
      <c r="I166" s="58"/>
      <c r="J166" s="58"/>
      <c r="K166" s="58"/>
      <c r="L166" s="58"/>
      <c r="M166" s="140" t="s">
        <v>14</v>
      </c>
      <c r="N166" s="172"/>
    </row>
    <row r="167" spans="2:14" s="4" customFormat="1" x14ac:dyDescent="0.25">
      <c r="B167" s="216"/>
      <c r="C167" s="162" t="s">
        <v>91</v>
      </c>
      <c r="D167" s="59">
        <v>12.5</v>
      </c>
      <c r="E167" s="61"/>
      <c r="F167" s="57">
        <f t="shared" si="10"/>
        <v>12.5</v>
      </c>
      <c r="G167" s="15"/>
      <c r="H167" s="58">
        <v>43200</v>
      </c>
      <c r="I167" s="58"/>
      <c r="J167" s="58"/>
      <c r="K167" s="58"/>
      <c r="L167" s="58"/>
      <c r="M167" s="140" t="s">
        <v>14</v>
      </c>
      <c r="N167" s="172"/>
    </row>
    <row r="168" spans="2:14" s="4" customFormat="1" x14ac:dyDescent="0.25">
      <c r="B168" s="216"/>
      <c r="C168" s="162" t="s">
        <v>92</v>
      </c>
      <c r="D168" s="59">
        <v>12.5</v>
      </c>
      <c r="E168" s="61">
        <v>1.72</v>
      </c>
      <c r="F168" s="57">
        <f t="shared" si="10"/>
        <v>14.22</v>
      </c>
      <c r="G168" s="15"/>
      <c r="H168" s="58">
        <v>46000</v>
      </c>
      <c r="I168" s="58"/>
      <c r="J168" s="58"/>
      <c r="K168" s="58"/>
      <c r="L168" s="58"/>
      <c r="M168" s="140" t="s">
        <v>14</v>
      </c>
      <c r="N168" s="172"/>
    </row>
    <row r="169" spans="2:14" s="4" customFormat="1" x14ac:dyDescent="0.25">
      <c r="B169" s="216"/>
      <c r="C169" s="162" t="s">
        <v>93</v>
      </c>
      <c r="D169" s="59">
        <v>12.5</v>
      </c>
      <c r="E169" s="61">
        <v>2</v>
      </c>
      <c r="F169" s="57">
        <f t="shared" si="10"/>
        <v>14.5</v>
      </c>
      <c r="G169" s="15"/>
      <c r="H169" s="58">
        <v>47000</v>
      </c>
      <c r="I169" s="58"/>
      <c r="J169" s="58"/>
      <c r="K169" s="58"/>
      <c r="L169" s="58"/>
      <c r="M169" s="140" t="s">
        <v>14</v>
      </c>
      <c r="N169" s="172"/>
    </row>
    <row r="170" spans="2:14" s="4" customFormat="1" x14ac:dyDescent="0.25">
      <c r="B170" s="216"/>
      <c r="C170" s="162" t="s">
        <v>94</v>
      </c>
      <c r="D170" s="59">
        <v>12.5</v>
      </c>
      <c r="E170" s="61">
        <v>2.8</v>
      </c>
      <c r="F170" s="57">
        <f>+D170+E170</f>
        <v>15.3</v>
      </c>
      <c r="G170" s="15"/>
      <c r="H170" s="58">
        <v>50000</v>
      </c>
      <c r="I170" s="58"/>
      <c r="J170" s="58"/>
      <c r="K170" s="58"/>
      <c r="L170" s="16"/>
      <c r="M170" s="140" t="s">
        <v>14</v>
      </c>
      <c r="N170" s="172"/>
    </row>
    <row r="171" spans="2:14" s="4" customFormat="1" x14ac:dyDescent="0.25">
      <c r="B171" s="216"/>
      <c r="C171" s="162" t="s">
        <v>95</v>
      </c>
      <c r="D171" s="59">
        <v>12.5</v>
      </c>
      <c r="E171" s="61">
        <v>2.4300000000000002</v>
      </c>
      <c r="F171" s="57">
        <f>+D171+E171</f>
        <v>14.93</v>
      </c>
      <c r="G171" s="15"/>
      <c r="H171" s="58">
        <v>48000</v>
      </c>
      <c r="I171" s="58"/>
      <c r="J171" s="58"/>
      <c r="K171" s="58"/>
      <c r="L171" s="16"/>
      <c r="M171" s="140" t="s">
        <v>14</v>
      </c>
      <c r="N171" s="172"/>
    </row>
    <row r="172" spans="2:14" s="4" customFormat="1" ht="15.75" thickBot="1" x14ac:dyDescent="0.3">
      <c r="B172" s="217"/>
      <c r="C172" s="171" t="s">
        <v>96</v>
      </c>
      <c r="D172" s="62">
        <v>12.5</v>
      </c>
      <c r="E172" s="63"/>
      <c r="F172" s="64">
        <f t="shared" ref="F172:F179" si="11">+D172+E172</f>
        <v>12.5</v>
      </c>
      <c r="G172" s="37"/>
      <c r="H172" s="65">
        <v>43200</v>
      </c>
      <c r="I172" s="65"/>
      <c r="J172" s="65"/>
      <c r="K172" s="65"/>
      <c r="L172" s="169"/>
      <c r="M172" s="139" t="s">
        <v>14</v>
      </c>
      <c r="N172" s="172"/>
    </row>
    <row r="173" spans="2:14" s="4" customFormat="1" x14ac:dyDescent="0.25">
      <c r="B173" s="209" t="s">
        <v>97</v>
      </c>
      <c r="C173" s="161" t="s">
        <v>98</v>
      </c>
      <c r="D173" s="157">
        <v>12.5</v>
      </c>
      <c r="E173" s="168"/>
      <c r="F173" s="159">
        <f t="shared" si="11"/>
        <v>12.5</v>
      </c>
      <c r="G173" s="147"/>
      <c r="H173" s="160">
        <v>40500</v>
      </c>
      <c r="I173" s="160"/>
      <c r="J173" s="160"/>
      <c r="K173" s="160"/>
      <c r="L173" s="170"/>
      <c r="M173" s="149" t="s">
        <v>14</v>
      </c>
      <c r="N173" s="172"/>
    </row>
    <row r="174" spans="2:14" s="4" customFormat="1" x14ac:dyDescent="0.25">
      <c r="B174" s="210"/>
      <c r="C174" s="162" t="s">
        <v>99</v>
      </c>
      <c r="D174" s="59">
        <v>12.5</v>
      </c>
      <c r="E174" s="61"/>
      <c r="F174" s="57">
        <f t="shared" si="11"/>
        <v>12.5</v>
      </c>
      <c r="G174" s="15"/>
      <c r="H174" s="58">
        <v>40500</v>
      </c>
      <c r="I174" s="58"/>
      <c r="J174" s="58"/>
      <c r="K174" s="58"/>
      <c r="L174" s="67"/>
      <c r="M174" s="140" t="s">
        <v>14</v>
      </c>
      <c r="N174" s="172"/>
    </row>
    <row r="175" spans="2:14" s="4" customFormat="1" x14ac:dyDescent="0.25">
      <c r="B175" s="210"/>
      <c r="C175" s="162" t="s">
        <v>100</v>
      </c>
      <c r="D175" s="59">
        <v>12.5</v>
      </c>
      <c r="E175" s="61">
        <v>2.8</v>
      </c>
      <c r="F175" s="57">
        <f t="shared" si="11"/>
        <v>15.3</v>
      </c>
      <c r="G175" s="15"/>
      <c r="H175" s="58">
        <v>50000</v>
      </c>
      <c r="I175" s="58"/>
      <c r="J175" s="58"/>
      <c r="K175" s="58"/>
      <c r="L175" s="67"/>
      <c r="M175" s="140" t="s">
        <v>14</v>
      </c>
      <c r="N175" s="172"/>
    </row>
    <row r="176" spans="2:14" s="4" customFormat="1" x14ac:dyDescent="0.25">
      <c r="B176" s="210"/>
      <c r="C176" s="162" t="s">
        <v>101</v>
      </c>
      <c r="D176" s="59">
        <v>12.5</v>
      </c>
      <c r="E176" s="61">
        <v>2</v>
      </c>
      <c r="F176" s="57">
        <f t="shared" si="11"/>
        <v>14.5</v>
      </c>
      <c r="G176" s="15"/>
      <c r="H176" s="58">
        <v>47000</v>
      </c>
      <c r="I176" s="58"/>
      <c r="J176" s="58"/>
      <c r="K176" s="58"/>
      <c r="L176" s="67"/>
      <c r="M176" s="140" t="s">
        <v>14</v>
      </c>
      <c r="N176" s="172"/>
    </row>
    <row r="177" spans="2:14" s="4" customFormat="1" x14ac:dyDescent="0.25">
      <c r="B177" s="210"/>
      <c r="C177" s="162" t="s">
        <v>102</v>
      </c>
      <c r="D177" s="59">
        <v>12.5</v>
      </c>
      <c r="E177" s="61"/>
      <c r="F177" s="57">
        <f t="shared" si="11"/>
        <v>12.5</v>
      </c>
      <c r="G177" s="15"/>
      <c r="H177" s="58">
        <v>40500</v>
      </c>
      <c r="I177" s="58"/>
      <c r="J177" s="58"/>
      <c r="K177" s="58"/>
      <c r="L177" s="67"/>
      <c r="M177" s="140" t="s">
        <v>14</v>
      </c>
      <c r="N177" s="172"/>
    </row>
    <row r="178" spans="2:14" s="4" customFormat="1" x14ac:dyDescent="0.25">
      <c r="B178" s="210"/>
      <c r="C178" s="162" t="s">
        <v>103</v>
      </c>
      <c r="D178" s="59">
        <v>12.5</v>
      </c>
      <c r="E178" s="61"/>
      <c r="F178" s="57">
        <f t="shared" si="11"/>
        <v>12.5</v>
      </c>
      <c r="G178" s="15"/>
      <c r="H178" s="58">
        <v>40500</v>
      </c>
      <c r="I178" s="58"/>
      <c r="J178" s="58"/>
      <c r="K178" s="58"/>
      <c r="L178" s="67"/>
      <c r="M178" s="140" t="s">
        <v>14</v>
      </c>
      <c r="N178" s="172"/>
    </row>
    <row r="179" spans="2:14" s="4" customFormat="1" x14ac:dyDescent="0.25">
      <c r="B179" s="210"/>
      <c r="C179" s="162" t="s">
        <v>104</v>
      </c>
      <c r="D179" s="59">
        <v>12</v>
      </c>
      <c r="E179" s="61"/>
      <c r="F179" s="57">
        <f t="shared" si="11"/>
        <v>12</v>
      </c>
      <c r="G179" s="15"/>
      <c r="H179" s="58">
        <v>39000</v>
      </c>
      <c r="I179" s="58"/>
      <c r="J179" s="58"/>
      <c r="K179" s="58"/>
      <c r="L179" s="67"/>
      <c r="M179" s="140" t="s">
        <v>14</v>
      </c>
      <c r="N179" s="172"/>
    </row>
    <row r="180" spans="2:14" s="4" customFormat="1" x14ac:dyDescent="0.25">
      <c r="B180" s="210"/>
      <c r="C180" s="162" t="s">
        <v>105</v>
      </c>
      <c r="D180" s="59">
        <v>12</v>
      </c>
      <c r="E180" s="61"/>
      <c r="F180" s="57">
        <f>+D180+E180</f>
        <v>12</v>
      </c>
      <c r="G180" s="15"/>
      <c r="H180" s="58">
        <v>39000</v>
      </c>
      <c r="I180" s="58"/>
      <c r="J180" s="58"/>
      <c r="K180" s="58"/>
      <c r="L180" s="67"/>
      <c r="M180" s="140" t="s">
        <v>14</v>
      </c>
      <c r="N180" s="172"/>
    </row>
    <row r="181" spans="2:14" s="4" customFormat="1" ht="15" customHeight="1" x14ac:dyDescent="0.25">
      <c r="B181" s="210"/>
      <c r="C181" s="162" t="s">
        <v>106</v>
      </c>
      <c r="D181" s="54">
        <v>3.7</v>
      </c>
      <c r="E181" s="61"/>
      <c r="F181" s="57">
        <f t="shared" ref="F181:F183" si="12">+D181+E181</f>
        <v>3.7</v>
      </c>
      <c r="G181" s="15"/>
      <c r="H181" s="58">
        <v>11300</v>
      </c>
      <c r="I181" s="58"/>
      <c r="J181" s="58"/>
      <c r="K181" s="58"/>
      <c r="L181" s="58"/>
      <c r="M181" s="140" t="s">
        <v>14</v>
      </c>
      <c r="N181" s="172"/>
    </row>
    <row r="182" spans="2:14" s="4" customFormat="1" ht="15" customHeight="1" x14ac:dyDescent="0.25">
      <c r="B182" s="210"/>
      <c r="C182" s="55" t="s">
        <v>107</v>
      </c>
      <c r="D182" s="54">
        <v>3.7</v>
      </c>
      <c r="E182" s="61"/>
      <c r="F182" s="57">
        <f t="shared" si="12"/>
        <v>3.7</v>
      </c>
      <c r="G182" s="15"/>
      <c r="H182" s="58">
        <v>11300</v>
      </c>
      <c r="I182" s="58"/>
      <c r="J182" s="58"/>
      <c r="K182" s="58"/>
      <c r="L182" s="58"/>
      <c r="M182" s="140" t="s">
        <v>14</v>
      </c>
      <c r="N182" s="172"/>
    </row>
    <row r="183" spans="2:14" s="4" customFormat="1" ht="15" customHeight="1" thickBot="1" x14ac:dyDescent="0.3">
      <c r="B183" s="211"/>
      <c r="C183" s="66" t="s">
        <v>108</v>
      </c>
      <c r="D183" s="68">
        <v>13.38</v>
      </c>
      <c r="E183" s="63"/>
      <c r="F183" s="64">
        <f t="shared" si="12"/>
        <v>13.38</v>
      </c>
      <c r="G183" s="37"/>
      <c r="H183" s="65">
        <v>41000</v>
      </c>
      <c r="I183" s="65"/>
      <c r="J183" s="65"/>
      <c r="K183" s="65"/>
      <c r="L183" s="65"/>
      <c r="M183" s="139" t="s">
        <v>14</v>
      </c>
      <c r="N183" s="172"/>
    </row>
    <row r="184" spans="2:14" hidden="1" x14ac:dyDescent="0.25">
      <c r="H184" s="69">
        <f>SUM(H14:H183)</f>
        <v>48231900</v>
      </c>
      <c r="I184" s="70"/>
      <c r="J184" s="70"/>
      <c r="K184" s="70"/>
    </row>
  </sheetData>
  <autoFilter ref="A13:M184" xr:uid="{71C65E9F-DC6D-4BC1-80F1-10061B0E9CBA}">
    <filterColumn colId="12">
      <filters>
        <filter val="LIBRE"/>
      </filters>
    </filterColumn>
  </autoFilter>
  <mergeCells count="36">
    <mergeCell ref="B173:B183"/>
    <mergeCell ref="B30:B35"/>
    <mergeCell ref="B108:B113"/>
    <mergeCell ref="B114:B134"/>
    <mergeCell ref="B135:B153"/>
    <mergeCell ref="B154:B172"/>
    <mergeCell ref="B96:B101"/>
    <mergeCell ref="B102:B107"/>
    <mergeCell ref="B36:B41"/>
    <mergeCell ref="B42:B47"/>
    <mergeCell ref="B48:B53"/>
    <mergeCell ref="B54:B59"/>
    <mergeCell ref="B60:B65"/>
    <mergeCell ref="B66:B71"/>
    <mergeCell ref="B72:B77"/>
    <mergeCell ref="B78:B83"/>
    <mergeCell ref="B84:B89"/>
    <mergeCell ref="B90:B95"/>
    <mergeCell ref="L12:L13"/>
    <mergeCell ref="M12:M13"/>
    <mergeCell ref="B14:B15"/>
    <mergeCell ref="B18:B23"/>
    <mergeCell ref="B24:B29"/>
    <mergeCell ref="C12:C13"/>
    <mergeCell ref="D12:F12"/>
    <mergeCell ref="G12:G13"/>
    <mergeCell ref="H12:H13"/>
    <mergeCell ref="I12:I13"/>
    <mergeCell ref="K12:K13"/>
    <mergeCell ref="J12:J13"/>
    <mergeCell ref="B10:M10"/>
    <mergeCell ref="H2:L3"/>
    <mergeCell ref="M2:M3"/>
    <mergeCell ref="B5:M6"/>
    <mergeCell ref="B8:C8"/>
    <mergeCell ref="D8:M8"/>
  </mergeCells>
  <conditionalFormatting sqref="N18:N1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6" orientation="portrait" r:id="rId1"/>
  <ignoredErrors>
    <ignoredError sqref="F28:F44 F18:F22 F133:F141 F142:F153 F24:F26 F23 F27 F154:F183 F45:F132" unlockedFormula="1"/>
    <ignoredError sqref="K68 K4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0A9D50705E924EA02D565C3097A2A8" ma:contentTypeVersion="13" ma:contentTypeDescription="Crear nuevo documento." ma:contentTypeScope="" ma:versionID="8fd8c59e4c50453b7d7b1388dd6a67df">
  <xsd:schema xmlns:xsd="http://www.w3.org/2001/XMLSchema" xmlns:xs="http://www.w3.org/2001/XMLSchema" xmlns:p="http://schemas.microsoft.com/office/2006/metadata/properties" xmlns:ns2="cea7d724-0401-4ab7-9335-0a1bc0aaa782" xmlns:ns3="c82afbfa-e8c4-476e-897d-8f89ba7ec2d5" targetNamespace="http://schemas.microsoft.com/office/2006/metadata/properties" ma:root="true" ma:fieldsID="397d94704bf2ce01ad163c5197a8d263" ns2:_="" ns3:_="">
    <xsd:import namespace="cea7d724-0401-4ab7-9335-0a1bc0aaa782"/>
    <xsd:import namespace="c82afbfa-e8c4-476e-897d-8f89ba7ec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7d724-0401-4ab7-9335-0a1bc0aaa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7a95056-230e-480f-b80f-b40d9684a1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afbfa-e8c4-476e-897d-8f89ba7ec2d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78d7df-bb52-4226-b77a-36ad91330905}" ma:internalName="TaxCatchAll" ma:showField="CatchAllData" ma:web="c82afbfa-e8c4-476e-897d-8f89ba7ec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2afbfa-e8c4-476e-897d-8f89ba7ec2d5" xsi:nil="true"/>
    <lcf76f155ced4ddcb4097134ff3c332f xmlns="cea7d724-0401-4ab7-9335-0a1bc0aaa78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02A8AF-5574-4167-BF74-3193B87E09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a7d724-0401-4ab7-9335-0a1bc0aaa782"/>
    <ds:schemaRef ds:uri="c82afbfa-e8c4-476e-897d-8f89ba7ec2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3AB341-2950-4A9A-BB28-16B7FD707ED4}">
  <ds:schemaRefs>
    <ds:schemaRef ds:uri="http://www.w3.org/XML/1998/namespace"/>
    <ds:schemaRef ds:uri="http://schemas.microsoft.com/office/2006/documentManagement/types"/>
    <ds:schemaRef ds:uri="http://purl.org/dc/terms/"/>
    <ds:schemaRef ds:uri="c82afbfa-e8c4-476e-897d-8f89ba7ec2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a7d724-0401-4ab7-9335-0a1bc0aaa78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834FB1B-1A6E-40CF-8523-C6A5563A58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STOCK</vt:lpstr>
      <vt:lpstr>STOCK!Área_de_impresión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Magaly Guevara</cp:lastModifiedBy>
  <cp:lastPrinted>2026-04-27T07:04:04Z</cp:lastPrinted>
  <dcterms:created xsi:type="dcterms:W3CDTF">2025-07-17T19:37:30Z</dcterms:created>
  <dcterms:modified xsi:type="dcterms:W3CDTF">2026-04-27T07:04:42Z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0x0101007B0A9D50705E924EA02D565C3097A2A8</vt:lpwstr>
  </property>
  <property fmtid="{D5CDD505-2E9C-101B-9397-08002B2CF9AE}" pid="3" name="MediaServiceImageTags">
    <vt:lpwstr/>
  </property>
</Properties>
</file>