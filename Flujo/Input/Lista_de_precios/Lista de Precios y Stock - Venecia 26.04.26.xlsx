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xxgrupo.sharepoint.com/sites/FILEMAXXGRUPOINMOBILIARIO/Documentos compartidos/FILE MAXX GRUPO INMOBILIARIO/COMERCIAL/VENTAS/02 Lista de Precios/Stock/"/>
    </mc:Choice>
  </mc:AlternateContent>
  <xr:revisionPtr revIDLastSave="524" documentId="13_ncr:1_{C94A01D4-71A3-46AA-80BE-83A353C2A66E}" xr6:coauthVersionLast="47" xr6:coauthVersionMax="47" xr10:uidLastSave="{8A50EA16-A7BE-4436-B0F6-D3D572E905C9}"/>
  <bookViews>
    <workbookView xWindow="-120" yWindow="-120" windowWidth="20730" windowHeight="11040" xr2:uid="{E85BC640-98DC-412C-8DD1-A582C53C3F77}"/>
  </bookViews>
  <sheets>
    <sheet name="STOCK" sheetId="1" r:id="rId1"/>
  </sheets>
  <definedNames>
    <definedName name="_xlnm._FilterDatabase" localSheetId="0" hidden="1">STOCK!$A$14:$N$103</definedName>
    <definedName name="_xlnm.Print_Area" localSheetId="0">STOCK!$A$1:$L$110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N60" i="1" l="1"/>
  <c r="N61" i="1"/>
  <c r="N19" i="1"/>
  <c r="N16" i="1"/>
  <c r="N17" i="1"/>
  <c r="J60" i="1"/>
  <c r="M60" i="1" s="1"/>
  <c r="J61" i="1"/>
  <c r="M61" i="1" s="1"/>
  <c r="J62" i="1"/>
  <c r="J63" i="1"/>
  <c r="J51" i="1"/>
  <c r="J50" i="1"/>
  <c r="J49" i="1"/>
  <c r="J47" i="1"/>
  <c r="J44" i="1"/>
  <c r="J43" i="1"/>
  <c r="J42" i="1"/>
  <c r="J39" i="1"/>
  <c r="J37" i="1"/>
  <c r="J36" i="1"/>
  <c r="J35" i="1"/>
  <c r="J32" i="1"/>
  <c r="J30" i="1"/>
  <c r="J29" i="1"/>
  <c r="J27" i="1"/>
  <c r="J26" i="1"/>
  <c r="J22" i="1"/>
  <c r="J20" i="1"/>
  <c r="J19" i="1"/>
  <c r="M19" i="1" s="1"/>
  <c r="J17" i="1"/>
  <c r="M17" i="1" s="1"/>
  <c r="J16" i="1"/>
  <c r="M16" i="1" s="1"/>
  <c r="J15" i="1"/>
  <c r="J54" i="1"/>
  <c r="J59" i="1"/>
  <c r="J58" i="1"/>
  <c r="J57" i="1"/>
  <c r="J56" i="1"/>
  <c r="J55" i="1"/>
  <c r="J53" i="1"/>
  <c r="J52" i="1"/>
  <c r="J18" i="1"/>
  <c r="J21" i="1"/>
  <c r="J23" i="1"/>
  <c r="J24" i="1"/>
  <c r="J25" i="1"/>
  <c r="J28" i="1"/>
  <c r="J31" i="1"/>
  <c r="J33" i="1"/>
  <c r="J34" i="1"/>
  <c r="J38" i="1"/>
  <c r="J40" i="1"/>
  <c r="J41" i="1"/>
  <c r="J45" i="1"/>
  <c r="J46" i="1"/>
  <c r="J48" i="1"/>
  <c r="J64" i="1"/>
  <c r="D89" i="1" l="1"/>
  <c r="F89" i="1" s="1"/>
  <c r="D88" i="1"/>
  <c r="F88" i="1" s="1"/>
  <c r="D74" i="1"/>
  <c r="F74" i="1" s="1"/>
  <c r="F18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3" i="1"/>
  <c r="F72" i="1"/>
  <c r="F71" i="1"/>
  <c r="F70" i="1"/>
  <c r="F69" i="1"/>
  <c r="F68" i="1"/>
  <c r="F67" i="1"/>
  <c r="F66" i="1"/>
  <c r="F65" i="1"/>
  <c r="F64" i="1"/>
  <c r="F63" i="1"/>
  <c r="M63" i="1" s="1"/>
  <c r="F62" i="1"/>
  <c r="M62" i="1" s="1"/>
  <c r="F61" i="1"/>
  <c r="F60" i="1"/>
  <c r="F59" i="1"/>
  <c r="M59" i="1" s="1"/>
  <c r="F58" i="1"/>
  <c r="M58" i="1" s="1"/>
  <c r="F57" i="1"/>
  <c r="M57" i="1" s="1"/>
  <c r="F56" i="1"/>
  <c r="M56" i="1" s="1"/>
  <c r="F55" i="1"/>
  <c r="M55" i="1" s="1"/>
  <c r="F54" i="1"/>
  <c r="M54" i="1" s="1"/>
  <c r="F53" i="1"/>
  <c r="M53" i="1" s="1"/>
  <c r="F52" i="1"/>
  <c r="M52" i="1" s="1"/>
  <c r="F51" i="1"/>
  <c r="M51" i="1" s="1"/>
  <c r="F50" i="1"/>
  <c r="M50" i="1" s="1"/>
  <c r="F49" i="1"/>
  <c r="M49" i="1" s="1"/>
  <c r="F48" i="1"/>
  <c r="F47" i="1"/>
  <c r="M47" i="1" s="1"/>
  <c r="F46" i="1"/>
  <c r="F45" i="1"/>
  <c r="F44" i="1"/>
  <c r="M44" i="1" s="1"/>
  <c r="F43" i="1"/>
  <c r="M43" i="1" s="1"/>
  <c r="F42" i="1"/>
  <c r="M42" i="1" s="1"/>
  <c r="F41" i="1"/>
  <c r="F40" i="1"/>
  <c r="F39" i="1"/>
  <c r="M39" i="1" s="1"/>
  <c r="F38" i="1"/>
  <c r="F37" i="1"/>
  <c r="M37" i="1" s="1"/>
  <c r="F36" i="1"/>
  <c r="M36" i="1" s="1"/>
  <c r="F35" i="1"/>
  <c r="M35" i="1" s="1"/>
  <c r="F34" i="1"/>
  <c r="F33" i="1"/>
  <c r="F32" i="1"/>
  <c r="M32" i="1" s="1"/>
  <c r="F31" i="1"/>
  <c r="F30" i="1"/>
  <c r="M30" i="1" s="1"/>
  <c r="F29" i="1"/>
  <c r="M29" i="1" s="1"/>
  <c r="F28" i="1"/>
  <c r="F27" i="1"/>
  <c r="M27" i="1" s="1"/>
  <c r="F26" i="1"/>
  <c r="M26" i="1" s="1"/>
  <c r="F24" i="1"/>
  <c r="F23" i="1"/>
  <c r="F22" i="1"/>
  <c r="M22" i="1" s="1"/>
  <c r="F21" i="1"/>
  <c r="M21" i="1" s="1"/>
  <c r="F20" i="1"/>
  <c r="M20" i="1" s="1"/>
  <c r="F19" i="1"/>
  <c r="F17" i="1"/>
  <c r="F16" i="1"/>
  <c r="F15" i="1"/>
  <c r="M15" i="1" s="1"/>
</calcChain>
</file>

<file path=xl/sharedStrings.xml><?xml version="1.0" encoding="utf-8"?>
<sst xmlns="http://schemas.openxmlformats.org/spreadsheetml/2006/main" count="209" uniqueCount="88">
  <si>
    <t>FECHA DE ELABORACION</t>
  </si>
  <si>
    <t xml:space="preserve">LISTA DE PRECIOS </t>
  </si>
  <si>
    <t>PROYECTO</t>
  </si>
  <si>
    <t>DETALLE DE LAS UNIDADES EN VENTA</t>
  </si>
  <si>
    <t>UNIDADES
(dptos.)</t>
  </si>
  <si>
    <t>AREA m2</t>
  </si>
  <si>
    <t>DORM</t>
  </si>
  <si>
    <t>PRECIO
EN SOLES</t>
  </si>
  <si>
    <t>UBICACIÓN</t>
  </si>
  <si>
    <t>STATUS</t>
  </si>
  <si>
    <t>TECHADA</t>
  </si>
  <si>
    <t>LIBRE</t>
  </si>
  <si>
    <t>TOTAL</t>
  </si>
  <si>
    <t>1er</t>
  </si>
  <si>
    <t>CALLE</t>
  </si>
  <si>
    <t>INTERNA</t>
  </si>
  <si>
    <t>2do</t>
  </si>
  <si>
    <t>3ro</t>
  </si>
  <si>
    <t>4to</t>
  </si>
  <si>
    <t>5to</t>
  </si>
  <si>
    <t>6to</t>
  </si>
  <si>
    <t>7mo</t>
  </si>
  <si>
    <t>8vo</t>
  </si>
  <si>
    <t>9no</t>
  </si>
  <si>
    <t>10mo</t>
  </si>
  <si>
    <t>INGRESO</t>
  </si>
  <si>
    <t>E 01</t>
  </si>
  <si>
    <t>E 02</t>
  </si>
  <si>
    <t>SEMISOTANO</t>
  </si>
  <si>
    <t>E 08</t>
  </si>
  <si>
    <t>E 16</t>
  </si>
  <si>
    <t>E 22</t>
  </si>
  <si>
    <t>E 30</t>
  </si>
  <si>
    <t>EDIFICIO "VENECIA"</t>
  </si>
  <si>
    <t>E 03</t>
  </si>
  <si>
    <t>E 04</t>
  </si>
  <si>
    <t>E 05</t>
  </si>
  <si>
    <t>E 06</t>
  </si>
  <si>
    <t>E 07</t>
  </si>
  <si>
    <t>E 09</t>
  </si>
  <si>
    <t>E 11</t>
  </si>
  <si>
    <t>E 12</t>
  </si>
  <si>
    <t>E 13</t>
  </si>
  <si>
    <t>E 17</t>
  </si>
  <si>
    <t>E 18</t>
  </si>
  <si>
    <t>E 19</t>
  </si>
  <si>
    <t>E 20</t>
  </si>
  <si>
    <t>E 21</t>
  </si>
  <si>
    <t>E 23</t>
  </si>
  <si>
    <t>E 26</t>
  </si>
  <si>
    <t>E 27</t>
  </si>
  <si>
    <t>E 31</t>
  </si>
  <si>
    <t>D 02</t>
  </si>
  <si>
    <t>D 06</t>
  </si>
  <si>
    <t>D 07</t>
  </si>
  <si>
    <t>D 09</t>
  </si>
  <si>
    <t>D 10</t>
  </si>
  <si>
    <t>D 11</t>
  </si>
  <si>
    <t>D 12</t>
  </si>
  <si>
    <t>SOTANO</t>
  </si>
  <si>
    <t>E 10 - D 1</t>
  </si>
  <si>
    <t>E 14 - D 4</t>
  </si>
  <si>
    <t>E 15 - D 5</t>
  </si>
  <si>
    <t>E 24 - D 5</t>
  </si>
  <si>
    <t>E 25 - D 8</t>
  </si>
  <si>
    <t>E 28 - D 15</t>
  </si>
  <si>
    <t>E 29 - D 14</t>
  </si>
  <si>
    <t>E 32 - D 13</t>
  </si>
  <si>
    <t>SS</t>
  </si>
  <si>
    <t>Vendido</t>
  </si>
  <si>
    <t>DSCTO</t>
  </si>
  <si>
    <t>PRECIO CON DSCTO</t>
  </si>
  <si>
    <t>Luis Miguel Montero Monteza</t>
  </si>
  <si>
    <t>Carlos La Cruz Crespo</t>
  </si>
  <si>
    <t>Mariela Gabriela Zapata Santivañez</t>
  </si>
  <si>
    <t>Leidy Pilar Espinoza Mariño</t>
  </si>
  <si>
    <t>Patricia Salazar Aparcana</t>
  </si>
  <si>
    <t>Giovani Chumioque Garcia</t>
  </si>
  <si>
    <t>Ubaldo Yovera Puruguay</t>
  </si>
  <si>
    <t>Evelyn Leon Estela</t>
  </si>
  <si>
    <t xml:space="preserve">Petronila Tisnado Meneses </t>
  </si>
  <si>
    <t>José Edgardo Cespedes Camacho</t>
  </si>
  <si>
    <t>Norma Tello</t>
  </si>
  <si>
    <t>Rocio Chuquimango Valencia</t>
  </si>
  <si>
    <t>Irma Paulina Palomino Huaman</t>
  </si>
  <si>
    <t>Yul Frank Rodriquez Valeriano</t>
  </si>
  <si>
    <t>Rosa Maria Mantilla Guardamino</t>
  </si>
  <si>
    <t>Rennie Sven Flores Humareda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</si>
</sst>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#,##0.00\ &quot;m2&quot;"/>
    <numFmt numFmtId="166" formatCode="#,##0\ &quot;m2&quot;"/>
    <numFmt numFmtId="167" formatCode="_(* #,##0_);_(* \(#,##0\);_(* &quot;-&quot;??_);_(@_)"/>
    <numFmt numFmtId="168" formatCode="#,##0.0\ &quot;m2&quot;"/>
    <numFmt numFmtId="169" formatCode="_-* #,##0_-;\-* #,##0_-;_-* &quot;-&quot;??_-;_-@_-"/>
    <numFmt numFmtId="170" formatCode="_-[$S/-280A]\ * #,##0.00_-;\-[$S/-280A]\ * #,##0.00_-;_-[$S/-280A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Verdana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name val="Arial Narrow"/>
      <family val="2"/>
    </font>
    <font>
      <b/>
      <sz val="16"/>
      <color theme="0"/>
      <name val="Arial Narrow"/>
      <family val="2"/>
    </font>
    <font>
      <sz val="10"/>
      <name val="Verdana"/>
      <family val="2"/>
    </font>
    <font>
      <b/>
      <sz val="10"/>
      <name val="Arial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rgb="FF0091C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hair">
        <color rgb="FF0096D7"/>
      </left>
      <right style="hair">
        <color rgb="FF0096D7"/>
      </right>
      <top style="hair">
        <color rgb="FF0096D7"/>
      </top>
      <bottom style="hair">
        <color rgb="FF0096D7"/>
      </bottom>
      <diagonal/>
    </border>
    <border>
      <left style="hair">
        <color rgb="FF0096D7"/>
      </left>
      <right/>
      <top/>
      <bottom/>
      <diagonal/>
    </border>
    <border>
      <left/>
      <right style="hair">
        <color rgb="FF0096D7"/>
      </right>
      <top/>
      <bottom/>
      <diagonal/>
    </border>
    <border>
      <left style="hair">
        <color rgb="FF0096D7"/>
      </left>
      <right/>
      <top style="hair">
        <color rgb="FF0096D7"/>
      </top>
      <bottom style="hair">
        <color rgb="FF0096D7"/>
      </bottom>
      <diagonal/>
    </border>
    <border>
      <left/>
      <right/>
      <top style="hair">
        <color rgb="FF0096D7"/>
      </top>
      <bottom style="hair">
        <color rgb="FF0096D7"/>
      </bottom>
      <diagonal/>
    </border>
    <border>
      <left/>
      <right style="hair">
        <color rgb="FF0096D7"/>
      </right>
      <top style="hair">
        <color rgb="FF0096D7"/>
      </top>
      <bottom style="hair">
        <color rgb="FF0096D7"/>
      </bottom>
      <diagonal/>
    </border>
    <border>
      <left style="hair">
        <color rgb="FF0096D7"/>
      </left>
      <right style="hair">
        <color rgb="FF0096D7"/>
      </right>
      <top style="hair">
        <color rgb="FF0096D7"/>
      </top>
      <bottom/>
      <diagonal/>
    </border>
    <border>
      <left style="hair">
        <color rgb="FF0096D7"/>
      </left>
      <right/>
      <top style="hair">
        <color rgb="FF0096D7"/>
      </top>
      <bottom/>
      <diagonal/>
    </border>
    <border>
      <left style="hair">
        <color rgb="FF0096D7"/>
      </left>
      <right style="hair">
        <color rgb="FF0096D7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5">
    <xf numFmtId="0" fontId="0" fillId="0" borderId="0" xfId="0"/>
    <xf numFmtId="0" fontId="4" fillId="0" borderId="0" xfId="2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4" fontId="0" fillId="0" borderId="0" xfId="0" applyNumberForma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/>
    <xf numFmtId="0" fontId="6" fillId="3" borderId="7" xfId="0" applyFont="1" applyFill="1" applyBorder="1" applyAlignment="1">
      <alignment horizontal="center" vertical="center"/>
    </xf>
    <xf numFmtId="0" fontId="9" fillId="2" borderId="0" xfId="0" applyFont="1" applyFill="1"/>
    <xf numFmtId="166" fontId="12" fillId="2" borderId="14" xfId="0" applyNumberFormat="1" applyFont="1" applyFill="1" applyBorder="1" applyProtection="1">
      <protection locked="0"/>
    </xf>
    <xf numFmtId="0" fontId="12" fillId="2" borderId="14" xfId="0" applyFont="1" applyFill="1" applyBorder="1" applyProtection="1">
      <protection locked="0"/>
    </xf>
    <xf numFmtId="167" fontId="0" fillId="2" borderId="14" xfId="0" applyNumberFormat="1" applyFill="1" applyBorder="1"/>
    <xf numFmtId="0" fontId="9" fillId="2" borderId="14" xfId="0" applyFont="1" applyFill="1" applyBorder="1"/>
    <xf numFmtId="165" fontId="9" fillId="2" borderId="14" xfId="0" applyNumberFormat="1" applyFont="1" applyFill="1" applyBorder="1" applyAlignment="1" applyProtection="1">
      <alignment horizontal="right"/>
      <protection locked="0"/>
    </xf>
    <xf numFmtId="168" fontId="12" fillId="2" borderId="14" xfId="0" applyNumberFormat="1" applyFont="1" applyFill="1" applyBorder="1" applyProtection="1">
      <protection locked="0"/>
    </xf>
    <xf numFmtId="169" fontId="0" fillId="2" borderId="14" xfId="1" applyNumberFormat="1" applyFont="1" applyFill="1" applyBorder="1"/>
    <xf numFmtId="4" fontId="0" fillId="2" borderId="14" xfId="0" applyNumberFormat="1" applyFill="1" applyBorder="1"/>
    <xf numFmtId="0" fontId="9" fillId="2" borderId="24" xfId="0" applyFont="1" applyFill="1" applyBorder="1"/>
    <xf numFmtId="0" fontId="9" fillId="2" borderId="25" xfId="0" applyFont="1" applyFill="1" applyBorder="1"/>
    <xf numFmtId="0" fontId="9" fillId="0" borderId="16" xfId="0" applyFont="1" applyBorder="1"/>
    <xf numFmtId="0" fontId="9" fillId="0" borderId="25" xfId="0" applyFont="1" applyBorder="1"/>
    <xf numFmtId="0" fontId="9" fillId="2" borderId="11" xfId="0" applyFont="1" applyFill="1" applyBorder="1"/>
    <xf numFmtId="0" fontId="9" fillId="2" borderId="16" xfId="0" applyFont="1" applyFill="1" applyBorder="1"/>
    <xf numFmtId="0" fontId="9" fillId="2" borderId="26" xfId="0" applyFont="1" applyFill="1" applyBorder="1"/>
    <xf numFmtId="0" fontId="2" fillId="2" borderId="27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/>
    </xf>
    <xf numFmtId="166" fontId="9" fillId="5" borderId="17" xfId="0" applyNumberFormat="1" applyFont="1" applyFill="1" applyBorder="1" applyProtection="1">
      <protection locked="0"/>
    </xf>
    <xf numFmtId="165" fontId="9" fillId="5" borderId="20" xfId="0" applyNumberFormat="1" applyFont="1" applyFill="1" applyBorder="1" applyProtection="1">
      <protection locked="0"/>
    </xf>
    <xf numFmtId="166" fontId="12" fillId="5" borderId="14" xfId="0" applyNumberFormat="1" applyFont="1" applyFill="1" applyBorder="1" applyProtection="1">
      <protection locked="0"/>
    </xf>
    <xf numFmtId="0" fontId="12" fillId="5" borderId="14" xfId="0" applyFont="1" applyFill="1" applyBorder="1" applyProtection="1">
      <protection locked="0"/>
    </xf>
    <xf numFmtId="167" fontId="0" fillId="5" borderId="14" xfId="0" applyNumberFormat="1" applyFill="1" applyBorder="1"/>
    <xf numFmtId="43" fontId="0" fillId="5" borderId="14" xfId="1" applyFont="1" applyFill="1" applyBorder="1"/>
    <xf numFmtId="0" fontId="9" fillId="5" borderId="16" xfId="0" applyFont="1" applyFill="1" applyBorder="1"/>
    <xf numFmtId="0" fontId="9" fillId="5" borderId="14" xfId="0" applyFont="1" applyFill="1" applyBorder="1"/>
    <xf numFmtId="4" fontId="0" fillId="5" borderId="14" xfId="0" applyNumberFormat="1" applyFill="1" applyBorder="1"/>
    <xf numFmtId="168" fontId="12" fillId="5" borderId="14" xfId="0" applyNumberFormat="1" applyFont="1" applyFill="1" applyBorder="1" applyProtection="1">
      <protection locked="0"/>
    </xf>
    <xf numFmtId="169" fontId="0" fillId="5" borderId="14" xfId="1" applyNumberFormat="1" applyFont="1" applyFill="1" applyBorder="1"/>
    <xf numFmtId="0" fontId="11" fillId="5" borderId="22" xfId="0" applyFont="1" applyFill="1" applyBorder="1" applyAlignment="1">
      <alignment horizontal="center"/>
    </xf>
    <xf numFmtId="166" fontId="9" fillId="5" borderId="12" xfId="0" applyNumberFormat="1" applyFont="1" applyFill="1" applyBorder="1" applyProtection="1">
      <protection locked="0"/>
    </xf>
    <xf numFmtId="165" fontId="9" fillId="5" borderId="13" xfId="0" applyNumberFormat="1" applyFont="1" applyFill="1" applyBorder="1" applyProtection="1">
      <protection locked="0"/>
    </xf>
    <xf numFmtId="166" fontId="9" fillId="4" borderId="17" xfId="0" applyNumberFormat="1" applyFont="1" applyFill="1" applyBorder="1" applyProtection="1">
      <protection locked="0"/>
    </xf>
    <xf numFmtId="0" fontId="11" fillId="5" borderId="23" xfId="0" applyFont="1" applyFill="1" applyBorder="1" applyAlignment="1">
      <alignment horizontal="center"/>
    </xf>
    <xf numFmtId="165" fontId="9" fillId="5" borderId="18" xfId="0" applyNumberFormat="1" applyFont="1" applyFill="1" applyBorder="1" applyProtection="1">
      <protection locked="0"/>
    </xf>
    <xf numFmtId="0" fontId="11" fillId="5" borderId="19" xfId="0" applyFont="1" applyFill="1" applyBorder="1" applyAlignment="1">
      <alignment horizontal="center"/>
    </xf>
    <xf numFmtId="165" fontId="9" fillId="5" borderId="17" xfId="0" applyNumberFormat="1" applyFont="1" applyFill="1" applyBorder="1" applyProtection="1">
      <protection locked="0"/>
    </xf>
    <xf numFmtId="0" fontId="12" fillId="2" borderId="24" xfId="0" applyFont="1" applyFill="1" applyBorder="1" applyProtection="1">
      <protection locked="0"/>
    </xf>
    <xf numFmtId="167" fontId="0" fillId="2" borderId="24" xfId="0" applyNumberFormat="1" applyFill="1" applyBorder="1"/>
    <xf numFmtId="0" fontId="0" fillId="2" borderId="29" xfId="0" applyFill="1" applyBorder="1"/>
    <xf numFmtId="0" fontId="0" fillId="2" borderId="30" xfId="0" applyFill="1" applyBorder="1"/>
    <xf numFmtId="0" fontId="0" fillId="5" borderId="30" xfId="0" applyFill="1" applyBorder="1"/>
    <xf numFmtId="0" fontId="12" fillId="2" borderId="26" xfId="0" applyFont="1" applyFill="1" applyBorder="1" applyProtection="1">
      <protection locked="0"/>
    </xf>
    <xf numFmtId="0" fontId="0" fillId="2" borderId="34" xfId="0" applyFill="1" applyBorder="1"/>
    <xf numFmtId="43" fontId="0" fillId="2" borderId="0" xfId="0" applyNumberFormat="1" applyFill="1"/>
    <xf numFmtId="0" fontId="2" fillId="2" borderId="10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2" fillId="2" borderId="21" xfId="0" applyFont="1" applyFill="1" applyBorder="1" applyAlignment="1">
      <alignment horizontal="center" vertical="center" textRotation="90"/>
    </xf>
    <xf numFmtId="0" fontId="10" fillId="2" borderId="1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textRotation="90"/>
    </xf>
    <xf numFmtId="0" fontId="13" fillId="2" borderId="15" xfId="0" applyFont="1" applyFill="1" applyBorder="1" applyAlignment="1">
      <alignment horizontal="center" vertical="center" textRotation="90"/>
    </xf>
    <xf numFmtId="0" fontId="10" fillId="2" borderId="10" xfId="0" applyFont="1" applyFill="1" applyBorder="1" applyAlignment="1">
      <alignment horizontal="center" vertical="center" textRotation="90"/>
    </xf>
    <xf numFmtId="0" fontId="10" fillId="2" borderId="15" xfId="0" applyFont="1" applyFill="1" applyBorder="1" applyAlignment="1">
      <alignment horizontal="center" vertical="center" textRotation="90"/>
    </xf>
    <xf numFmtId="0" fontId="10" fillId="2" borderId="21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167" fontId="0" fillId="0" borderId="0" xfId="0" applyNumberFormat="1" applyFill="1" applyBorder="1"/>
    <xf numFmtId="167" fontId="2" fillId="0" borderId="0" xfId="0" applyNumberFormat="1" applyFont="1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70" fontId="0" fillId="0" borderId="0" xfId="0" applyNumberFormat="1" applyFill="1" applyBorder="1"/>
    <xf numFmtId="0" fontId="11" fillId="0" borderId="16" xfId="0" applyFont="1" applyFill="1" applyBorder="1" applyAlignment="1">
      <alignment horizontal="center"/>
    </xf>
    <xf numFmtId="166" fontId="9" fillId="0" borderId="17" xfId="0" applyNumberFormat="1" applyFont="1" applyFill="1" applyBorder="1" applyProtection="1">
      <protection locked="0"/>
    </xf>
    <xf numFmtId="165" fontId="9" fillId="0" borderId="18" xfId="0" applyNumberFormat="1" applyFont="1" applyFill="1" applyBorder="1" applyProtection="1">
      <protection locked="0"/>
    </xf>
    <xf numFmtId="166" fontId="12" fillId="0" borderId="14" xfId="0" applyNumberFormat="1" applyFont="1" applyFill="1" applyBorder="1" applyProtection="1">
      <protection locked="0"/>
    </xf>
    <xf numFmtId="0" fontId="12" fillId="0" borderId="14" xfId="0" applyFont="1" applyFill="1" applyBorder="1" applyProtection="1">
      <protection locked="0"/>
    </xf>
    <xf numFmtId="167" fontId="0" fillId="0" borderId="14" xfId="0" applyNumberFormat="1" applyFill="1" applyBorder="1"/>
    <xf numFmtId="43" fontId="0" fillId="0" borderId="14" xfId="1" applyFont="1" applyFill="1" applyBorder="1"/>
    <xf numFmtId="0" fontId="0" fillId="0" borderId="14" xfId="0" applyFill="1" applyBorder="1"/>
    <xf numFmtId="0" fontId="11" fillId="0" borderId="22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165" fontId="9" fillId="0" borderId="12" xfId="0" applyNumberFormat="1" applyFont="1" applyFill="1" applyBorder="1" applyProtection="1">
      <protection locked="0"/>
    </xf>
    <xf numFmtId="165" fontId="9" fillId="0" borderId="13" xfId="0" applyNumberFormat="1" applyFont="1" applyFill="1" applyBorder="1" applyProtection="1">
      <protection locked="0"/>
    </xf>
    <xf numFmtId="166" fontId="12" fillId="0" borderId="24" xfId="0" applyNumberFormat="1" applyFont="1" applyFill="1" applyBorder="1" applyProtection="1">
      <protection locked="0"/>
    </xf>
    <xf numFmtId="0" fontId="12" fillId="0" borderId="24" xfId="0" applyFont="1" applyFill="1" applyBorder="1" applyProtection="1">
      <protection locked="0"/>
    </xf>
    <xf numFmtId="167" fontId="0" fillId="0" borderId="24" xfId="0" applyNumberFormat="1" applyFill="1" applyBorder="1"/>
    <xf numFmtId="43" fontId="0" fillId="0" borderId="24" xfId="1" applyFont="1" applyFill="1" applyBorder="1"/>
    <xf numFmtId="0" fontId="0" fillId="0" borderId="29" xfId="0" applyFill="1" applyBorder="1"/>
    <xf numFmtId="165" fontId="9" fillId="0" borderId="17" xfId="0" applyNumberFormat="1" applyFont="1" applyFill="1" applyBorder="1" applyProtection="1">
      <protection locked="0"/>
    </xf>
    <xf numFmtId="0" fontId="0" fillId="0" borderId="30" xfId="0" applyFill="1" applyBorder="1"/>
    <xf numFmtId="0" fontId="11" fillId="0" borderId="31" xfId="0" applyFont="1" applyFill="1" applyBorder="1" applyAlignment="1">
      <alignment horizontal="center"/>
    </xf>
    <xf numFmtId="165" fontId="9" fillId="0" borderId="32" xfId="0" applyNumberFormat="1" applyFont="1" applyFill="1" applyBorder="1" applyProtection="1">
      <protection locked="0"/>
    </xf>
    <xf numFmtId="165" fontId="9" fillId="0" borderId="33" xfId="0" applyNumberFormat="1" applyFont="1" applyFill="1" applyBorder="1" applyProtection="1">
      <protection locked="0"/>
    </xf>
    <xf numFmtId="166" fontId="12" fillId="0" borderId="26" xfId="0" applyNumberFormat="1" applyFont="1" applyFill="1" applyBorder="1" applyProtection="1">
      <protection locked="0"/>
    </xf>
    <xf numFmtId="0" fontId="12" fillId="0" borderId="26" xfId="0" applyFont="1" applyFill="1" applyBorder="1" applyProtection="1">
      <protection locked="0"/>
    </xf>
    <xf numFmtId="167" fontId="0" fillId="0" borderId="26" xfId="0" applyNumberFormat="1" applyFill="1" applyBorder="1"/>
    <xf numFmtId="43" fontId="0" fillId="0" borderId="26" xfId="1" applyFont="1" applyFill="1" applyBorder="1"/>
    <xf numFmtId="0" fontId="0" fillId="0" borderId="34" xfId="0" applyFill="1" applyBorder="1"/>
    <xf numFmtId="0" fontId="11" fillId="0" borderId="19" xfId="0" applyFont="1" applyFill="1" applyBorder="1" applyAlignment="1">
      <alignment horizontal="center"/>
    </xf>
    <xf numFmtId="166" fontId="9" fillId="0" borderId="12" xfId="0" applyNumberFormat="1" applyFont="1" applyFill="1" applyBorder="1" applyProtection="1">
      <protection locked="0"/>
    </xf>
    <xf numFmtId="165" fontId="9" fillId="0" borderId="20" xfId="0" applyNumberFormat="1" applyFont="1" applyFill="1" applyBorder="1" applyProtection="1">
      <protection locked="0"/>
    </xf>
    <xf numFmtId="0" fontId="11" fillId="0" borderId="23" xfId="0" applyFont="1" applyFill="1" applyBorder="1" applyAlignment="1">
      <alignment horizontal="center"/>
    </xf>
    <xf numFmtId="0" fontId="11" fillId="5" borderId="35" xfId="0" applyFont="1" applyFill="1" applyBorder="1" applyAlignment="1">
      <alignment horizontal="center"/>
    </xf>
    <xf numFmtId="166" fontId="9" fillId="5" borderId="32" xfId="0" applyNumberFormat="1" applyFont="1" applyFill="1" applyBorder="1" applyProtection="1">
      <protection locked="0"/>
    </xf>
    <xf numFmtId="165" fontId="9" fillId="5" borderId="33" xfId="0" applyNumberFormat="1" applyFont="1" applyFill="1" applyBorder="1" applyProtection="1">
      <protection locked="0"/>
    </xf>
    <xf numFmtId="166" fontId="12" fillId="5" borderId="26" xfId="0" applyNumberFormat="1" applyFont="1" applyFill="1" applyBorder="1" applyProtection="1">
      <protection locked="0"/>
    </xf>
    <xf numFmtId="0" fontId="12" fillId="5" borderId="26" xfId="0" applyFont="1" applyFill="1" applyBorder="1" applyProtection="1">
      <protection locked="0"/>
    </xf>
    <xf numFmtId="167" fontId="0" fillId="5" borderId="26" xfId="0" applyNumberFormat="1" applyFill="1" applyBorder="1"/>
    <xf numFmtId="43" fontId="0" fillId="5" borderId="26" xfId="1" applyFont="1" applyFill="1" applyBorder="1"/>
    <xf numFmtId="0" fontId="0" fillId="5" borderId="34" xfId="0" applyFill="1" applyBorder="1"/>
    <xf numFmtId="166" fontId="12" fillId="5" borderId="24" xfId="0" applyNumberFormat="1" applyFont="1" applyFill="1" applyBorder="1" applyProtection="1">
      <protection locked="0"/>
    </xf>
    <xf numFmtId="0" fontId="12" fillId="5" borderId="24" xfId="0" applyFont="1" applyFill="1" applyBorder="1" applyProtection="1">
      <protection locked="0"/>
    </xf>
    <xf numFmtId="167" fontId="0" fillId="5" borderId="24" xfId="0" applyNumberFormat="1" applyFill="1" applyBorder="1"/>
    <xf numFmtId="43" fontId="0" fillId="5" borderId="24" xfId="1" applyFont="1" applyFill="1" applyBorder="1"/>
    <xf numFmtId="0" fontId="0" fillId="5" borderId="29" xfId="0" applyFill="1" applyBorder="1"/>
    <xf numFmtId="0" fontId="11" fillId="0" borderId="35" xfId="0" applyFont="1" applyFill="1" applyBorder="1" applyAlignment="1">
      <alignment horizontal="center"/>
    </xf>
    <xf numFmtId="166" fontId="9" fillId="0" borderId="32" xfId="0" applyNumberFormat="1" applyFont="1" applyFill="1" applyBorder="1" applyProtection="1">
      <protection locked="0"/>
    </xf>
    <xf numFmtId="0" fontId="11" fillId="4" borderId="19" xfId="0" applyFont="1" applyFill="1" applyBorder="1" applyAlignment="1">
      <alignment horizontal="center"/>
    </xf>
    <xf numFmtId="165" fontId="9" fillId="4" borderId="28" xfId="0" applyNumberFormat="1" applyFont="1" applyFill="1" applyBorder="1" applyProtection="1">
      <protection locked="0"/>
    </xf>
    <xf numFmtId="166" fontId="12" fillId="4" borderId="25" xfId="0" applyNumberFormat="1" applyFont="1" applyFill="1" applyBorder="1" applyProtection="1">
      <protection locked="0"/>
    </xf>
    <xf numFmtId="0" fontId="12" fillId="4" borderId="25" xfId="0" applyFont="1" applyFill="1" applyBorder="1" applyProtection="1">
      <protection locked="0"/>
    </xf>
    <xf numFmtId="167" fontId="0" fillId="4" borderId="25" xfId="0" applyNumberFormat="1" applyFill="1" applyBorder="1"/>
    <xf numFmtId="43" fontId="0" fillId="4" borderId="25" xfId="1" applyFont="1" applyFill="1" applyBorder="1"/>
    <xf numFmtId="0" fontId="0" fillId="4" borderId="25" xfId="0" applyFill="1" applyBorder="1"/>
    <xf numFmtId="0" fontId="11" fillId="5" borderId="36" xfId="0" applyFont="1" applyFill="1" applyBorder="1" applyAlignment="1">
      <alignment horizontal="center"/>
    </xf>
    <xf numFmtId="166" fontId="9" fillId="5" borderId="37" xfId="0" applyNumberFormat="1" applyFont="1" applyFill="1" applyBorder="1" applyProtection="1">
      <protection locked="0"/>
    </xf>
    <xf numFmtId="165" fontId="9" fillId="5" borderId="38" xfId="0" applyNumberFormat="1" applyFont="1" applyFill="1" applyBorder="1" applyProtection="1">
      <protection locked="0"/>
    </xf>
    <xf numFmtId="166" fontId="12" fillId="5" borderId="39" xfId="0" applyNumberFormat="1" applyFont="1" applyFill="1" applyBorder="1" applyProtection="1">
      <protection locked="0"/>
    </xf>
    <xf numFmtId="0" fontId="12" fillId="5" borderId="39" xfId="0" applyFont="1" applyFill="1" applyBorder="1" applyProtection="1">
      <protection locked="0"/>
    </xf>
    <xf numFmtId="167" fontId="0" fillId="5" borderId="39" xfId="0" applyNumberFormat="1" applyFill="1" applyBorder="1"/>
    <xf numFmtId="43" fontId="0" fillId="5" borderId="39" xfId="1" applyFont="1" applyFill="1" applyBorder="1"/>
    <xf numFmtId="0" fontId="0" fillId="5" borderId="39" xfId="0" applyFill="1" applyBorder="1"/>
    <xf numFmtId="166" fontId="9" fillId="2" borderId="24" xfId="0" applyNumberFormat="1" applyFont="1" applyFill="1" applyBorder="1" applyProtection="1">
      <protection locked="0"/>
    </xf>
    <xf numFmtId="168" fontId="12" fillId="2" borderId="24" xfId="0" applyNumberFormat="1" applyFont="1" applyFill="1" applyBorder="1" applyProtection="1">
      <protection locked="0"/>
    </xf>
    <xf numFmtId="169" fontId="0" fillId="2" borderId="24" xfId="1" applyNumberFormat="1" applyFont="1" applyFill="1" applyBorder="1"/>
    <xf numFmtId="0" fontId="13" fillId="2" borderId="21" xfId="0" applyFont="1" applyFill="1" applyBorder="1" applyAlignment="1">
      <alignment horizontal="center" vertical="center" textRotation="90"/>
    </xf>
    <xf numFmtId="0" fontId="9" fillId="2" borderId="31" xfId="0" applyFont="1" applyFill="1" applyBorder="1"/>
    <xf numFmtId="165" fontId="9" fillId="2" borderId="26" xfId="0" applyNumberFormat="1" applyFont="1" applyFill="1" applyBorder="1" applyAlignment="1" applyProtection="1">
      <alignment horizontal="right"/>
      <protection locked="0"/>
    </xf>
    <xf numFmtId="168" fontId="12" fillId="2" borderId="26" xfId="0" applyNumberFormat="1" applyFont="1" applyFill="1" applyBorder="1" applyProtection="1">
      <protection locked="0"/>
    </xf>
    <xf numFmtId="169" fontId="0" fillId="2" borderId="26" xfId="1" applyNumberFormat="1" applyFont="1" applyFill="1" applyBorder="1"/>
    <xf numFmtId="0" fontId="9" fillId="5" borderId="11" xfId="0" applyFont="1" applyFill="1" applyBorder="1"/>
    <xf numFmtId="0" fontId="9" fillId="5" borderId="24" xfId="0" applyFont="1" applyFill="1" applyBorder="1"/>
    <xf numFmtId="165" fontId="9" fillId="5" borderId="24" xfId="0" applyNumberFormat="1" applyFont="1" applyFill="1" applyBorder="1" applyAlignment="1" applyProtection="1">
      <alignment horizontal="right"/>
      <protection locked="0"/>
    </xf>
    <xf numFmtId="168" fontId="12" fillId="5" borderId="24" xfId="0" applyNumberFormat="1" applyFont="1" applyFill="1" applyBorder="1" applyProtection="1">
      <protection locked="0"/>
    </xf>
    <xf numFmtId="169" fontId="0" fillId="5" borderId="24" xfId="1" applyNumberFormat="1" applyFont="1" applyFill="1" applyBorder="1"/>
    <xf numFmtId="0" fontId="9" fillId="5" borderId="31" xfId="0" applyFont="1" applyFill="1" applyBorder="1"/>
    <xf numFmtId="0" fontId="9" fillId="5" borderId="26" xfId="0" applyFont="1" applyFill="1" applyBorder="1"/>
    <xf numFmtId="4" fontId="0" fillId="5" borderId="26" xfId="0" applyNumberFormat="1" applyFill="1" applyBorder="1"/>
    <xf numFmtId="168" fontId="12" fillId="5" borderId="26" xfId="0" applyNumberFormat="1" applyFont="1" applyFill="1" applyBorder="1" applyProtection="1">
      <protection locked="0"/>
    </xf>
    <xf numFmtId="169" fontId="0" fillId="5" borderId="26" xfId="1" applyNumberFormat="1" applyFont="1" applyFill="1" applyBorder="1"/>
    <xf numFmtId="4" fontId="0" fillId="2" borderId="24" xfId="0" applyNumberFormat="1" applyFill="1" applyBorder="1"/>
    <xf numFmtId="4" fontId="0" fillId="2" borderId="26" xfId="0" applyNumberFormat="1" applyFill="1" applyBorder="1"/>
    <xf numFmtId="0" fontId="9" fillId="2" borderId="40" xfId="0" applyFont="1" applyFill="1" applyBorder="1"/>
    <xf numFmtId="0" fontId="9" fillId="2" borderId="41" xfId="0" applyFont="1" applyFill="1" applyBorder="1"/>
    <xf numFmtId="4" fontId="0" fillId="2" borderId="41" xfId="0" applyNumberFormat="1" applyFill="1" applyBorder="1"/>
    <xf numFmtId="168" fontId="12" fillId="2" borderId="41" xfId="0" applyNumberFormat="1" applyFont="1" applyFill="1" applyBorder="1" applyProtection="1">
      <protection locked="0"/>
    </xf>
    <xf numFmtId="0" fontId="12" fillId="2" borderId="41" xfId="0" applyFont="1" applyFill="1" applyBorder="1" applyProtection="1">
      <protection locked="0"/>
    </xf>
    <xf numFmtId="169" fontId="0" fillId="2" borderId="41" xfId="1" applyNumberFormat="1" applyFont="1" applyFill="1" applyBorder="1"/>
    <xf numFmtId="0" fontId="0" fillId="2" borderId="42" xfId="0" applyFill="1" applyBorder="1"/>
    <xf numFmtId="0" fontId="9" fillId="0" borderId="31" xfId="0" applyFont="1" applyBorder="1"/>
    <xf numFmtId="0" fontId="9" fillId="0" borderId="43" xfId="0" applyFont="1" applyBorder="1"/>
  </cellXfs>
  <cellStyles count="3">
    <cellStyle name="Millares" xfId="1" builtinId="3"/>
    <cellStyle name="Normal" xfId="0" builtinId="0"/>
    <cellStyle name="Normal_AREAS ROMERO" xfId="2" xr:uid="{A5E64D5C-EB9B-41BF-B43B-0C13EC59F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646044</xdr:colOff>
      <xdr:row>1</xdr:row>
      <xdr:rowOff>8283</xdr:rowOff>
    </xdr:from>
    <xdr:to>
      <xdr:col>4</xdr:col>
      <xdr:colOff>582682</xdr:colOff>
      <xdr:row>3</xdr:row>
      <xdr:rowOff>54407</xdr:rowOff>
    </xdr:to>
    <xdr:pic>
      <xdr:nvPicPr>
        <xdr:cNvPr id="7" name="Gráfico 6">
          <a:extLst>
            <a:ext uri="{FF2B5EF4-FFF2-40B4-BE49-F238E27FC236}">
              <a16:creationId xmlns:a16="http://schemas.microsoft.com/office/drawing/2014/main" id="{BCA48594-E7C7-44D1-B2D9-2E2F47A71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85631" y="49696"/>
          <a:ext cx="1466022" cy="435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DFD0-0911-4C07-9071-10FB71798CDF}">
  <sheetPr filterMode="1"/>
  <dimension ref="A1:N110"/>
  <sheetViews>
    <sheetView showGridLines="0" tabSelected="1" zoomScaleNormal="100" workbookViewId="0">
      <selection activeCell="M100" sqref="M100"/>
    </sheetView>
  </sheetViews>
  <sheetFormatPr baseColWidth="10" defaultRowHeight="15" x14ac:dyDescent="0.25"/>
  <cols>
    <col min="1" max="1" width="0.7109375" customWidth="1"/>
    <col min="2" max="2" width="4.28515625" style="9" customWidth="1"/>
    <col min="3" max="3" width="12.28515625" customWidth="1"/>
    <col min="4" max="6" width="10.7109375" style="5" customWidth="1"/>
    <col min="7" max="8" width="10.7109375" customWidth="1"/>
    <col min="9" max="9" width="11.140625" bestFit="1" customWidth="1"/>
    <col min="10" max="10" width="13.140625" customWidth="1"/>
    <col min="11" max="11" width="11.140625" customWidth="1"/>
    <col min="12" max="12" width="32.42578125" bestFit="1" customWidth="1"/>
    <col min="14" max="14" width="11.42578125" customWidth="1"/>
    <col min="184" max="184" width="0" hidden="1" customWidth="1"/>
    <col min="185" max="186" width="8.5703125" customWidth="1"/>
    <col min="187" max="187" width="19.140625" customWidth="1"/>
    <col min="188" max="188" width="16" customWidth="1"/>
    <col min="189" max="189" width="12.85546875" customWidth="1"/>
    <col min="190" max="190" width="14.140625" customWidth="1"/>
    <col min="191" max="191" width="15.85546875" customWidth="1"/>
    <col min="192" max="192" width="15.28515625" customWidth="1"/>
    <col min="193" max="193" width="18.42578125" customWidth="1"/>
    <col min="194" max="194" width="14.5703125" customWidth="1"/>
    <col min="195" max="195" width="15.85546875" customWidth="1"/>
    <col min="196" max="201" width="0" hidden="1" customWidth="1"/>
    <col min="202" max="202" width="14" customWidth="1"/>
    <col min="203" max="203" width="10.28515625" customWidth="1"/>
    <col min="204" max="204" width="8.5703125" customWidth="1"/>
    <col min="205" max="205" width="9.28515625" customWidth="1"/>
    <col min="206" max="209" width="11.42578125" customWidth="1"/>
    <col min="440" max="440" width="0" hidden="1" customWidth="1"/>
    <col min="441" max="442" width="8.5703125" customWidth="1"/>
    <col min="443" max="443" width="19.140625" customWidth="1"/>
    <col min="444" max="444" width="16" customWidth="1"/>
    <col min="445" max="445" width="12.85546875" customWidth="1"/>
    <col min="446" max="446" width="14.140625" customWidth="1"/>
    <col min="447" max="447" width="15.85546875" customWidth="1"/>
    <col min="448" max="448" width="15.28515625" customWidth="1"/>
    <col min="449" max="449" width="18.42578125" customWidth="1"/>
    <col min="450" max="450" width="14.5703125" customWidth="1"/>
    <col min="451" max="451" width="15.85546875" customWidth="1"/>
    <col min="452" max="457" width="0" hidden="1" customWidth="1"/>
    <col min="458" max="458" width="14" customWidth="1"/>
    <col min="459" max="459" width="10.28515625" customWidth="1"/>
    <col min="460" max="460" width="8.5703125" customWidth="1"/>
    <col min="461" max="461" width="9.28515625" customWidth="1"/>
    <col min="462" max="465" width="11.42578125" customWidth="1"/>
    <col min="696" max="696" width="0" hidden="1" customWidth="1"/>
    <col min="697" max="698" width="8.5703125" customWidth="1"/>
    <col min="699" max="699" width="19.140625" customWidth="1"/>
    <col min="700" max="700" width="16" customWidth="1"/>
    <col min="701" max="701" width="12.85546875" customWidth="1"/>
    <col min="702" max="702" width="14.140625" customWidth="1"/>
    <col min="703" max="703" width="15.85546875" customWidth="1"/>
    <col min="704" max="704" width="15.28515625" customWidth="1"/>
    <col min="705" max="705" width="18.42578125" customWidth="1"/>
    <col min="706" max="706" width="14.5703125" customWidth="1"/>
    <col min="707" max="707" width="15.85546875" customWidth="1"/>
    <col min="708" max="713" width="0" hidden="1" customWidth="1"/>
    <col min="714" max="714" width="14" customWidth="1"/>
    <col min="715" max="715" width="10.28515625" customWidth="1"/>
    <col min="716" max="716" width="8.5703125" customWidth="1"/>
    <col min="717" max="717" width="9.28515625" customWidth="1"/>
    <col min="718" max="721" width="11.42578125" customWidth="1"/>
    <col min="952" max="952" width="0" hidden="1" customWidth="1"/>
    <col min="953" max="954" width="8.5703125" customWidth="1"/>
    <col min="955" max="955" width="19.140625" customWidth="1"/>
    <col min="956" max="956" width="16" customWidth="1"/>
    <col min="957" max="957" width="12.85546875" customWidth="1"/>
    <col min="958" max="958" width="14.140625" customWidth="1"/>
    <col min="959" max="959" width="15.85546875" customWidth="1"/>
    <col min="960" max="960" width="15.28515625" customWidth="1"/>
    <col min="961" max="961" width="18.42578125" customWidth="1"/>
    <col min="962" max="962" width="14.5703125" customWidth="1"/>
    <col min="963" max="963" width="15.85546875" customWidth="1"/>
    <col min="964" max="969" width="0" hidden="1" customWidth="1"/>
    <col min="970" max="970" width="14" customWidth="1"/>
    <col min="971" max="971" width="10.28515625" customWidth="1"/>
    <col min="972" max="972" width="8.5703125" customWidth="1"/>
    <col min="973" max="973" width="9.28515625" customWidth="1"/>
    <col min="974" max="977" width="11.42578125" customWidth="1"/>
    <col min="1208" max="1208" width="0" hidden="1" customWidth="1"/>
    <col min="1209" max="1210" width="8.5703125" customWidth="1"/>
    <col min="1211" max="1211" width="19.140625" customWidth="1"/>
    <col min="1212" max="1212" width="16" customWidth="1"/>
    <col min="1213" max="1213" width="12.85546875" customWidth="1"/>
    <col min="1214" max="1214" width="14.140625" customWidth="1"/>
    <col min="1215" max="1215" width="15.85546875" customWidth="1"/>
    <col min="1216" max="1216" width="15.28515625" customWidth="1"/>
    <col min="1217" max="1217" width="18.42578125" customWidth="1"/>
    <col min="1218" max="1218" width="14.5703125" customWidth="1"/>
    <col min="1219" max="1219" width="15.85546875" customWidth="1"/>
    <col min="1220" max="1225" width="0" hidden="1" customWidth="1"/>
    <col min="1226" max="1226" width="14" customWidth="1"/>
    <col min="1227" max="1227" width="10.28515625" customWidth="1"/>
    <col min="1228" max="1228" width="8.5703125" customWidth="1"/>
    <col min="1229" max="1229" width="9.28515625" customWidth="1"/>
    <col min="1230" max="1233" width="11.42578125" customWidth="1"/>
    <col min="1464" max="1464" width="0" hidden="1" customWidth="1"/>
    <col min="1465" max="1466" width="8.5703125" customWidth="1"/>
    <col min="1467" max="1467" width="19.140625" customWidth="1"/>
    <col min="1468" max="1468" width="16" customWidth="1"/>
    <col min="1469" max="1469" width="12.85546875" customWidth="1"/>
    <col min="1470" max="1470" width="14.140625" customWidth="1"/>
    <col min="1471" max="1471" width="15.85546875" customWidth="1"/>
    <col min="1472" max="1472" width="15.28515625" customWidth="1"/>
    <col min="1473" max="1473" width="18.42578125" customWidth="1"/>
    <col min="1474" max="1474" width="14.5703125" customWidth="1"/>
    <col min="1475" max="1475" width="15.85546875" customWidth="1"/>
    <col min="1476" max="1481" width="0" hidden="1" customWidth="1"/>
    <col min="1482" max="1482" width="14" customWidth="1"/>
    <col min="1483" max="1483" width="10.28515625" customWidth="1"/>
    <col min="1484" max="1484" width="8.5703125" customWidth="1"/>
    <col min="1485" max="1485" width="9.28515625" customWidth="1"/>
    <col min="1486" max="1489" width="11.42578125" customWidth="1"/>
    <col min="1720" max="1720" width="0" hidden="1" customWidth="1"/>
    <col min="1721" max="1722" width="8.5703125" customWidth="1"/>
    <col min="1723" max="1723" width="19.140625" customWidth="1"/>
    <col min="1724" max="1724" width="16" customWidth="1"/>
    <col min="1725" max="1725" width="12.85546875" customWidth="1"/>
    <col min="1726" max="1726" width="14.140625" customWidth="1"/>
    <col min="1727" max="1727" width="15.85546875" customWidth="1"/>
    <col min="1728" max="1728" width="15.28515625" customWidth="1"/>
    <col min="1729" max="1729" width="18.42578125" customWidth="1"/>
    <col min="1730" max="1730" width="14.5703125" customWidth="1"/>
    <col min="1731" max="1731" width="15.85546875" customWidth="1"/>
    <col min="1732" max="1737" width="0" hidden="1" customWidth="1"/>
    <col min="1738" max="1738" width="14" customWidth="1"/>
    <col min="1739" max="1739" width="10.28515625" customWidth="1"/>
    <col min="1740" max="1740" width="8.5703125" customWidth="1"/>
    <col min="1741" max="1741" width="9.28515625" customWidth="1"/>
    <col min="1742" max="1745" width="11.42578125" customWidth="1"/>
    <col min="1976" max="1976" width="0" hidden="1" customWidth="1"/>
    <col min="1977" max="1978" width="8.5703125" customWidth="1"/>
    <col min="1979" max="1979" width="19.140625" customWidth="1"/>
    <col min="1980" max="1980" width="16" customWidth="1"/>
    <col min="1981" max="1981" width="12.85546875" customWidth="1"/>
    <col min="1982" max="1982" width="14.140625" customWidth="1"/>
    <col min="1983" max="1983" width="15.85546875" customWidth="1"/>
    <col min="1984" max="1984" width="15.28515625" customWidth="1"/>
    <col min="1985" max="1985" width="18.42578125" customWidth="1"/>
    <col min="1986" max="1986" width="14.5703125" customWidth="1"/>
    <col min="1987" max="1987" width="15.85546875" customWidth="1"/>
    <col min="1988" max="1993" width="0" hidden="1" customWidth="1"/>
    <col min="1994" max="1994" width="14" customWidth="1"/>
    <col min="1995" max="1995" width="10.28515625" customWidth="1"/>
    <col min="1996" max="1996" width="8.5703125" customWidth="1"/>
    <col min="1997" max="1997" width="9.28515625" customWidth="1"/>
    <col min="1998" max="2001" width="11.42578125" customWidth="1"/>
    <col min="2232" max="2232" width="0" hidden="1" customWidth="1"/>
    <col min="2233" max="2234" width="8.5703125" customWidth="1"/>
    <col min="2235" max="2235" width="19.140625" customWidth="1"/>
    <col min="2236" max="2236" width="16" customWidth="1"/>
    <col min="2237" max="2237" width="12.85546875" customWidth="1"/>
    <col min="2238" max="2238" width="14.140625" customWidth="1"/>
    <col min="2239" max="2239" width="15.85546875" customWidth="1"/>
    <col min="2240" max="2240" width="15.28515625" customWidth="1"/>
    <col min="2241" max="2241" width="18.42578125" customWidth="1"/>
    <col min="2242" max="2242" width="14.5703125" customWidth="1"/>
    <col min="2243" max="2243" width="15.85546875" customWidth="1"/>
    <col min="2244" max="2249" width="0" hidden="1" customWidth="1"/>
    <col min="2250" max="2250" width="14" customWidth="1"/>
    <col min="2251" max="2251" width="10.28515625" customWidth="1"/>
    <col min="2252" max="2252" width="8.5703125" customWidth="1"/>
    <col min="2253" max="2253" width="9.28515625" customWidth="1"/>
    <col min="2254" max="2257" width="11.42578125" customWidth="1"/>
    <col min="2488" max="2488" width="0" hidden="1" customWidth="1"/>
    <col min="2489" max="2490" width="8.5703125" customWidth="1"/>
    <col min="2491" max="2491" width="19.140625" customWidth="1"/>
    <col min="2492" max="2492" width="16" customWidth="1"/>
    <col min="2493" max="2493" width="12.85546875" customWidth="1"/>
    <col min="2494" max="2494" width="14.140625" customWidth="1"/>
    <col min="2495" max="2495" width="15.85546875" customWidth="1"/>
    <col min="2496" max="2496" width="15.28515625" customWidth="1"/>
    <col min="2497" max="2497" width="18.42578125" customWidth="1"/>
    <col min="2498" max="2498" width="14.5703125" customWidth="1"/>
    <col min="2499" max="2499" width="15.85546875" customWidth="1"/>
    <col min="2500" max="2505" width="0" hidden="1" customWidth="1"/>
    <col min="2506" max="2506" width="14" customWidth="1"/>
    <col min="2507" max="2507" width="10.28515625" customWidth="1"/>
    <col min="2508" max="2508" width="8.5703125" customWidth="1"/>
    <col min="2509" max="2509" width="9.28515625" customWidth="1"/>
    <col min="2510" max="2513" width="11.42578125" customWidth="1"/>
    <col min="2744" max="2744" width="0" hidden="1" customWidth="1"/>
    <col min="2745" max="2746" width="8.5703125" customWidth="1"/>
    <col min="2747" max="2747" width="19.140625" customWidth="1"/>
    <col min="2748" max="2748" width="16" customWidth="1"/>
    <col min="2749" max="2749" width="12.85546875" customWidth="1"/>
    <col min="2750" max="2750" width="14.140625" customWidth="1"/>
    <col min="2751" max="2751" width="15.85546875" customWidth="1"/>
    <col min="2752" max="2752" width="15.28515625" customWidth="1"/>
    <col min="2753" max="2753" width="18.42578125" customWidth="1"/>
    <col min="2754" max="2754" width="14.5703125" customWidth="1"/>
    <col min="2755" max="2755" width="15.85546875" customWidth="1"/>
    <col min="2756" max="2761" width="0" hidden="1" customWidth="1"/>
    <col min="2762" max="2762" width="14" customWidth="1"/>
    <col min="2763" max="2763" width="10.28515625" customWidth="1"/>
    <col min="2764" max="2764" width="8.5703125" customWidth="1"/>
    <col min="2765" max="2765" width="9.28515625" customWidth="1"/>
    <col min="2766" max="2769" width="11.42578125" customWidth="1"/>
    <col min="3000" max="3000" width="0" hidden="1" customWidth="1"/>
    <col min="3001" max="3002" width="8.5703125" customWidth="1"/>
    <col min="3003" max="3003" width="19.140625" customWidth="1"/>
    <col min="3004" max="3004" width="16" customWidth="1"/>
    <col min="3005" max="3005" width="12.85546875" customWidth="1"/>
    <col min="3006" max="3006" width="14.140625" customWidth="1"/>
    <col min="3007" max="3007" width="15.85546875" customWidth="1"/>
    <col min="3008" max="3008" width="15.28515625" customWidth="1"/>
    <col min="3009" max="3009" width="18.42578125" customWidth="1"/>
    <col min="3010" max="3010" width="14.5703125" customWidth="1"/>
    <col min="3011" max="3011" width="15.85546875" customWidth="1"/>
    <col min="3012" max="3017" width="0" hidden="1" customWidth="1"/>
    <col min="3018" max="3018" width="14" customWidth="1"/>
    <col min="3019" max="3019" width="10.28515625" customWidth="1"/>
    <col min="3020" max="3020" width="8.5703125" customWidth="1"/>
    <col min="3021" max="3021" width="9.28515625" customWidth="1"/>
    <col min="3022" max="3025" width="11.42578125" customWidth="1"/>
    <col min="3256" max="3256" width="0" hidden="1" customWidth="1"/>
    <col min="3257" max="3258" width="8.5703125" customWidth="1"/>
    <col min="3259" max="3259" width="19.140625" customWidth="1"/>
    <col min="3260" max="3260" width="16" customWidth="1"/>
    <col min="3261" max="3261" width="12.85546875" customWidth="1"/>
    <col min="3262" max="3262" width="14.140625" customWidth="1"/>
    <col min="3263" max="3263" width="15.85546875" customWidth="1"/>
    <col min="3264" max="3264" width="15.28515625" customWidth="1"/>
    <col min="3265" max="3265" width="18.42578125" customWidth="1"/>
    <col min="3266" max="3266" width="14.5703125" customWidth="1"/>
    <col min="3267" max="3267" width="15.85546875" customWidth="1"/>
    <col min="3268" max="3273" width="0" hidden="1" customWidth="1"/>
    <col min="3274" max="3274" width="14" customWidth="1"/>
    <col min="3275" max="3275" width="10.28515625" customWidth="1"/>
    <col min="3276" max="3276" width="8.5703125" customWidth="1"/>
    <col min="3277" max="3277" width="9.28515625" customWidth="1"/>
    <col min="3278" max="3281" width="11.42578125" customWidth="1"/>
    <col min="3512" max="3512" width="0" hidden="1" customWidth="1"/>
    <col min="3513" max="3514" width="8.5703125" customWidth="1"/>
    <col min="3515" max="3515" width="19.140625" customWidth="1"/>
    <col min="3516" max="3516" width="16" customWidth="1"/>
    <col min="3517" max="3517" width="12.85546875" customWidth="1"/>
    <col min="3518" max="3518" width="14.140625" customWidth="1"/>
    <col min="3519" max="3519" width="15.85546875" customWidth="1"/>
    <col min="3520" max="3520" width="15.28515625" customWidth="1"/>
    <col min="3521" max="3521" width="18.42578125" customWidth="1"/>
    <col min="3522" max="3522" width="14.5703125" customWidth="1"/>
    <col min="3523" max="3523" width="15.85546875" customWidth="1"/>
    <col min="3524" max="3529" width="0" hidden="1" customWidth="1"/>
    <col min="3530" max="3530" width="14" customWidth="1"/>
    <col min="3531" max="3531" width="10.28515625" customWidth="1"/>
    <col min="3532" max="3532" width="8.5703125" customWidth="1"/>
    <col min="3533" max="3533" width="9.28515625" customWidth="1"/>
    <col min="3534" max="3537" width="11.42578125" customWidth="1"/>
    <col min="3768" max="3768" width="0" hidden="1" customWidth="1"/>
    <col min="3769" max="3770" width="8.5703125" customWidth="1"/>
    <col min="3771" max="3771" width="19.140625" customWidth="1"/>
    <col min="3772" max="3772" width="16" customWidth="1"/>
    <col min="3773" max="3773" width="12.85546875" customWidth="1"/>
    <col min="3774" max="3774" width="14.140625" customWidth="1"/>
    <col min="3775" max="3775" width="15.85546875" customWidth="1"/>
    <col min="3776" max="3776" width="15.28515625" customWidth="1"/>
    <col min="3777" max="3777" width="18.42578125" customWidth="1"/>
    <col min="3778" max="3778" width="14.5703125" customWidth="1"/>
    <col min="3779" max="3779" width="15.85546875" customWidth="1"/>
    <col min="3780" max="3785" width="0" hidden="1" customWidth="1"/>
    <col min="3786" max="3786" width="14" customWidth="1"/>
    <col min="3787" max="3787" width="10.28515625" customWidth="1"/>
    <col min="3788" max="3788" width="8.5703125" customWidth="1"/>
    <col min="3789" max="3789" width="9.28515625" customWidth="1"/>
    <col min="3790" max="3793" width="11.42578125" customWidth="1"/>
    <col min="4024" max="4024" width="0" hidden="1" customWidth="1"/>
    <col min="4025" max="4026" width="8.5703125" customWidth="1"/>
    <col min="4027" max="4027" width="19.140625" customWidth="1"/>
    <col min="4028" max="4028" width="16" customWidth="1"/>
    <col min="4029" max="4029" width="12.85546875" customWidth="1"/>
    <col min="4030" max="4030" width="14.140625" customWidth="1"/>
    <col min="4031" max="4031" width="15.85546875" customWidth="1"/>
    <col min="4032" max="4032" width="15.28515625" customWidth="1"/>
    <col min="4033" max="4033" width="18.42578125" customWidth="1"/>
    <col min="4034" max="4034" width="14.5703125" customWidth="1"/>
    <col min="4035" max="4035" width="15.85546875" customWidth="1"/>
    <col min="4036" max="4041" width="0" hidden="1" customWidth="1"/>
    <col min="4042" max="4042" width="14" customWidth="1"/>
    <col min="4043" max="4043" width="10.28515625" customWidth="1"/>
    <col min="4044" max="4044" width="8.5703125" customWidth="1"/>
    <col min="4045" max="4045" width="9.28515625" customWidth="1"/>
    <col min="4046" max="4049" width="11.42578125" customWidth="1"/>
    <col min="4280" max="4280" width="0" hidden="1" customWidth="1"/>
    <col min="4281" max="4282" width="8.5703125" customWidth="1"/>
    <col min="4283" max="4283" width="19.140625" customWidth="1"/>
    <col min="4284" max="4284" width="16" customWidth="1"/>
    <col min="4285" max="4285" width="12.85546875" customWidth="1"/>
    <col min="4286" max="4286" width="14.140625" customWidth="1"/>
    <col min="4287" max="4287" width="15.85546875" customWidth="1"/>
    <col min="4288" max="4288" width="15.28515625" customWidth="1"/>
    <col min="4289" max="4289" width="18.42578125" customWidth="1"/>
    <col min="4290" max="4290" width="14.5703125" customWidth="1"/>
    <col min="4291" max="4291" width="15.85546875" customWidth="1"/>
    <col min="4292" max="4297" width="0" hidden="1" customWidth="1"/>
    <col min="4298" max="4298" width="14" customWidth="1"/>
    <col min="4299" max="4299" width="10.28515625" customWidth="1"/>
    <col min="4300" max="4300" width="8.5703125" customWidth="1"/>
    <col min="4301" max="4301" width="9.28515625" customWidth="1"/>
    <col min="4302" max="4305" width="11.42578125" customWidth="1"/>
    <col min="4536" max="4536" width="0" hidden="1" customWidth="1"/>
    <col min="4537" max="4538" width="8.5703125" customWidth="1"/>
    <col min="4539" max="4539" width="19.140625" customWidth="1"/>
    <col min="4540" max="4540" width="16" customWidth="1"/>
    <col min="4541" max="4541" width="12.85546875" customWidth="1"/>
    <col min="4542" max="4542" width="14.140625" customWidth="1"/>
    <col min="4543" max="4543" width="15.85546875" customWidth="1"/>
    <col min="4544" max="4544" width="15.28515625" customWidth="1"/>
    <col min="4545" max="4545" width="18.42578125" customWidth="1"/>
    <col min="4546" max="4546" width="14.5703125" customWidth="1"/>
    <col min="4547" max="4547" width="15.85546875" customWidth="1"/>
    <col min="4548" max="4553" width="0" hidden="1" customWidth="1"/>
    <col min="4554" max="4554" width="14" customWidth="1"/>
    <col min="4555" max="4555" width="10.28515625" customWidth="1"/>
    <col min="4556" max="4556" width="8.5703125" customWidth="1"/>
    <col min="4557" max="4557" width="9.28515625" customWidth="1"/>
    <col min="4558" max="4561" width="11.42578125" customWidth="1"/>
    <col min="4792" max="4792" width="0" hidden="1" customWidth="1"/>
    <col min="4793" max="4794" width="8.5703125" customWidth="1"/>
    <col min="4795" max="4795" width="19.140625" customWidth="1"/>
    <col min="4796" max="4796" width="16" customWidth="1"/>
    <col min="4797" max="4797" width="12.85546875" customWidth="1"/>
    <col min="4798" max="4798" width="14.140625" customWidth="1"/>
    <col min="4799" max="4799" width="15.85546875" customWidth="1"/>
    <col min="4800" max="4800" width="15.28515625" customWidth="1"/>
    <col min="4801" max="4801" width="18.42578125" customWidth="1"/>
    <col min="4802" max="4802" width="14.5703125" customWidth="1"/>
    <col min="4803" max="4803" width="15.85546875" customWidth="1"/>
    <col min="4804" max="4809" width="0" hidden="1" customWidth="1"/>
    <col min="4810" max="4810" width="14" customWidth="1"/>
    <col min="4811" max="4811" width="10.28515625" customWidth="1"/>
    <col min="4812" max="4812" width="8.5703125" customWidth="1"/>
    <col min="4813" max="4813" width="9.28515625" customWidth="1"/>
    <col min="4814" max="4817" width="11.42578125" customWidth="1"/>
    <col min="5048" max="5048" width="0" hidden="1" customWidth="1"/>
    <col min="5049" max="5050" width="8.5703125" customWidth="1"/>
    <col min="5051" max="5051" width="19.140625" customWidth="1"/>
    <col min="5052" max="5052" width="16" customWidth="1"/>
    <col min="5053" max="5053" width="12.85546875" customWidth="1"/>
    <col min="5054" max="5054" width="14.140625" customWidth="1"/>
    <col min="5055" max="5055" width="15.85546875" customWidth="1"/>
    <col min="5056" max="5056" width="15.28515625" customWidth="1"/>
    <col min="5057" max="5057" width="18.42578125" customWidth="1"/>
    <col min="5058" max="5058" width="14.5703125" customWidth="1"/>
    <col min="5059" max="5059" width="15.85546875" customWidth="1"/>
    <col min="5060" max="5065" width="0" hidden="1" customWidth="1"/>
    <col min="5066" max="5066" width="14" customWidth="1"/>
    <col min="5067" max="5067" width="10.28515625" customWidth="1"/>
    <col min="5068" max="5068" width="8.5703125" customWidth="1"/>
    <col min="5069" max="5069" width="9.28515625" customWidth="1"/>
    <col min="5070" max="5073" width="11.42578125" customWidth="1"/>
    <col min="5304" max="5304" width="0" hidden="1" customWidth="1"/>
    <col min="5305" max="5306" width="8.5703125" customWidth="1"/>
    <col min="5307" max="5307" width="19.140625" customWidth="1"/>
    <col min="5308" max="5308" width="16" customWidth="1"/>
    <col min="5309" max="5309" width="12.85546875" customWidth="1"/>
    <col min="5310" max="5310" width="14.140625" customWidth="1"/>
    <col min="5311" max="5311" width="15.85546875" customWidth="1"/>
    <col min="5312" max="5312" width="15.28515625" customWidth="1"/>
    <col min="5313" max="5313" width="18.42578125" customWidth="1"/>
    <col min="5314" max="5314" width="14.5703125" customWidth="1"/>
    <col min="5315" max="5315" width="15.85546875" customWidth="1"/>
    <col min="5316" max="5321" width="0" hidden="1" customWidth="1"/>
    <col min="5322" max="5322" width="14" customWidth="1"/>
    <col min="5323" max="5323" width="10.28515625" customWidth="1"/>
    <col min="5324" max="5324" width="8.5703125" customWidth="1"/>
    <col min="5325" max="5325" width="9.28515625" customWidth="1"/>
    <col min="5326" max="5329" width="11.42578125" customWidth="1"/>
    <col min="5560" max="5560" width="0" hidden="1" customWidth="1"/>
    <col min="5561" max="5562" width="8.5703125" customWidth="1"/>
    <col min="5563" max="5563" width="19.140625" customWidth="1"/>
    <col min="5564" max="5564" width="16" customWidth="1"/>
    <col min="5565" max="5565" width="12.85546875" customWidth="1"/>
    <col min="5566" max="5566" width="14.140625" customWidth="1"/>
    <col min="5567" max="5567" width="15.85546875" customWidth="1"/>
    <col min="5568" max="5568" width="15.28515625" customWidth="1"/>
    <col min="5569" max="5569" width="18.42578125" customWidth="1"/>
    <col min="5570" max="5570" width="14.5703125" customWidth="1"/>
    <col min="5571" max="5571" width="15.85546875" customWidth="1"/>
    <col min="5572" max="5577" width="0" hidden="1" customWidth="1"/>
    <col min="5578" max="5578" width="14" customWidth="1"/>
    <col min="5579" max="5579" width="10.28515625" customWidth="1"/>
    <col min="5580" max="5580" width="8.5703125" customWidth="1"/>
    <col min="5581" max="5581" width="9.28515625" customWidth="1"/>
    <col min="5582" max="5585" width="11.42578125" customWidth="1"/>
    <col min="5816" max="5816" width="0" hidden="1" customWidth="1"/>
    <col min="5817" max="5818" width="8.5703125" customWidth="1"/>
    <col min="5819" max="5819" width="19.140625" customWidth="1"/>
    <col min="5820" max="5820" width="16" customWidth="1"/>
    <col min="5821" max="5821" width="12.85546875" customWidth="1"/>
    <col min="5822" max="5822" width="14.140625" customWidth="1"/>
    <col min="5823" max="5823" width="15.85546875" customWidth="1"/>
    <col min="5824" max="5824" width="15.28515625" customWidth="1"/>
    <col min="5825" max="5825" width="18.42578125" customWidth="1"/>
    <col min="5826" max="5826" width="14.5703125" customWidth="1"/>
    <col min="5827" max="5827" width="15.85546875" customWidth="1"/>
    <col min="5828" max="5833" width="0" hidden="1" customWidth="1"/>
    <col min="5834" max="5834" width="14" customWidth="1"/>
    <col min="5835" max="5835" width="10.28515625" customWidth="1"/>
    <col min="5836" max="5836" width="8.5703125" customWidth="1"/>
    <col min="5837" max="5837" width="9.28515625" customWidth="1"/>
    <col min="5838" max="5841" width="11.42578125" customWidth="1"/>
    <col min="6072" max="6072" width="0" hidden="1" customWidth="1"/>
    <col min="6073" max="6074" width="8.5703125" customWidth="1"/>
    <col min="6075" max="6075" width="19.140625" customWidth="1"/>
    <col min="6076" max="6076" width="16" customWidth="1"/>
    <col min="6077" max="6077" width="12.85546875" customWidth="1"/>
    <col min="6078" max="6078" width="14.140625" customWidth="1"/>
    <col min="6079" max="6079" width="15.85546875" customWidth="1"/>
    <col min="6080" max="6080" width="15.28515625" customWidth="1"/>
    <col min="6081" max="6081" width="18.42578125" customWidth="1"/>
    <col min="6082" max="6082" width="14.5703125" customWidth="1"/>
    <col min="6083" max="6083" width="15.85546875" customWidth="1"/>
    <col min="6084" max="6089" width="0" hidden="1" customWidth="1"/>
    <col min="6090" max="6090" width="14" customWidth="1"/>
    <col min="6091" max="6091" width="10.28515625" customWidth="1"/>
    <col min="6092" max="6092" width="8.5703125" customWidth="1"/>
    <col min="6093" max="6093" width="9.28515625" customWidth="1"/>
    <col min="6094" max="6097" width="11.42578125" customWidth="1"/>
    <col min="6328" max="6328" width="0" hidden="1" customWidth="1"/>
    <col min="6329" max="6330" width="8.5703125" customWidth="1"/>
    <col min="6331" max="6331" width="19.140625" customWidth="1"/>
    <col min="6332" max="6332" width="16" customWidth="1"/>
    <col min="6333" max="6333" width="12.85546875" customWidth="1"/>
    <col min="6334" max="6334" width="14.140625" customWidth="1"/>
    <col min="6335" max="6335" width="15.85546875" customWidth="1"/>
    <col min="6336" max="6336" width="15.28515625" customWidth="1"/>
    <col min="6337" max="6337" width="18.42578125" customWidth="1"/>
    <col min="6338" max="6338" width="14.5703125" customWidth="1"/>
    <col min="6339" max="6339" width="15.85546875" customWidth="1"/>
    <col min="6340" max="6345" width="0" hidden="1" customWidth="1"/>
    <col min="6346" max="6346" width="14" customWidth="1"/>
    <col min="6347" max="6347" width="10.28515625" customWidth="1"/>
    <col min="6348" max="6348" width="8.5703125" customWidth="1"/>
    <col min="6349" max="6349" width="9.28515625" customWidth="1"/>
    <col min="6350" max="6353" width="11.42578125" customWidth="1"/>
    <col min="6584" max="6584" width="0" hidden="1" customWidth="1"/>
    <col min="6585" max="6586" width="8.5703125" customWidth="1"/>
    <col min="6587" max="6587" width="19.140625" customWidth="1"/>
    <col min="6588" max="6588" width="16" customWidth="1"/>
    <col min="6589" max="6589" width="12.85546875" customWidth="1"/>
    <col min="6590" max="6590" width="14.140625" customWidth="1"/>
    <col min="6591" max="6591" width="15.85546875" customWidth="1"/>
    <col min="6592" max="6592" width="15.28515625" customWidth="1"/>
    <col min="6593" max="6593" width="18.42578125" customWidth="1"/>
    <col min="6594" max="6594" width="14.5703125" customWidth="1"/>
    <col min="6595" max="6595" width="15.85546875" customWidth="1"/>
    <col min="6596" max="6601" width="0" hidden="1" customWidth="1"/>
    <col min="6602" max="6602" width="14" customWidth="1"/>
    <col min="6603" max="6603" width="10.28515625" customWidth="1"/>
    <col min="6604" max="6604" width="8.5703125" customWidth="1"/>
    <col min="6605" max="6605" width="9.28515625" customWidth="1"/>
    <col min="6606" max="6609" width="11.42578125" customWidth="1"/>
    <col min="6840" max="6840" width="0" hidden="1" customWidth="1"/>
    <col min="6841" max="6842" width="8.5703125" customWidth="1"/>
    <col min="6843" max="6843" width="19.140625" customWidth="1"/>
    <col min="6844" max="6844" width="16" customWidth="1"/>
    <col min="6845" max="6845" width="12.85546875" customWidth="1"/>
    <col min="6846" max="6846" width="14.140625" customWidth="1"/>
    <col min="6847" max="6847" width="15.85546875" customWidth="1"/>
    <col min="6848" max="6848" width="15.28515625" customWidth="1"/>
    <col min="6849" max="6849" width="18.42578125" customWidth="1"/>
    <col min="6850" max="6850" width="14.5703125" customWidth="1"/>
    <col min="6851" max="6851" width="15.85546875" customWidth="1"/>
    <col min="6852" max="6857" width="0" hidden="1" customWidth="1"/>
    <col min="6858" max="6858" width="14" customWidth="1"/>
    <col min="6859" max="6859" width="10.28515625" customWidth="1"/>
    <col min="6860" max="6860" width="8.5703125" customWidth="1"/>
    <col min="6861" max="6861" width="9.28515625" customWidth="1"/>
    <col min="6862" max="6865" width="11.42578125" customWidth="1"/>
    <col min="7096" max="7096" width="0" hidden="1" customWidth="1"/>
    <col min="7097" max="7098" width="8.5703125" customWidth="1"/>
    <col min="7099" max="7099" width="19.140625" customWidth="1"/>
    <col min="7100" max="7100" width="16" customWidth="1"/>
    <col min="7101" max="7101" width="12.85546875" customWidth="1"/>
    <col min="7102" max="7102" width="14.140625" customWidth="1"/>
    <col min="7103" max="7103" width="15.85546875" customWidth="1"/>
    <col min="7104" max="7104" width="15.28515625" customWidth="1"/>
    <col min="7105" max="7105" width="18.42578125" customWidth="1"/>
    <col min="7106" max="7106" width="14.5703125" customWidth="1"/>
    <col min="7107" max="7107" width="15.85546875" customWidth="1"/>
    <col min="7108" max="7113" width="0" hidden="1" customWidth="1"/>
    <col min="7114" max="7114" width="14" customWidth="1"/>
    <col min="7115" max="7115" width="10.28515625" customWidth="1"/>
    <col min="7116" max="7116" width="8.5703125" customWidth="1"/>
    <col min="7117" max="7117" width="9.28515625" customWidth="1"/>
    <col min="7118" max="7121" width="11.42578125" customWidth="1"/>
    <col min="7352" max="7352" width="0" hidden="1" customWidth="1"/>
    <col min="7353" max="7354" width="8.5703125" customWidth="1"/>
    <col min="7355" max="7355" width="19.140625" customWidth="1"/>
    <col min="7356" max="7356" width="16" customWidth="1"/>
    <col min="7357" max="7357" width="12.85546875" customWidth="1"/>
    <col min="7358" max="7358" width="14.140625" customWidth="1"/>
    <col min="7359" max="7359" width="15.85546875" customWidth="1"/>
    <col min="7360" max="7360" width="15.28515625" customWidth="1"/>
    <col min="7361" max="7361" width="18.42578125" customWidth="1"/>
    <col min="7362" max="7362" width="14.5703125" customWidth="1"/>
    <col min="7363" max="7363" width="15.85546875" customWidth="1"/>
    <col min="7364" max="7369" width="0" hidden="1" customWidth="1"/>
    <col min="7370" max="7370" width="14" customWidth="1"/>
    <col min="7371" max="7371" width="10.28515625" customWidth="1"/>
    <col min="7372" max="7372" width="8.5703125" customWidth="1"/>
    <col min="7373" max="7373" width="9.28515625" customWidth="1"/>
    <col min="7374" max="7377" width="11.42578125" customWidth="1"/>
    <col min="7608" max="7608" width="0" hidden="1" customWidth="1"/>
    <col min="7609" max="7610" width="8.5703125" customWidth="1"/>
    <col min="7611" max="7611" width="19.140625" customWidth="1"/>
    <col min="7612" max="7612" width="16" customWidth="1"/>
    <col min="7613" max="7613" width="12.85546875" customWidth="1"/>
    <col min="7614" max="7614" width="14.140625" customWidth="1"/>
    <col min="7615" max="7615" width="15.85546875" customWidth="1"/>
    <col min="7616" max="7616" width="15.28515625" customWidth="1"/>
    <col min="7617" max="7617" width="18.42578125" customWidth="1"/>
    <col min="7618" max="7618" width="14.5703125" customWidth="1"/>
    <col min="7619" max="7619" width="15.85546875" customWidth="1"/>
    <col min="7620" max="7625" width="0" hidden="1" customWidth="1"/>
    <col min="7626" max="7626" width="14" customWidth="1"/>
    <col min="7627" max="7627" width="10.28515625" customWidth="1"/>
    <col min="7628" max="7628" width="8.5703125" customWidth="1"/>
    <col min="7629" max="7629" width="9.28515625" customWidth="1"/>
    <col min="7630" max="7633" width="11.42578125" customWidth="1"/>
    <col min="7864" max="7864" width="0" hidden="1" customWidth="1"/>
    <col min="7865" max="7866" width="8.5703125" customWidth="1"/>
    <col min="7867" max="7867" width="19.140625" customWidth="1"/>
    <col min="7868" max="7868" width="16" customWidth="1"/>
    <col min="7869" max="7869" width="12.85546875" customWidth="1"/>
    <col min="7870" max="7870" width="14.140625" customWidth="1"/>
    <col min="7871" max="7871" width="15.85546875" customWidth="1"/>
    <col min="7872" max="7872" width="15.28515625" customWidth="1"/>
    <col min="7873" max="7873" width="18.42578125" customWidth="1"/>
    <col min="7874" max="7874" width="14.5703125" customWidth="1"/>
    <col min="7875" max="7875" width="15.85546875" customWidth="1"/>
    <col min="7876" max="7881" width="0" hidden="1" customWidth="1"/>
    <col min="7882" max="7882" width="14" customWidth="1"/>
    <col min="7883" max="7883" width="10.28515625" customWidth="1"/>
    <col min="7884" max="7884" width="8.5703125" customWidth="1"/>
    <col min="7885" max="7885" width="9.28515625" customWidth="1"/>
    <col min="7886" max="7889" width="11.42578125" customWidth="1"/>
    <col min="8120" max="8120" width="0" hidden="1" customWidth="1"/>
    <col min="8121" max="8122" width="8.5703125" customWidth="1"/>
    <col min="8123" max="8123" width="19.140625" customWidth="1"/>
    <col min="8124" max="8124" width="16" customWidth="1"/>
    <col min="8125" max="8125" width="12.85546875" customWidth="1"/>
    <col min="8126" max="8126" width="14.140625" customWidth="1"/>
    <col min="8127" max="8127" width="15.85546875" customWidth="1"/>
    <col min="8128" max="8128" width="15.28515625" customWidth="1"/>
    <col min="8129" max="8129" width="18.42578125" customWidth="1"/>
    <col min="8130" max="8130" width="14.5703125" customWidth="1"/>
    <col min="8131" max="8131" width="15.85546875" customWidth="1"/>
    <col min="8132" max="8137" width="0" hidden="1" customWidth="1"/>
    <col min="8138" max="8138" width="14" customWidth="1"/>
    <col min="8139" max="8139" width="10.28515625" customWidth="1"/>
    <col min="8140" max="8140" width="8.5703125" customWidth="1"/>
    <col min="8141" max="8141" width="9.28515625" customWidth="1"/>
    <col min="8142" max="8145" width="11.42578125" customWidth="1"/>
    <col min="8376" max="8376" width="0" hidden="1" customWidth="1"/>
    <col min="8377" max="8378" width="8.5703125" customWidth="1"/>
    <col min="8379" max="8379" width="19.140625" customWidth="1"/>
    <col min="8380" max="8380" width="16" customWidth="1"/>
    <col min="8381" max="8381" width="12.85546875" customWidth="1"/>
    <col min="8382" max="8382" width="14.140625" customWidth="1"/>
    <col min="8383" max="8383" width="15.85546875" customWidth="1"/>
    <col min="8384" max="8384" width="15.28515625" customWidth="1"/>
    <col min="8385" max="8385" width="18.42578125" customWidth="1"/>
    <col min="8386" max="8386" width="14.5703125" customWidth="1"/>
    <col min="8387" max="8387" width="15.85546875" customWidth="1"/>
    <col min="8388" max="8393" width="0" hidden="1" customWidth="1"/>
    <col min="8394" max="8394" width="14" customWidth="1"/>
    <col min="8395" max="8395" width="10.28515625" customWidth="1"/>
    <col min="8396" max="8396" width="8.5703125" customWidth="1"/>
    <col min="8397" max="8397" width="9.28515625" customWidth="1"/>
    <col min="8398" max="8401" width="11.42578125" customWidth="1"/>
    <col min="8632" max="8632" width="0" hidden="1" customWidth="1"/>
    <col min="8633" max="8634" width="8.5703125" customWidth="1"/>
    <col min="8635" max="8635" width="19.140625" customWidth="1"/>
    <col min="8636" max="8636" width="16" customWidth="1"/>
    <col min="8637" max="8637" width="12.85546875" customWidth="1"/>
    <col min="8638" max="8638" width="14.140625" customWidth="1"/>
    <col min="8639" max="8639" width="15.85546875" customWidth="1"/>
    <col min="8640" max="8640" width="15.28515625" customWidth="1"/>
    <col min="8641" max="8641" width="18.42578125" customWidth="1"/>
    <col min="8642" max="8642" width="14.5703125" customWidth="1"/>
    <col min="8643" max="8643" width="15.85546875" customWidth="1"/>
    <col min="8644" max="8649" width="0" hidden="1" customWidth="1"/>
    <col min="8650" max="8650" width="14" customWidth="1"/>
    <col min="8651" max="8651" width="10.28515625" customWidth="1"/>
    <col min="8652" max="8652" width="8.5703125" customWidth="1"/>
    <col min="8653" max="8653" width="9.28515625" customWidth="1"/>
    <col min="8654" max="8657" width="11.42578125" customWidth="1"/>
    <col min="8888" max="8888" width="0" hidden="1" customWidth="1"/>
    <col min="8889" max="8890" width="8.5703125" customWidth="1"/>
    <col min="8891" max="8891" width="19.140625" customWidth="1"/>
    <col min="8892" max="8892" width="16" customWidth="1"/>
    <col min="8893" max="8893" width="12.85546875" customWidth="1"/>
    <col min="8894" max="8894" width="14.140625" customWidth="1"/>
    <col min="8895" max="8895" width="15.85546875" customWidth="1"/>
    <col min="8896" max="8896" width="15.28515625" customWidth="1"/>
    <col min="8897" max="8897" width="18.42578125" customWidth="1"/>
    <col min="8898" max="8898" width="14.5703125" customWidth="1"/>
    <col min="8899" max="8899" width="15.85546875" customWidth="1"/>
    <col min="8900" max="8905" width="0" hidden="1" customWidth="1"/>
    <col min="8906" max="8906" width="14" customWidth="1"/>
    <col min="8907" max="8907" width="10.28515625" customWidth="1"/>
    <col min="8908" max="8908" width="8.5703125" customWidth="1"/>
    <col min="8909" max="8909" width="9.28515625" customWidth="1"/>
    <col min="8910" max="8913" width="11.42578125" customWidth="1"/>
    <col min="9144" max="9144" width="0" hidden="1" customWidth="1"/>
    <col min="9145" max="9146" width="8.5703125" customWidth="1"/>
    <col min="9147" max="9147" width="19.140625" customWidth="1"/>
    <col min="9148" max="9148" width="16" customWidth="1"/>
    <col min="9149" max="9149" width="12.85546875" customWidth="1"/>
    <col min="9150" max="9150" width="14.140625" customWidth="1"/>
    <col min="9151" max="9151" width="15.85546875" customWidth="1"/>
    <col min="9152" max="9152" width="15.28515625" customWidth="1"/>
    <col min="9153" max="9153" width="18.42578125" customWidth="1"/>
    <col min="9154" max="9154" width="14.5703125" customWidth="1"/>
    <col min="9155" max="9155" width="15.85546875" customWidth="1"/>
    <col min="9156" max="9161" width="0" hidden="1" customWidth="1"/>
    <col min="9162" max="9162" width="14" customWidth="1"/>
    <col min="9163" max="9163" width="10.28515625" customWidth="1"/>
    <col min="9164" max="9164" width="8.5703125" customWidth="1"/>
    <col min="9165" max="9165" width="9.28515625" customWidth="1"/>
    <col min="9166" max="9169" width="11.42578125" customWidth="1"/>
    <col min="9400" max="9400" width="0" hidden="1" customWidth="1"/>
    <col min="9401" max="9402" width="8.5703125" customWidth="1"/>
    <col min="9403" max="9403" width="19.140625" customWidth="1"/>
    <col min="9404" max="9404" width="16" customWidth="1"/>
    <col min="9405" max="9405" width="12.85546875" customWidth="1"/>
    <col min="9406" max="9406" width="14.140625" customWidth="1"/>
    <col min="9407" max="9407" width="15.85546875" customWidth="1"/>
    <col min="9408" max="9408" width="15.28515625" customWidth="1"/>
    <col min="9409" max="9409" width="18.42578125" customWidth="1"/>
    <col min="9410" max="9410" width="14.5703125" customWidth="1"/>
    <col min="9411" max="9411" width="15.85546875" customWidth="1"/>
    <col min="9412" max="9417" width="0" hidden="1" customWidth="1"/>
    <col min="9418" max="9418" width="14" customWidth="1"/>
    <col min="9419" max="9419" width="10.28515625" customWidth="1"/>
    <col min="9420" max="9420" width="8.5703125" customWidth="1"/>
    <col min="9421" max="9421" width="9.28515625" customWidth="1"/>
    <col min="9422" max="9425" width="11.42578125" customWidth="1"/>
    <col min="9656" max="9656" width="0" hidden="1" customWidth="1"/>
    <col min="9657" max="9658" width="8.5703125" customWidth="1"/>
    <col min="9659" max="9659" width="19.140625" customWidth="1"/>
    <col min="9660" max="9660" width="16" customWidth="1"/>
    <col min="9661" max="9661" width="12.85546875" customWidth="1"/>
    <col min="9662" max="9662" width="14.140625" customWidth="1"/>
    <col min="9663" max="9663" width="15.85546875" customWidth="1"/>
    <col min="9664" max="9664" width="15.28515625" customWidth="1"/>
    <col min="9665" max="9665" width="18.42578125" customWidth="1"/>
    <col min="9666" max="9666" width="14.5703125" customWidth="1"/>
    <col min="9667" max="9667" width="15.85546875" customWidth="1"/>
    <col min="9668" max="9673" width="0" hidden="1" customWidth="1"/>
    <col min="9674" max="9674" width="14" customWidth="1"/>
    <col min="9675" max="9675" width="10.28515625" customWidth="1"/>
    <col min="9676" max="9676" width="8.5703125" customWidth="1"/>
    <col min="9677" max="9677" width="9.28515625" customWidth="1"/>
    <col min="9678" max="9681" width="11.42578125" customWidth="1"/>
    <col min="9912" max="9912" width="0" hidden="1" customWidth="1"/>
    <col min="9913" max="9914" width="8.5703125" customWidth="1"/>
    <col min="9915" max="9915" width="19.140625" customWidth="1"/>
    <col min="9916" max="9916" width="16" customWidth="1"/>
    <col min="9917" max="9917" width="12.85546875" customWidth="1"/>
    <col min="9918" max="9918" width="14.140625" customWidth="1"/>
    <col min="9919" max="9919" width="15.85546875" customWidth="1"/>
    <col min="9920" max="9920" width="15.28515625" customWidth="1"/>
    <col min="9921" max="9921" width="18.42578125" customWidth="1"/>
    <col min="9922" max="9922" width="14.5703125" customWidth="1"/>
    <col min="9923" max="9923" width="15.85546875" customWidth="1"/>
    <col min="9924" max="9929" width="0" hidden="1" customWidth="1"/>
    <col min="9930" max="9930" width="14" customWidth="1"/>
    <col min="9931" max="9931" width="10.28515625" customWidth="1"/>
    <col min="9932" max="9932" width="8.5703125" customWidth="1"/>
    <col min="9933" max="9933" width="9.28515625" customWidth="1"/>
    <col min="9934" max="9937" width="11.42578125" customWidth="1"/>
    <col min="10168" max="10168" width="0" hidden="1" customWidth="1"/>
    <col min="10169" max="10170" width="8.5703125" customWidth="1"/>
    <col min="10171" max="10171" width="19.140625" customWidth="1"/>
    <col min="10172" max="10172" width="16" customWidth="1"/>
    <col min="10173" max="10173" width="12.85546875" customWidth="1"/>
    <col min="10174" max="10174" width="14.140625" customWidth="1"/>
    <col min="10175" max="10175" width="15.85546875" customWidth="1"/>
    <col min="10176" max="10176" width="15.28515625" customWidth="1"/>
    <col min="10177" max="10177" width="18.42578125" customWidth="1"/>
    <col min="10178" max="10178" width="14.5703125" customWidth="1"/>
    <col min="10179" max="10179" width="15.85546875" customWidth="1"/>
    <col min="10180" max="10185" width="0" hidden="1" customWidth="1"/>
    <col min="10186" max="10186" width="14" customWidth="1"/>
    <col min="10187" max="10187" width="10.28515625" customWidth="1"/>
    <col min="10188" max="10188" width="8.5703125" customWidth="1"/>
    <col min="10189" max="10189" width="9.28515625" customWidth="1"/>
    <col min="10190" max="10193" width="11.42578125" customWidth="1"/>
    <col min="10424" max="10424" width="0" hidden="1" customWidth="1"/>
    <col min="10425" max="10426" width="8.5703125" customWidth="1"/>
    <col min="10427" max="10427" width="19.140625" customWidth="1"/>
    <col min="10428" max="10428" width="16" customWidth="1"/>
    <col min="10429" max="10429" width="12.85546875" customWidth="1"/>
    <col min="10430" max="10430" width="14.140625" customWidth="1"/>
    <col min="10431" max="10431" width="15.85546875" customWidth="1"/>
    <col min="10432" max="10432" width="15.28515625" customWidth="1"/>
    <col min="10433" max="10433" width="18.42578125" customWidth="1"/>
    <col min="10434" max="10434" width="14.5703125" customWidth="1"/>
    <col min="10435" max="10435" width="15.85546875" customWidth="1"/>
    <col min="10436" max="10441" width="0" hidden="1" customWidth="1"/>
    <col min="10442" max="10442" width="14" customWidth="1"/>
    <col min="10443" max="10443" width="10.28515625" customWidth="1"/>
    <col min="10444" max="10444" width="8.5703125" customWidth="1"/>
    <col min="10445" max="10445" width="9.28515625" customWidth="1"/>
    <col min="10446" max="10449" width="11.42578125" customWidth="1"/>
    <col min="10680" max="10680" width="0" hidden="1" customWidth="1"/>
    <col min="10681" max="10682" width="8.5703125" customWidth="1"/>
    <col min="10683" max="10683" width="19.140625" customWidth="1"/>
    <col min="10684" max="10684" width="16" customWidth="1"/>
    <col min="10685" max="10685" width="12.85546875" customWidth="1"/>
    <col min="10686" max="10686" width="14.140625" customWidth="1"/>
    <col min="10687" max="10687" width="15.85546875" customWidth="1"/>
    <col min="10688" max="10688" width="15.28515625" customWidth="1"/>
    <col min="10689" max="10689" width="18.42578125" customWidth="1"/>
    <col min="10690" max="10690" width="14.5703125" customWidth="1"/>
    <col min="10691" max="10691" width="15.85546875" customWidth="1"/>
    <col min="10692" max="10697" width="0" hidden="1" customWidth="1"/>
    <col min="10698" max="10698" width="14" customWidth="1"/>
    <col min="10699" max="10699" width="10.28515625" customWidth="1"/>
    <col min="10700" max="10700" width="8.5703125" customWidth="1"/>
    <col min="10701" max="10701" width="9.28515625" customWidth="1"/>
    <col min="10702" max="10705" width="11.42578125" customWidth="1"/>
    <col min="10936" max="10936" width="0" hidden="1" customWidth="1"/>
    <col min="10937" max="10938" width="8.5703125" customWidth="1"/>
    <col min="10939" max="10939" width="19.140625" customWidth="1"/>
    <col min="10940" max="10940" width="16" customWidth="1"/>
    <col min="10941" max="10941" width="12.85546875" customWidth="1"/>
    <col min="10942" max="10942" width="14.140625" customWidth="1"/>
    <col min="10943" max="10943" width="15.85546875" customWidth="1"/>
    <col min="10944" max="10944" width="15.28515625" customWidth="1"/>
    <col min="10945" max="10945" width="18.42578125" customWidth="1"/>
    <col min="10946" max="10946" width="14.5703125" customWidth="1"/>
    <col min="10947" max="10947" width="15.85546875" customWidth="1"/>
    <col min="10948" max="10953" width="0" hidden="1" customWidth="1"/>
    <col min="10954" max="10954" width="14" customWidth="1"/>
    <col min="10955" max="10955" width="10.28515625" customWidth="1"/>
    <col min="10956" max="10956" width="8.5703125" customWidth="1"/>
    <col min="10957" max="10957" width="9.28515625" customWidth="1"/>
    <col min="10958" max="10961" width="11.42578125" customWidth="1"/>
    <col min="11192" max="11192" width="0" hidden="1" customWidth="1"/>
    <col min="11193" max="11194" width="8.5703125" customWidth="1"/>
    <col min="11195" max="11195" width="19.140625" customWidth="1"/>
    <col min="11196" max="11196" width="16" customWidth="1"/>
    <col min="11197" max="11197" width="12.85546875" customWidth="1"/>
    <col min="11198" max="11198" width="14.140625" customWidth="1"/>
    <col min="11199" max="11199" width="15.85546875" customWidth="1"/>
    <col min="11200" max="11200" width="15.28515625" customWidth="1"/>
    <col min="11201" max="11201" width="18.42578125" customWidth="1"/>
    <col min="11202" max="11202" width="14.5703125" customWidth="1"/>
    <col min="11203" max="11203" width="15.85546875" customWidth="1"/>
    <col min="11204" max="11209" width="0" hidden="1" customWidth="1"/>
    <col min="11210" max="11210" width="14" customWidth="1"/>
    <col min="11211" max="11211" width="10.28515625" customWidth="1"/>
    <col min="11212" max="11212" width="8.5703125" customWidth="1"/>
    <col min="11213" max="11213" width="9.28515625" customWidth="1"/>
    <col min="11214" max="11217" width="11.42578125" customWidth="1"/>
    <col min="11448" max="11448" width="0" hidden="1" customWidth="1"/>
    <col min="11449" max="11450" width="8.5703125" customWidth="1"/>
    <col min="11451" max="11451" width="19.140625" customWidth="1"/>
    <col min="11452" max="11452" width="16" customWidth="1"/>
    <col min="11453" max="11453" width="12.85546875" customWidth="1"/>
    <col min="11454" max="11454" width="14.140625" customWidth="1"/>
    <col min="11455" max="11455" width="15.85546875" customWidth="1"/>
    <col min="11456" max="11456" width="15.28515625" customWidth="1"/>
    <col min="11457" max="11457" width="18.42578125" customWidth="1"/>
    <col min="11458" max="11458" width="14.5703125" customWidth="1"/>
    <col min="11459" max="11459" width="15.85546875" customWidth="1"/>
    <col min="11460" max="11465" width="0" hidden="1" customWidth="1"/>
    <col min="11466" max="11466" width="14" customWidth="1"/>
    <col min="11467" max="11467" width="10.28515625" customWidth="1"/>
    <col min="11468" max="11468" width="8.5703125" customWidth="1"/>
    <col min="11469" max="11469" width="9.28515625" customWidth="1"/>
    <col min="11470" max="11473" width="11.42578125" customWidth="1"/>
    <col min="11704" max="11704" width="0" hidden="1" customWidth="1"/>
    <col min="11705" max="11706" width="8.5703125" customWidth="1"/>
    <col min="11707" max="11707" width="19.140625" customWidth="1"/>
    <col min="11708" max="11708" width="16" customWidth="1"/>
    <col min="11709" max="11709" width="12.85546875" customWidth="1"/>
    <col min="11710" max="11710" width="14.140625" customWidth="1"/>
    <col min="11711" max="11711" width="15.85546875" customWidth="1"/>
    <col min="11712" max="11712" width="15.28515625" customWidth="1"/>
    <col min="11713" max="11713" width="18.42578125" customWidth="1"/>
    <col min="11714" max="11714" width="14.5703125" customWidth="1"/>
    <col min="11715" max="11715" width="15.85546875" customWidth="1"/>
    <col min="11716" max="11721" width="0" hidden="1" customWidth="1"/>
    <col min="11722" max="11722" width="14" customWidth="1"/>
    <col min="11723" max="11723" width="10.28515625" customWidth="1"/>
    <col min="11724" max="11724" width="8.5703125" customWidth="1"/>
    <col min="11725" max="11725" width="9.28515625" customWidth="1"/>
    <col min="11726" max="11729" width="11.42578125" customWidth="1"/>
    <col min="11960" max="11960" width="0" hidden="1" customWidth="1"/>
    <col min="11961" max="11962" width="8.5703125" customWidth="1"/>
    <col min="11963" max="11963" width="19.140625" customWidth="1"/>
    <col min="11964" max="11964" width="16" customWidth="1"/>
    <col min="11965" max="11965" width="12.85546875" customWidth="1"/>
    <col min="11966" max="11966" width="14.140625" customWidth="1"/>
    <col min="11967" max="11967" width="15.85546875" customWidth="1"/>
    <col min="11968" max="11968" width="15.28515625" customWidth="1"/>
    <col min="11969" max="11969" width="18.42578125" customWidth="1"/>
    <col min="11970" max="11970" width="14.5703125" customWidth="1"/>
    <col min="11971" max="11971" width="15.85546875" customWidth="1"/>
    <col min="11972" max="11977" width="0" hidden="1" customWidth="1"/>
    <col min="11978" max="11978" width="14" customWidth="1"/>
    <col min="11979" max="11979" width="10.28515625" customWidth="1"/>
    <col min="11980" max="11980" width="8.5703125" customWidth="1"/>
    <col min="11981" max="11981" width="9.28515625" customWidth="1"/>
    <col min="11982" max="11985" width="11.42578125" customWidth="1"/>
    <col min="12216" max="12216" width="0" hidden="1" customWidth="1"/>
    <col min="12217" max="12218" width="8.5703125" customWidth="1"/>
    <col min="12219" max="12219" width="19.140625" customWidth="1"/>
    <col min="12220" max="12220" width="16" customWidth="1"/>
    <col min="12221" max="12221" width="12.85546875" customWidth="1"/>
    <col min="12222" max="12222" width="14.140625" customWidth="1"/>
    <col min="12223" max="12223" width="15.85546875" customWidth="1"/>
    <col min="12224" max="12224" width="15.28515625" customWidth="1"/>
    <col min="12225" max="12225" width="18.42578125" customWidth="1"/>
    <col min="12226" max="12226" width="14.5703125" customWidth="1"/>
    <col min="12227" max="12227" width="15.85546875" customWidth="1"/>
    <col min="12228" max="12233" width="0" hidden="1" customWidth="1"/>
    <col min="12234" max="12234" width="14" customWidth="1"/>
    <col min="12235" max="12235" width="10.28515625" customWidth="1"/>
    <col min="12236" max="12236" width="8.5703125" customWidth="1"/>
    <col min="12237" max="12237" width="9.28515625" customWidth="1"/>
    <col min="12238" max="12241" width="11.42578125" customWidth="1"/>
    <col min="12472" max="12472" width="0" hidden="1" customWidth="1"/>
    <col min="12473" max="12474" width="8.5703125" customWidth="1"/>
    <col min="12475" max="12475" width="19.140625" customWidth="1"/>
    <col min="12476" max="12476" width="16" customWidth="1"/>
    <col min="12477" max="12477" width="12.85546875" customWidth="1"/>
    <col min="12478" max="12478" width="14.140625" customWidth="1"/>
    <col min="12479" max="12479" width="15.85546875" customWidth="1"/>
    <col min="12480" max="12480" width="15.28515625" customWidth="1"/>
    <col min="12481" max="12481" width="18.42578125" customWidth="1"/>
    <col min="12482" max="12482" width="14.5703125" customWidth="1"/>
    <col min="12483" max="12483" width="15.85546875" customWidth="1"/>
    <col min="12484" max="12489" width="0" hidden="1" customWidth="1"/>
    <col min="12490" max="12490" width="14" customWidth="1"/>
    <col min="12491" max="12491" width="10.28515625" customWidth="1"/>
    <col min="12492" max="12492" width="8.5703125" customWidth="1"/>
    <col min="12493" max="12493" width="9.28515625" customWidth="1"/>
    <col min="12494" max="12497" width="11.42578125" customWidth="1"/>
    <col min="12728" max="12728" width="0" hidden="1" customWidth="1"/>
    <col min="12729" max="12730" width="8.5703125" customWidth="1"/>
    <col min="12731" max="12731" width="19.140625" customWidth="1"/>
    <col min="12732" max="12732" width="16" customWidth="1"/>
    <col min="12733" max="12733" width="12.85546875" customWidth="1"/>
    <col min="12734" max="12734" width="14.140625" customWidth="1"/>
    <col min="12735" max="12735" width="15.85546875" customWidth="1"/>
    <col min="12736" max="12736" width="15.28515625" customWidth="1"/>
    <col min="12737" max="12737" width="18.42578125" customWidth="1"/>
    <col min="12738" max="12738" width="14.5703125" customWidth="1"/>
    <col min="12739" max="12739" width="15.85546875" customWidth="1"/>
    <col min="12740" max="12745" width="0" hidden="1" customWidth="1"/>
    <col min="12746" max="12746" width="14" customWidth="1"/>
    <col min="12747" max="12747" width="10.28515625" customWidth="1"/>
    <col min="12748" max="12748" width="8.5703125" customWidth="1"/>
    <col min="12749" max="12749" width="9.28515625" customWidth="1"/>
    <col min="12750" max="12753" width="11.42578125" customWidth="1"/>
    <col min="12984" max="12984" width="0" hidden="1" customWidth="1"/>
    <col min="12985" max="12986" width="8.5703125" customWidth="1"/>
    <col min="12987" max="12987" width="19.140625" customWidth="1"/>
    <col min="12988" max="12988" width="16" customWidth="1"/>
    <col min="12989" max="12989" width="12.85546875" customWidth="1"/>
    <col min="12990" max="12990" width="14.140625" customWidth="1"/>
    <col min="12991" max="12991" width="15.85546875" customWidth="1"/>
    <col min="12992" max="12992" width="15.28515625" customWidth="1"/>
    <col min="12993" max="12993" width="18.42578125" customWidth="1"/>
    <col min="12994" max="12994" width="14.5703125" customWidth="1"/>
    <col min="12995" max="12995" width="15.85546875" customWidth="1"/>
    <col min="12996" max="13001" width="0" hidden="1" customWidth="1"/>
    <col min="13002" max="13002" width="14" customWidth="1"/>
    <col min="13003" max="13003" width="10.28515625" customWidth="1"/>
    <col min="13004" max="13004" width="8.5703125" customWidth="1"/>
    <col min="13005" max="13005" width="9.28515625" customWidth="1"/>
    <col min="13006" max="13009" width="11.42578125" customWidth="1"/>
    <col min="13240" max="13240" width="0" hidden="1" customWidth="1"/>
    <col min="13241" max="13242" width="8.5703125" customWidth="1"/>
    <col min="13243" max="13243" width="19.140625" customWidth="1"/>
    <col min="13244" max="13244" width="16" customWidth="1"/>
    <col min="13245" max="13245" width="12.85546875" customWidth="1"/>
    <col min="13246" max="13246" width="14.140625" customWidth="1"/>
    <col min="13247" max="13247" width="15.85546875" customWidth="1"/>
    <col min="13248" max="13248" width="15.28515625" customWidth="1"/>
    <col min="13249" max="13249" width="18.42578125" customWidth="1"/>
    <col min="13250" max="13250" width="14.5703125" customWidth="1"/>
    <col min="13251" max="13251" width="15.85546875" customWidth="1"/>
    <col min="13252" max="13257" width="0" hidden="1" customWidth="1"/>
    <col min="13258" max="13258" width="14" customWidth="1"/>
    <col min="13259" max="13259" width="10.28515625" customWidth="1"/>
    <col min="13260" max="13260" width="8.5703125" customWidth="1"/>
    <col min="13261" max="13261" width="9.28515625" customWidth="1"/>
    <col min="13262" max="13265" width="11.42578125" customWidth="1"/>
    <col min="13496" max="13496" width="0" hidden="1" customWidth="1"/>
    <col min="13497" max="13498" width="8.5703125" customWidth="1"/>
    <col min="13499" max="13499" width="19.140625" customWidth="1"/>
    <col min="13500" max="13500" width="16" customWidth="1"/>
    <col min="13501" max="13501" width="12.85546875" customWidth="1"/>
    <col min="13502" max="13502" width="14.140625" customWidth="1"/>
    <col min="13503" max="13503" width="15.85546875" customWidth="1"/>
    <col min="13504" max="13504" width="15.28515625" customWidth="1"/>
    <col min="13505" max="13505" width="18.42578125" customWidth="1"/>
    <col min="13506" max="13506" width="14.5703125" customWidth="1"/>
    <col min="13507" max="13507" width="15.85546875" customWidth="1"/>
    <col min="13508" max="13513" width="0" hidden="1" customWidth="1"/>
    <col min="13514" max="13514" width="14" customWidth="1"/>
    <col min="13515" max="13515" width="10.28515625" customWidth="1"/>
    <col min="13516" max="13516" width="8.5703125" customWidth="1"/>
    <col min="13517" max="13517" width="9.28515625" customWidth="1"/>
    <col min="13518" max="13521" width="11.42578125" customWidth="1"/>
    <col min="13752" max="13752" width="0" hidden="1" customWidth="1"/>
    <col min="13753" max="13754" width="8.5703125" customWidth="1"/>
    <col min="13755" max="13755" width="19.140625" customWidth="1"/>
    <col min="13756" max="13756" width="16" customWidth="1"/>
    <col min="13757" max="13757" width="12.85546875" customWidth="1"/>
    <col min="13758" max="13758" width="14.140625" customWidth="1"/>
    <col min="13759" max="13759" width="15.85546875" customWidth="1"/>
    <col min="13760" max="13760" width="15.28515625" customWidth="1"/>
    <col min="13761" max="13761" width="18.42578125" customWidth="1"/>
    <col min="13762" max="13762" width="14.5703125" customWidth="1"/>
    <col min="13763" max="13763" width="15.85546875" customWidth="1"/>
    <col min="13764" max="13769" width="0" hidden="1" customWidth="1"/>
    <col min="13770" max="13770" width="14" customWidth="1"/>
    <col min="13771" max="13771" width="10.28515625" customWidth="1"/>
    <col min="13772" max="13772" width="8.5703125" customWidth="1"/>
    <col min="13773" max="13773" width="9.28515625" customWidth="1"/>
    <col min="13774" max="13777" width="11.42578125" customWidth="1"/>
    <col min="14008" max="14008" width="0" hidden="1" customWidth="1"/>
    <col min="14009" max="14010" width="8.5703125" customWidth="1"/>
    <col min="14011" max="14011" width="19.140625" customWidth="1"/>
    <col min="14012" max="14012" width="16" customWidth="1"/>
    <col min="14013" max="14013" width="12.85546875" customWidth="1"/>
    <col min="14014" max="14014" width="14.140625" customWidth="1"/>
    <col min="14015" max="14015" width="15.85546875" customWidth="1"/>
    <col min="14016" max="14016" width="15.28515625" customWidth="1"/>
    <col min="14017" max="14017" width="18.42578125" customWidth="1"/>
    <col min="14018" max="14018" width="14.5703125" customWidth="1"/>
    <col min="14019" max="14019" width="15.85546875" customWidth="1"/>
    <col min="14020" max="14025" width="0" hidden="1" customWidth="1"/>
    <col min="14026" max="14026" width="14" customWidth="1"/>
    <col min="14027" max="14027" width="10.28515625" customWidth="1"/>
    <col min="14028" max="14028" width="8.5703125" customWidth="1"/>
    <col min="14029" max="14029" width="9.28515625" customWidth="1"/>
    <col min="14030" max="14033" width="11.42578125" customWidth="1"/>
    <col min="14264" max="14264" width="0" hidden="1" customWidth="1"/>
    <col min="14265" max="14266" width="8.5703125" customWidth="1"/>
    <col min="14267" max="14267" width="19.140625" customWidth="1"/>
    <col min="14268" max="14268" width="16" customWidth="1"/>
    <col min="14269" max="14269" width="12.85546875" customWidth="1"/>
    <col min="14270" max="14270" width="14.140625" customWidth="1"/>
    <col min="14271" max="14271" width="15.85546875" customWidth="1"/>
    <col min="14272" max="14272" width="15.28515625" customWidth="1"/>
    <col min="14273" max="14273" width="18.42578125" customWidth="1"/>
    <col min="14274" max="14274" width="14.5703125" customWidth="1"/>
    <col min="14275" max="14275" width="15.85546875" customWidth="1"/>
    <col min="14276" max="14281" width="0" hidden="1" customWidth="1"/>
    <col min="14282" max="14282" width="14" customWidth="1"/>
    <col min="14283" max="14283" width="10.28515625" customWidth="1"/>
    <col min="14284" max="14284" width="8.5703125" customWidth="1"/>
    <col min="14285" max="14285" width="9.28515625" customWidth="1"/>
    <col min="14286" max="14289" width="11.42578125" customWidth="1"/>
    <col min="14520" max="14520" width="0" hidden="1" customWidth="1"/>
    <col min="14521" max="14522" width="8.5703125" customWidth="1"/>
    <col min="14523" max="14523" width="19.140625" customWidth="1"/>
    <col min="14524" max="14524" width="16" customWidth="1"/>
    <col min="14525" max="14525" width="12.85546875" customWidth="1"/>
    <col min="14526" max="14526" width="14.140625" customWidth="1"/>
    <col min="14527" max="14527" width="15.85546875" customWidth="1"/>
    <col min="14528" max="14528" width="15.28515625" customWidth="1"/>
    <col min="14529" max="14529" width="18.42578125" customWidth="1"/>
    <col min="14530" max="14530" width="14.5703125" customWidth="1"/>
    <col min="14531" max="14531" width="15.85546875" customWidth="1"/>
    <col min="14532" max="14537" width="0" hidden="1" customWidth="1"/>
    <col min="14538" max="14538" width="14" customWidth="1"/>
    <col min="14539" max="14539" width="10.28515625" customWidth="1"/>
    <col min="14540" max="14540" width="8.5703125" customWidth="1"/>
    <col min="14541" max="14541" width="9.28515625" customWidth="1"/>
    <col min="14542" max="14545" width="11.42578125" customWidth="1"/>
    <col min="14776" max="14776" width="0" hidden="1" customWidth="1"/>
    <col min="14777" max="14778" width="8.5703125" customWidth="1"/>
    <col min="14779" max="14779" width="19.140625" customWidth="1"/>
    <col min="14780" max="14780" width="16" customWidth="1"/>
    <col min="14781" max="14781" width="12.85546875" customWidth="1"/>
    <col min="14782" max="14782" width="14.140625" customWidth="1"/>
    <col min="14783" max="14783" width="15.85546875" customWidth="1"/>
    <col min="14784" max="14784" width="15.28515625" customWidth="1"/>
    <col min="14785" max="14785" width="18.42578125" customWidth="1"/>
    <col min="14786" max="14786" width="14.5703125" customWidth="1"/>
    <col min="14787" max="14787" width="15.85546875" customWidth="1"/>
    <col min="14788" max="14793" width="0" hidden="1" customWidth="1"/>
    <col min="14794" max="14794" width="14" customWidth="1"/>
    <col min="14795" max="14795" width="10.28515625" customWidth="1"/>
    <col min="14796" max="14796" width="8.5703125" customWidth="1"/>
    <col min="14797" max="14797" width="9.28515625" customWidth="1"/>
    <col min="14798" max="14801" width="11.42578125" customWidth="1"/>
    <col min="15032" max="15032" width="0" hidden="1" customWidth="1"/>
    <col min="15033" max="15034" width="8.5703125" customWidth="1"/>
    <col min="15035" max="15035" width="19.140625" customWidth="1"/>
    <col min="15036" max="15036" width="16" customWidth="1"/>
    <col min="15037" max="15037" width="12.85546875" customWidth="1"/>
    <col min="15038" max="15038" width="14.140625" customWidth="1"/>
    <col min="15039" max="15039" width="15.85546875" customWidth="1"/>
    <col min="15040" max="15040" width="15.28515625" customWidth="1"/>
    <col min="15041" max="15041" width="18.42578125" customWidth="1"/>
    <col min="15042" max="15042" width="14.5703125" customWidth="1"/>
    <col min="15043" max="15043" width="15.85546875" customWidth="1"/>
    <col min="15044" max="15049" width="0" hidden="1" customWidth="1"/>
    <col min="15050" max="15050" width="14" customWidth="1"/>
    <col min="15051" max="15051" width="10.28515625" customWidth="1"/>
    <col min="15052" max="15052" width="8.5703125" customWidth="1"/>
    <col min="15053" max="15053" width="9.28515625" customWidth="1"/>
    <col min="15054" max="15057" width="11.42578125" customWidth="1"/>
    <col min="15288" max="15288" width="0" hidden="1" customWidth="1"/>
    <col min="15289" max="15290" width="8.5703125" customWidth="1"/>
    <col min="15291" max="15291" width="19.140625" customWidth="1"/>
    <col min="15292" max="15292" width="16" customWidth="1"/>
    <col min="15293" max="15293" width="12.85546875" customWidth="1"/>
    <col min="15294" max="15294" width="14.140625" customWidth="1"/>
    <col min="15295" max="15295" width="15.85546875" customWidth="1"/>
    <col min="15296" max="15296" width="15.28515625" customWidth="1"/>
    <col min="15297" max="15297" width="18.42578125" customWidth="1"/>
    <col min="15298" max="15298" width="14.5703125" customWidth="1"/>
    <col min="15299" max="15299" width="15.85546875" customWidth="1"/>
    <col min="15300" max="15305" width="0" hidden="1" customWidth="1"/>
    <col min="15306" max="15306" width="14" customWidth="1"/>
    <col min="15307" max="15307" width="10.28515625" customWidth="1"/>
    <col min="15308" max="15308" width="8.5703125" customWidth="1"/>
    <col min="15309" max="15309" width="9.28515625" customWidth="1"/>
    <col min="15310" max="15313" width="11.42578125" customWidth="1"/>
    <col min="15544" max="15544" width="0" hidden="1" customWidth="1"/>
    <col min="15545" max="15546" width="8.5703125" customWidth="1"/>
    <col min="15547" max="15547" width="19.140625" customWidth="1"/>
    <col min="15548" max="15548" width="16" customWidth="1"/>
    <col min="15549" max="15549" width="12.85546875" customWidth="1"/>
    <col min="15550" max="15550" width="14.140625" customWidth="1"/>
    <col min="15551" max="15551" width="15.85546875" customWidth="1"/>
    <col min="15552" max="15552" width="15.28515625" customWidth="1"/>
    <col min="15553" max="15553" width="18.42578125" customWidth="1"/>
    <col min="15554" max="15554" width="14.5703125" customWidth="1"/>
    <col min="15555" max="15555" width="15.85546875" customWidth="1"/>
    <col min="15556" max="15561" width="0" hidden="1" customWidth="1"/>
    <col min="15562" max="15562" width="14" customWidth="1"/>
    <col min="15563" max="15563" width="10.28515625" customWidth="1"/>
    <col min="15564" max="15564" width="8.5703125" customWidth="1"/>
    <col min="15565" max="15565" width="9.28515625" customWidth="1"/>
    <col min="15566" max="15569" width="11.42578125" customWidth="1"/>
    <col min="15800" max="15800" width="0" hidden="1" customWidth="1"/>
    <col min="15801" max="15802" width="8.5703125" customWidth="1"/>
    <col min="15803" max="15803" width="19.140625" customWidth="1"/>
    <col min="15804" max="15804" width="16" customWidth="1"/>
    <col min="15805" max="15805" width="12.85546875" customWidth="1"/>
    <col min="15806" max="15806" width="14.140625" customWidth="1"/>
    <col min="15807" max="15807" width="15.85546875" customWidth="1"/>
    <col min="15808" max="15808" width="15.28515625" customWidth="1"/>
    <col min="15809" max="15809" width="18.42578125" customWidth="1"/>
    <col min="15810" max="15810" width="14.5703125" customWidth="1"/>
    <col min="15811" max="15811" width="15.85546875" customWidth="1"/>
    <col min="15812" max="15817" width="0" hidden="1" customWidth="1"/>
    <col min="15818" max="15818" width="14" customWidth="1"/>
    <col min="15819" max="15819" width="10.28515625" customWidth="1"/>
    <col min="15820" max="15820" width="8.5703125" customWidth="1"/>
    <col min="15821" max="15821" width="9.28515625" customWidth="1"/>
    <col min="15822" max="15825" width="11.42578125" customWidth="1"/>
    <col min="16056" max="16056" width="0" hidden="1" customWidth="1"/>
    <col min="16057" max="16058" width="8.5703125" customWidth="1"/>
    <col min="16059" max="16059" width="19.140625" customWidth="1"/>
    <col min="16060" max="16060" width="16" customWidth="1"/>
    <col min="16061" max="16061" width="12.85546875" customWidth="1"/>
    <col min="16062" max="16062" width="14.140625" customWidth="1"/>
    <col min="16063" max="16063" width="15.85546875" customWidth="1"/>
    <col min="16064" max="16064" width="15.28515625" customWidth="1"/>
    <col min="16065" max="16065" width="18.42578125" customWidth="1"/>
    <col min="16066" max="16066" width="14.5703125" customWidth="1"/>
    <col min="16067" max="16067" width="15.85546875" customWidth="1"/>
    <col min="16068" max="16073" width="0" hidden="1" customWidth="1"/>
    <col min="16074" max="16074" width="14" customWidth="1"/>
    <col min="16075" max="16075" width="10.28515625" customWidth="1"/>
    <col min="16076" max="16076" width="8.5703125" customWidth="1"/>
    <col min="16077" max="16077" width="9.28515625" customWidth="1"/>
    <col min="16078" max="16081" width="11.42578125" customWidth="1"/>
  </cols>
  <sheetData>
    <row r="1" spans="1:14" ht="3" customHeight="1" x14ac:dyDescent="0.25">
      <c r="A1" s="1"/>
      <c r="B1" s="2"/>
      <c r="C1" s="3"/>
      <c r="D1" s="2"/>
      <c r="E1" s="2"/>
      <c r="F1" s="2"/>
      <c r="G1" s="2"/>
    </row>
    <row r="2" spans="1:14" ht="14.45" customHeight="1" x14ac:dyDescent="0.25">
      <c r="A2" s="1"/>
      <c r="B2" s="2"/>
      <c r="C2" s="3"/>
      <c r="D2" s="2"/>
      <c r="E2" s="2"/>
      <c r="H2" s="87" t="s">
        <v>0</v>
      </c>
      <c r="I2" s="87"/>
      <c r="J2" s="87"/>
      <c r="K2" s="88"/>
      <c r="L2" s="78">
        <v>46138</v>
      </c>
    </row>
    <row r="3" spans="1:14" ht="16.5" x14ac:dyDescent="0.25">
      <c r="A3" s="1"/>
      <c r="B3" s="2"/>
      <c r="C3" s="3"/>
      <c r="D3" s="2"/>
      <c r="E3" s="2"/>
      <c r="H3" s="87"/>
      <c r="I3" s="87"/>
      <c r="J3" s="87"/>
      <c r="K3" s="88"/>
      <c r="L3" s="79"/>
    </row>
    <row r="4" spans="1:14" ht="6" customHeight="1" x14ac:dyDescent="0.25">
      <c r="A4" s="1"/>
      <c r="B4" s="6"/>
      <c r="C4" s="7"/>
      <c r="D4" s="6"/>
      <c r="E4" s="6"/>
      <c r="F4" s="8"/>
      <c r="G4" s="8"/>
    </row>
    <row r="5" spans="1:14" ht="8.25" hidden="1" customHeight="1" x14ac:dyDescent="0.25">
      <c r="A5" s="1"/>
      <c r="B5" s="2"/>
      <c r="C5" s="3"/>
      <c r="D5" s="2"/>
      <c r="E5" s="2"/>
      <c r="F5" s="2"/>
      <c r="G5" s="2"/>
    </row>
    <row r="6" spans="1:14" ht="13.5" customHeight="1" x14ac:dyDescent="0.25">
      <c r="A6" s="1"/>
      <c r="B6" s="80" t="s">
        <v>1</v>
      </c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1:14" ht="3.75" customHeight="1" x14ac:dyDescent="0.25">
      <c r="A7" s="1"/>
      <c r="B7" s="80"/>
      <c r="C7" s="81"/>
      <c r="D7" s="81"/>
      <c r="E7" s="81"/>
      <c r="F7" s="81"/>
      <c r="G7" s="81"/>
      <c r="H7" s="81"/>
      <c r="I7" s="81"/>
      <c r="J7" s="81"/>
      <c r="K7" s="81"/>
      <c r="L7" s="81"/>
    </row>
    <row r="8" spans="1:14" ht="3.6" customHeight="1" x14ac:dyDescent="0.25">
      <c r="A8" s="1"/>
      <c r="B8" s="2"/>
      <c r="C8" s="3"/>
      <c r="D8" s="2"/>
      <c r="E8" s="2"/>
      <c r="F8" s="2"/>
      <c r="G8" s="2"/>
    </row>
    <row r="9" spans="1:14" ht="16.5" x14ac:dyDescent="0.25">
      <c r="A9" s="1"/>
      <c r="B9" s="82" t="s">
        <v>2</v>
      </c>
      <c r="C9" s="83"/>
      <c r="D9" s="84" t="s">
        <v>33</v>
      </c>
      <c r="E9" s="85"/>
      <c r="F9" s="85"/>
      <c r="G9" s="85"/>
      <c r="H9" s="85"/>
      <c r="I9" s="85"/>
      <c r="J9" s="85"/>
      <c r="K9" s="85"/>
      <c r="L9" s="85"/>
    </row>
    <row r="10" spans="1:14" ht="3.75" customHeight="1" x14ac:dyDescent="0.25">
      <c r="A10" s="1"/>
      <c r="B10" s="2"/>
      <c r="C10" s="3"/>
      <c r="D10" s="2"/>
      <c r="E10" s="2"/>
      <c r="F10" s="2"/>
      <c r="G10" s="2"/>
    </row>
    <row r="11" spans="1:14" ht="18" customHeight="1" x14ac:dyDescent="0.25">
      <c r="A11" s="1"/>
      <c r="B11" s="82" t="s">
        <v>3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</row>
    <row r="12" spans="1:14" ht="3" customHeight="1" x14ac:dyDescent="0.25">
      <c r="A12" s="1"/>
      <c r="B12" s="2"/>
      <c r="C12" s="3"/>
      <c r="D12" s="2"/>
      <c r="E12" s="2"/>
      <c r="F12" s="2"/>
      <c r="G12" s="2"/>
    </row>
    <row r="13" spans="1:14" ht="25.15" customHeight="1" x14ac:dyDescent="0.25">
      <c r="A13" s="1"/>
      <c r="C13" s="70" t="s">
        <v>4</v>
      </c>
      <c r="D13" s="72" t="s">
        <v>5</v>
      </c>
      <c r="E13" s="73"/>
      <c r="F13" s="74"/>
      <c r="G13" s="71" t="s">
        <v>6</v>
      </c>
      <c r="H13" s="76" t="s">
        <v>7</v>
      </c>
      <c r="I13" s="76" t="s">
        <v>70</v>
      </c>
      <c r="J13" s="76" t="s">
        <v>71</v>
      </c>
      <c r="K13" s="76" t="s">
        <v>8</v>
      </c>
      <c r="L13" s="68" t="s">
        <v>9</v>
      </c>
    </row>
    <row r="14" spans="1:14" ht="18" customHeight="1" thickBot="1" x14ac:dyDescent="0.3">
      <c r="A14" s="10"/>
      <c r="C14" s="71"/>
      <c r="D14" s="11" t="s">
        <v>10</v>
      </c>
      <c r="E14" s="11" t="s">
        <v>11</v>
      </c>
      <c r="F14" s="11" t="s">
        <v>12</v>
      </c>
      <c r="G14" s="75"/>
      <c r="H14" s="77"/>
      <c r="I14" s="77"/>
      <c r="J14" s="77"/>
      <c r="K14" s="77"/>
      <c r="L14" s="69"/>
    </row>
    <row r="15" spans="1:14" s="4" customFormat="1" ht="18" customHeight="1" x14ac:dyDescent="0.25">
      <c r="A15" s="12"/>
      <c r="B15" s="60" t="s">
        <v>13</v>
      </c>
      <c r="C15" s="104">
        <v>101</v>
      </c>
      <c r="D15" s="105">
        <v>55.61</v>
      </c>
      <c r="E15" s="106">
        <v>0</v>
      </c>
      <c r="F15" s="107">
        <f>+D15+E15</f>
        <v>55.61</v>
      </c>
      <c r="G15" s="108">
        <v>2</v>
      </c>
      <c r="H15" s="109">
        <v>428000</v>
      </c>
      <c r="I15" s="110">
        <v>28000</v>
      </c>
      <c r="J15" s="109">
        <f>H15-I15</f>
        <v>400000</v>
      </c>
      <c r="K15" s="109" t="s">
        <v>14</v>
      </c>
      <c r="L15" s="111" t="s">
        <v>11</v>
      </c>
      <c r="M15" s="56">
        <f>J15/F15</f>
        <v>7192.9509081100523</v>
      </c>
    </row>
    <row r="16" spans="1:14" s="4" customFormat="1" ht="18" customHeight="1" x14ac:dyDescent="0.25">
      <c r="A16" s="12"/>
      <c r="B16" s="61"/>
      <c r="C16" s="95">
        <v>102</v>
      </c>
      <c r="D16" s="112">
        <v>69.12</v>
      </c>
      <c r="E16" s="97">
        <v>25.88</v>
      </c>
      <c r="F16" s="98">
        <f t="shared" ref="F16:F75" si="0">+D16+E16</f>
        <v>95</v>
      </c>
      <c r="G16" s="99">
        <v>2</v>
      </c>
      <c r="H16" s="100">
        <v>613000</v>
      </c>
      <c r="I16" s="101">
        <v>23000</v>
      </c>
      <c r="J16" s="100">
        <f>H16-I16</f>
        <v>590000</v>
      </c>
      <c r="K16" s="100" t="s">
        <v>14</v>
      </c>
      <c r="L16" s="113" t="s">
        <v>11</v>
      </c>
      <c r="M16" s="56">
        <f>J16/D16+(E16/2)</f>
        <v>8548.8196296296301</v>
      </c>
      <c r="N16" s="13">
        <f>D16+(E16/2)</f>
        <v>82.06</v>
      </c>
    </row>
    <row r="17" spans="1:14" s="4" customFormat="1" ht="18" customHeight="1" x14ac:dyDescent="0.25">
      <c r="A17" s="12"/>
      <c r="B17" s="61"/>
      <c r="C17" s="95">
        <v>103</v>
      </c>
      <c r="D17" s="112">
        <v>63.17</v>
      </c>
      <c r="E17" s="97">
        <v>25.4</v>
      </c>
      <c r="F17" s="98">
        <f t="shared" si="0"/>
        <v>88.57</v>
      </c>
      <c r="G17" s="99">
        <v>2</v>
      </c>
      <c r="H17" s="100">
        <v>544000</v>
      </c>
      <c r="I17" s="101">
        <v>38000</v>
      </c>
      <c r="J17" s="100">
        <f>H17-I17</f>
        <v>506000</v>
      </c>
      <c r="K17" s="100" t="s">
        <v>14</v>
      </c>
      <c r="L17" s="113" t="s">
        <v>11</v>
      </c>
      <c r="M17" s="56">
        <f>J17/D17+(E17/2)</f>
        <v>8022.8313914832988</v>
      </c>
      <c r="N17" s="13">
        <f>D17+(E17/2)</f>
        <v>75.87</v>
      </c>
    </row>
    <row r="18" spans="1:14" s="4" customFormat="1" ht="18" hidden="1" customHeight="1" x14ac:dyDescent="0.25">
      <c r="A18" s="12"/>
      <c r="B18" s="61"/>
      <c r="C18" s="29">
        <v>104</v>
      </c>
      <c r="D18" s="48">
        <v>66.680000000000007</v>
      </c>
      <c r="E18" s="46">
        <v>21</v>
      </c>
      <c r="F18" s="32">
        <f t="shared" ref="F18" si="1">+D18+E18</f>
        <v>87.68</v>
      </c>
      <c r="G18" s="33">
        <v>3</v>
      </c>
      <c r="H18" s="34">
        <v>553000</v>
      </c>
      <c r="I18" s="35">
        <v>38000</v>
      </c>
      <c r="J18" s="34">
        <f t="shared" ref="J18:J64" si="2">H18-I18</f>
        <v>515000</v>
      </c>
      <c r="K18" s="34" t="s">
        <v>14</v>
      </c>
      <c r="L18" s="53" t="s">
        <v>72</v>
      </c>
    </row>
    <row r="19" spans="1:14" s="4" customFormat="1" ht="18" customHeight="1" thickBot="1" x14ac:dyDescent="0.3">
      <c r="A19" s="12"/>
      <c r="B19" s="62"/>
      <c r="C19" s="114">
        <v>105</v>
      </c>
      <c r="D19" s="115">
        <v>60.6</v>
      </c>
      <c r="E19" s="116">
        <v>22</v>
      </c>
      <c r="F19" s="117">
        <f t="shared" si="0"/>
        <v>82.6</v>
      </c>
      <c r="G19" s="118">
        <v>2</v>
      </c>
      <c r="H19" s="119">
        <f>515000</f>
        <v>515000</v>
      </c>
      <c r="I19" s="120">
        <v>38000</v>
      </c>
      <c r="J19" s="119">
        <f>H19-I19</f>
        <v>477000</v>
      </c>
      <c r="K19" s="119" t="s">
        <v>15</v>
      </c>
      <c r="L19" s="121" t="s">
        <v>11</v>
      </c>
      <c r="M19" s="56">
        <f>J19/D19+(E19/2)</f>
        <v>7882.287128712871</v>
      </c>
      <c r="N19" s="13">
        <f>D19+(E19/2)</f>
        <v>71.599999999999994</v>
      </c>
    </row>
    <row r="20" spans="1:14" s="4" customFormat="1" ht="18" customHeight="1" x14ac:dyDescent="0.25">
      <c r="A20" s="12"/>
      <c r="B20" s="60" t="s">
        <v>16</v>
      </c>
      <c r="C20" s="104">
        <v>201</v>
      </c>
      <c r="D20" s="123">
        <v>77.86</v>
      </c>
      <c r="E20" s="106"/>
      <c r="F20" s="107">
        <f t="shared" si="0"/>
        <v>77.86</v>
      </c>
      <c r="G20" s="108">
        <v>3</v>
      </c>
      <c r="H20" s="109">
        <v>584000</v>
      </c>
      <c r="I20" s="110">
        <v>23000</v>
      </c>
      <c r="J20" s="109">
        <f>H20-I20</f>
        <v>561000</v>
      </c>
      <c r="K20" s="109" t="s">
        <v>14</v>
      </c>
      <c r="L20" s="111" t="s">
        <v>11</v>
      </c>
      <c r="M20" s="56">
        <f t="shared" ref="M20:M21" si="3">J20/F20</f>
        <v>7205.240174672489</v>
      </c>
    </row>
    <row r="21" spans="1:14" s="4" customFormat="1" ht="18" customHeight="1" x14ac:dyDescent="0.25">
      <c r="A21" s="12"/>
      <c r="B21" s="61"/>
      <c r="C21" s="95">
        <v>202</v>
      </c>
      <c r="D21" s="96">
        <v>83.42</v>
      </c>
      <c r="E21" s="97"/>
      <c r="F21" s="98">
        <f t="shared" si="0"/>
        <v>83.42</v>
      </c>
      <c r="G21" s="99">
        <v>3</v>
      </c>
      <c r="H21" s="100">
        <v>623000</v>
      </c>
      <c r="I21" s="101">
        <v>23000</v>
      </c>
      <c r="J21" s="100">
        <f t="shared" si="2"/>
        <v>600000</v>
      </c>
      <c r="K21" s="100" t="s">
        <v>14</v>
      </c>
      <c r="L21" s="113" t="s">
        <v>11</v>
      </c>
      <c r="M21" s="56">
        <f t="shared" si="3"/>
        <v>7192.5197794293936</v>
      </c>
    </row>
    <row r="22" spans="1:14" s="4" customFormat="1" ht="18" customHeight="1" x14ac:dyDescent="0.25">
      <c r="A22" s="12"/>
      <c r="B22" s="61"/>
      <c r="C22" s="122">
        <v>203</v>
      </c>
      <c r="D22" s="96">
        <v>63.08</v>
      </c>
      <c r="E22" s="97"/>
      <c r="F22" s="98">
        <f t="shared" si="0"/>
        <v>63.08</v>
      </c>
      <c r="G22" s="99">
        <v>2</v>
      </c>
      <c r="H22" s="100">
        <v>459000</v>
      </c>
      <c r="I22" s="101">
        <v>38000</v>
      </c>
      <c r="J22" s="100">
        <f>H22-I22</f>
        <v>421000</v>
      </c>
      <c r="K22" s="100" t="s">
        <v>15</v>
      </c>
      <c r="L22" s="113" t="s">
        <v>11</v>
      </c>
      <c r="M22" s="56">
        <f>J22/F22</f>
        <v>6674.0646797717191</v>
      </c>
    </row>
    <row r="23" spans="1:14" s="4" customFormat="1" ht="18" hidden="1" customHeight="1" x14ac:dyDescent="0.25">
      <c r="A23" s="12"/>
      <c r="B23" s="61"/>
      <c r="C23" s="29">
        <v>204</v>
      </c>
      <c r="D23" s="30">
        <v>66.680000000000007</v>
      </c>
      <c r="E23" s="31"/>
      <c r="F23" s="32">
        <f t="shared" si="0"/>
        <v>66.680000000000007</v>
      </c>
      <c r="G23" s="33">
        <v>3</v>
      </c>
      <c r="H23" s="34">
        <v>483000</v>
      </c>
      <c r="I23" s="35">
        <v>38000</v>
      </c>
      <c r="J23" s="34">
        <f t="shared" si="2"/>
        <v>445000</v>
      </c>
      <c r="K23" s="34" t="s">
        <v>15</v>
      </c>
      <c r="L23" s="53" t="s">
        <v>73</v>
      </c>
    </row>
    <row r="24" spans="1:14" s="4" customFormat="1" ht="18" hidden="1" customHeight="1" thickBot="1" x14ac:dyDescent="0.3">
      <c r="A24" s="12"/>
      <c r="B24" s="62"/>
      <c r="C24" s="126">
        <v>205</v>
      </c>
      <c r="D24" s="127">
        <v>60.6</v>
      </c>
      <c r="E24" s="128"/>
      <c r="F24" s="129">
        <f t="shared" si="0"/>
        <v>60.6</v>
      </c>
      <c r="G24" s="130">
        <v>2</v>
      </c>
      <c r="H24" s="131">
        <v>442000</v>
      </c>
      <c r="I24" s="132">
        <v>38000</v>
      </c>
      <c r="J24" s="131">
        <f t="shared" si="2"/>
        <v>404000</v>
      </c>
      <c r="K24" s="131" t="s">
        <v>15</v>
      </c>
      <c r="L24" s="133" t="s">
        <v>74</v>
      </c>
    </row>
    <row r="25" spans="1:14" s="4" customFormat="1" ht="18" hidden="1" customHeight="1" x14ac:dyDescent="0.25">
      <c r="A25" s="12"/>
      <c r="B25" s="60" t="s">
        <v>17</v>
      </c>
      <c r="C25" s="41">
        <v>301</v>
      </c>
      <c r="D25" s="42">
        <v>77.86</v>
      </c>
      <c r="E25" s="43"/>
      <c r="F25" s="134">
        <v>84</v>
      </c>
      <c r="G25" s="135">
        <v>3</v>
      </c>
      <c r="H25" s="136">
        <v>584000</v>
      </c>
      <c r="I25" s="137">
        <v>38000</v>
      </c>
      <c r="J25" s="136">
        <f t="shared" si="2"/>
        <v>546000</v>
      </c>
      <c r="K25" s="136" t="s">
        <v>14</v>
      </c>
      <c r="L25" s="138" t="s">
        <v>75</v>
      </c>
    </row>
    <row r="26" spans="1:14" s="4" customFormat="1" ht="18" hidden="1" customHeight="1" x14ac:dyDescent="0.25">
      <c r="A26" s="12"/>
      <c r="B26" s="61"/>
      <c r="C26" s="29">
        <v>302</v>
      </c>
      <c r="D26" s="30">
        <v>83.42</v>
      </c>
      <c r="E26" s="46"/>
      <c r="F26" s="32">
        <f t="shared" si="0"/>
        <v>83.42</v>
      </c>
      <c r="G26" s="33">
        <v>3</v>
      </c>
      <c r="H26" s="34">
        <v>653000</v>
      </c>
      <c r="I26" s="35">
        <v>20000</v>
      </c>
      <c r="J26" s="34">
        <f>H26-I26</f>
        <v>633000</v>
      </c>
      <c r="K26" s="34" t="s">
        <v>14</v>
      </c>
      <c r="L26" s="53" t="s">
        <v>76</v>
      </c>
      <c r="M26" s="56">
        <f t="shared" ref="M26:M27" si="4">J26/F26</f>
        <v>7588.1083672980103</v>
      </c>
    </row>
    <row r="27" spans="1:14" s="4" customFormat="1" ht="18" customHeight="1" x14ac:dyDescent="0.25">
      <c r="A27" s="12"/>
      <c r="B27" s="61"/>
      <c r="C27" s="122">
        <v>303</v>
      </c>
      <c r="D27" s="96">
        <v>63.08</v>
      </c>
      <c r="E27" s="97"/>
      <c r="F27" s="98">
        <f t="shared" si="0"/>
        <v>63.08</v>
      </c>
      <c r="G27" s="99">
        <v>2</v>
      </c>
      <c r="H27" s="100">
        <v>459000</v>
      </c>
      <c r="I27" s="101">
        <v>38000</v>
      </c>
      <c r="J27" s="100">
        <f>H27-I27</f>
        <v>421000</v>
      </c>
      <c r="K27" s="100" t="s">
        <v>15</v>
      </c>
      <c r="L27" s="113" t="s">
        <v>11</v>
      </c>
      <c r="M27" s="56">
        <f t="shared" si="4"/>
        <v>6674.0646797717191</v>
      </c>
    </row>
    <row r="28" spans="1:14" s="4" customFormat="1" ht="18" hidden="1" customHeight="1" x14ac:dyDescent="0.25">
      <c r="A28" s="12"/>
      <c r="B28" s="61"/>
      <c r="C28" s="29">
        <v>304</v>
      </c>
      <c r="D28" s="30">
        <v>66.680000000000007</v>
      </c>
      <c r="E28" s="46"/>
      <c r="F28" s="32">
        <f t="shared" si="0"/>
        <v>66.680000000000007</v>
      </c>
      <c r="G28" s="33">
        <v>3</v>
      </c>
      <c r="H28" s="34">
        <v>483000</v>
      </c>
      <c r="I28" s="35">
        <v>38000</v>
      </c>
      <c r="J28" s="34">
        <f t="shared" si="2"/>
        <v>445000</v>
      </c>
      <c r="K28" s="34" t="s">
        <v>15</v>
      </c>
      <c r="L28" s="53" t="s">
        <v>77</v>
      </c>
    </row>
    <row r="29" spans="1:14" s="4" customFormat="1" ht="18" customHeight="1" thickBot="1" x14ac:dyDescent="0.3">
      <c r="A29" s="12"/>
      <c r="B29" s="62"/>
      <c r="C29" s="139">
        <v>305</v>
      </c>
      <c r="D29" s="140">
        <v>60.6</v>
      </c>
      <c r="E29" s="116"/>
      <c r="F29" s="117">
        <f t="shared" si="0"/>
        <v>60.6</v>
      </c>
      <c r="G29" s="118">
        <v>2</v>
      </c>
      <c r="H29" s="119">
        <v>442000</v>
      </c>
      <c r="I29" s="120">
        <v>38000</v>
      </c>
      <c r="J29" s="119">
        <f>H29-I29</f>
        <v>404000</v>
      </c>
      <c r="K29" s="119" t="s">
        <v>15</v>
      </c>
      <c r="L29" s="121" t="s">
        <v>11</v>
      </c>
      <c r="M29" s="56">
        <f t="shared" ref="M29:M30" si="5">J29/F29</f>
        <v>6666.6666666666661</v>
      </c>
    </row>
    <row r="30" spans="1:14" s="4" customFormat="1" ht="18" customHeight="1" x14ac:dyDescent="0.25">
      <c r="A30" s="12"/>
      <c r="B30" s="60" t="s">
        <v>18</v>
      </c>
      <c r="C30" s="103">
        <v>401</v>
      </c>
      <c r="D30" s="123">
        <v>77.86</v>
      </c>
      <c r="E30" s="106"/>
      <c r="F30" s="107">
        <f t="shared" si="0"/>
        <v>77.86</v>
      </c>
      <c r="G30" s="108">
        <v>3</v>
      </c>
      <c r="H30" s="109">
        <v>584000</v>
      </c>
      <c r="I30" s="110">
        <v>23000</v>
      </c>
      <c r="J30" s="109">
        <f>H30-I30</f>
        <v>561000</v>
      </c>
      <c r="K30" s="109" t="s">
        <v>14</v>
      </c>
      <c r="L30" s="111" t="s">
        <v>11</v>
      </c>
      <c r="M30" s="56">
        <f t="shared" si="5"/>
        <v>7205.240174672489</v>
      </c>
    </row>
    <row r="31" spans="1:14" s="4" customFormat="1" ht="18" hidden="1" customHeight="1" x14ac:dyDescent="0.25">
      <c r="A31" s="12"/>
      <c r="B31" s="61"/>
      <c r="C31" s="29">
        <v>402</v>
      </c>
      <c r="D31" s="30">
        <v>83.42</v>
      </c>
      <c r="E31" s="46"/>
      <c r="F31" s="32">
        <f t="shared" si="0"/>
        <v>83.42</v>
      </c>
      <c r="G31" s="33">
        <v>3</v>
      </c>
      <c r="H31" s="34">
        <v>623000</v>
      </c>
      <c r="I31" s="35">
        <v>38000</v>
      </c>
      <c r="J31" s="34">
        <f t="shared" si="2"/>
        <v>585000</v>
      </c>
      <c r="K31" s="34" t="s">
        <v>14</v>
      </c>
      <c r="L31" s="53" t="s">
        <v>78</v>
      </c>
    </row>
    <row r="32" spans="1:14" s="4" customFormat="1" ht="18" customHeight="1" thickBot="1" x14ac:dyDescent="0.3">
      <c r="A32" s="12"/>
      <c r="B32" s="61"/>
      <c r="C32" s="122">
        <v>403</v>
      </c>
      <c r="D32" s="96">
        <v>63.08</v>
      </c>
      <c r="E32" s="97"/>
      <c r="F32" s="98">
        <f t="shared" si="0"/>
        <v>63.08</v>
      </c>
      <c r="G32" s="99">
        <v>2</v>
      </c>
      <c r="H32" s="100">
        <v>459000</v>
      </c>
      <c r="I32" s="101">
        <v>38000</v>
      </c>
      <c r="J32" s="100">
        <f>H32-I32</f>
        <v>421000</v>
      </c>
      <c r="K32" s="100" t="s">
        <v>15</v>
      </c>
      <c r="L32" s="113" t="s">
        <v>11</v>
      </c>
      <c r="M32" s="56">
        <f>J32/F32</f>
        <v>6674.0646797717191</v>
      </c>
    </row>
    <row r="33" spans="1:13" s="4" customFormat="1" ht="18" hidden="1" customHeight="1" x14ac:dyDescent="0.3">
      <c r="A33" s="12"/>
      <c r="B33" s="61"/>
      <c r="C33" s="47">
        <v>404</v>
      </c>
      <c r="D33" s="30">
        <v>66.680000000000007</v>
      </c>
      <c r="E33" s="46"/>
      <c r="F33" s="32">
        <f t="shared" si="0"/>
        <v>66.680000000000007</v>
      </c>
      <c r="G33" s="33">
        <v>3</v>
      </c>
      <c r="H33" s="34">
        <v>483000</v>
      </c>
      <c r="I33" s="35">
        <v>38000</v>
      </c>
      <c r="J33" s="34">
        <f t="shared" si="2"/>
        <v>445000</v>
      </c>
      <c r="K33" s="34" t="s">
        <v>15</v>
      </c>
      <c r="L33" s="53" t="s">
        <v>79</v>
      </c>
    </row>
    <row r="34" spans="1:13" s="4" customFormat="1" ht="18" hidden="1" customHeight="1" thickBot="1" x14ac:dyDescent="0.3">
      <c r="A34" s="12"/>
      <c r="B34" s="62"/>
      <c r="C34" s="126">
        <v>405</v>
      </c>
      <c r="D34" s="127">
        <v>60.6</v>
      </c>
      <c r="E34" s="128"/>
      <c r="F34" s="129">
        <f t="shared" si="0"/>
        <v>60.6</v>
      </c>
      <c r="G34" s="130">
        <v>2</v>
      </c>
      <c r="H34" s="131">
        <v>442000</v>
      </c>
      <c r="I34" s="132">
        <v>38000</v>
      </c>
      <c r="J34" s="131">
        <f t="shared" si="2"/>
        <v>404000</v>
      </c>
      <c r="K34" s="131" t="s">
        <v>15</v>
      </c>
      <c r="L34" s="133" t="s">
        <v>80</v>
      </c>
    </row>
    <row r="35" spans="1:13" s="4" customFormat="1" ht="18" customHeight="1" x14ac:dyDescent="0.25">
      <c r="A35" s="12"/>
      <c r="B35" s="60" t="s">
        <v>19</v>
      </c>
      <c r="C35" s="103">
        <v>501</v>
      </c>
      <c r="D35" s="123">
        <v>77.86</v>
      </c>
      <c r="E35" s="106"/>
      <c r="F35" s="107">
        <f t="shared" si="0"/>
        <v>77.86</v>
      </c>
      <c r="G35" s="108">
        <v>3</v>
      </c>
      <c r="H35" s="109">
        <v>584000</v>
      </c>
      <c r="I35" s="110">
        <v>23000</v>
      </c>
      <c r="J35" s="109">
        <f>H35-I35</f>
        <v>561000</v>
      </c>
      <c r="K35" s="109" t="s">
        <v>14</v>
      </c>
      <c r="L35" s="111" t="s">
        <v>11</v>
      </c>
      <c r="M35" s="56">
        <f t="shared" ref="M35:M37" si="6">J35/F35</f>
        <v>7205.240174672489</v>
      </c>
    </row>
    <row r="36" spans="1:13" s="4" customFormat="1" ht="18" customHeight="1" x14ac:dyDescent="0.25">
      <c r="A36" s="12"/>
      <c r="B36" s="61"/>
      <c r="C36" s="95">
        <v>502</v>
      </c>
      <c r="D36" s="96">
        <v>83.42</v>
      </c>
      <c r="E36" s="124"/>
      <c r="F36" s="98">
        <f t="shared" si="0"/>
        <v>83.42</v>
      </c>
      <c r="G36" s="99">
        <v>3</v>
      </c>
      <c r="H36" s="100">
        <v>653000</v>
      </c>
      <c r="I36" s="101">
        <v>23000</v>
      </c>
      <c r="J36" s="100">
        <f>H36-I36</f>
        <v>630000</v>
      </c>
      <c r="K36" s="100" t="s">
        <v>14</v>
      </c>
      <c r="L36" s="113" t="s">
        <v>11</v>
      </c>
      <c r="M36" s="56">
        <f t="shared" si="6"/>
        <v>7552.1457684008628</v>
      </c>
    </row>
    <row r="37" spans="1:13" s="4" customFormat="1" ht="18" customHeight="1" x14ac:dyDescent="0.25">
      <c r="A37" s="12"/>
      <c r="B37" s="61"/>
      <c r="C37" s="122">
        <v>503</v>
      </c>
      <c r="D37" s="96">
        <v>63.08</v>
      </c>
      <c r="E37" s="97"/>
      <c r="F37" s="98">
        <f t="shared" si="0"/>
        <v>63.08</v>
      </c>
      <c r="G37" s="99">
        <v>2</v>
      </c>
      <c r="H37" s="100">
        <v>459000</v>
      </c>
      <c r="I37" s="101">
        <v>38000</v>
      </c>
      <c r="J37" s="100">
        <f>H37-I37</f>
        <v>421000</v>
      </c>
      <c r="K37" s="100" t="s">
        <v>15</v>
      </c>
      <c r="L37" s="113" t="s">
        <v>11</v>
      </c>
      <c r="M37" s="56">
        <f t="shared" si="6"/>
        <v>6674.0646797717191</v>
      </c>
    </row>
    <row r="38" spans="1:13" s="4" customFormat="1" ht="18" hidden="1" customHeight="1" x14ac:dyDescent="0.25">
      <c r="A38" s="12"/>
      <c r="B38" s="61"/>
      <c r="C38" s="29">
        <v>504</v>
      </c>
      <c r="D38" s="30">
        <v>66.680000000000007</v>
      </c>
      <c r="E38" s="31"/>
      <c r="F38" s="32">
        <f t="shared" si="0"/>
        <v>66.680000000000007</v>
      </c>
      <c r="G38" s="33">
        <v>3</v>
      </c>
      <c r="H38" s="34">
        <v>483000</v>
      </c>
      <c r="I38" s="35">
        <v>38000</v>
      </c>
      <c r="J38" s="34">
        <f t="shared" si="2"/>
        <v>445000</v>
      </c>
      <c r="K38" s="34" t="s">
        <v>15</v>
      </c>
      <c r="L38" s="53" t="s">
        <v>81</v>
      </c>
    </row>
    <row r="39" spans="1:13" s="4" customFormat="1" ht="18" customHeight="1" thickBot="1" x14ac:dyDescent="0.3">
      <c r="A39" s="12"/>
      <c r="B39" s="62"/>
      <c r="C39" s="139">
        <v>505</v>
      </c>
      <c r="D39" s="140">
        <v>60.6</v>
      </c>
      <c r="E39" s="116"/>
      <c r="F39" s="117">
        <f t="shared" si="0"/>
        <v>60.6</v>
      </c>
      <c r="G39" s="118">
        <v>2</v>
      </c>
      <c r="H39" s="119">
        <v>442000</v>
      </c>
      <c r="I39" s="120">
        <v>38000</v>
      </c>
      <c r="J39" s="119">
        <f>H39-I39</f>
        <v>404000</v>
      </c>
      <c r="K39" s="119" t="s">
        <v>15</v>
      </c>
      <c r="L39" s="121" t="s">
        <v>11</v>
      </c>
      <c r="M39" s="56">
        <f>J39/F39</f>
        <v>6666.6666666666661</v>
      </c>
    </row>
    <row r="40" spans="1:13" s="4" customFormat="1" ht="18" hidden="1" customHeight="1" x14ac:dyDescent="0.25">
      <c r="A40" s="12"/>
      <c r="B40" s="60" t="s">
        <v>20</v>
      </c>
      <c r="C40" s="41">
        <v>601</v>
      </c>
      <c r="D40" s="42">
        <v>77.86</v>
      </c>
      <c r="E40" s="43"/>
      <c r="F40" s="134">
        <f t="shared" si="0"/>
        <v>77.86</v>
      </c>
      <c r="G40" s="135">
        <v>3</v>
      </c>
      <c r="H40" s="136">
        <v>584000</v>
      </c>
      <c r="I40" s="137">
        <v>38000</v>
      </c>
      <c r="J40" s="136">
        <f t="shared" si="2"/>
        <v>546000</v>
      </c>
      <c r="K40" s="136" t="s">
        <v>14</v>
      </c>
      <c r="L40" s="138" t="s">
        <v>82</v>
      </c>
    </row>
    <row r="41" spans="1:13" s="4" customFormat="1" ht="18" hidden="1" customHeight="1" x14ac:dyDescent="0.25">
      <c r="A41" s="12"/>
      <c r="B41" s="61"/>
      <c r="C41" s="45">
        <v>602</v>
      </c>
      <c r="D41" s="30">
        <v>83.42</v>
      </c>
      <c r="E41" s="46"/>
      <c r="F41" s="32">
        <f t="shared" si="0"/>
        <v>83.42</v>
      </c>
      <c r="G41" s="33">
        <v>3</v>
      </c>
      <c r="H41" s="34">
        <v>623000</v>
      </c>
      <c r="I41" s="35">
        <v>38000</v>
      </c>
      <c r="J41" s="34">
        <f t="shared" si="2"/>
        <v>585000</v>
      </c>
      <c r="K41" s="34" t="s">
        <v>14</v>
      </c>
      <c r="L41" s="53" t="s">
        <v>83</v>
      </c>
    </row>
    <row r="42" spans="1:13" s="4" customFormat="1" ht="18" customHeight="1" x14ac:dyDescent="0.25">
      <c r="A42" s="12"/>
      <c r="B42" s="61"/>
      <c r="C42" s="95">
        <v>603</v>
      </c>
      <c r="D42" s="96">
        <v>63.08</v>
      </c>
      <c r="E42" s="124"/>
      <c r="F42" s="98">
        <f t="shared" si="0"/>
        <v>63.08</v>
      </c>
      <c r="G42" s="99">
        <v>2</v>
      </c>
      <c r="H42" s="100">
        <v>459000</v>
      </c>
      <c r="I42" s="101">
        <v>38000</v>
      </c>
      <c r="J42" s="100">
        <f>H42-I42</f>
        <v>421000</v>
      </c>
      <c r="K42" s="100" t="s">
        <v>15</v>
      </c>
      <c r="L42" s="113" t="s">
        <v>11</v>
      </c>
      <c r="M42" s="56">
        <f t="shared" ref="M42:M44" si="7">J42/F42</f>
        <v>6674.0646797717191</v>
      </c>
    </row>
    <row r="43" spans="1:13" s="4" customFormat="1" ht="18" customHeight="1" x14ac:dyDescent="0.25">
      <c r="A43" s="12"/>
      <c r="B43" s="61"/>
      <c r="C43" s="125">
        <v>604</v>
      </c>
      <c r="D43" s="96">
        <v>66.680000000000007</v>
      </c>
      <c r="E43" s="124"/>
      <c r="F43" s="98">
        <f t="shared" si="0"/>
        <v>66.680000000000007</v>
      </c>
      <c r="G43" s="99">
        <v>3</v>
      </c>
      <c r="H43" s="100">
        <v>483000</v>
      </c>
      <c r="I43" s="101">
        <v>38000</v>
      </c>
      <c r="J43" s="100">
        <f>H43-I43</f>
        <v>445000</v>
      </c>
      <c r="K43" s="100" t="s">
        <v>15</v>
      </c>
      <c r="L43" s="113" t="s">
        <v>11</v>
      </c>
      <c r="M43" s="56">
        <f t="shared" si="7"/>
        <v>6673.6652669466102</v>
      </c>
    </row>
    <row r="44" spans="1:13" s="4" customFormat="1" ht="18" customHeight="1" thickBot="1" x14ac:dyDescent="0.3">
      <c r="A44" s="12"/>
      <c r="B44" s="62"/>
      <c r="C44" s="139">
        <v>605</v>
      </c>
      <c r="D44" s="140">
        <v>60.6</v>
      </c>
      <c r="E44" s="116"/>
      <c r="F44" s="117">
        <f t="shared" si="0"/>
        <v>60.6</v>
      </c>
      <c r="G44" s="118">
        <v>2</v>
      </c>
      <c r="H44" s="119">
        <v>442000</v>
      </c>
      <c r="I44" s="120">
        <v>38000</v>
      </c>
      <c r="J44" s="119">
        <f>H44-I44</f>
        <v>404000</v>
      </c>
      <c r="K44" s="119" t="s">
        <v>15</v>
      </c>
      <c r="L44" s="121" t="s">
        <v>11</v>
      </c>
      <c r="M44" s="56">
        <f t="shared" si="7"/>
        <v>6666.6666666666661</v>
      </c>
    </row>
    <row r="45" spans="1:13" s="4" customFormat="1" ht="18" hidden="1" customHeight="1" thickBot="1" x14ac:dyDescent="0.3">
      <c r="A45" s="12"/>
      <c r="B45" s="60" t="s">
        <v>21</v>
      </c>
      <c r="C45" s="41">
        <v>701</v>
      </c>
      <c r="D45" s="42">
        <v>77.86</v>
      </c>
      <c r="E45" s="43"/>
      <c r="F45" s="134">
        <f t="shared" si="0"/>
        <v>77.86</v>
      </c>
      <c r="G45" s="135">
        <v>3</v>
      </c>
      <c r="H45" s="136">
        <v>584000</v>
      </c>
      <c r="I45" s="137">
        <v>38000</v>
      </c>
      <c r="J45" s="136">
        <f t="shared" si="2"/>
        <v>546000</v>
      </c>
      <c r="K45" s="136" t="s">
        <v>14</v>
      </c>
      <c r="L45" s="138" t="s">
        <v>84</v>
      </c>
    </row>
    <row r="46" spans="1:13" s="4" customFormat="1" ht="18" customHeight="1" x14ac:dyDescent="0.25">
      <c r="A46" s="12"/>
      <c r="B46" s="61"/>
      <c r="C46" s="103">
        <v>702</v>
      </c>
      <c r="D46" s="96">
        <v>83.42</v>
      </c>
      <c r="E46" s="97"/>
      <c r="F46" s="98">
        <f t="shared" si="0"/>
        <v>83.42</v>
      </c>
      <c r="G46" s="99">
        <v>3</v>
      </c>
      <c r="H46" s="100">
        <v>623000</v>
      </c>
      <c r="I46" s="101">
        <v>23000</v>
      </c>
      <c r="J46" s="100">
        <f t="shared" si="2"/>
        <v>600000</v>
      </c>
      <c r="K46" s="100" t="s">
        <v>14</v>
      </c>
      <c r="L46" s="113" t="s">
        <v>11</v>
      </c>
    </row>
    <row r="47" spans="1:13" s="4" customFormat="1" ht="18" customHeight="1" x14ac:dyDescent="0.25">
      <c r="A47" s="12"/>
      <c r="B47" s="61"/>
      <c r="C47" s="122">
        <v>703</v>
      </c>
      <c r="D47" s="96">
        <v>63.08</v>
      </c>
      <c r="E47" s="97"/>
      <c r="F47" s="98">
        <f t="shared" si="0"/>
        <v>63.08</v>
      </c>
      <c r="G47" s="99">
        <v>2</v>
      </c>
      <c r="H47" s="100">
        <v>459000</v>
      </c>
      <c r="I47" s="101">
        <v>38000</v>
      </c>
      <c r="J47" s="100">
        <f>H47-I47</f>
        <v>421000</v>
      </c>
      <c r="K47" s="100" t="s">
        <v>15</v>
      </c>
      <c r="L47" s="113" t="s">
        <v>11</v>
      </c>
      <c r="M47" s="56">
        <f>J47/F47</f>
        <v>6674.0646797717191</v>
      </c>
    </row>
    <row r="48" spans="1:13" s="4" customFormat="1" ht="18" hidden="1" customHeight="1" x14ac:dyDescent="0.25">
      <c r="A48" s="12"/>
      <c r="B48" s="61"/>
      <c r="C48" s="45">
        <v>704</v>
      </c>
      <c r="D48" s="30">
        <v>66.680000000000007</v>
      </c>
      <c r="E48" s="31"/>
      <c r="F48" s="32">
        <f t="shared" si="0"/>
        <v>66.680000000000007</v>
      </c>
      <c r="G48" s="33">
        <v>3</v>
      </c>
      <c r="H48" s="34">
        <v>483000</v>
      </c>
      <c r="I48" s="35">
        <v>38000</v>
      </c>
      <c r="J48" s="34">
        <f t="shared" si="2"/>
        <v>445000</v>
      </c>
      <c r="K48" s="34" t="s">
        <v>15</v>
      </c>
      <c r="L48" s="53" t="s">
        <v>85</v>
      </c>
    </row>
    <row r="49" spans="1:14" s="4" customFormat="1" ht="18" customHeight="1" thickBot="1" x14ac:dyDescent="0.3">
      <c r="A49" s="12"/>
      <c r="B49" s="62"/>
      <c r="C49" s="139">
        <v>705</v>
      </c>
      <c r="D49" s="140">
        <v>60.6</v>
      </c>
      <c r="E49" s="116"/>
      <c r="F49" s="117">
        <f t="shared" si="0"/>
        <v>60.6</v>
      </c>
      <c r="G49" s="118">
        <v>2</v>
      </c>
      <c r="H49" s="119">
        <v>442000</v>
      </c>
      <c r="I49" s="120">
        <v>38000</v>
      </c>
      <c r="J49" s="119">
        <f>H49-I49</f>
        <v>404000</v>
      </c>
      <c r="K49" s="119" t="s">
        <v>15</v>
      </c>
      <c r="L49" s="121" t="s">
        <v>11</v>
      </c>
      <c r="M49" s="56">
        <f t="shared" ref="M49:M63" si="8">J49/F49</f>
        <v>6666.6666666666661</v>
      </c>
    </row>
    <row r="50" spans="1:14" s="4" customFormat="1" ht="18" customHeight="1" x14ac:dyDescent="0.25">
      <c r="A50" s="12"/>
      <c r="B50" s="60" t="s">
        <v>22</v>
      </c>
      <c r="C50" s="103">
        <v>801</v>
      </c>
      <c r="D50" s="123">
        <v>77.86</v>
      </c>
      <c r="E50" s="106"/>
      <c r="F50" s="107">
        <f t="shared" si="0"/>
        <v>77.86</v>
      </c>
      <c r="G50" s="108">
        <v>3</v>
      </c>
      <c r="H50" s="109">
        <v>584000</v>
      </c>
      <c r="I50" s="110">
        <v>23000</v>
      </c>
      <c r="J50" s="109">
        <f>H50-I50</f>
        <v>561000</v>
      </c>
      <c r="K50" s="109" t="s">
        <v>14</v>
      </c>
      <c r="L50" s="111" t="s">
        <v>11</v>
      </c>
      <c r="M50" s="56">
        <f t="shared" si="8"/>
        <v>7205.240174672489</v>
      </c>
    </row>
    <row r="51" spans="1:14" s="4" customFormat="1" ht="18" customHeight="1" x14ac:dyDescent="0.25">
      <c r="A51" s="12"/>
      <c r="B51" s="61"/>
      <c r="C51" s="125">
        <v>802</v>
      </c>
      <c r="D51" s="96">
        <v>83.42</v>
      </c>
      <c r="E51" s="97"/>
      <c r="F51" s="98">
        <f t="shared" si="0"/>
        <v>83.42</v>
      </c>
      <c r="G51" s="99">
        <v>3</v>
      </c>
      <c r="H51" s="100">
        <v>623000</v>
      </c>
      <c r="I51" s="101">
        <v>23000</v>
      </c>
      <c r="J51" s="100">
        <f>H51-I51</f>
        <v>600000</v>
      </c>
      <c r="K51" s="100" t="s">
        <v>14</v>
      </c>
      <c r="L51" s="113" t="s">
        <v>11</v>
      </c>
      <c r="M51" s="56">
        <f t="shared" si="8"/>
        <v>7192.5197794293936</v>
      </c>
    </row>
    <row r="52" spans="1:14" s="4" customFormat="1" ht="18" customHeight="1" x14ac:dyDescent="0.25">
      <c r="A52" s="12"/>
      <c r="B52" s="61"/>
      <c r="C52" s="122">
        <v>803</v>
      </c>
      <c r="D52" s="96">
        <v>63.08</v>
      </c>
      <c r="E52" s="97"/>
      <c r="F52" s="98">
        <f t="shared" si="0"/>
        <v>63.08</v>
      </c>
      <c r="G52" s="99">
        <v>2</v>
      </c>
      <c r="H52" s="100">
        <v>459000</v>
      </c>
      <c r="I52" s="101">
        <v>38000</v>
      </c>
      <c r="J52" s="100">
        <f t="shared" si="2"/>
        <v>421000</v>
      </c>
      <c r="K52" s="100" t="s">
        <v>15</v>
      </c>
      <c r="L52" s="113" t="s">
        <v>11</v>
      </c>
      <c r="M52" s="56">
        <f t="shared" si="8"/>
        <v>6674.0646797717191</v>
      </c>
    </row>
    <row r="53" spans="1:14" s="4" customFormat="1" ht="18" customHeight="1" x14ac:dyDescent="0.25">
      <c r="A53" s="12"/>
      <c r="B53" s="61"/>
      <c r="C53" s="125">
        <v>804</v>
      </c>
      <c r="D53" s="96">
        <v>66.680000000000007</v>
      </c>
      <c r="E53" s="124"/>
      <c r="F53" s="98">
        <f t="shared" si="0"/>
        <v>66.680000000000007</v>
      </c>
      <c r="G53" s="99">
        <v>3</v>
      </c>
      <c r="H53" s="100">
        <v>483000</v>
      </c>
      <c r="I53" s="101">
        <v>38000</v>
      </c>
      <c r="J53" s="100">
        <f t="shared" si="2"/>
        <v>445000</v>
      </c>
      <c r="K53" s="100" t="s">
        <v>15</v>
      </c>
      <c r="L53" s="113" t="s">
        <v>11</v>
      </c>
      <c r="M53" s="56">
        <f t="shared" si="8"/>
        <v>6673.6652669466102</v>
      </c>
    </row>
    <row r="54" spans="1:14" s="4" customFormat="1" ht="18" customHeight="1" thickBot="1" x14ac:dyDescent="0.3">
      <c r="A54" s="12"/>
      <c r="B54" s="62"/>
      <c r="C54" s="139">
        <v>805</v>
      </c>
      <c r="D54" s="140">
        <v>60.6</v>
      </c>
      <c r="E54" s="116"/>
      <c r="F54" s="117">
        <f t="shared" si="0"/>
        <v>60.6</v>
      </c>
      <c r="G54" s="118">
        <v>2</v>
      </c>
      <c r="H54" s="119">
        <v>442000</v>
      </c>
      <c r="I54" s="120">
        <v>38000</v>
      </c>
      <c r="J54" s="119">
        <f t="shared" si="2"/>
        <v>404000</v>
      </c>
      <c r="K54" s="119" t="s">
        <v>15</v>
      </c>
      <c r="L54" s="121" t="s">
        <v>11</v>
      </c>
      <c r="M54" s="56">
        <f t="shared" si="8"/>
        <v>6666.6666666666661</v>
      </c>
    </row>
    <row r="55" spans="1:14" s="4" customFormat="1" ht="18" customHeight="1" x14ac:dyDescent="0.25">
      <c r="A55" s="12"/>
      <c r="B55" s="60" t="s">
        <v>23</v>
      </c>
      <c r="C55" s="103">
        <v>901</v>
      </c>
      <c r="D55" s="123">
        <v>77.86</v>
      </c>
      <c r="E55" s="106"/>
      <c r="F55" s="107">
        <f t="shared" si="0"/>
        <v>77.86</v>
      </c>
      <c r="G55" s="108">
        <v>3</v>
      </c>
      <c r="H55" s="109">
        <v>584000</v>
      </c>
      <c r="I55" s="110">
        <v>23000</v>
      </c>
      <c r="J55" s="109">
        <f t="shared" si="2"/>
        <v>561000</v>
      </c>
      <c r="K55" s="109" t="s">
        <v>14</v>
      </c>
      <c r="L55" s="111" t="s">
        <v>11</v>
      </c>
      <c r="M55" s="56">
        <f t="shared" si="8"/>
        <v>7205.240174672489</v>
      </c>
    </row>
    <row r="56" spans="1:14" s="4" customFormat="1" ht="18" customHeight="1" x14ac:dyDescent="0.25">
      <c r="A56" s="12"/>
      <c r="B56" s="61"/>
      <c r="C56" s="125">
        <v>902</v>
      </c>
      <c r="D56" s="96">
        <v>83.42</v>
      </c>
      <c r="E56" s="97"/>
      <c r="F56" s="98">
        <f t="shared" si="0"/>
        <v>83.42</v>
      </c>
      <c r="G56" s="99">
        <v>3</v>
      </c>
      <c r="H56" s="100">
        <v>623000</v>
      </c>
      <c r="I56" s="101">
        <v>23000</v>
      </c>
      <c r="J56" s="100">
        <f t="shared" si="2"/>
        <v>600000</v>
      </c>
      <c r="K56" s="100" t="s">
        <v>14</v>
      </c>
      <c r="L56" s="113" t="s">
        <v>11</v>
      </c>
      <c r="M56" s="56">
        <f t="shared" si="8"/>
        <v>7192.5197794293936</v>
      </c>
    </row>
    <row r="57" spans="1:14" s="4" customFormat="1" ht="18" customHeight="1" x14ac:dyDescent="0.25">
      <c r="A57" s="12"/>
      <c r="B57" s="61"/>
      <c r="C57" s="122">
        <v>903</v>
      </c>
      <c r="D57" s="96">
        <v>63.08</v>
      </c>
      <c r="E57" s="97"/>
      <c r="F57" s="98">
        <f t="shared" si="0"/>
        <v>63.08</v>
      </c>
      <c r="G57" s="99">
        <v>2</v>
      </c>
      <c r="H57" s="100">
        <v>459000</v>
      </c>
      <c r="I57" s="101">
        <v>38000</v>
      </c>
      <c r="J57" s="100">
        <f t="shared" si="2"/>
        <v>421000</v>
      </c>
      <c r="K57" s="100" t="s">
        <v>15</v>
      </c>
      <c r="L57" s="113" t="s">
        <v>11</v>
      </c>
      <c r="M57" s="56">
        <f t="shared" si="8"/>
        <v>6674.0646797717191</v>
      </c>
    </row>
    <row r="58" spans="1:14" s="4" customFormat="1" ht="18" customHeight="1" x14ac:dyDescent="0.25">
      <c r="A58" s="12"/>
      <c r="B58" s="61"/>
      <c r="C58" s="125">
        <v>904</v>
      </c>
      <c r="D58" s="96">
        <v>66.680000000000007</v>
      </c>
      <c r="E58" s="124"/>
      <c r="F58" s="98">
        <f t="shared" si="0"/>
        <v>66.680000000000007</v>
      </c>
      <c r="G58" s="99">
        <v>3</v>
      </c>
      <c r="H58" s="100">
        <v>483000</v>
      </c>
      <c r="I58" s="101">
        <v>38000</v>
      </c>
      <c r="J58" s="100">
        <f t="shared" si="2"/>
        <v>445000</v>
      </c>
      <c r="K58" s="100" t="s">
        <v>15</v>
      </c>
      <c r="L58" s="113" t="s">
        <v>11</v>
      </c>
      <c r="M58" s="56">
        <f t="shared" si="8"/>
        <v>6673.6652669466102</v>
      </c>
    </row>
    <row r="59" spans="1:14" s="4" customFormat="1" ht="18" customHeight="1" thickBot="1" x14ac:dyDescent="0.3">
      <c r="A59" s="12"/>
      <c r="B59" s="62"/>
      <c r="C59" s="139">
        <v>905</v>
      </c>
      <c r="D59" s="140">
        <v>60.6</v>
      </c>
      <c r="E59" s="116"/>
      <c r="F59" s="117">
        <f t="shared" si="0"/>
        <v>60.6</v>
      </c>
      <c r="G59" s="118">
        <v>2</v>
      </c>
      <c r="H59" s="119">
        <v>442000</v>
      </c>
      <c r="I59" s="120">
        <v>38000</v>
      </c>
      <c r="J59" s="119">
        <f t="shared" si="2"/>
        <v>404000</v>
      </c>
      <c r="K59" s="119" t="s">
        <v>15</v>
      </c>
      <c r="L59" s="121" t="s">
        <v>11</v>
      </c>
      <c r="M59" s="56">
        <f t="shared" si="8"/>
        <v>6666.6666666666661</v>
      </c>
    </row>
    <row r="60" spans="1:14" s="4" customFormat="1" ht="18" hidden="1" customHeight="1" x14ac:dyDescent="0.25">
      <c r="A60" s="12"/>
      <c r="B60" s="61" t="s">
        <v>24</v>
      </c>
      <c r="C60" s="141">
        <v>1001</v>
      </c>
      <c r="D60" s="44">
        <v>133</v>
      </c>
      <c r="E60" s="142">
        <v>14.8</v>
      </c>
      <c r="F60" s="143">
        <f>+D60+E60</f>
        <v>147.80000000000001</v>
      </c>
      <c r="G60" s="144">
        <v>4</v>
      </c>
      <c r="H60" s="145">
        <v>962000</v>
      </c>
      <c r="I60" s="146">
        <v>0</v>
      </c>
      <c r="J60" s="145">
        <f>H60-I60</f>
        <v>962000</v>
      </c>
      <c r="K60" s="145" t="s">
        <v>14</v>
      </c>
      <c r="L60" s="147" t="s">
        <v>86</v>
      </c>
      <c r="M60" s="56">
        <f>J60/D60+(E60/2)</f>
        <v>7240.4827067669166</v>
      </c>
      <c r="N60" s="13">
        <f>D60+(E60/2)</f>
        <v>140.4</v>
      </c>
    </row>
    <row r="61" spans="1:14" s="4" customFormat="1" ht="18" customHeight="1" x14ac:dyDescent="0.25">
      <c r="A61" s="12"/>
      <c r="B61" s="61"/>
      <c r="C61" s="125">
        <v>1002</v>
      </c>
      <c r="D61" s="96">
        <v>155</v>
      </c>
      <c r="E61" s="97">
        <v>14.4</v>
      </c>
      <c r="F61" s="98">
        <f>+D61+E61</f>
        <v>169.4</v>
      </c>
      <c r="G61" s="99">
        <v>4</v>
      </c>
      <c r="H61" s="100">
        <v>995500</v>
      </c>
      <c r="I61" s="101">
        <v>38000</v>
      </c>
      <c r="J61" s="100">
        <f>H61-I61</f>
        <v>957500</v>
      </c>
      <c r="K61" s="100" t="s">
        <v>14</v>
      </c>
      <c r="L61" s="102" t="s">
        <v>11</v>
      </c>
      <c r="M61" s="56">
        <f>J61/D61+(E61/2)</f>
        <v>6184.6193548387091</v>
      </c>
      <c r="N61" s="13">
        <f>D61+(E61/2)</f>
        <v>162.19999999999999</v>
      </c>
    </row>
    <row r="62" spans="1:14" s="4" customFormat="1" ht="18" customHeight="1" x14ac:dyDescent="0.25">
      <c r="A62" s="12"/>
      <c r="B62" s="61"/>
      <c r="C62" s="122">
        <v>1003</v>
      </c>
      <c r="D62" s="96">
        <v>63.08</v>
      </c>
      <c r="E62" s="97"/>
      <c r="F62" s="98">
        <f>+D62+E62</f>
        <v>63.08</v>
      </c>
      <c r="G62" s="99">
        <v>2</v>
      </c>
      <c r="H62" s="100">
        <v>459000</v>
      </c>
      <c r="I62" s="101">
        <v>38000</v>
      </c>
      <c r="J62" s="100">
        <f>H62-I62</f>
        <v>421000</v>
      </c>
      <c r="K62" s="100" t="s">
        <v>15</v>
      </c>
      <c r="L62" s="102" t="s">
        <v>11</v>
      </c>
      <c r="M62" s="56">
        <f t="shared" si="8"/>
        <v>6674.0646797717191</v>
      </c>
    </row>
    <row r="63" spans="1:14" s="4" customFormat="1" ht="18" customHeight="1" thickBot="1" x14ac:dyDescent="0.3">
      <c r="A63" s="12"/>
      <c r="B63" s="61"/>
      <c r="C63" s="125">
        <v>1004</v>
      </c>
      <c r="D63" s="96">
        <v>65</v>
      </c>
      <c r="E63" s="124"/>
      <c r="F63" s="98">
        <f>+D63+E63</f>
        <v>65</v>
      </c>
      <c r="G63" s="99">
        <v>2</v>
      </c>
      <c r="H63" s="100">
        <v>473500</v>
      </c>
      <c r="I63" s="101">
        <v>38000</v>
      </c>
      <c r="J63" s="100">
        <f>H63-I63</f>
        <v>435500</v>
      </c>
      <c r="K63" s="100" t="s">
        <v>15</v>
      </c>
      <c r="L63" s="102" t="s">
        <v>11</v>
      </c>
      <c r="M63" s="56">
        <f t="shared" si="8"/>
        <v>6700</v>
      </c>
    </row>
    <row r="64" spans="1:14" s="4" customFormat="1" ht="18" hidden="1" customHeight="1" thickBot="1" x14ac:dyDescent="0.3">
      <c r="A64" s="12"/>
      <c r="B64" s="61"/>
      <c r="C64" s="148">
        <v>1005</v>
      </c>
      <c r="D64" s="149">
        <v>58</v>
      </c>
      <c r="E64" s="150"/>
      <c r="F64" s="151">
        <f>+D64+E64</f>
        <v>58</v>
      </c>
      <c r="G64" s="152">
        <v>2</v>
      </c>
      <c r="H64" s="153">
        <v>424000</v>
      </c>
      <c r="I64" s="154">
        <v>38000</v>
      </c>
      <c r="J64" s="153">
        <f t="shared" si="2"/>
        <v>386000</v>
      </c>
      <c r="K64" s="153" t="s">
        <v>15</v>
      </c>
      <c r="L64" s="155" t="s">
        <v>87</v>
      </c>
    </row>
    <row r="65" spans="1:12" s="4" customFormat="1" ht="18" customHeight="1" x14ac:dyDescent="0.25">
      <c r="A65" s="12"/>
      <c r="B65" s="63" t="s">
        <v>25</v>
      </c>
      <c r="C65" s="25" t="s">
        <v>26</v>
      </c>
      <c r="D65" s="21">
        <v>12.5</v>
      </c>
      <c r="E65" s="156"/>
      <c r="F65" s="157">
        <f t="shared" si="0"/>
        <v>12.5</v>
      </c>
      <c r="G65" s="49"/>
      <c r="H65" s="158">
        <v>54000</v>
      </c>
      <c r="I65" s="158"/>
      <c r="J65" s="158"/>
      <c r="K65" s="50"/>
      <c r="L65" s="51" t="s">
        <v>11</v>
      </c>
    </row>
    <row r="66" spans="1:12" s="4" customFormat="1" ht="18" customHeight="1" x14ac:dyDescent="0.25">
      <c r="B66" s="64"/>
      <c r="C66" s="26" t="s">
        <v>27</v>
      </c>
      <c r="D66" s="16">
        <v>12.5</v>
      </c>
      <c r="E66" s="17"/>
      <c r="F66" s="18">
        <f t="shared" si="0"/>
        <v>12.5</v>
      </c>
      <c r="G66" s="14"/>
      <c r="H66" s="19">
        <v>54000</v>
      </c>
      <c r="I66" s="19"/>
      <c r="J66" s="19"/>
      <c r="K66" s="15"/>
      <c r="L66" s="52" t="s">
        <v>11</v>
      </c>
    </row>
    <row r="67" spans="1:12" s="4" customFormat="1" ht="18" customHeight="1" thickBot="1" x14ac:dyDescent="0.3">
      <c r="B67" s="159"/>
      <c r="C67" s="160" t="s">
        <v>34</v>
      </c>
      <c r="D67" s="27">
        <v>12.5</v>
      </c>
      <c r="E67" s="161"/>
      <c r="F67" s="162">
        <f t="shared" si="0"/>
        <v>12.5</v>
      </c>
      <c r="G67" s="54"/>
      <c r="H67" s="163">
        <v>54000</v>
      </c>
      <c r="I67" s="163"/>
      <c r="J67" s="163"/>
      <c r="K67" s="163"/>
      <c r="L67" s="55" t="s">
        <v>11</v>
      </c>
    </row>
    <row r="68" spans="1:12" s="4" customFormat="1" ht="18" hidden="1" customHeight="1" x14ac:dyDescent="0.25">
      <c r="B68" s="65" t="s">
        <v>28</v>
      </c>
      <c r="C68" s="164" t="s">
        <v>35</v>
      </c>
      <c r="D68" s="165">
        <v>13.625</v>
      </c>
      <c r="E68" s="166"/>
      <c r="F68" s="167">
        <f t="shared" si="0"/>
        <v>13.625</v>
      </c>
      <c r="G68" s="135"/>
      <c r="H68" s="168">
        <v>48500</v>
      </c>
      <c r="I68" s="168"/>
      <c r="J68" s="168"/>
      <c r="K68" s="168"/>
      <c r="L68" s="138" t="s">
        <v>69</v>
      </c>
    </row>
    <row r="69" spans="1:12" s="4" customFormat="1" ht="18" customHeight="1" x14ac:dyDescent="0.25">
      <c r="B69" s="66"/>
      <c r="C69" s="26" t="s">
        <v>36</v>
      </c>
      <c r="D69" s="16">
        <v>13.625</v>
      </c>
      <c r="E69" s="17"/>
      <c r="F69" s="18">
        <f t="shared" si="0"/>
        <v>13.625</v>
      </c>
      <c r="G69" s="14"/>
      <c r="H69" s="19">
        <v>50500</v>
      </c>
      <c r="I69" s="19"/>
      <c r="J69" s="19"/>
      <c r="K69" s="19"/>
      <c r="L69" s="52" t="s">
        <v>11</v>
      </c>
    </row>
    <row r="70" spans="1:12" s="4" customFormat="1" ht="18" customHeight="1" x14ac:dyDescent="0.25">
      <c r="B70" s="66"/>
      <c r="C70" s="26" t="s">
        <v>37</v>
      </c>
      <c r="D70" s="16">
        <v>13.5</v>
      </c>
      <c r="E70" s="17"/>
      <c r="F70" s="18">
        <f t="shared" si="0"/>
        <v>13.5</v>
      </c>
      <c r="G70" s="14"/>
      <c r="H70" s="19">
        <v>50500</v>
      </c>
      <c r="I70" s="19"/>
      <c r="J70" s="19"/>
      <c r="K70" s="19"/>
      <c r="L70" s="52" t="s">
        <v>11</v>
      </c>
    </row>
    <row r="71" spans="1:12" s="4" customFormat="1" ht="18" customHeight="1" x14ac:dyDescent="0.25">
      <c r="B71" s="66"/>
      <c r="C71" s="26" t="s">
        <v>38</v>
      </c>
      <c r="D71" s="16">
        <v>13.08</v>
      </c>
      <c r="E71" s="17"/>
      <c r="F71" s="18">
        <f t="shared" si="0"/>
        <v>13.08</v>
      </c>
      <c r="G71" s="14"/>
      <c r="H71" s="19">
        <v>50500</v>
      </c>
      <c r="I71" s="19"/>
      <c r="J71" s="19"/>
      <c r="K71" s="19"/>
      <c r="L71" s="52" t="s">
        <v>11</v>
      </c>
    </row>
    <row r="72" spans="1:12" s="4" customFormat="1" ht="18" customHeight="1" x14ac:dyDescent="0.25">
      <c r="B72" s="66"/>
      <c r="C72" s="26" t="s">
        <v>29</v>
      </c>
      <c r="D72" s="16">
        <v>13.08</v>
      </c>
      <c r="E72" s="17"/>
      <c r="F72" s="18">
        <f t="shared" si="0"/>
        <v>13.08</v>
      </c>
      <c r="G72" s="14"/>
      <c r="H72" s="19">
        <v>50500</v>
      </c>
      <c r="I72" s="19"/>
      <c r="J72" s="19"/>
      <c r="K72" s="19"/>
      <c r="L72" s="52" t="s">
        <v>11</v>
      </c>
    </row>
    <row r="73" spans="1:12" s="4" customFormat="1" ht="18" customHeight="1" x14ac:dyDescent="0.25">
      <c r="B73" s="66"/>
      <c r="C73" s="26" t="s">
        <v>39</v>
      </c>
      <c r="D73" s="16">
        <v>13.08</v>
      </c>
      <c r="E73" s="20"/>
      <c r="F73" s="18">
        <f t="shared" si="0"/>
        <v>13.08</v>
      </c>
      <c r="G73" s="14"/>
      <c r="H73" s="19">
        <v>50500</v>
      </c>
      <c r="I73" s="19"/>
      <c r="J73" s="19"/>
      <c r="K73" s="19"/>
      <c r="L73" s="52" t="s">
        <v>11</v>
      </c>
    </row>
    <row r="74" spans="1:12" s="4" customFormat="1" ht="18" customHeight="1" x14ac:dyDescent="0.25">
      <c r="B74" s="66"/>
      <c r="C74" s="26" t="s">
        <v>60</v>
      </c>
      <c r="D74" s="16">
        <f>14.25+1.1</f>
        <v>15.35</v>
      </c>
      <c r="E74" s="20"/>
      <c r="F74" s="18">
        <f t="shared" si="0"/>
        <v>15.35</v>
      </c>
      <c r="G74" s="14"/>
      <c r="H74" s="19">
        <v>54000</v>
      </c>
      <c r="I74" s="19"/>
      <c r="J74" s="19"/>
      <c r="K74" s="19"/>
      <c r="L74" s="52" t="s">
        <v>11</v>
      </c>
    </row>
    <row r="75" spans="1:12" s="4" customFormat="1" ht="18" hidden="1" customHeight="1" x14ac:dyDescent="0.25">
      <c r="B75" s="66"/>
      <c r="C75" s="36" t="s">
        <v>40</v>
      </c>
      <c r="D75" s="37">
        <v>14.25</v>
      </c>
      <c r="E75" s="38"/>
      <c r="F75" s="39">
        <f t="shared" si="0"/>
        <v>14.25</v>
      </c>
      <c r="G75" s="33"/>
      <c r="H75" s="40">
        <v>50800</v>
      </c>
      <c r="I75" s="40"/>
      <c r="J75" s="40"/>
      <c r="K75" s="40"/>
      <c r="L75" s="53" t="s">
        <v>69</v>
      </c>
    </row>
    <row r="76" spans="1:12" s="4" customFormat="1" ht="18" customHeight="1" x14ac:dyDescent="0.25">
      <c r="B76" s="66"/>
      <c r="C76" s="26" t="s">
        <v>41</v>
      </c>
      <c r="D76" s="16">
        <v>12</v>
      </c>
      <c r="E76" s="20"/>
      <c r="F76" s="18">
        <f t="shared" ref="F76:F103" si="9">+D76+E76</f>
        <v>12</v>
      </c>
      <c r="G76" s="14"/>
      <c r="H76" s="19">
        <v>50500</v>
      </c>
      <c r="I76" s="19"/>
      <c r="J76" s="19"/>
      <c r="K76" s="19"/>
      <c r="L76" s="52" t="s">
        <v>11</v>
      </c>
    </row>
    <row r="77" spans="1:12" s="4" customFormat="1" ht="18" customHeight="1" x14ac:dyDescent="0.25">
      <c r="B77" s="66"/>
      <c r="C77" s="26" t="s">
        <v>42</v>
      </c>
      <c r="D77" s="16">
        <v>12</v>
      </c>
      <c r="E77" s="20"/>
      <c r="F77" s="18">
        <f t="shared" si="9"/>
        <v>12</v>
      </c>
      <c r="G77" s="14"/>
      <c r="H77" s="19">
        <v>50500</v>
      </c>
      <c r="I77" s="19"/>
      <c r="J77" s="19"/>
      <c r="K77" s="19"/>
      <c r="L77" s="52" t="s">
        <v>11</v>
      </c>
    </row>
    <row r="78" spans="1:12" s="4" customFormat="1" ht="18" hidden="1" customHeight="1" x14ac:dyDescent="0.25">
      <c r="B78" s="66"/>
      <c r="C78" s="36" t="s">
        <v>61</v>
      </c>
      <c r="D78" s="37">
        <v>14.5</v>
      </c>
      <c r="E78" s="38"/>
      <c r="F78" s="39">
        <f t="shared" si="9"/>
        <v>14.5</v>
      </c>
      <c r="G78" s="33"/>
      <c r="H78" s="40">
        <v>42800</v>
      </c>
      <c r="I78" s="40"/>
      <c r="J78" s="40"/>
      <c r="K78" s="40"/>
      <c r="L78" s="53" t="s">
        <v>69</v>
      </c>
    </row>
    <row r="79" spans="1:12" s="4" customFormat="1" ht="18" hidden="1" customHeight="1" x14ac:dyDescent="0.25">
      <c r="B79" s="66"/>
      <c r="C79" s="36" t="s">
        <v>62</v>
      </c>
      <c r="D79" s="37">
        <v>14.5</v>
      </c>
      <c r="E79" s="38"/>
      <c r="F79" s="39">
        <f t="shared" si="9"/>
        <v>14.5</v>
      </c>
      <c r="G79" s="33"/>
      <c r="H79" s="40">
        <v>42800</v>
      </c>
      <c r="I79" s="40"/>
      <c r="J79" s="40"/>
      <c r="K79" s="40"/>
      <c r="L79" s="53" t="s">
        <v>69</v>
      </c>
    </row>
    <row r="80" spans="1:12" s="4" customFormat="1" ht="18" customHeight="1" thickBot="1" x14ac:dyDescent="0.3">
      <c r="B80" s="66"/>
      <c r="C80" s="26" t="s">
        <v>30</v>
      </c>
      <c r="D80" s="16">
        <v>12</v>
      </c>
      <c r="E80" s="20"/>
      <c r="F80" s="18">
        <f t="shared" si="9"/>
        <v>12</v>
      </c>
      <c r="G80" s="14"/>
      <c r="H80" s="19">
        <v>50500</v>
      </c>
      <c r="I80" s="19"/>
      <c r="J80" s="19"/>
      <c r="K80" s="19"/>
      <c r="L80" s="52" t="s">
        <v>11</v>
      </c>
    </row>
    <row r="81" spans="2:12" s="4" customFormat="1" ht="18" hidden="1" customHeight="1" thickBot="1" x14ac:dyDescent="0.3">
      <c r="B81" s="67"/>
      <c r="C81" s="169" t="s">
        <v>43</v>
      </c>
      <c r="D81" s="170">
        <v>12</v>
      </c>
      <c r="E81" s="171"/>
      <c r="F81" s="172">
        <f t="shared" si="9"/>
        <v>12</v>
      </c>
      <c r="G81" s="130"/>
      <c r="H81" s="173">
        <v>42800</v>
      </c>
      <c r="I81" s="173"/>
      <c r="J81" s="173"/>
      <c r="K81" s="173"/>
      <c r="L81" s="133" t="s">
        <v>69</v>
      </c>
    </row>
    <row r="82" spans="2:12" s="4" customFormat="1" ht="18" customHeight="1" x14ac:dyDescent="0.25">
      <c r="B82" s="65" t="s">
        <v>59</v>
      </c>
      <c r="C82" s="25" t="s">
        <v>44</v>
      </c>
      <c r="D82" s="21">
        <v>13.625</v>
      </c>
      <c r="E82" s="174"/>
      <c r="F82" s="157">
        <f t="shared" si="9"/>
        <v>13.625</v>
      </c>
      <c r="G82" s="49"/>
      <c r="H82" s="158">
        <v>46800</v>
      </c>
      <c r="I82" s="158"/>
      <c r="J82" s="158"/>
      <c r="K82" s="158"/>
      <c r="L82" s="51" t="s">
        <v>11</v>
      </c>
    </row>
    <row r="83" spans="2:12" s="4" customFormat="1" ht="18" customHeight="1" x14ac:dyDescent="0.25">
      <c r="B83" s="66"/>
      <c r="C83" s="26" t="s">
        <v>45</v>
      </c>
      <c r="D83" s="16">
        <v>13.625</v>
      </c>
      <c r="E83" s="20"/>
      <c r="F83" s="18">
        <f t="shared" si="9"/>
        <v>13.625</v>
      </c>
      <c r="G83" s="14"/>
      <c r="H83" s="19">
        <v>46800</v>
      </c>
      <c r="I83" s="19"/>
      <c r="J83" s="19"/>
      <c r="K83" s="19"/>
      <c r="L83" s="52" t="s">
        <v>11</v>
      </c>
    </row>
    <row r="84" spans="2:12" s="4" customFormat="1" ht="18" hidden="1" customHeight="1" x14ac:dyDescent="0.25">
      <c r="B84" s="66"/>
      <c r="C84" s="36" t="s">
        <v>46</v>
      </c>
      <c r="D84" s="37">
        <v>13.5</v>
      </c>
      <c r="E84" s="38"/>
      <c r="F84" s="39">
        <f t="shared" si="9"/>
        <v>13.5</v>
      </c>
      <c r="G84" s="33"/>
      <c r="H84" s="40">
        <v>48000</v>
      </c>
      <c r="I84" s="40"/>
      <c r="J84" s="40"/>
      <c r="K84" s="40"/>
      <c r="L84" s="53" t="s">
        <v>69</v>
      </c>
    </row>
    <row r="85" spans="2:12" s="4" customFormat="1" ht="18" customHeight="1" x14ac:dyDescent="0.25">
      <c r="B85" s="66"/>
      <c r="C85" s="26" t="s">
        <v>47</v>
      </c>
      <c r="D85" s="16">
        <v>13.08</v>
      </c>
      <c r="E85" s="20"/>
      <c r="F85" s="18">
        <f t="shared" si="9"/>
        <v>13.08</v>
      </c>
      <c r="G85" s="14"/>
      <c r="H85" s="19">
        <v>46800</v>
      </c>
      <c r="I85" s="19"/>
      <c r="J85" s="19"/>
      <c r="K85" s="19"/>
      <c r="L85" s="52" t="s">
        <v>11</v>
      </c>
    </row>
    <row r="86" spans="2:12" s="4" customFormat="1" ht="18" customHeight="1" x14ac:dyDescent="0.25">
      <c r="B86" s="66"/>
      <c r="C86" s="26" t="s">
        <v>31</v>
      </c>
      <c r="D86" s="16">
        <v>13.08</v>
      </c>
      <c r="E86" s="20"/>
      <c r="F86" s="18">
        <f t="shared" si="9"/>
        <v>13.08</v>
      </c>
      <c r="G86" s="14"/>
      <c r="H86" s="19">
        <v>46800</v>
      </c>
      <c r="I86" s="19"/>
      <c r="J86" s="19"/>
      <c r="K86" s="19"/>
      <c r="L86" s="52" t="s">
        <v>11</v>
      </c>
    </row>
    <row r="87" spans="2:12" s="4" customFormat="1" ht="18" customHeight="1" x14ac:dyDescent="0.25">
      <c r="B87" s="66"/>
      <c r="C87" s="26" t="s">
        <v>48</v>
      </c>
      <c r="D87" s="16">
        <v>13.08</v>
      </c>
      <c r="E87" s="20"/>
      <c r="F87" s="18">
        <f t="shared" si="9"/>
        <v>13.08</v>
      </c>
      <c r="G87" s="14"/>
      <c r="H87" s="19">
        <v>46800</v>
      </c>
      <c r="I87" s="19"/>
      <c r="J87" s="19"/>
      <c r="K87" s="19"/>
      <c r="L87" s="52" t="s">
        <v>11</v>
      </c>
    </row>
    <row r="88" spans="2:12" s="4" customFormat="1" ht="18" hidden="1" customHeight="1" x14ac:dyDescent="0.25">
      <c r="B88" s="66"/>
      <c r="C88" s="36" t="s">
        <v>63</v>
      </c>
      <c r="D88" s="37">
        <f>14.25+2.03</f>
        <v>16.28</v>
      </c>
      <c r="E88" s="38"/>
      <c r="F88" s="39">
        <f t="shared" si="9"/>
        <v>16.28</v>
      </c>
      <c r="G88" s="33"/>
      <c r="H88" s="40">
        <v>50800</v>
      </c>
      <c r="I88" s="40"/>
      <c r="J88" s="40"/>
      <c r="K88" s="40"/>
      <c r="L88" s="53" t="s">
        <v>69</v>
      </c>
    </row>
    <row r="89" spans="2:12" s="4" customFormat="1" ht="18" customHeight="1" x14ac:dyDescent="0.25">
      <c r="B89" s="66"/>
      <c r="C89" s="26" t="s">
        <v>64</v>
      </c>
      <c r="D89" s="16">
        <f>14.25+2.7</f>
        <v>16.95</v>
      </c>
      <c r="E89" s="20"/>
      <c r="F89" s="18">
        <f t="shared" si="9"/>
        <v>16.95</v>
      </c>
      <c r="G89" s="14"/>
      <c r="H89" s="19">
        <v>50500</v>
      </c>
      <c r="I89" s="19"/>
      <c r="J89" s="19"/>
      <c r="K89" s="19"/>
      <c r="L89" s="52" t="s">
        <v>11</v>
      </c>
    </row>
    <row r="90" spans="2:12" s="4" customFormat="1" ht="18" customHeight="1" x14ac:dyDescent="0.25">
      <c r="B90" s="66"/>
      <c r="C90" s="26" t="s">
        <v>49</v>
      </c>
      <c r="D90" s="16">
        <v>12</v>
      </c>
      <c r="E90" s="20"/>
      <c r="F90" s="18">
        <f t="shared" si="9"/>
        <v>12</v>
      </c>
      <c r="G90" s="14"/>
      <c r="H90" s="19">
        <v>46800</v>
      </c>
      <c r="I90" s="19"/>
      <c r="J90" s="19"/>
      <c r="K90" s="19"/>
      <c r="L90" s="52" t="s">
        <v>11</v>
      </c>
    </row>
    <row r="91" spans="2:12" s="4" customFormat="1" ht="18" customHeight="1" x14ac:dyDescent="0.25">
      <c r="B91" s="66"/>
      <c r="C91" s="26" t="s">
        <v>50</v>
      </c>
      <c r="D91" s="16">
        <v>12</v>
      </c>
      <c r="E91" s="20"/>
      <c r="F91" s="18">
        <f t="shared" si="9"/>
        <v>12</v>
      </c>
      <c r="G91" s="14"/>
      <c r="H91" s="19">
        <v>46800</v>
      </c>
      <c r="I91" s="19"/>
      <c r="J91" s="19"/>
      <c r="K91" s="19"/>
      <c r="L91" s="52" t="s">
        <v>11</v>
      </c>
    </row>
    <row r="92" spans="2:12" s="4" customFormat="1" ht="18" hidden="1" customHeight="1" x14ac:dyDescent="0.25">
      <c r="B92" s="66"/>
      <c r="C92" s="36" t="s">
        <v>65</v>
      </c>
      <c r="D92" s="37">
        <v>14.5</v>
      </c>
      <c r="E92" s="38"/>
      <c r="F92" s="39">
        <f t="shared" si="9"/>
        <v>14.5</v>
      </c>
      <c r="G92" s="33"/>
      <c r="H92" s="40">
        <v>42800</v>
      </c>
      <c r="I92" s="40"/>
      <c r="J92" s="40"/>
      <c r="K92" s="40"/>
      <c r="L92" s="53" t="s">
        <v>69</v>
      </c>
    </row>
    <row r="93" spans="2:12" s="4" customFormat="1" ht="18" hidden="1" customHeight="1" x14ac:dyDescent="0.25">
      <c r="B93" s="66"/>
      <c r="C93" s="36" t="s">
        <v>66</v>
      </c>
      <c r="D93" s="37">
        <v>14.5</v>
      </c>
      <c r="E93" s="38"/>
      <c r="F93" s="39">
        <f t="shared" si="9"/>
        <v>14.5</v>
      </c>
      <c r="G93" s="33"/>
      <c r="H93" s="40">
        <v>42800</v>
      </c>
      <c r="I93" s="40"/>
      <c r="J93" s="40"/>
      <c r="K93" s="40"/>
      <c r="L93" s="53" t="s">
        <v>69</v>
      </c>
    </row>
    <row r="94" spans="2:12" s="4" customFormat="1" ht="18" customHeight="1" x14ac:dyDescent="0.25">
      <c r="B94" s="66"/>
      <c r="C94" s="26" t="s">
        <v>32</v>
      </c>
      <c r="D94" s="16">
        <v>12</v>
      </c>
      <c r="E94" s="20"/>
      <c r="F94" s="18">
        <f t="shared" si="9"/>
        <v>12</v>
      </c>
      <c r="G94" s="14"/>
      <c r="H94" s="19">
        <v>46800</v>
      </c>
      <c r="I94" s="19"/>
      <c r="J94" s="19"/>
      <c r="K94" s="19"/>
      <c r="L94" s="52" t="s">
        <v>11</v>
      </c>
    </row>
    <row r="95" spans="2:12" s="4" customFormat="1" ht="18" customHeight="1" x14ac:dyDescent="0.25">
      <c r="B95" s="66"/>
      <c r="C95" s="26" t="s">
        <v>51</v>
      </c>
      <c r="D95" s="16">
        <v>12</v>
      </c>
      <c r="E95" s="20"/>
      <c r="F95" s="18">
        <f t="shared" si="9"/>
        <v>12</v>
      </c>
      <c r="G95" s="14"/>
      <c r="H95" s="19">
        <v>46800</v>
      </c>
      <c r="I95" s="19"/>
      <c r="J95" s="19"/>
      <c r="K95" s="19"/>
      <c r="L95" s="52" t="s">
        <v>11</v>
      </c>
    </row>
    <row r="96" spans="2:12" s="4" customFormat="1" ht="18" customHeight="1" thickBot="1" x14ac:dyDescent="0.3">
      <c r="B96" s="67"/>
      <c r="C96" s="160" t="s">
        <v>67</v>
      </c>
      <c r="D96" s="27">
        <v>22.25</v>
      </c>
      <c r="E96" s="175"/>
      <c r="F96" s="162">
        <f t="shared" si="9"/>
        <v>22.25</v>
      </c>
      <c r="G96" s="54"/>
      <c r="H96" s="163">
        <v>71250</v>
      </c>
      <c r="I96" s="163"/>
      <c r="J96" s="163"/>
      <c r="K96" s="163"/>
      <c r="L96" s="55" t="s">
        <v>11</v>
      </c>
    </row>
    <row r="97" spans="2:12" s="4" customFormat="1" ht="18" customHeight="1" thickBot="1" x14ac:dyDescent="0.3">
      <c r="B97" s="28" t="s">
        <v>68</v>
      </c>
      <c r="C97" s="176" t="s">
        <v>52</v>
      </c>
      <c r="D97" s="177">
        <v>4.0599999999999996</v>
      </c>
      <c r="E97" s="178"/>
      <c r="F97" s="179">
        <f t="shared" si="9"/>
        <v>4.0599999999999996</v>
      </c>
      <c r="G97" s="180"/>
      <c r="H97" s="181">
        <v>13000</v>
      </c>
      <c r="I97" s="181"/>
      <c r="J97" s="181"/>
      <c r="K97" s="181"/>
      <c r="L97" s="182" t="s">
        <v>11</v>
      </c>
    </row>
    <row r="98" spans="2:12" s="4" customFormat="1" ht="18" customHeight="1" x14ac:dyDescent="0.25">
      <c r="B98" s="57" t="s">
        <v>59</v>
      </c>
      <c r="C98" s="25" t="s">
        <v>53</v>
      </c>
      <c r="D98" s="21">
        <v>3.45</v>
      </c>
      <c r="E98" s="174"/>
      <c r="F98" s="157">
        <f t="shared" si="9"/>
        <v>3.45</v>
      </c>
      <c r="G98" s="49"/>
      <c r="H98" s="158">
        <v>11000</v>
      </c>
      <c r="I98" s="158"/>
      <c r="J98" s="158"/>
      <c r="K98" s="158"/>
      <c r="L98" s="51" t="s">
        <v>11</v>
      </c>
    </row>
    <row r="99" spans="2:12" s="4" customFormat="1" ht="18" customHeight="1" x14ac:dyDescent="0.25">
      <c r="B99" s="58"/>
      <c r="C99" s="26" t="s">
        <v>54</v>
      </c>
      <c r="D99" s="22">
        <v>3.1</v>
      </c>
      <c r="E99" s="20"/>
      <c r="F99" s="18">
        <f t="shared" si="9"/>
        <v>3.1</v>
      </c>
      <c r="G99" s="14"/>
      <c r="H99" s="19">
        <v>10000</v>
      </c>
      <c r="I99" s="19"/>
      <c r="J99" s="19"/>
      <c r="K99" s="19"/>
      <c r="L99" s="52" t="s">
        <v>11</v>
      </c>
    </row>
    <row r="100" spans="2:12" s="4" customFormat="1" ht="18" customHeight="1" x14ac:dyDescent="0.25">
      <c r="B100" s="58"/>
      <c r="C100" s="26" t="s">
        <v>55</v>
      </c>
      <c r="D100" s="22">
        <v>3.2</v>
      </c>
      <c r="E100" s="20"/>
      <c r="F100" s="18">
        <f t="shared" si="9"/>
        <v>3.2</v>
      </c>
      <c r="G100" s="14"/>
      <c r="H100" s="19">
        <v>10000</v>
      </c>
      <c r="I100" s="19"/>
      <c r="J100" s="19"/>
      <c r="K100" s="19"/>
      <c r="L100" s="52" t="s">
        <v>11</v>
      </c>
    </row>
    <row r="101" spans="2:12" s="4" customFormat="1" ht="18" customHeight="1" x14ac:dyDescent="0.25">
      <c r="B101" s="58"/>
      <c r="C101" s="26" t="s">
        <v>56</v>
      </c>
      <c r="D101" s="22">
        <v>3.08</v>
      </c>
      <c r="E101" s="20"/>
      <c r="F101" s="18">
        <f t="shared" si="9"/>
        <v>3.08</v>
      </c>
      <c r="G101" s="14"/>
      <c r="H101" s="19">
        <v>10000</v>
      </c>
      <c r="I101" s="19"/>
      <c r="J101" s="19"/>
      <c r="K101" s="19"/>
      <c r="L101" s="52" t="s">
        <v>11</v>
      </c>
    </row>
    <row r="102" spans="2:12" s="4" customFormat="1" ht="18" customHeight="1" x14ac:dyDescent="0.25">
      <c r="B102" s="58"/>
      <c r="C102" s="23" t="s">
        <v>57</v>
      </c>
      <c r="D102" s="24">
        <v>2.2999999999999998</v>
      </c>
      <c r="E102" s="20"/>
      <c r="F102" s="18">
        <f t="shared" si="9"/>
        <v>2.2999999999999998</v>
      </c>
      <c r="G102" s="14"/>
      <c r="H102" s="19">
        <v>7500</v>
      </c>
      <c r="I102" s="19"/>
      <c r="J102" s="19"/>
      <c r="K102" s="19"/>
      <c r="L102" s="52" t="s">
        <v>11</v>
      </c>
    </row>
    <row r="103" spans="2:12" s="4" customFormat="1" ht="18" customHeight="1" thickBot="1" x14ac:dyDescent="0.3">
      <c r="B103" s="59"/>
      <c r="C103" s="183" t="s">
        <v>58</v>
      </c>
      <c r="D103" s="184">
        <v>3</v>
      </c>
      <c r="E103" s="175"/>
      <c r="F103" s="162">
        <f t="shared" si="9"/>
        <v>3</v>
      </c>
      <c r="G103" s="54"/>
      <c r="H103" s="163">
        <v>10000</v>
      </c>
      <c r="I103" s="163"/>
      <c r="J103" s="163"/>
      <c r="K103" s="163"/>
      <c r="L103" s="55" t="s">
        <v>11</v>
      </c>
    </row>
    <row r="106" spans="2:12" x14ac:dyDescent="0.25">
      <c r="G106" s="89"/>
      <c r="H106" s="90"/>
      <c r="I106" s="90"/>
      <c r="J106" s="91"/>
      <c r="K106" s="89"/>
    </row>
    <row r="107" spans="2:12" x14ac:dyDescent="0.25">
      <c r="G107" s="89"/>
      <c r="H107" s="89"/>
      <c r="I107" s="89"/>
      <c r="J107" s="89"/>
      <c r="K107" s="89"/>
    </row>
    <row r="108" spans="2:12" x14ac:dyDescent="0.25">
      <c r="G108" s="89"/>
      <c r="H108" s="92"/>
      <c r="I108" s="92"/>
      <c r="J108" s="93"/>
      <c r="K108" s="89"/>
    </row>
    <row r="109" spans="2:12" x14ac:dyDescent="0.25">
      <c r="G109" s="89"/>
      <c r="H109" s="89"/>
      <c r="I109" s="89"/>
      <c r="J109" s="89"/>
      <c r="K109" s="89"/>
    </row>
    <row r="110" spans="2:12" x14ac:dyDescent="0.25">
      <c r="G110" s="89"/>
      <c r="H110" s="92"/>
      <c r="I110" s="92"/>
      <c r="J110" s="94"/>
      <c r="K110" s="89"/>
    </row>
  </sheetData>
  <autoFilter ref="A14:N103" xr:uid="{D10ADFD0-0911-4C07-9071-10FB71798CDF}">
    <filterColumn colId="11">
      <filters>
        <filter val="LIBRE"/>
      </filters>
    </filterColumn>
  </autoFilter>
  <mergeCells count="30">
    <mergeCell ref="L2:L3"/>
    <mergeCell ref="B6:L7"/>
    <mergeCell ref="B9:C9"/>
    <mergeCell ref="D9:L9"/>
    <mergeCell ref="B11:L11"/>
    <mergeCell ref="H2:K3"/>
    <mergeCell ref="L13:L14"/>
    <mergeCell ref="B20:B24"/>
    <mergeCell ref="B25:B29"/>
    <mergeCell ref="B30:B34"/>
    <mergeCell ref="C13:C14"/>
    <mergeCell ref="D13:F13"/>
    <mergeCell ref="G13:G14"/>
    <mergeCell ref="H13:H14"/>
    <mergeCell ref="I13:I14"/>
    <mergeCell ref="J13:J14"/>
    <mergeCell ref="B15:B19"/>
    <mergeCell ref="K13:K14"/>
    <mergeCell ref="H108:I108"/>
    <mergeCell ref="H110:I110"/>
    <mergeCell ref="B98:B103"/>
    <mergeCell ref="B35:B39"/>
    <mergeCell ref="B40:B44"/>
    <mergeCell ref="B45:B49"/>
    <mergeCell ref="B50:B54"/>
    <mergeCell ref="B55:B59"/>
    <mergeCell ref="B60:B64"/>
    <mergeCell ref="B65:B67"/>
    <mergeCell ref="B68:B81"/>
    <mergeCell ref="B82:B96"/>
  </mergeCells>
  <conditionalFormatting sqref="M15:M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2" right="0.12" top="0.12" bottom="0.12" header="0.12" footer="0.12"/>
  <pageSetup paperSize="9" scale="73" orientation="portrait" r:id="rId1"/>
  <ignoredErrors>
    <ignoredError sqref="F15:F97 N60:N61 N16:N19 F98:F103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0A9D50705E924EA02D565C3097A2A8" ma:contentTypeVersion="13" ma:contentTypeDescription="Crear nuevo documento." ma:contentTypeScope="" ma:versionID="8fd8c59e4c50453b7d7b1388dd6a67df">
  <xsd:schema xmlns:xsd="http://www.w3.org/2001/XMLSchema" xmlns:xs="http://www.w3.org/2001/XMLSchema" xmlns:p="http://schemas.microsoft.com/office/2006/metadata/properties" xmlns:ns2="cea7d724-0401-4ab7-9335-0a1bc0aaa782" xmlns:ns3="c82afbfa-e8c4-476e-897d-8f89ba7ec2d5" targetNamespace="http://schemas.microsoft.com/office/2006/metadata/properties" ma:root="true" ma:fieldsID="397d94704bf2ce01ad163c5197a8d263" ns2:_="" ns3:_="">
    <xsd:import namespace="cea7d724-0401-4ab7-9335-0a1bc0aaa782"/>
    <xsd:import namespace="c82afbfa-e8c4-476e-897d-8f89ba7ec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7d724-0401-4ab7-9335-0a1bc0aaa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7a95056-230e-480f-b80f-b40d9684a1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afbfa-e8c4-476e-897d-8f89ba7ec2d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78d7df-bb52-4226-b77a-36ad91330905}" ma:internalName="TaxCatchAll" ma:showField="CatchAllData" ma:web="c82afbfa-e8c4-476e-897d-8f89ba7ec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2afbfa-e8c4-476e-897d-8f89ba7ec2d5" xsi:nil="true"/>
    <lcf76f155ced4ddcb4097134ff3c332f xmlns="cea7d724-0401-4ab7-9335-0a1bc0aaa7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03A0A7-C3A2-480A-9ECC-092C1DC81E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a7d724-0401-4ab7-9335-0a1bc0aaa782"/>
    <ds:schemaRef ds:uri="c82afbfa-e8c4-476e-897d-8f89ba7ec2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08410-A310-4F38-8FC5-87DB2A1DD336}">
  <ds:schemaRefs>
    <ds:schemaRef ds:uri="http://www.w3.org/XML/1998/namespace"/>
    <ds:schemaRef ds:uri="http://purl.org/dc/elements/1.1/"/>
    <ds:schemaRef ds:uri="http://purl.org/dc/terms/"/>
    <ds:schemaRef ds:uri="cea7d724-0401-4ab7-9335-0a1bc0aaa782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82afbfa-e8c4-476e-897d-8f89ba7ec2d5"/>
  </ds:schemaRefs>
</ds:datastoreItem>
</file>

<file path=customXml/itemProps3.xml><?xml version="1.0" encoding="utf-8"?>
<ds:datastoreItem xmlns:ds="http://schemas.openxmlformats.org/officeDocument/2006/customXml" ds:itemID="{3A4BDF3C-5279-4688-969C-7F4BE35900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STOCK</vt:lpstr>
      <vt:lpstr>STOCK!Área_de_impresión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Magaly Guevara</cp:lastModifiedBy>
  <cp:lastPrinted>2026-04-27T07:37:13Z</cp:lastPrinted>
  <dcterms:created xsi:type="dcterms:W3CDTF">2025-05-06T18:56:01Z</dcterms:created>
  <dcterms:modified xsi:type="dcterms:W3CDTF">2026-04-27T07:38:23Z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0x0101007B0A9D50705E924EA02D565C3097A2A8</vt:lpwstr>
  </property>
  <property fmtid="{D5CDD505-2E9C-101B-9397-08002B2CF9AE}" pid="3" name="MediaServiceImageTags">
    <vt:lpwstr/>
  </property>
</Properties>
</file>