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huamani\Downloads\"/>
    </mc:Choice>
  </mc:AlternateContent>
  <xr:revisionPtr revIDLastSave="0" documentId="13_ncr:1_{8DB4BA48-3A22-4EA4-8A21-3B1D2EBDA4B2}" xr6:coauthVersionLast="47" xr6:coauthVersionMax="47" xr10:uidLastSave="{00000000-0000-0000-0000-000000000000}"/>
  <bookViews>
    <workbookView xWindow="-19310" yWindow="680" windowWidth="19420" windowHeight="10300" firstSheet="1" activeTab="1" xr2:uid="{E57EAFE1-0FEC-492B-BB5D-F12AC2F71ED6}"/>
  </bookViews>
  <sheets>
    <sheet name="Hoja1" sheetId="1" state="hidden" r:id="rId1"/>
    <sheet name="STOCK" sheetId="2" r:id="rId2"/>
  </sheets>
  <definedNames>
    <definedName name="_xlnm._FilterDatabase" localSheetId="1" hidden="1">STOCK!$B$13:$P$118</definedName>
    <definedName name="_xlnm.Print_Area" localSheetId="1">STOCK!$A$1:$O$119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4" i="2" l="1"/>
  <c r="M64" i="2" s="1"/>
  <c r="L63" i="2"/>
  <c r="M63" i="2" s="1"/>
  <c r="L51" i="2"/>
  <c r="M51" i="2" s="1"/>
  <c r="L32" i="2"/>
  <c r="M32" i="2" s="1"/>
  <c r="L31" i="2"/>
  <c r="M31" i="2" s="1"/>
  <c r="L27" i="2"/>
  <c r="M27" i="2" s="1"/>
  <c r="L26" i="2"/>
  <c r="M26" i="2" s="1"/>
  <c r="L25" i="2"/>
  <c r="L21" i="2"/>
  <c r="M21" i="2" s="1"/>
  <c r="M66" i="2"/>
  <c r="M62" i="2"/>
  <c r="M61" i="2"/>
  <c r="M53" i="2"/>
  <c r="M52" i="2"/>
  <c r="M44" i="2"/>
  <c r="M41" i="2"/>
  <c r="M39" i="2"/>
  <c r="L56" i="2"/>
  <c r="M56" i="2" s="1"/>
  <c r="L57" i="2"/>
  <c r="M57" i="2" s="1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M65" i="2"/>
  <c r="F65" i="2"/>
  <c r="F64" i="2"/>
  <c r="F63" i="2"/>
  <c r="F62" i="2"/>
  <c r="F61" i="2"/>
  <c r="M60" i="2"/>
  <c r="F60" i="2"/>
  <c r="M59" i="2"/>
  <c r="F59" i="2"/>
  <c r="M58" i="2"/>
  <c r="F58" i="2"/>
  <c r="F57" i="2"/>
  <c r="F56" i="2"/>
  <c r="M55" i="2"/>
  <c r="F55" i="2"/>
  <c r="M54" i="2"/>
  <c r="F54" i="2"/>
  <c r="F53" i="2"/>
  <c r="F52" i="2"/>
  <c r="F51" i="2"/>
  <c r="M50" i="2"/>
  <c r="F50" i="2"/>
  <c r="M49" i="2"/>
  <c r="F49" i="2"/>
  <c r="M48" i="2"/>
  <c r="F48" i="2"/>
  <c r="M47" i="2"/>
  <c r="F47" i="2"/>
  <c r="M46" i="2"/>
  <c r="F46" i="2"/>
  <c r="M45" i="2"/>
  <c r="F45" i="2"/>
  <c r="F44" i="2"/>
  <c r="M43" i="2"/>
  <c r="F43" i="2"/>
  <c r="M42" i="2"/>
  <c r="F42" i="2"/>
  <c r="F41" i="2"/>
  <c r="M40" i="2"/>
  <c r="F40" i="2"/>
  <c r="F39" i="2"/>
  <c r="M38" i="2"/>
  <c r="F38" i="2"/>
  <c r="M37" i="2"/>
  <c r="F37" i="2"/>
  <c r="M36" i="2"/>
  <c r="F36" i="2"/>
  <c r="M35" i="2"/>
  <c r="F35" i="2"/>
  <c r="M34" i="2"/>
  <c r="F34" i="2"/>
  <c r="M33" i="2"/>
  <c r="F33" i="2"/>
  <c r="F32" i="2"/>
  <c r="F31" i="2"/>
  <c r="M30" i="2"/>
  <c r="F30" i="2"/>
  <c r="M29" i="2"/>
  <c r="F29" i="2"/>
  <c r="M28" i="2"/>
  <c r="F28" i="2"/>
  <c r="F27" i="2"/>
  <c r="F26" i="2"/>
  <c r="F25" i="2"/>
  <c r="M24" i="2"/>
  <c r="F24" i="2"/>
  <c r="M23" i="2"/>
  <c r="M22" i="2"/>
  <c r="F22" i="2"/>
  <c r="F21" i="2"/>
  <c r="F20" i="2"/>
  <c r="F19" i="2"/>
  <c r="F18" i="2"/>
  <c r="F17" i="2"/>
  <c r="F16" i="2"/>
  <c r="F15" i="2"/>
  <c r="F14" i="2"/>
  <c r="H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G68" i="1"/>
  <c r="K67" i="1"/>
  <c r="G66" i="1"/>
  <c r="K66" i="1" s="1"/>
  <c r="K65" i="1"/>
  <c r="G65" i="1"/>
  <c r="K64" i="1"/>
  <c r="G64" i="1"/>
  <c r="G63" i="1"/>
  <c r="K62" i="1"/>
  <c r="G61" i="1"/>
  <c r="K61" i="1" s="1"/>
  <c r="K60" i="1"/>
  <c r="G60" i="1"/>
  <c r="K59" i="1"/>
  <c r="G59" i="1"/>
  <c r="G58" i="1"/>
  <c r="K58" i="1" s="1"/>
  <c r="G57" i="1"/>
  <c r="K57" i="1" s="1"/>
  <c r="K56" i="1"/>
  <c r="G56" i="1"/>
  <c r="K55" i="1"/>
  <c r="G55" i="1"/>
  <c r="G54" i="1"/>
  <c r="K54" i="1" s="1"/>
  <c r="G53" i="1"/>
  <c r="K53" i="1" s="1"/>
  <c r="K52" i="1"/>
  <c r="G52" i="1"/>
  <c r="K51" i="1"/>
  <c r="G51" i="1"/>
  <c r="G50" i="1"/>
  <c r="K50" i="1" s="1"/>
  <c r="G49" i="1"/>
  <c r="K49" i="1" s="1"/>
  <c r="K48" i="1"/>
  <c r="G48" i="1"/>
  <c r="K47" i="1"/>
  <c r="G47" i="1"/>
  <c r="G46" i="1"/>
  <c r="K46" i="1" s="1"/>
  <c r="G45" i="1"/>
  <c r="K45" i="1" s="1"/>
  <c r="K44" i="1"/>
  <c r="G44" i="1"/>
  <c r="K43" i="1"/>
  <c r="G43" i="1"/>
  <c r="G42" i="1"/>
  <c r="K42" i="1" s="1"/>
  <c r="G41" i="1"/>
  <c r="K41" i="1" s="1"/>
  <c r="K40" i="1"/>
  <c r="G40" i="1"/>
  <c r="K39" i="1"/>
  <c r="G39" i="1"/>
  <c r="G38" i="1"/>
  <c r="K38" i="1" s="1"/>
  <c r="G37" i="1"/>
  <c r="K37" i="1" s="1"/>
  <c r="K36" i="1"/>
  <c r="G36" i="1"/>
  <c r="K35" i="1"/>
  <c r="G35" i="1"/>
  <c r="K34" i="1"/>
  <c r="K33" i="1"/>
  <c r="G33" i="1"/>
  <c r="K32" i="1"/>
  <c r="G32" i="1"/>
  <c r="G31" i="1"/>
  <c r="K31" i="1" s="1"/>
  <c r="G30" i="1"/>
  <c r="K30" i="1" s="1"/>
  <c r="K29" i="1"/>
  <c r="G29" i="1"/>
  <c r="K28" i="1"/>
  <c r="G28" i="1"/>
  <c r="G27" i="1"/>
  <c r="K27" i="1" s="1"/>
  <c r="G26" i="1"/>
  <c r="K26" i="1" s="1"/>
  <c r="K25" i="1"/>
  <c r="G25" i="1"/>
  <c r="G24" i="1"/>
  <c r="G23" i="1"/>
  <c r="G22" i="1"/>
  <c r="G21" i="1"/>
  <c r="G20" i="1"/>
  <c r="G19" i="1"/>
  <c r="G18" i="1"/>
  <c r="G17" i="1"/>
  <c r="K16" i="1"/>
  <c r="G16" i="1"/>
  <c r="G15" i="1"/>
  <c r="P29" i="2" l="1"/>
  <c r="P34" i="2"/>
  <c r="P66" i="2"/>
  <c r="P64" i="2"/>
  <c r="P63" i="2"/>
  <c r="P62" i="2"/>
  <c r="P61" i="2"/>
  <c r="P53" i="2"/>
  <c r="P51" i="2"/>
  <c r="P44" i="2"/>
  <c r="P41" i="2"/>
  <c r="P39" i="2"/>
  <c r="P32" i="2"/>
  <c r="P31" i="2"/>
  <c r="P27" i="2"/>
  <c r="P26" i="2"/>
  <c r="M25" i="2"/>
  <c r="P25" i="2" l="1"/>
</calcChain>
</file>

<file path=xl/sharedStrings.xml><?xml version="1.0" encoding="utf-8"?>
<sst xmlns="http://schemas.openxmlformats.org/spreadsheetml/2006/main" count="383" uniqueCount="165">
  <si>
    <t>FECHA DE ELABORACION</t>
  </si>
  <si>
    <t xml:space="preserve">LISTA DE PRECIOS </t>
  </si>
  <si>
    <t>PROYECTO</t>
  </si>
  <si>
    <t>EDIFICIO "VICTORY"</t>
  </si>
  <si>
    <t>DETALLE DE LAS UNIDADES EN VENTA</t>
  </si>
  <si>
    <t>UNIDADES
(dptos.)</t>
  </si>
  <si>
    <t>TIPO</t>
  </si>
  <si>
    <t>AREA m2</t>
  </si>
  <si>
    <t>PRECIO
EN SOLES</t>
  </si>
  <si>
    <t>STATUS</t>
  </si>
  <si>
    <t>TECHADA</t>
  </si>
  <si>
    <t>LIBRE</t>
  </si>
  <si>
    <t>TOTAL</t>
  </si>
  <si>
    <t>1ro</t>
  </si>
  <si>
    <t>VENDIDO</t>
  </si>
  <si>
    <t>Miguel Huancaruna</t>
  </si>
  <si>
    <t>Gilda Sampi</t>
  </si>
  <si>
    <t>2do</t>
  </si>
  <si>
    <t>Joseluis Zapata</t>
  </si>
  <si>
    <t>Maria Collazos</t>
  </si>
  <si>
    <t>Gilberto Vilela</t>
  </si>
  <si>
    <t>contado</t>
  </si>
  <si>
    <t>Elizabeth Urbina</t>
  </si>
  <si>
    <t>3ro</t>
  </si>
  <si>
    <t>Alejandro Navarrete</t>
  </si>
  <si>
    <t xml:space="preserve">Cristian Ortiz </t>
  </si>
  <si>
    <t>4to</t>
  </si>
  <si>
    <t>Gladys Moreno</t>
  </si>
  <si>
    <t>Liliana Claros</t>
  </si>
  <si>
    <t>5to</t>
  </si>
  <si>
    <t>Juan Angeles</t>
  </si>
  <si>
    <t>ahorro</t>
  </si>
  <si>
    <t>Marina Vasquez</t>
  </si>
  <si>
    <t>6to</t>
  </si>
  <si>
    <t>Luis Ovalle</t>
  </si>
  <si>
    <t>Jose Pehovaz</t>
  </si>
  <si>
    <t>7mo</t>
  </si>
  <si>
    <t>Richard Lima</t>
  </si>
  <si>
    <t>David Valencia</t>
  </si>
  <si>
    <t>Stefany Rodriguez</t>
  </si>
  <si>
    <t>8vo</t>
  </si>
  <si>
    <t>Carlos Rumiche</t>
  </si>
  <si>
    <t>9no</t>
  </si>
  <si>
    <t>Karina Cabanillas</t>
  </si>
  <si>
    <t>10mo</t>
  </si>
  <si>
    <t>11vo</t>
  </si>
  <si>
    <t>Ana Alvarez</t>
  </si>
  <si>
    <t>INGRESO</t>
  </si>
  <si>
    <t>E 01</t>
  </si>
  <si>
    <t>E 02</t>
  </si>
  <si>
    <t>SEMISOTANO</t>
  </si>
  <si>
    <t>E 03 - D 01</t>
  </si>
  <si>
    <t>E 04 - D 02</t>
  </si>
  <si>
    <t>E 05 - D 03</t>
  </si>
  <si>
    <t>E 06 - D 04</t>
  </si>
  <si>
    <t>E 07 - D 05</t>
  </si>
  <si>
    <t>E 08</t>
  </si>
  <si>
    <t>E 09 - D 06</t>
  </si>
  <si>
    <t>E 10 - D 07</t>
  </si>
  <si>
    <t>E 11 - D 08</t>
  </si>
  <si>
    <t>E 12 - D 09</t>
  </si>
  <si>
    <t>E 13 - D 10</t>
  </si>
  <si>
    <t>E 14 - D 11</t>
  </si>
  <si>
    <t>E 15</t>
  </si>
  <si>
    <t>E 16</t>
  </si>
  <si>
    <t>SOTANO 1</t>
  </si>
  <si>
    <t>E 17 - D 12</t>
  </si>
  <si>
    <t>E 18 - D 13</t>
  </si>
  <si>
    <t>E19 - D 14</t>
  </si>
  <si>
    <t>E 20 - D 15</t>
  </si>
  <si>
    <t>E 21 - D 16</t>
  </si>
  <si>
    <t>E 22</t>
  </si>
  <si>
    <t>E 23 - D 17</t>
  </si>
  <si>
    <t>E 24 - D 18</t>
  </si>
  <si>
    <t>E 25 - D 19</t>
  </si>
  <si>
    <t>E 26 - D 20</t>
  </si>
  <si>
    <t>E 27 - D 21</t>
  </si>
  <si>
    <t>E 28 - D 22</t>
  </si>
  <si>
    <t>E 29</t>
  </si>
  <si>
    <t>E 30</t>
  </si>
  <si>
    <t>Guillermo</t>
  </si>
  <si>
    <t>SOTANO 2</t>
  </si>
  <si>
    <t>E 31 - D 23</t>
  </si>
  <si>
    <t>E 32 - D 24</t>
  </si>
  <si>
    <t>Joan</t>
  </si>
  <si>
    <t>E 33 - D 25</t>
  </si>
  <si>
    <t>Yrina Millones</t>
  </si>
  <si>
    <t>E 34 - D 26</t>
  </si>
  <si>
    <t>Rosalyn Nuñez</t>
  </si>
  <si>
    <t>E 35 - D 27</t>
  </si>
  <si>
    <t>E 36</t>
  </si>
  <si>
    <t>Jose Ramos</t>
  </si>
  <si>
    <t>E 37 - D 28</t>
  </si>
  <si>
    <t>Elisa Caceres</t>
  </si>
  <si>
    <t>E 38 - D 29</t>
  </si>
  <si>
    <t>Grace Mejico</t>
  </si>
  <si>
    <t>E 39 - D 30</t>
  </si>
  <si>
    <t>E 40 - D 31</t>
  </si>
  <si>
    <t>E 41 - D 32</t>
  </si>
  <si>
    <t>E 42 - D 33</t>
  </si>
  <si>
    <t>E 43</t>
  </si>
  <si>
    <t>E 44</t>
  </si>
  <si>
    <t>SOTANO 3</t>
  </si>
  <si>
    <t>E 45 - D 34</t>
  </si>
  <si>
    <t>E 46 - D 35</t>
  </si>
  <si>
    <t>E 47 - D 36</t>
  </si>
  <si>
    <t>E 48 - D 37</t>
  </si>
  <si>
    <t>E 49 - D 38</t>
  </si>
  <si>
    <t>E 50</t>
  </si>
  <si>
    <t>E 51 - D 39</t>
  </si>
  <si>
    <t>E 52 - D 40</t>
  </si>
  <si>
    <t>EDIFICIO "PRADA"</t>
  </si>
  <si>
    <t>DORM</t>
  </si>
  <si>
    <t>DESCTO</t>
  </si>
  <si>
    <t>PRECIO CON DSCTO</t>
  </si>
  <si>
    <t>UBICACIÓN</t>
  </si>
  <si>
    <t>1er</t>
  </si>
  <si>
    <t>CALLE</t>
  </si>
  <si>
    <t>INTERNA</t>
  </si>
  <si>
    <t>Alejandro Jose Navarrete Maldonado</t>
  </si>
  <si>
    <t>Cristhiam Ortiz Angeles</t>
  </si>
  <si>
    <t>Gladys Marta Moreano Bellido</t>
  </si>
  <si>
    <t>Liliana Lucila Luciano Claros</t>
  </si>
  <si>
    <t>Sussan Yassmine Rubin Domínguez</t>
  </si>
  <si>
    <t xml:space="preserve"> Patrocinio Huamani Cuevas</t>
  </si>
  <si>
    <t>Alvaro Geanfranco Mendoza Jump</t>
  </si>
  <si>
    <t>Chistopher Omar Peña Camargo</t>
  </si>
  <si>
    <t>Luis Alberto Ovalle Huamanguilla</t>
  </si>
  <si>
    <t>Richard Humberto Lima Garcia</t>
  </si>
  <si>
    <t>David Edgar Valencia Cordova</t>
  </si>
  <si>
    <t>Wendy Carolina Junes Gonzáles</t>
  </si>
  <si>
    <t>Denisse Estela Linares Suarez</t>
  </si>
  <si>
    <t>Gersom Gonzales Alfaro</t>
  </si>
  <si>
    <t>Daniel Alejandro Aguayo Vera</t>
  </si>
  <si>
    <t>Judith Condori Yucra</t>
  </si>
  <si>
    <t xml:space="preserve"> Ana Fabiola Alvarez Elias</t>
  </si>
  <si>
    <t>Elizabeth Rocio Urbina ñañez</t>
  </si>
  <si>
    <t>Juan Carlos ángeles Milla</t>
  </si>
  <si>
    <t>Sthefany Carolina Rodriguez Huamán</t>
  </si>
  <si>
    <t>Karina Cabanillas Correa</t>
  </si>
  <si>
    <t>Vendido</t>
  </si>
  <si>
    <t>Elmo Calatayud Chumbes</t>
  </si>
  <si>
    <t>Edwin Efrain Suclla Flores</t>
  </si>
  <si>
    <t>Ayleen Katia Messarina Rios</t>
  </si>
  <si>
    <t>Victoria Sampi Gonzales</t>
  </si>
  <si>
    <t>Jose luis Gaspar Zapata Flores</t>
  </si>
  <si>
    <t>Maria Cristina Collazos Romero</t>
  </si>
  <si>
    <t>Gilberto Videla Flores</t>
  </si>
  <si>
    <t>Marina Vasquez Samaniego</t>
  </si>
  <si>
    <t>Jose Humberto Pehovaz Diez</t>
  </si>
  <si>
    <t xml:space="preserve"> Marco Antonio Cordova Oropeza</t>
  </si>
  <si>
    <t>Lizet Lopez Paucar</t>
  </si>
  <si>
    <t xml:space="preserve">Walther Espinoza Gomez </t>
  </si>
  <si>
    <t>Luis Felipe Asmat Cuno</t>
  </si>
  <si>
    <t xml:space="preserve">Juan Gonzales Atahualpa </t>
  </si>
  <si>
    <t>Edwin Victor Ashtu Acosta</t>
  </si>
  <si>
    <t xml:space="preserve">Judith Medina alvarez </t>
  </si>
  <si>
    <t>Francescoli Del Aguila Bär</t>
  </si>
  <si>
    <t>Evelin Ugarte Cama</t>
  </si>
  <si>
    <t>Danny Romel Ore Gerreros</t>
  </si>
  <si>
    <t xml:space="preserve">Maria De Los Angeles Ibañez </t>
  </si>
  <si>
    <t>Marita Angeles Milla</t>
  </si>
  <si>
    <t>Stephanie Lizeth Aquino Herrera</t>
  </si>
  <si>
    <t>Carlos Enrique Morante Arroyo</t>
  </si>
  <si>
    <t>DSCTO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</si>
</sst>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#,##0.00\ &quot;m2&quot;"/>
    <numFmt numFmtId="165" formatCode="#,##0\ &quot;m2&quot;"/>
    <numFmt numFmtId="166" formatCode="_(* #,##0_);_(* \(#,##0\);_(* &quot;-&quot;??_);_(@_)"/>
    <numFmt numFmtId="167" formatCode="#,##0.0\ &quot;m2&quot;"/>
    <numFmt numFmtId="168" formatCode="_-* #,##0_-;\-* #,##0_-;_-* &quot;-&quot;??_-;_-@_-"/>
    <numFmt numFmtId="169" formatCode="_-[$S/-280A]\ * #,##0.00_-;\-[$S/-280A]\ * #,##0.00_-;_-[$S/-280A]\ 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b/>
      <sz val="11"/>
      <name val="Arial Narrow"/>
      <family val="2"/>
    </font>
    <font>
      <b/>
      <sz val="16"/>
      <color theme="0"/>
      <name val="Arial Narrow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10"/>
      <name val="Arial"/>
      <family val="2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91C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45">
    <border>
      <left/>
      <right/>
      <top/>
      <bottom/>
      <diagonal/>
    </border>
    <border>
      <left style="hair">
        <color rgb="FF0096D7"/>
      </left>
      <right style="hair">
        <color rgb="FF0096D7"/>
      </right>
      <top style="hair">
        <color rgb="FF0096D7"/>
      </top>
      <bottom style="hair">
        <color rgb="FF0096D7"/>
      </bottom>
      <diagonal/>
    </border>
    <border>
      <left style="hair">
        <color rgb="FF0096D7"/>
      </left>
      <right/>
      <top/>
      <bottom/>
      <diagonal/>
    </border>
    <border>
      <left/>
      <right style="hair">
        <color rgb="FF0096D7"/>
      </right>
      <top/>
      <bottom/>
      <diagonal/>
    </border>
    <border>
      <left style="hair">
        <color rgb="FF0096D7"/>
      </left>
      <right/>
      <top style="hair">
        <color rgb="FF0096D7"/>
      </top>
      <bottom style="hair">
        <color rgb="FF0096D7"/>
      </bottom>
      <diagonal/>
    </border>
    <border>
      <left/>
      <right/>
      <top style="hair">
        <color rgb="FF0096D7"/>
      </top>
      <bottom style="hair">
        <color rgb="FF0096D7"/>
      </bottom>
      <diagonal/>
    </border>
    <border>
      <left/>
      <right style="hair">
        <color rgb="FF0096D7"/>
      </right>
      <top style="hair">
        <color rgb="FF0096D7"/>
      </top>
      <bottom style="hair">
        <color rgb="FF0096D7"/>
      </bottom>
      <diagonal/>
    </border>
    <border>
      <left style="hair">
        <color rgb="FF0096D7"/>
      </left>
      <right style="hair">
        <color rgb="FF0096D7"/>
      </right>
      <top style="hair">
        <color rgb="FF0096D7"/>
      </top>
      <bottom/>
      <diagonal/>
    </border>
    <border>
      <left style="hair">
        <color rgb="FF0096D7"/>
      </left>
      <right/>
      <top style="hair">
        <color rgb="FF0096D7"/>
      </top>
      <bottom/>
      <diagonal/>
    </border>
    <border>
      <left style="hair">
        <color rgb="FF0096D7"/>
      </left>
      <right style="hair">
        <color rgb="FF0096D7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1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3" fontId="0" fillId="0" borderId="0" xfId="1" applyFont="1"/>
    <xf numFmtId="43" fontId="0" fillId="3" borderId="0" xfId="1" applyFont="1" applyFill="1"/>
    <xf numFmtId="4" fontId="0" fillId="0" borderId="0" xfId="0" applyNumberForma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0" fillId="2" borderId="0" xfId="0" applyFill="1"/>
    <xf numFmtId="0" fontId="8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164" fontId="7" fillId="5" borderId="13" xfId="0" applyNumberFormat="1" applyFont="1" applyFill="1" applyBorder="1" applyProtection="1">
      <protection locked="0"/>
    </xf>
    <xf numFmtId="164" fontId="7" fillId="5" borderId="12" xfId="0" applyNumberFormat="1" applyFont="1" applyFill="1" applyBorder="1" applyProtection="1">
      <protection locked="0"/>
    </xf>
    <xf numFmtId="165" fontId="9" fillId="5" borderId="10" xfId="0" applyNumberFormat="1" applyFont="1" applyFill="1" applyBorder="1" applyProtection="1">
      <protection locked="0"/>
    </xf>
    <xf numFmtId="166" fontId="0" fillId="5" borderId="10" xfId="0" applyNumberFormat="1" applyFill="1" applyBorder="1"/>
    <xf numFmtId="0" fontId="0" fillId="5" borderId="10" xfId="0" applyFill="1" applyBorder="1"/>
    <xf numFmtId="0" fontId="8" fillId="5" borderId="14" xfId="0" applyFont="1" applyFill="1" applyBorder="1" applyAlignment="1">
      <alignment horizontal="center"/>
    </xf>
    <xf numFmtId="0" fontId="8" fillId="5" borderId="10" xfId="0" applyFont="1" applyFill="1" applyBorder="1" applyAlignment="1">
      <alignment horizontal="center"/>
    </xf>
    <xf numFmtId="164" fontId="7" fillId="5" borderId="15" xfId="0" applyNumberFormat="1" applyFont="1" applyFill="1" applyBorder="1" applyProtection="1">
      <protection locked="0"/>
    </xf>
    <xf numFmtId="164" fontId="7" fillId="5" borderId="16" xfId="0" applyNumberFormat="1" applyFont="1" applyFill="1" applyBorder="1" applyProtection="1">
      <protection locked="0"/>
    </xf>
    <xf numFmtId="43" fontId="0" fillId="2" borderId="0" xfId="1" applyFont="1" applyFill="1"/>
    <xf numFmtId="165" fontId="7" fillId="5" borderId="13" xfId="0" applyNumberFormat="1" applyFont="1" applyFill="1" applyBorder="1" applyProtection="1">
      <protection locked="0"/>
    </xf>
    <xf numFmtId="0" fontId="8" fillId="3" borderId="17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165" fontId="7" fillId="3" borderId="15" xfId="0" applyNumberFormat="1" applyFont="1" applyFill="1" applyBorder="1" applyProtection="1">
      <protection locked="0"/>
    </xf>
    <xf numFmtId="164" fontId="7" fillId="3" borderId="16" xfId="0" applyNumberFormat="1" applyFont="1" applyFill="1" applyBorder="1" applyProtection="1">
      <protection locked="0"/>
    </xf>
    <xf numFmtId="165" fontId="9" fillId="3" borderId="10" xfId="0" applyNumberFormat="1" applyFont="1" applyFill="1" applyBorder="1" applyProtection="1">
      <protection locked="0"/>
    </xf>
    <xf numFmtId="166" fontId="0" fillId="3" borderId="10" xfId="0" applyNumberFormat="1" applyFill="1" applyBorder="1"/>
    <xf numFmtId="0" fontId="0" fillId="3" borderId="10" xfId="0" applyFill="1" applyBorder="1"/>
    <xf numFmtId="0" fontId="8" fillId="5" borderId="17" xfId="0" applyFont="1" applyFill="1" applyBorder="1" applyAlignment="1">
      <alignment horizontal="center"/>
    </xf>
    <xf numFmtId="165" fontId="7" fillId="5" borderId="15" xfId="0" applyNumberFormat="1" applyFont="1" applyFill="1" applyBorder="1" applyProtection="1">
      <protection locked="0"/>
    </xf>
    <xf numFmtId="0" fontId="8" fillId="2" borderId="14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165" fontId="7" fillId="2" borderId="15" xfId="0" applyNumberFormat="1" applyFont="1" applyFill="1" applyBorder="1" applyProtection="1">
      <protection locked="0"/>
    </xf>
    <xf numFmtId="164" fontId="7" fillId="2" borderId="18" xfId="0" applyNumberFormat="1" applyFont="1" applyFill="1" applyBorder="1" applyProtection="1">
      <protection locked="0"/>
    </xf>
    <xf numFmtId="165" fontId="9" fillId="2" borderId="10" xfId="0" applyNumberFormat="1" applyFont="1" applyFill="1" applyBorder="1" applyProtection="1">
      <protection locked="0"/>
    </xf>
    <xf numFmtId="166" fontId="0" fillId="2" borderId="10" xfId="0" applyNumberFormat="1" applyFill="1" applyBorder="1"/>
    <xf numFmtId="0" fontId="0" fillId="2" borderId="10" xfId="0" applyFill="1" applyBorder="1"/>
    <xf numFmtId="164" fontId="7" fillId="5" borderId="18" xfId="0" applyNumberFormat="1" applyFont="1" applyFill="1" applyBorder="1" applyProtection="1">
      <protection locked="0"/>
    </xf>
    <xf numFmtId="165" fontId="7" fillId="3" borderId="13" xfId="0" applyNumberFormat="1" applyFont="1" applyFill="1" applyBorder="1" applyProtection="1">
      <protection locked="0"/>
    </xf>
    <xf numFmtId="164" fontId="7" fillId="3" borderId="12" xfId="0" applyNumberFormat="1" applyFont="1" applyFill="1" applyBorder="1" applyProtection="1">
      <protection locked="0"/>
    </xf>
    <xf numFmtId="165" fontId="7" fillId="0" borderId="15" xfId="0" applyNumberFormat="1" applyFont="1" applyBorder="1" applyProtection="1">
      <protection locked="0"/>
    </xf>
    <xf numFmtId="164" fontId="7" fillId="2" borderId="16" xfId="0" applyNumberFormat="1" applyFont="1" applyFill="1" applyBorder="1" applyProtection="1">
      <protection locked="0"/>
    </xf>
    <xf numFmtId="0" fontId="8" fillId="2" borderId="17" xfId="0" applyFont="1" applyFill="1" applyBorder="1" applyAlignment="1">
      <alignment horizontal="center"/>
    </xf>
    <xf numFmtId="0" fontId="10" fillId="2" borderId="19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7" fillId="0" borderId="18" xfId="0" applyNumberFormat="1" applyFont="1" applyBorder="1" applyProtection="1">
      <protection locked="0"/>
    </xf>
    <xf numFmtId="165" fontId="9" fillId="0" borderId="10" xfId="0" applyNumberFormat="1" applyFont="1" applyBorder="1" applyProtection="1">
      <protection locked="0"/>
    </xf>
    <xf numFmtId="166" fontId="0" fillId="0" borderId="10" xfId="0" applyNumberFormat="1" applyBorder="1"/>
    <xf numFmtId="0" fontId="0" fillId="3" borderId="0" xfId="0" applyFill="1"/>
    <xf numFmtId="0" fontId="8" fillId="2" borderId="20" xfId="0" applyFont="1" applyFill="1" applyBorder="1" applyAlignment="1">
      <alignment horizontal="center"/>
    </xf>
    <xf numFmtId="164" fontId="7" fillId="5" borderId="0" xfId="0" applyNumberFormat="1" applyFont="1" applyFill="1" applyProtection="1">
      <protection locked="0"/>
    </xf>
    <xf numFmtId="43" fontId="0" fillId="6" borderId="0" xfId="1" applyFont="1" applyFill="1"/>
    <xf numFmtId="0" fontId="0" fillId="6" borderId="0" xfId="0" applyFill="1"/>
    <xf numFmtId="0" fontId="8" fillId="2" borderId="11" xfId="0" applyFont="1" applyFill="1" applyBorder="1" applyAlignment="1">
      <alignment horizontal="center"/>
    </xf>
    <xf numFmtId="164" fontId="7" fillId="2" borderId="12" xfId="0" applyNumberFormat="1" applyFont="1" applyFill="1" applyBorder="1" applyProtection="1">
      <protection locked="0"/>
    </xf>
    <xf numFmtId="164" fontId="7" fillId="2" borderId="23" xfId="0" applyNumberFormat="1" applyFont="1" applyFill="1" applyBorder="1" applyProtection="1">
      <protection locked="0"/>
    </xf>
    <xf numFmtId="164" fontId="7" fillId="3" borderId="18" xfId="0" applyNumberFormat="1" applyFont="1" applyFill="1" applyBorder="1" applyProtection="1">
      <protection locked="0"/>
    </xf>
    <xf numFmtId="165" fontId="7" fillId="0" borderId="13" xfId="0" applyNumberFormat="1" applyFont="1" applyBorder="1" applyProtection="1">
      <protection locked="0"/>
    </xf>
    <xf numFmtId="164" fontId="7" fillId="2" borderId="24" xfId="0" applyNumberFormat="1" applyFont="1" applyFill="1" applyBorder="1" applyProtection="1">
      <protection locked="0"/>
    </xf>
    <xf numFmtId="0" fontId="8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7" fillId="2" borderId="11" xfId="0" applyFont="1" applyFill="1" applyBorder="1"/>
    <xf numFmtId="0" fontId="7" fillId="2" borderId="25" xfId="0" applyFont="1" applyFill="1" applyBorder="1"/>
    <xf numFmtId="165" fontId="7" fillId="2" borderId="26" xfId="0" applyNumberFormat="1" applyFont="1" applyFill="1" applyBorder="1" applyProtection="1">
      <protection locked="0"/>
    </xf>
    <xf numFmtId="167" fontId="9" fillId="2" borderId="10" xfId="0" applyNumberFormat="1" applyFont="1" applyFill="1" applyBorder="1" applyProtection="1">
      <protection locked="0"/>
    </xf>
    <xf numFmtId="0" fontId="9" fillId="2" borderId="10" xfId="0" applyFont="1" applyFill="1" applyBorder="1" applyProtection="1">
      <protection locked="0"/>
    </xf>
    <xf numFmtId="168" fontId="0" fillId="2" borderId="10" xfId="1" applyNumberFormat="1" applyFont="1" applyFill="1" applyBorder="1"/>
    <xf numFmtId="0" fontId="7" fillId="2" borderId="14" xfId="0" applyFont="1" applyFill="1" applyBorder="1"/>
    <xf numFmtId="0" fontId="7" fillId="2" borderId="26" xfId="0" applyFont="1" applyFill="1" applyBorder="1"/>
    <xf numFmtId="164" fontId="7" fillId="2" borderId="10" xfId="0" applyNumberFormat="1" applyFont="1" applyFill="1" applyBorder="1" applyAlignment="1" applyProtection="1">
      <alignment horizontal="right"/>
      <protection locked="0"/>
    </xf>
    <xf numFmtId="0" fontId="7" fillId="2" borderId="10" xfId="0" applyFont="1" applyFill="1" applyBorder="1"/>
    <xf numFmtId="0" fontId="7" fillId="5" borderId="14" xfId="0" applyFont="1" applyFill="1" applyBorder="1"/>
    <xf numFmtId="0" fontId="7" fillId="5" borderId="10" xfId="0" applyFont="1" applyFill="1" applyBorder="1"/>
    <xf numFmtId="164" fontId="7" fillId="5" borderId="10" xfId="0" applyNumberFormat="1" applyFont="1" applyFill="1" applyBorder="1" applyAlignment="1" applyProtection="1">
      <alignment horizontal="right"/>
      <protection locked="0"/>
    </xf>
    <xf numFmtId="167" fontId="9" fillId="5" borderId="10" xfId="0" applyNumberFormat="1" applyFont="1" applyFill="1" applyBorder="1" applyProtection="1">
      <protection locked="0"/>
    </xf>
    <xf numFmtId="0" fontId="9" fillId="5" borderId="10" xfId="0" applyFont="1" applyFill="1" applyBorder="1" applyProtection="1">
      <protection locked="0"/>
    </xf>
    <xf numFmtId="168" fontId="0" fillId="5" borderId="10" xfId="1" applyNumberFormat="1" applyFont="1" applyFill="1" applyBorder="1"/>
    <xf numFmtId="4" fontId="0" fillId="2" borderId="10" xfId="0" applyNumberFormat="1" applyFill="1" applyBorder="1"/>
    <xf numFmtId="4" fontId="0" fillId="5" borderId="10" xfId="0" applyNumberFormat="1" applyFill="1" applyBorder="1"/>
    <xf numFmtId="0" fontId="7" fillId="5" borderId="25" xfId="0" applyFont="1" applyFill="1" applyBorder="1"/>
    <xf numFmtId="0" fontId="0" fillId="7" borderId="10" xfId="0" applyFill="1" applyBorder="1"/>
    <xf numFmtId="166" fontId="0" fillId="0" borderId="0" xfId="0" applyNumberFormat="1"/>
    <xf numFmtId="0" fontId="7" fillId="3" borderId="14" xfId="0" applyFont="1" applyFill="1" applyBorder="1"/>
    <xf numFmtId="0" fontId="7" fillId="3" borderId="10" xfId="0" applyFont="1" applyFill="1" applyBorder="1"/>
    <xf numFmtId="4" fontId="0" fillId="3" borderId="10" xfId="0" applyNumberFormat="1" applyFill="1" applyBorder="1"/>
    <xf numFmtId="167" fontId="9" fillId="3" borderId="10" xfId="0" applyNumberFormat="1" applyFont="1" applyFill="1" applyBorder="1" applyProtection="1">
      <protection locked="0"/>
    </xf>
    <xf numFmtId="0" fontId="9" fillId="3" borderId="10" xfId="0" applyFont="1" applyFill="1" applyBorder="1" applyProtection="1">
      <protection locked="0"/>
    </xf>
    <xf numFmtId="168" fontId="0" fillId="3" borderId="10" xfId="1" applyNumberFormat="1" applyFont="1" applyFill="1" applyBorder="1"/>
    <xf numFmtId="0" fontId="9" fillId="0" borderId="10" xfId="0" applyFont="1" applyBorder="1" applyProtection="1">
      <protection locked="0"/>
    </xf>
    <xf numFmtId="164" fontId="7" fillId="0" borderId="12" xfId="0" applyNumberFormat="1" applyFont="1" applyBorder="1" applyProtection="1">
      <protection locked="0"/>
    </xf>
    <xf numFmtId="164" fontId="7" fillId="0" borderId="16" xfId="0" applyNumberFormat="1" applyFont="1" applyBorder="1" applyProtection="1">
      <protection locked="0"/>
    </xf>
    <xf numFmtId="0" fontId="8" fillId="8" borderId="17" xfId="0" applyFont="1" applyFill="1" applyBorder="1" applyAlignment="1">
      <alignment horizontal="center"/>
    </xf>
    <xf numFmtId="165" fontId="7" fillId="8" borderId="15" xfId="0" applyNumberFormat="1" applyFont="1" applyFill="1" applyBorder="1" applyProtection="1">
      <protection locked="0"/>
    </xf>
    <xf numFmtId="164" fontId="7" fillId="8" borderId="18" xfId="0" applyNumberFormat="1" applyFont="1" applyFill="1" applyBorder="1" applyProtection="1">
      <protection locked="0"/>
    </xf>
    <xf numFmtId="165" fontId="9" fillId="8" borderId="10" xfId="0" applyNumberFormat="1" applyFont="1" applyFill="1" applyBorder="1" applyProtection="1">
      <protection locked="0"/>
    </xf>
    <xf numFmtId="0" fontId="9" fillId="8" borderId="10" xfId="0" applyFont="1" applyFill="1" applyBorder="1" applyProtection="1">
      <protection locked="0"/>
    </xf>
    <xf numFmtId="166" fontId="0" fillId="8" borderId="10" xfId="0" applyNumberFormat="1" applyFill="1" applyBorder="1"/>
    <xf numFmtId="0" fontId="0" fillId="8" borderId="10" xfId="0" applyFill="1" applyBorder="1"/>
    <xf numFmtId="164" fontId="7" fillId="8" borderId="16" xfId="0" applyNumberFormat="1" applyFont="1" applyFill="1" applyBorder="1" applyProtection="1">
      <protection locked="0"/>
    </xf>
    <xf numFmtId="168" fontId="0" fillId="0" borderId="10" xfId="1" applyNumberFormat="1" applyFont="1" applyFill="1" applyBorder="1"/>
    <xf numFmtId="0" fontId="7" fillId="8" borderId="14" xfId="0" applyFont="1" applyFill="1" applyBorder="1"/>
    <xf numFmtId="0" fontId="7" fillId="8" borderId="10" xfId="0" applyFont="1" applyFill="1" applyBorder="1"/>
    <xf numFmtId="4" fontId="0" fillId="8" borderId="10" xfId="0" applyNumberFormat="1" applyFill="1" applyBorder="1"/>
    <xf numFmtId="167" fontId="9" fillId="8" borderId="10" xfId="0" applyNumberFormat="1" applyFont="1" applyFill="1" applyBorder="1" applyProtection="1">
      <protection locked="0"/>
    </xf>
    <xf numFmtId="168" fontId="0" fillId="8" borderId="10" xfId="1" applyNumberFormat="1" applyFont="1" applyFill="1" applyBorder="1"/>
    <xf numFmtId="0" fontId="7" fillId="8" borderId="25" xfId="0" applyFont="1" applyFill="1" applyBorder="1"/>
    <xf numFmtId="0" fontId="8" fillId="8" borderId="11" xfId="0" applyFont="1" applyFill="1" applyBorder="1" applyAlignment="1">
      <alignment horizontal="center"/>
    </xf>
    <xf numFmtId="165" fontId="7" fillId="8" borderId="13" xfId="0" applyNumberFormat="1" applyFont="1" applyFill="1" applyBorder="1" applyProtection="1">
      <protection locked="0"/>
    </xf>
    <xf numFmtId="164" fontId="7" fillId="8" borderId="12" xfId="0" applyNumberFormat="1" applyFont="1" applyFill="1" applyBorder="1" applyProtection="1">
      <protection locked="0"/>
    </xf>
    <xf numFmtId="0" fontId="8" fillId="8" borderId="20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8" fillId="8" borderId="30" xfId="0" applyFont="1" applyFill="1" applyBorder="1" applyAlignment="1">
      <alignment horizontal="center"/>
    </xf>
    <xf numFmtId="164" fontId="7" fillId="8" borderId="13" xfId="0" applyNumberFormat="1" applyFont="1" applyFill="1" applyBorder="1" applyProtection="1">
      <protection locked="0"/>
    </xf>
    <xf numFmtId="164" fontId="7" fillId="8" borderId="15" xfId="0" applyNumberFormat="1" applyFont="1" applyFill="1" applyBorder="1" applyProtection="1">
      <protection locked="0"/>
    </xf>
    <xf numFmtId="165" fontId="7" fillId="8" borderId="10" xfId="0" applyNumberFormat="1" applyFont="1" applyFill="1" applyBorder="1" applyProtection="1">
      <protection locked="0"/>
    </xf>
    <xf numFmtId="0" fontId="7" fillId="8" borderId="10" xfId="0" applyFont="1" applyFill="1" applyBorder="1" applyProtection="1">
      <protection locked="0"/>
    </xf>
    <xf numFmtId="166" fontId="12" fillId="8" borderId="10" xfId="0" applyNumberFormat="1" applyFont="1" applyFill="1" applyBorder="1"/>
    <xf numFmtId="165" fontId="7" fillId="8" borderId="31" xfId="0" applyNumberFormat="1" applyFont="1" applyFill="1" applyBorder="1" applyProtection="1">
      <protection locked="0"/>
    </xf>
    <xf numFmtId="0" fontId="7" fillId="8" borderId="26" xfId="0" applyFont="1" applyFill="1" applyBorder="1"/>
    <xf numFmtId="164" fontId="7" fillId="8" borderId="10" xfId="0" applyNumberFormat="1" applyFont="1" applyFill="1" applyBorder="1" applyAlignment="1" applyProtection="1">
      <alignment horizontal="right"/>
      <protection locked="0"/>
    </xf>
    <xf numFmtId="0" fontId="7" fillId="0" borderId="14" xfId="0" applyFont="1" applyBorder="1"/>
    <xf numFmtId="164" fontId="7" fillId="0" borderId="10" xfId="0" applyNumberFormat="1" applyFont="1" applyBorder="1" applyAlignment="1" applyProtection="1">
      <alignment horizontal="right"/>
      <protection locked="0"/>
    </xf>
    <xf numFmtId="167" fontId="9" fillId="0" borderId="10" xfId="0" applyNumberFormat="1" applyFont="1" applyBorder="1" applyProtection="1">
      <protection locked="0"/>
    </xf>
    <xf numFmtId="0" fontId="7" fillId="8" borderId="11" xfId="0" applyFont="1" applyFill="1" applyBorder="1"/>
    <xf numFmtId="0" fontId="7" fillId="0" borderId="10" xfId="0" applyFont="1" applyBorder="1"/>
    <xf numFmtId="0" fontId="8" fillId="3" borderId="20" xfId="0" applyFont="1" applyFill="1" applyBorder="1" applyAlignment="1">
      <alignment horizontal="center"/>
    </xf>
    <xf numFmtId="166" fontId="0" fillId="9" borderId="10" xfId="0" applyNumberFormat="1" applyFill="1" applyBorder="1"/>
    <xf numFmtId="43" fontId="0" fillId="2" borderId="0" xfId="0" applyNumberFormat="1" applyFill="1"/>
    <xf numFmtId="0" fontId="8" fillId="3" borderId="14" xfId="0" applyFont="1" applyFill="1" applyBorder="1" applyAlignment="1">
      <alignment horizontal="center"/>
    </xf>
    <xf numFmtId="0" fontId="8" fillId="3" borderId="11" xfId="0" applyFont="1" applyFill="1" applyBorder="1" applyAlignment="1">
      <alignment horizontal="center"/>
    </xf>
    <xf numFmtId="164" fontId="7" fillId="3" borderId="24" xfId="0" applyNumberFormat="1" applyFont="1" applyFill="1" applyBorder="1" applyProtection="1">
      <protection locked="0"/>
    </xf>
    <xf numFmtId="169" fontId="0" fillId="2" borderId="0" xfId="0" applyNumberFormat="1" applyFill="1"/>
    <xf numFmtId="169" fontId="2" fillId="2" borderId="0" xfId="0" applyNumberFormat="1" applyFont="1" applyFill="1"/>
    <xf numFmtId="44" fontId="0" fillId="2" borderId="0" xfId="0" applyNumberFormat="1" applyFill="1"/>
    <xf numFmtId="164" fontId="7" fillId="8" borderId="24" xfId="0" applyNumberFormat="1" applyFont="1" applyFill="1" applyBorder="1" applyProtection="1">
      <protection locked="0"/>
    </xf>
    <xf numFmtId="164" fontId="7" fillId="8" borderId="23" xfId="0" applyNumberFormat="1" applyFont="1" applyFill="1" applyBorder="1" applyProtection="1">
      <protection locked="0"/>
    </xf>
    <xf numFmtId="165" fontId="9" fillId="8" borderId="26" xfId="0" applyNumberFormat="1" applyFont="1" applyFill="1" applyBorder="1" applyProtection="1">
      <protection locked="0"/>
    </xf>
    <xf numFmtId="0" fontId="9" fillId="8" borderId="26" xfId="0" applyFont="1" applyFill="1" applyBorder="1" applyProtection="1">
      <protection locked="0"/>
    </xf>
    <xf numFmtId="166" fontId="0" fillId="8" borderId="26" xfId="0" applyNumberFormat="1" applyFill="1" applyBorder="1"/>
    <xf numFmtId="0" fontId="0" fillId="8" borderId="26" xfId="0" applyFill="1" applyBorder="1"/>
    <xf numFmtId="165" fontId="9" fillId="8" borderId="25" xfId="0" applyNumberFormat="1" applyFont="1" applyFill="1" applyBorder="1" applyProtection="1">
      <protection locked="0"/>
    </xf>
    <xf numFmtId="0" fontId="9" fillId="8" borderId="25" xfId="0" applyFont="1" applyFill="1" applyBorder="1" applyProtection="1">
      <protection locked="0"/>
    </xf>
    <xf numFmtId="166" fontId="0" fillId="8" borderId="25" xfId="0" applyNumberFormat="1" applyFill="1" applyBorder="1"/>
    <xf numFmtId="0" fontId="0" fillId="8" borderId="32" xfId="0" applyFill="1" applyBorder="1"/>
    <xf numFmtId="0" fontId="0" fillId="8" borderId="33" xfId="0" applyFill="1" applyBorder="1"/>
    <xf numFmtId="0" fontId="12" fillId="8" borderId="33" xfId="0" applyFont="1" applyFill="1" applyBorder="1"/>
    <xf numFmtId="0" fontId="8" fillId="8" borderId="34" xfId="0" applyFont="1" applyFill="1" applyBorder="1" applyAlignment="1">
      <alignment horizontal="center"/>
    </xf>
    <xf numFmtId="164" fontId="7" fillId="8" borderId="35" xfId="0" applyNumberFormat="1" applyFont="1" applyFill="1" applyBorder="1" applyProtection="1">
      <protection locked="0"/>
    </xf>
    <xf numFmtId="164" fontId="7" fillId="8" borderId="36" xfId="0" applyNumberFormat="1" applyFont="1" applyFill="1" applyBorder="1" applyProtection="1">
      <protection locked="0"/>
    </xf>
    <xf numFmtId="165" fontId="9" fillId="8" borderId="37" xfId="0" applyNumberFormat="1" applyFont="1" applyFill="1" applyBorder="1" applyProtection="1">
      <protection locked="0"/>
    </xf>
    <xf numFmtId="0" fontId="9" fillId="8" borderId="37" xfId="0" applyFont="1" applyFill="1" applyBorder="1" applyProtection="1">
      <protection locked="0"/>
    </xf>
    <xf numFmtId="166" fontId="0" fillId="8" borderId="37" xfId="0" applyNumberFormat="1" applyFill="1" applyBorder="1"/>
    <xf numFmtId="0" fontId="0" fillId="8" borderId="38" xfId="0" applyFill="1" applyBorder="1"/>
    <xf numFmtId="0" fontId="0" fillId="2" borderId="33" xfId="0" applyFill="1" applyBorder="1"/>
    <xf numFmtId="0" fontId="8" fillId="8" borderId="39" xfId="0" applyFont="1" applyFill="1" applyBorder="1" applyAlignment="1">
      <alignment horizontal="center"/>
    </xf>
    <xf numFmtId="0" fontId="8" fillId="2" borderId="39" xfId="0" applyFont="1" applyFill="1" applyBorder="1" applyAlignment="1">
      <alignment horizontal="center"/>
    </xf>
    <xf numFmtId="165" fontId="7" fillId="2" borderId="35" xfId="0" applyNumberFormat="1" applyFont="1" applyFill="1" applyBorder="1" applyProtection="1">
      <protection locked="0"/>
    </xf>
    <xf numFmtId="164" fontId="7" fillId="2" borderId="36" xfId="0" applyNumberFormat="1" applyFont="1" applyFill="1" applyBorder="1" applyProtection="1">
      <protection locked="0"/>
    </xf>
    <xf numFmtId="165" fontId="9" fillId="2" borderId="37" xfId="0" applyNumberFormat="1" applyFont="1" applyFill="1" applyBorder="1" applyProtection="1">
      <protection locked="0"/>
    </xf>
    <xf numFmtId="0" fontId="9" fillId="2" borderId="37" xfId="0" applyFont="1" applyFill="1" applyBorder="1" applyProtection="1">
      <protection locked="0"/>
    </xf>
    <xf numFmtId="166" fontId="0" fillId="2" borderId="37" xfId="0" applyNumberFormat="1" applyFill="1" applyBorder="1"/>
    <xf numFmtId="166" fontId="0" fillId="0" borderId="37" xfId="0" applyNumberFormat="1" applyBorder="1"/>
    <xf numFmtId="166" fontId="0" fillId="9" borderId="37" xfId="0" applyNumberFormat="1" applyFill="1" applyBorder="1"/>
    <xf numFmtId="0" fontId="0" fillId="2" borderId="38" xfId="0" applyFill="1" applyBorder="1"/>
    <xf numFmtId="0" fontId="8" fillId="0" borderId="40" xfId="0" applyFont="1" applyBorder="1" applyAlignment="1">
      <alignment horizontal="center"/>
    </xf>
    <xf numFmtId="165" fontId="7" fillId="0" borderId="41" xfId="0" applyNumberFormat="1" applyFont="1" applyBorder="1" applyProtection="1">
      <protection locked="0"/>
    </xf>
    <xf numFmtId="165" fontId="9" fillId="0" borderId="42" xfId="0" applyNumberFormat="1" applyFont="1" applyBorder="1" applyProtection="1">
      <protection locked="0"/>
    </xf>
    <xf numFmtId="0" fontId="9" fillId="0" borderId="42" xfId="0" applyFont="1" applyBorder="1" applyProtection="1">
      <protection locked="0"/>
    </xf>
    <xf numFmtId="166" fontId="0" fillId="0" borderId="42" xfId="0" applyNumberFormat="1" applyBorder="1"/>
    <xf numFmtId="166" fontId="0" fillId="9" borderId="42" xfId="0" applyNumberFormat="1" applyFill="1" applyBorder="1"/>
    <xf numFmtId="166" fontId="0" fillId="2" borderId="42" xfId="0" applyNumberFormat="1" applyFill="1" applyBorder="1"/>
    <xf numFmtId="0" fontId="0" fillId="2" borderId="42" xfId="0" applyFill="1" applyBorder="1"/>
    <xf numFmtId="165" fontId="7" fillId="8" borderId="35" xfId="0" applyNumberFormat="1" applyFont="1" applyFill="1" applyBorder="1" applyProtection="1">
      <protection locked="0"/>
    </xf>
    <xf numFmtId="0" fontId="0" fillId="3" borderId="33" xfId="0" applyFill="1" applyBorder="1"/>
    <xf numFmtId="0" fontId="8" fillId="8" borderId="43" xfId="0" applyFont="1" applyFill="1" applyBorder="1" applyAlignment="1">
      <alignment horizontal="center"/>
    </xf>
    <xf numFmtId="43" fontId="0" fillId="8" borderId="0" xfId="1" applyFont="1" applyFill="1" applyBorder="1"/>
    <xf numFmtId="0" fontId="0" fillId="0" borderId="33" xfId="0" applyBorder="1"/>
    <xf numFmtId="165" fontId="9" fillId="3" borderId="25" xfId="0" applyNumberFormat="1" applyFont="1" applyFill="1" applyBorder="1" applyProtection="1">
      <protection locked="0"/>
    </xf>
    <xf numFmtId="0" fontId="9" fillId="3" borderId="25" xfId="0" applyFont="1" applyFill="1" applyBorder="1" applyProtection="1">
      <protection locked="0"/>
    </xf>
    <xf numFmtId="166" fontId="0" fillId="3" borderId="25" xfId="0" applyNumberFormat="1" applyFill="1" applyBorder="1"/>
    <xf numFmtId="166" fontId="0" fillId="3" borderId="25" xfId="0" applyNumberFormat="1" applyFill="1" applyBorder="1" applyAlignment="1">
      <alignment horizontal="center"/>
    </xf>
    <xf numFmtId="0" fontId="0" fillId="3" borderId="32" xfId="0" applyFill="1" applyBorder="1"/>
    <xf numFmtId="0" fontId="8" fillId="3" borderId="39" xfId="0" applyFont="1" applyFill="1" applyBorder="1" applyAlignment="1">
      <alignment horizontal="center"/>
    </xf>
    <xf numFmtId="165" fontId="7" fillId="3" borderId="35" xfId="0" applyNumberFormat="1" applyFont="1" applyFill="1" applyBorder="1" applyProtection="1">
      <protection locked="0"/>
    </xf>
    <xf numFmtId="165" fontId="9" fillId="3" borderId="37" xfId="0" applyNumberFormat="1" applyFont="1" applyFill="1" applyBorder="1" applyProtection="1">
      <protection locked="0"/>
    </xf>
    <xf numFmtId="0" fontId="9" fillId="3" borderId="37" xfId="0" applyFont="1" applyFill="1" applyBorder="1" applyProtection="1">
      <protection locked="0"/>
    </xf>
    <xf numFmtId="166" fontId="0" fillId="3" borderId="37" xfId="0" applyNumberFormat="1" applyFill="1" applyBorder="1"/>
    <xf numFmtId="0" fontId="0" fillId="3" borderId="38" xfId="0" applyFill="1" applyBorder="1"/>
    <xf numFmtId="165" fontId="9" fillId="0" borderId="25" xfId="0" applyNumberFormat="1" applyFont="1" applyBorder="1" applyProtection="1">
      <protection locked="0"/>
    </xf>
    <xf numFmtId="0" fontId="9" fillId="0" borderId="25" xfId="0" applyFont="1" applyBorder="1" applyProtection="1">
      <protection locked="0"/>
    </xf>
    <xf numFmtId="166" fontId="0" fillId="0" borderId="25" xfId="0" applyNumberFormat="1" applyBorder="1"/>
    <xf numFmtId="166" fontId="0" fillId="9" borderId="25" xfId="0" applyNumberFormat="1" applyFill="1" applyBorder="1"/>
    <xf numFmtId="166" fontId="0" fillId="2" borderId="25" xfId="0" applyNumberFormat="1" applyFill="1" applyBorder="1"/>
    <xf numFmtId="0" fontId="0" fillId="2" borderId="32" xfId="0" applyFill="1" applyBorder="1"/>
    <xf numFmtId="167" fontId="9" fillId="8" borderId="25" xfId="0" applyNumberFormat="1" applyFont="1" applyFill="1" applyBorder="1" applyProtection="1">
      <protection locked="0"/>
    </xf>
    <xf numFmtId="168" fontId="0" fillId="8" borderId="25" xfId="1" applyNumberFormat="1" applyFont="1" applyFill="1" applyBorder="1"/>
    <xf numFmtId="0" fontId="7" fillId="0" borderId="24" xfId="0" applyFont="1" applyBorder="1"/>
    <xf numFmtId="0" fontId="7" fillId="0" borderId="44" xfId="0" applyFont="1" applyBorder="1"/>
    <xf numFmtId="164" fontId="7" fillId="0" borderId="37" xfId="0" applyNumberFormat="1" applyFont="1" applyBorder="1" applyAlignment="1" applyProtection="1">
      <alignment horizontal="right"/>
      <protection locked="0"/>
    </xf>
    <xf numFmtId="167" fontId="9" fillId="0" borderId="37" xfId="0" applyNumberFormat="1" applyFont="1" applyBorder="1" applyProtection="1">
      <protection locked="0"/>
    </xf>
    <xf numFmtId="0" fontId="9" fillId="0" borderId="37" xfId="0" applyFont="1" applyBorder="1" applyProtection="1">
      <protection locked="0"/>
    </xf>
    <xf numFmtId="168" fontId="0" fillId="0" borderId="37" xfId="1" applyNumberFormat="1" applyFont="1" applyFill="1" applyBorder="1"/>
    <xf numFmtId="0" fontId="0" fillId="0" borderId="38" xfId="0" applyBorder="1"/>
    <xf numFmtId="164" fontId="7" fillId="8" borderId="25" xfId="0" applyNumberFormat="1" applyFont="1" applyFill="1" applyBorder="1" applyAlignment="1" applyProtection="1">
      <alignment horizontal="right"/>
      <protection locked="0"/>
    </xf>
    <xf numFmtId="0" fontId="7" fillId="8" borderId="24" xfId="0" applyFont="1" applyFill="1" applyBorder="1"/>
    <xf numFmtId="0" fontId="7" fillId="8" borderId="37" xfId="0" applyFont="1" applyFill="1" applyBorder="1"/>
    <xf numFmtId="4" fontId="0" fillId="8" borderId="37" xfId="0" applyNumberFormat="1" applyFill="1" applyBorder="1"/>
    <xf numFmtId="167" fontId="9" fillId="8" borderId="37" xfId="0" applyNumberFormat="1" applyFont="1" applyFill="1" applyBorder="1" applyProtection="1">
      <protection locked="0"/>
    </xf>
    <xf numFmtId="168" fontId="0" fillId="8" borderId="37" xfId="1" applyNumberFormat="1" applyFont="1" applyFill="1" applyBorder="1"/>
    <xf numFmtId="4" fontId="0" fillId="8" borderId="25" xfId="0" applyNumberFormat="1" applyFill="1" applyBorder="1"/>
    <xf numFmtId="4" fontId="0" fillId="2" borderId="25" xfId="0" applyNumberFormat="1" applyFill="1" applyBorder="1"/>
    <xf numFmtId="167" fontId="9" fillId="2" borderId="25" xfId="0" applyNumberFormat="1" applyFont="1" applyFill="1" applyBorder="1" applyProtection="1">
      <protection locked="0"/>
    </xf>
    <xf numFmtId="0" fontId="9" fillId="2" borderId="25" xfId="0" applyFont="1" applyFill="1" applyBorder="1" applyProtection="1">
      <protection locked="0"/>
    </xf>
    <xf numFmtId="168" fontId="0" fillId="2" borderId="25" xfId="1" applyNumberFormat="1" applyFont="1" applyFill="1" applyBorder="1"/>
    <xf numFmtId="0" fontId="7" fillId="2" borderId="24" xfId="0" applyFont="1" applyFill="1" applyBorder="1"/>
    <xf numFmtId="0" fontId="7" fillId="2" borderId="37" xfId="0" applyFont="1" applyFill="1" applyBorder="1"/>
    <xf numFmtId="4" fontId="0" fillId="2" borderId="37" xfId="0" applyNumberFormat="1" applyFill="1" applyBorder="1"/>
    <xf numFmtId="167" fontId="9" fillId="2" borderId="37" xfId="0" applyNumberFormat="1" applyFont="1" applyFill="1" applyBorder="1" applyProtection="1">
      <protection locked="0"/>
    </xf>
    <xf numFmtId="168" fontId="0" fillId="2" borderId="37" xfId="1" applyNumberFormat="1" applyFont="1" applyFill="1" applyBorder="1"/>
    <xf numFmtId="43" fontId="0" fillId="2" borderId="37" xfId="1" applyFont="1" applyFill="1" applyBorder="1"/>
    <xf numFmtId="165" fontId="7" fillId="2" borderId="25" xfId="0" applyNumberFormat="1" applyFont="1" applyFill="1" applyBorder="1" applyProtection="1">
      <protection locked="0"/>
    </xf>
    <xf numFmtId="0" fontId="10" fillId="2" borderId="22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2" fillId="2" borderId="22" xfId="0" applyFont="1" applyFill="1" applyBorder="1" applyAlignment="1">
      <alignment horizontal="center" vertical="center" textRotation="90"/>
    </xf>
    <xf numFmtId="0" fontId="2" fillId="2" borderId="19" xfId="0" applyFont="1" applyFill="1" applyBorder="1" applyAlignment="1">
      <alignment horizontal="center" vertical="center" textRotation="90"/>
    </xf>
    <xf numFmtId="0" fontId="2" fillId="2" borderId="21" xfId="0" applyFont="1" applyFill="1" applyBorder="1" applyAlignment="1">
      <alignment horizontal="center" vertical="center" textRotation="90"/>
    </xf>
    <xf numFmtId="0" fontId="11" fillId="2" borderId="22" xfId="0" applyFont="1" applyFill="1" applyBorder="1" applyAlignment="1">
      <alignment horizontal="center" vertical="center" textRotation="90"/>
    </xf>
    <xf numFmtId="0" fontId="11" fillId="2" borderId="21" xfId="0" applyFont="1" applyFill="1" applyBorder="1" applyAlignment="1">
      <alignment horizontal="center" vertical="center" textRotation="90"/>
    </xf>
    <xf numFmtId="0" fontId="10" fillId="2" borderId="27" xfId="0" applyFont="1" applyFill="1" applyBorder="1" applyAlignment="1">
      <alignment horizontal="center" vertical="center" textRotation="90"/>
    </xf>
    <xf numFmtId="0" fontId="10" fillId="2" borderId="28" xfId="0" applyFont="1" applyFill="1" applyBorder="1" applyAlignment="1">
      <alignment horizontal="center" vertical="center" textRotation="90"/>
    </xf>
    <xf numFmtId="0" fontId="10" fillId="2" borderId="29" xfId="0" applyFont="1" applyFill="1" applyBorder="1" applyAlignment="1">
      <alignment horizontal="center" vertical="center" textRotation="90"/>
    </xf>
    <xf numFmtId="0" fontId="10" fillId="2" borderId="22" xfId="0" applyFont="1" applyFill="1" applyBorder="1" applyAlignment="1">
      <alignment horizontal="center" vertical="center" textRotation="90"/>
    </xf>
    <xf numFmtId="0" fontId="10" fillId="2" borderId="19" xfId="0" applyFont="1" applyFill="1" applyBorder="1" applyAlignment="1">
      <alignment horizontal="center" vertical="center" textRotation="90"/>
    </xf>
    <xf numFmtId="0" fontId="10" fillId="2" borderId="21" xfId="0" applyFont="1" applyFill="1" applyBorder="1" applyAlignment="1">
      <alignment horizontal="center" vertical="center" textRotation="90"/>
    </xf>
    <xf numFmtId="0" fontId="2" fillId="0" borderId="10" xfId="0" applyFont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 textRotation="9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CC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9324</xdr:colOff>
      <xdr:row>1</xdr:row>
      <xdr:rowOff>1465</xdr:rowOff>
    </xdr:from>
    <xdr:to>
      <xdr:col>4</xdr:col>
      <xdr:colOff>533903</xdr:colOff>
      <xdr:row>3</xdr:row>
      <xdr:rowOff>73062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0CC023-874B-46AA-A1DB-59E53EED0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84" y="39565"/>
          <a:ext cx="1682819" cy="4449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428625</xdr:colOff>
      <xdr:row>0</xdr:row>
      <xdr:rowOff>85725</xdr:rowOff>
    </xdr:from>
    <xdr:to>
      <xdr:col>5</xdr:col>
      <xdr:colOff>149112</xdr:colOff>
      <xdr:row>3</xdr:row>
      <xdr:rowOff>102870</xdr:rowOff>
    </xdr:to>
    <xdr:pic>
      <xdr:nvPicPr>
        <xdr:cNvPr id="6" name="Gráfico 5">
          <a:extLst>
            <a:ext uri="{FF2B5EF4-FFF2-40B4-BE49-F238E27FC236}">
              <a16:creationId xmlns:a16="http://schemas.microsoft.com/office/drawing/2014/main" id="{721C9360-8992-CD87-06A9-B0F39C43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114425" y="85725"/>
          <a:ext cx="1956322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3C23-3012-4BA3-9DBD-680129AAA2BC}">
  <dimension ref="B2:M121"/>
  <sheetViews>
    <sheetView workbookViewId="0">
      <selection activeCell="F16" sqref="F16"/>
    </sheetView>
  </sheetViews>
  <sheetFormatPr baseColWidth="10" defaultRowHeight="14.4" x14ac:dyDescent="0.3"/>
  <cols>
    <col min="1" max="1" width="0.33203125" customWidth="1"/>
    <col min="2" max="2" width="4.6640625" style="10" customWidth="1"/>
    <col min="3" max="3" width="12.109375" customWidth="1"/>
    <col min="4" max="4" width="0.109375" customWidth="1"/>
    <col min="5" max="6" width="10.109375" style="5" customWidth="1"/>
    <col min="7" max="7" width="9.33203125" style="5" customWidth="1"/>
    <col min="8" max="8" width="11.6640625" customWidth="1"/>
    <col min="10" max="11" width="0" style="3" hidden="1" customWidth="1"/>
    <col min="12" max="12" width="12.33203125" style="4" hidden="1" customWidth="1"/>
    <col min="166" max="166" width="0" hidden="1" customWidth="1"/>
    <col min="167" max="168" width="8.5546875" customWidth="1"/>
    <col min="169" max="169" width="19.109375" customWidth="1"/>
    <col min="170" max="170" width="16" customWidth="1"/>
    <col min="171" max="171" width="12.88671875" customWidth="1"/>
    <col min="172" max="172" width="14.109375" customWidth="1"/>
    <col min="173" max="173" width="15.88671875" customWidth="1"/>
    <col min="174" max="174" width="15.33203125" customWidth="1"/>
    <col min="175" max="175" width="18.44140625" customWidth="1"/>
    <col min="176" max="176" width="14.5546875" customWidth="1"/>
    <col min="177" max="177" width="15.88671875" customWidth="1"/>
    <col min="178" max="183" width="0" hidden="1" customWidth="1"/>
    <col min="184" max="184" width="14" customWidth="1"/>
    <col min="185" max="185" width="10.33203125" customWidth="1"/>
    <col min="186" max="186" width="8.5546875" customWidth="1"/>
    <col min="187" max="187" width="9.33203125" customWidth="1"/>
    <col min="422" max="422" width="0" hidden="1" customWidth="1"/>
    <col min="423" max="424" width="8.5546875" customWidth="1"/>
    <col min="425" max="425" width="19.109375" customWidth="1"/>
    <col min="426" max="426" width="16" customWidth="1"/>
    <col min="427" max="427" width="12.88671875" customWidth="1"/>
    <col min="428" max="428" width="14.109375" customWidth="1"/>
    <col min="429" max="429" width="15.88671875" customWidth="1"/>
    <col min="430" max="430" width="15.33203125" customWidth="1"/>
    <col min="431" max="431" width="18.44140625" customWidth="1"/>
    <col min="432" max="432" width="14.5546875" customWidth="1"/>
    <col min="433" max="433" width="15.88671875" customWidth="1"/>
    <col min="434" max="439" width="0" hidden="1" customWidth="1"/>
    <col min="440" max="440" width="14" customWidth="1"/>
    <col min="441" max="441" width="10.33203125" customWidth="1"/>
    <col min="442" max="442" width="8.5546875" customWidth="1"/>
    <col min="443" max="443" width="9.33203125" customWidth="1"/>
    <col min="678" max="678" width="0" hidden="1" customWidth="1"/>
    <col min="679" max="680" width="8.5546875" customWidth="1"/>
    <col min="681" max="681" width="19.109375" customWidth="1"/>
    <col min="682" max="682" width="16" customWidth="1"/>
    <col min="683" max="683" width="12.88671875" customWidth="1"/>
    <col min="684" max="684" width="14.109375" customWidth="1"/>
    <col min="685" max="685" width="15.88671875" customWidth="1"/>
    <col min="686" max="686" width="15.33203125" customWidth="1"/>
    <col min="687" max="687" width="18.44140625" customWidth="1"/>
    <col min="688" max="688" width="14.5546875" customWidth="1"/>
    <col min="689" max="689" width="15.88671875" customWidth="1"/>
    <col min="690" max="695" width="0" hidden="1" customWidth="1"/>
    <col min="696" max="696" width="14" customWidth="1"/>
    <col min="697" max="697" width="10.33203125" customWidth="1"/>
    <col min="698" max="698" width="8.5546875" customWidth="1"/>
    <col min="699" max="699" width="9.33203125" customWidth="1"/>
    <col min="934" max="934" width="0" hidden="1" customWidth="1"/>
    <col min="935" max="936" width="8.5546875" customWidth="1"/>
    <col min="937" max="937" width="19.109375" customWidth="1"/>
    <col min="938" max="938" width="16" customWidth="1"/>
    <col min="939" max="939" width="12.88671875" customWidth="1"/>
    <col min="940" max="940" width="14.109375" customWidth="1"/>
    <col min="941" max="941" width="15.88671875" customWidth="1"/>
    <col min="942" max="942" width="15.33203125" customWidth="1"/>
    <col min="943" max="943" width="18.44140625" customWidth="1"/>
    <col min="944" max="944" width="14.5546875" customWidth="1"/>
    <col min="945" max="945" width="15.88671875" customWidth="1"/>
    <col min="946" max="951" width="0" hidden="1" customWidth="1"/>
    <col min="952" max="952" width="14" customWidth="1"/>
    <col min="953" max="953" width="10.33203125" customWidth="1"/>
    <col min="954" max="954" width="8.5546875" customWidth="1"/>
    <col min="955" max="955" width="9.33203125" customWidth="1"/>
    <col min="1190" max="1190" width="0" hidden="1" customWidth="1"/>
    <col min="1191" max="1192" width="8.5546875" customWidth="1"/>
    <col min="1193" max="1193" width="19.109375" customWidth="1"/>
    <col min="1194" max="1194" width="16" customWidth="1"/>
    <col min="1195" max="1195" width="12.88671875" customWidth="1"/>
    <col min="1196" max="1196" width="14.109375" customWidth="1"/>
    <col min="1197" max="1197" width="15.88671875" customWidth="1"/>
    <col min="1198" max="1198" width="15.33203125" customWidth="1"/>
    <col min="1199" max="1199" width="18.44140625" customWidth="1"/>
    <col min="1200" max="1200" width="14.5546875" customWidth="1"/>
    <col min="1201" max="1201" width="15.88671875" customWidth="1"/>
    <col min="1202" max="1207" width="0" hidden="1" customWidth="1"/>
    <col min="1208" max="1208" width="14" customWidth="1"/>
    <col min="1209" max="1209" width="10.33203125" customWidth="1"/>
    <col min="1210" max="1210" width="8.5546875" customWidth="1"/>
    <col min="1211" max="1211" width="9.33203125" customWidth="1"/>
    <col min="1446" max="1446" width="0" hidden="1" customWidth="1"/>
    <col min="1447" max="1448" width="8.5546875" customWidth="1"/>
    <col min="1449" max="1449" width="19.109375" customWidth="1"/>
    <col min="1450" max="1450" width="16" customWidth="1"/>
    <col min="1451" max="1451" width="12.88671875" customWidth="1"/>
    <col min="1452" max="1452" width="14.109375" customWidth="1"/>
    <col min="1453" max="1453" width="15.88671875" customWidth="1"/>
    <col min="1454" max="1454" width="15.33203125" customWidth="1"/>
    <col min="1455" max="1455" width="18.44140625" customWidth="1"/>
    <col min="1456" max="1456" width="14.5546875" customWidth="1"/>
    <col min="1457" max="1457" width="15.88671875" customWidth="1"/>
    <col min="1458" max="1463" width="0" hidden="1" customWidth="1"/>
    <col min="1464" max="1464" width="14" customWidth="1"/>
    <col min="1465" max="1465" width="10.33203125" customWidth="1"/>
    <col min="1466" max="1466" width="8.5546875" customWidth="1"/>
    <col min="1467" max="1467" width="9.33203125" customWidth="1"/>
    <col min="1702" max="1702" width="0" hidden="1" customWidth="1"/>
    <col min="1703" max="1704" width="8.5546875" customWidth="1"/>
    <col min="1705" max="1705" width="19.109375" customWidth="1"/>
    <col min="1706" max="1706" width="16" customWidth="1"/>
    <col min="1707" max="1707" width="12.88671875" customWidth="1"/>
    <col min="1708" max="1708" width="14.109375" customWidth="1"/>
    <col min="1709" max="1709" width="15.88671875" customWidth="1"/>
    <col min="1710" max="1710" width="15.33203125" customWidth="1"/>
    <col min="1711" max="1711" width="18.44140625" customWidth="1"/>
    <col min="1712" max="1712" width="14.5546875" customWidth="1"/>
    <col min="1713" max="1713" width="15.88671875" customWidth="1"/>
    <col min="1714" max="1719" width="0" hidden="1" customWidth="1"/>
    <col min="1720" max="1720" width="14" customWidth="1"/>
    <col min="1721" max="1721" width="10.33203125" customWidth="1"/>
    <col min="1722" max="1722" width="8.5546875" customWidth="1"/>
    <col min="1723" max="1723" width="9.33203125" customWidth="1"/>
    <col min="1958" max="1958" width="0" hidden="1" customWidth="1"/>
    <col min="1959" max="1960" width="8.5546875" customWidth="1"/>
    <col min="1961" max="1961" width="19.109375" customWidth="1"/>
    <col min="1962" max="1962" width="16" customWidth="1"/>
    <col min="1963" max="1963" width="12.88671875" customWidth="1"/>
    <col min="1964" max="1964" width="14.109375" customWidth="1"/>
    <col min="1965" max="1965" width="15.88671875" customWidth="1"/>
    <col min="1966" max="1966" width="15.33203125" customWidth="1"/>
    <col min="1967" max="1967" width="18.44140625" customWidth="1"/>
    <col min="1968" max="1968" width="14.5546875" customWidth="1"/>
    <col min="1969" max="1969" width="15.88671875" customWidth="1"/>
    <col min="1970" max="1975" width="0" hidden="1" customWidth="1"/>
    <col min="1976" max="1976" width="14" customWidth="1"/>
    <col min="1977" max="1977" width="10.33203125" customWidth="1"/>
    <col min="1978" max="1978" width="8.5546875" customWidth="1"/>
    <col min="1979" max="1979" width="9.33203125" customWidth="1"/>
    <col min="2214" max="2214" width="0" hidden="1" customWidth="1"/>
    <col min="2215" max="2216" width="8.5546875" customWidth="1"/>
    <col min="2217" max="2217" width="19.109375" customWidth="1"/>
    <col min="2218" max="2218" width="16" customWidth="1"/>
    <col min="2219" max="2219" width="12.88671875" customWidth="1"/>
    <col min="2220" max="2220" width="14.109375" customWidth="1"/>
    <col min="2221" max="2221" width="15.88671875" customWidth="1"/>
    <col min="2222" max="2222" width="15.33203125" customWidth="1"/>
    <col min="2223" max="2223" width="18.44140625" customWidth="1"/>
    <col min="2224" max="2224" width="14.5546875" customWidth="1"/>
    <col min="2225" max="2225" width="15.88671875" customWidth="1"/>
    <col min="2226" max="2231" width="0" hidden="1" customWidth="1"/>
    <col min="2232" max="2232" width="14" customWidth="1"/>
    <col min="2233" max="2233" width="10.33203125" customWidth="1"/>
    <col min="2234" max="2234" width="8.5546875" customWidth="1"/>
    <col min="2235" max="2235" width="9.33203125" customWidth="1"/>
    <col min="2470" max="2470" width="0" hidden="1" customWidth="1"/>
    <col min="2471" max="2472" width="8.5546875" customWidth="1"/>
    <col min="2473" max="2473" width="19.109375" customWidth="1"/>
    <col min="2474" max="2474" width="16" customWidth="1"/>
    <col min="2475" max="2475" width="12.88671875" customWidth="1"/>
    <col min="2476" max="2476" width="14.109375" customWidth="1"/>
    <col min="2477" max="2477" width="15.88671875" customWidth="1"/>
    <col min="2478" max="2478" width="15.33203125" customWidth="1"/>
    <col min="2479" max="2479" width="18.44140625" customWidth="1"/>
    <col min="2480" max="2480" width="14.5546875" customWidth="1"/>
    <col min="2481" max="2481" width="15.88671875" customWidth="1"/>
    <col min="2482" max="2487" width="0" hidden="1" customWidth="1"/>
    <col min="2488" max="2488" width="14" customWidth="1"/>
    <col min="2489" max="2489" width="10.33203125" customWidth="1"/>
    <col min="2490" max="2490" width="8.5546875" customWidth="1"/>
    <col min="2491" max="2491" width="9.33203125" customWidth="1"/>
    <col min="2726" max="2726" width="0" hidden="1" customWidth="1"/>
    <col min="2727" max="2728" width="8.5546875" customWidth="1"/>
    <col min="2729" max="2729" width="19.109375" customWidth="1"/>
    <col min="2730" max="2730" width="16" customWidth="1"/>
    <col min="2731" max="2731" width="12.88671875" customWidth="1"/>
    <col min="2732" max="2732" width="14.109375" customWidth="1"/>
    <col min="2733" max="2733" width="15.88671875" customWidth="1"/>
    <col min="2734" max="2734" width="15.33203125" customWidth="1"/>
    <col min="2735" max="2735" width="18.44140625" customWidth="1"/>
    <col min="2736" max="2736" width="14.5546875" customWidth="1"/>
    <col min="2737" max="2737" width="15.88671875" customWidth="1"/>
    <col min="2738" max="2743" width="0" hidden="1" customWidth="1"/>
    <col min="2744" max="2744" width="14" customWidth="1"/>
    <col min="2745" max="2745" width="10.33203125" customWidth="1"/>
    <col min="2746" max="2746" width="8.5546875" customWidth="1"/>
    <col min="2747" max="2747" width="9.33203125" customWidth="1"/>
    <col min="2982" max="2982" width="0" hidden="1" customWidth="1"/>
    <col min="2983" max="2984" width="8.5546875" customWidth="1"/>
    <col min="2985" max="2985" width="19.109375" customWidth="1"/>
    <col min="2986" max="2986" width="16" customWidth="1"/>
    <col min="2987" max="2987" width="12.88671875" customWidth="1"/>
    <col min="2988" max="2988" width="14.109375" customWidth="1"/>
    <col min="2989" max="2989" width="15.88671875" customWidth="1"/>
    <col min="2990" max="2990" width="15.33203125" customWidth="1"/>
    <col min="2991" max="2991" width="18.44140625" customWidth="1"/>
    <col min="2992" max="2992" width="14.5546875" customWidth="1"/>
    <col min="2993" max="2993" width="15.88671875" customWidth="1"/>
    <col min="2994" max="2999" width="0" hidden="1" customWidth="1"/>
    <col min="3000" max="3000" width="14" customWidth="1"/>
    <col min="3001" max="3001" width="10.33203125" customWidth="1"/>
    <col min="3002" max="3002" width="8.5546875" customWidth="1"/>
    <col min="3003" max="3003" width="9.33203125" customWidth="1"/>
    <col min="3238" max="3238" width="0" hidden="1" customWidth="1"/>
    <col min="3239" max="3240" width="8.5546875" customWidth="1"/>
    <col min="3241" max="3241" width="19.109375" customWidth="1"/>
    <col min="3242" max="3242" width="16" customWidth="1"/>
    <col min="3243" max="3243" width="12.88671875" customWidth="1"/>
    <col min="3244" max="3244" width="14.109375" customWidth="1"/>
    <col min="3245" max="3245" width="15.88671875" customWidth="1"/>
    <col min="3246" max="3246" width="15.33203125" customWidth="1"/>
    <col min="3247" max="3247" width="18.44140625" customWidth="1"/>
    <col min="3248" max="3248" width="14.5546875" customWidth="1"/>
    <col min="3249" max="3249" width="15.88671875" customWidth="1"/>
    <col min="3250" max="3255" width="0" hidden="1" customWidth="1"/>
    <col min="3256" max="3256" width="14" customWidth="1"/>
    <col min="3257" max="3257" width="10.33203125" customWidth="1"/>
    <col min="3258" max="3258" width="8.5546875" customWidth="1"/>
    <col min="3259" max="3259" width="9.33203125" customWidth="1"/>
    <col min="3494" max="3494" width="0" hidden="1" customWidth="1"/>
    <col min="3495" max="3496" width="8.5546875" customWidth="1"/>
    <col min="3497" max="3497" width="19.109375" customWidth="1"/>
    <col min="3498" max="3498" width="16" customWidth="1"/>
    <col min="3499" max="3499" width="12.88671875" customWidth="1"/>
    <col min="3500" max="3500" width="14.109375" customWidth="1"/>
    <col min="3501" max="3501" width="15.88671875" customWidth="1"/>
    <col min="3502" max="3502" width="15.33203125" customWidth="1"/>
    <col min="3503" max="3503" width="18.44140625" customWidth="1"/>
    <col min="3504" max="3504" width="14.5546875" customWidth="1"/>
    <col min="3505" max="3505" width="15.88671875" customWidth="1"/>
    <col min="3506" max="3511" width="0" hidden="1" customWidth="1"/>
    <col min="3512" max="3512" width="14" customWidth="1"/>
    <col min="3513" max="3513" width="10.33203125" customWidth="1"/>
    <col min="3514" max="3514" width="8.5546875" customWidth="1"/>
    <col min="3515" max="3515" width="9.33203125" customWidth="1"/>
    <col min="3750" max="3750" width="0" hidden="1" customWidth="1"/>
    <col min="3751" max="3752" width="8.5546875" customWidth="1"/>
    <col min="3753" max="3753" width="19.109375" customWidth="1"/>
    <col min="3754" max="3754" width="16" customWidth="1"/>
    <col min="3755" max="3755" width="12.88671875" customWidth="1"/>
    <col min="3756" max="3756" width="14.109375" customWidth="1"/>
    <col min="3757" max="3757" width="15.88671875" customWidth="1"/>
    <col min="3758" max="3758" width="15.33203125" customWidth="1"/>
    <col min="3759" max="3759" width="18.44140625" customWidth="1"/>
    <col min="3760" max="3760" width="14.5546875" customWidth="1"/>
    <col min="3761" max="3761" width="15.88671875" customWidth="1"/>
    <col min="3762" max="3767" width="0" hidden="1" customWidth="1"/>
    <col min="3768" max="3768" width="14" customWidth="1"/>
    <col min="3769" max="3769" width="10.33203125" customWidth="1"/>
    <col min="3770" max="3770" width="8.5546875" customWidth="1"/>
    <col min="3771" max="3771" width="9.33203125" customWidth="1"/>
    <col min="4006" max="4006" width="0" hidden="1" customWidth="1"/>
    <col min="4007" max="4008" width="8.5546875" customWidth="1"/>
    <col min="4009" max="4009" width="19.109375" customWidth="1"/>
    <col min="4010" max="4010" width="16" customWidth="1"/>
    <col min="4011" max="4011" width="12.88671875" customWidth="1"/>
    <col min="4012" max="4012" width="14.109375" customWidth="1"/>
    <col min="4013" max="4013" width="15.88671875" customWidth="1"/>
    <col min="4014" max="4014" width="15.33203125" customWidth="1"/>
    <col min="4015" max="4015" width="18.44140625" customWidth="1"/>
    <col min="4016" max="4016" width="14.5546875" customWidth="1"/>
    <col min="4017" max="4017" width="15.88671875" customWidth="1"/>
    <col min="4018" max="4023" width="0" hidden="1" customWidth="1"/>
    <col min="4024" max="4024" width="14" customWidth="1"/>
    <col min="4025" max="4025" width="10.33203125" customWidth="1"/>
    <col min="4026" max="4026" width="8.5546875" customWidth="1"/>
    <col min="4027" max="4027" width="9.33203125" customWidth="1"/>
    <col min="4262" max="4262" width="0" hidden="1" customWidth="1"/>
    <col min="4263" max="4264" width="8.5546875" customWidth="1"/>
    <col min="4265" max="4265" width="19.109375" customWidth="1"/>
    <col min="4266" max="4266" width="16" customWidth="1"/>
    <col min="4267" max="4267" width="12.88671875" customWidth="1"/>
    <col min="4268" max="4268" width="14.109375" customWidth="1"/>
    <col min="4269" max="4269" width="15.88671875" customWidth="1"/>
    <col min="4270" max="4270" width="15.33203125" customWidth="1"/>
    <col min="4271" max="4271" width="18.44140625" customWidth="1"/>
    <col min="4272" max="4272" width="14.5546875" customWidth="1"/>
    <col min="4273" max="4273" width="15.88671875" customWidth="1"/>
    <col min="4274" max="4279" width="0" hidden="1" customWidth="1"/>
    <col min="4280" max="4280" width="14" customWidth="1"/>
    <col min="4281" max="4281" width="10.33203125" customWidth="1"/>
    <col min="4282" max="4282" width="8.5546875" customWidth="1"/>
    <col min="4283" max="4283" width="9.33203125" customWidth="1"/>
    <col min="4518" max="4518" width="0" hidden="1" customWidth="1"/>
    <col min="4519" max="4520" width="8.5546875" customWidth="1"/>
    <col min="4521" max="4521" width="19.109375" customWidth="1"/>
    <col min="4522" max="4522" width="16" customWidth="1"/>
    <col min="4523" max="4523" width="12.88671875" customWidth="1"/>
    <col min="4524" max="4524" width="14.109375" customWidth="1"/>
    <col min="4525" max="4525" width="15.88671875" customWidth="1"/>
    <col min="4526" max="4526" width="15.33203125" customWidth="1"/>
    <col min="4527" max="4527" width="18.44140625" customWidth="1"/>
    <col min="4528" max="4528" width="14.5546875" customWidth="1"/>
    <col min="4529" max="4529" width="15.88671875" customWidth="1"/>
    <col min="4530" max="4535" width="0" hidden="1" customWidth="1"/>
    <col min="4536" max="4536" width="14" customWidth="1"/>
    <col min="4537" max="4537" width="10.33203125" customWidth="1"/>
    <col min="4538" max="4538" width="8.5546875" customWidth="1"/>
    <col min="4539" max="4539" width="9.33203125" customWidth="1"/>
    <col min="4774" max="4774" width="0" hidden="1" customWidth="1"/>
    <col min="4775" max="4776" width="8.5546875" customWidth="1"/>
    <col min="4777" max="4777" width="19.109375" customWidth="1"/>
    <col min="4778" max="4778" width="16" customWidth="1"/>
    <col min="4779" max="4779" width="12.88671875" customWidth="1"/>
    <col min="4780" max="4780" width="14.109375" customWidth="1"/>
    <col min="4781" max="4781" width="15.88671875" customWidth="1"/>
    <col min="4782" max="4782" width="15.33203125" customWidth="1"/>
    <col min="4783" max="4783" width="18.44140625" customWidth="1"/>
    <col min="4784" max="4784" width="14.5546875" customWidth="1"/>
    <col min="4785" max="4785" width="15.88671875" customWidth="1"/>
    <col min="4786" max="4791" width="0" hidden="1" customWidth="1"/>
    <col min="4792" max="4792" width="14" customWidth="1"/>
    <col min="4793" max="4793" width="10.33203125" customWidth="1"/>
    <col min="4794" max="4794" width="8.5546875" customWidth="1"/>
    <col min="4795" max="4795" width="9.33203125" customWidth="1"/>
    <col min="5030" max="5030" width="0" hidden="1" customWidth="1"/>
    <col min="5031" max="5032" width="8.5546875" customWidth="1"/>
    <col min="5033" max="5033" width="19.109375" customWidth="1"/>
    <col min="5034" max="5034" width="16" customWidth="1"/>
    <col min="5035" max="5035" width="12.88671875" customWidth="1"/>
    <col min="5036" max="5036" width="14.109375" customWidth="1"/>
    <col min="5037" max="5037" width="15.88671875" customWidth="1"/>
    <col min="5038" max="5038" width="15.33203125" customWidth="1"/>
    <col min="5039" max="5039" width="18.44140625" customWidth="1"/>
    <col min="5040" max="5040" width="14.5546875" customWidth="1"/>
    <col min="5041" max="5041" width="15.88671875" customWidth="1"/>
    <col min="5042" max="5047" width="0" hidden="1" customWidth="1"/>
    <col min="5048" max="5048" width="14" customWidth="1"/>
    <col min="5049" max="5049" width="10.33203125" customWidth="1"/>
    <col min="5050" max="5050" width="8.5546875" customWidth="1"/>
    <col min="5051" max="5051" width="9.33203125" customWidth="1"/>
    <col min="5286" max="5286" width="0" hidden="1" customWidth="1"/>
    <col min="5287" max="5288" width="8.5546875" customWidth="1"/>
    <col min="5289" max="5289" width="19.109375" customWidth="1"/>
    <col min="5290" max="5290" width="16" customWidth="1"/>
    <col min="5291" max="5291" width="12.88671875" customWidth="1"/>
    <col min="5292" max="5292" width="14.109375" customWidth="1"/>
    <col min="5293" max="5293" width="15.88671875" customWidth="1"/>
    <col min="5294" max="5294" width="15.33203125" customWidth="1"/>
    <col min="5295" max="5295" width="18.44140625" customWidth="1"/>
    <col min="5296" max="5296" width="14.5546875" customWidth="1"/>
    <col min="5297" max="5297" width="15.88671875" customWidth="1"/>
    <col min="5298" max="5303" width="0" hidden="1" customWidth="1"/>
    <col min="5304" max="5304" width="14" customWidth="1"/>
    <col min="5305" max="5305" width="10.33203125" customWidth="1"/>
    <col min="5306" max="5306" width="8.5546875" customWidth="1"/>
    <col min="5307" max="5307" width="9.33203125" customWidth="1"/>
    <col min="5542" max="5542" width="0" hidden="1" customWidth="1"/>
    <col min="5543" max="5544" width="8.5546875" customWidth="1"/>
    <col min="5545" max="5545" width="19.109375" customWidth="1"/>
    <col min="5546" max="5546" width="16" customWidth="1"/>
    <col min="5547" max="5547" width="12.88671875" customWidth="1"/>
    <col min="5548" max="5548" width="14.109375" customWidth="1"/>
    <col min="5549" max="5549" width="15.88671875" customWidth="1"/>
    <col min="5550" max="5550" width="15.33203125" customWidth="1"/>
    <col min="5551" max="5551" width="18.44140625" customWidth="1"/>
    <col min="5552" max="5552" width="14.5546875" customWidth="1"/>
    <col min="5553" max="5553" width="15.88671875" customWidth="1"/>
    <col min="5554" max="5559" width="0" hidden="1" customWidth="1"/>
    <col min="5560" max="5560" width="14" customWidth="1"/>
    <col min="5561" max="5561" width="10.33203125" customWidth="1"/>
    <col min="5562" max="5562" width="8.5546875" customWidth="1"/>
    <col min="5563" max="5563" width="9.33203125" customWidth="1"/>
    <col min="5798" max="5798" width="0" hidden="1" customWidth="1"/>
    <col min="5799" max="5800" width="8.5546875" customWidth="1"/>
    <col min="5801" max="5801" width="19.109375" customWidth="1"/>
    <col min="5802" max="5802" width="16" customWidth="1"/>
    <col min="5803" max="5803" width="12.88671875" customWidth="1"/>
    <col min="5804" max="5804" width="14.109375" customWidth="1"/>
    <col min="5805" max="5805" width="15.88671875" customWidth="1"/>
    <col min="5806" max="5806" width="15.33203125" customWidth="1"/>
    <col min="5807" max="5807" width="18.44140625" customWidth="1"/>
    <col min="5808" max="5808" width="14.5546875" customWidth="1"/>
    <col min="5809" max="5809" width="15.88671875" customWidth="1"/>
    <col min="5810" max="5815" width="0" hidden="1" customWidth="1"/>
    <col min="5816" max="5816" width="14" customWidth="1"/>
    <col min="5817" max="5817" width="10.33203125" customWidth="1"/>
    <col min="5818" max="5818" width="8.5546875" customWidth="1"/>
    <col min="5819" max="5819" width="9.33203125" customWidth="1"/>
    <col min="6054" max="6054" width="0" hidden="1" customWidth="1"/>
    <col min="6055" max="6056" width="8.5546875" customWidth="1"/>
    <col min="6057" max="6057" width="19.109375" customWidth="1"/>
    <col min="6058" max="6058" width="16" customWidth="1"/>
    <col min="6059" max="6059" width="12.88671875" customWidth="1"/>
    <col min="6060" max="6060" width="14.109375" customWidth="1"/>
    <col min="6061" max="6061" width="15.88671875" customWidth="1"/>
    <col min="6062" max="6062" width="15.33203125" customWidth="1"/>
    <col min="6063" max="6063" width="18.44140625" customWidth="1"/>
    <col min="6064" max="6064" width="14.5546875" customWidth="1"/>
    <col min="6065" max="6065" width="15.88671875" customWidth="1"/>
    <col min="6066" max="6071" width="0" hidden="1" customWidth="1"/>
    <col min="6072" max="6072" width="14" customWidth="1"/>
    <col min="6073" max="6073" width="10.33203125" customWidth="1"/>
    <col min="6074" max="6074" width="8.5546875" customWidth="1"/>
    <col min="6075" max="6075" width="9.33203125" customWidth="1"/>
    <col min="6310" max="6310" width="0" hidden="1" customWidth="1"/>
    <col min="6311" max="6312" width="8.5546875" customWidth="1"/>
    <col min="6313" max="6313" width="19.109375" customWidth="1"/>
    <col min="6314" max="6314" width="16" customWidth="1"/>
    <col min="6315" max="6315" width="12.88671875" customWidth="1"/>
    <col min="6316" max="6316" width="14.109375" customWidth="1"/>
    <col min="6317" max="6317" width="15.88671875" customWidth="1"/>
    <col min="6318" max="6318" width="15.33203125" customWidth="1"/>
    <col min="6319" max="6319" width="18.44140625" customWidth="1"/>
    <col min="6320" max="6320" width="14.5546875" customWidth="1"/>
    <col min="6321" max="6321" width="15.88671875" customWidth="1"/>
    <col min="6322" max="6327" width="0" hidden="1" customWidth="1"/>
    <col min="6328" max="6328" width="14" customWidth="1"/>
    <col min="6329" max="6329" width="10.33203125" customWidth="1"/>
    <col min="6330" max="6330" width="8.5546875" customWidth="1"/>
    <col min="6331" max="6331" width="9.33203125" customWidth="1"/>
    <col min="6566" max="6566" width="0" hidden="1" customWidth="1"/>
    <col min="6567" max="6568" width="8.5546875" customWidth="1"/>
    <col min="6569" max="6569" width="19.109375" customWidth="1"/>
    <col min="6570" max="6570" width="16" customWidth="1"/>
    <col min="6571" max="6571" width="12.88671875" customWidth="1"/>
    <col min="6572" max="6572" width="14.109375" customWidth="1"/>
    <col min="6573" max="6573" width="15.88671875" customWidth="1"/>
    <col min="6574" max="6574" width="15.33203125" customWidth="1"/>
    <col min="6575" max="6575" width="18.44140625" customWidth="1"/>
    <col min="6576" max="6576" width="14.5546875" customWidth="1"/>
    <col min="6577" max="6577" width="15.88671875" customWidth="1"/>
    <col min="6578" max="6583" width="0" hidden="1" customWidth="1"/>
    <col min="6584" max="6584" width="14" customWidth="1"/>
    <col min="6585" max="6585" width="10.33203125" customWidth="1"/>
    <col min="6586" max="6586" width="8.5546875" customWidth="1"/>
    <col min="6587" max="6587" width="9.33203125" customWidth="1"/>
    <col min="6822" max="6822" width="0" hidden="1" customWidth="1"/>
    <col min="6823" max="6824" width="8.5546875" customWidth="1"/>
    <col min="6825" max="6825" width="19.109375" customWidth="1"/>
    <col min="6826" max="6826" width="16" customWidth="1"/>
    <col min="6827" max="6827" width="12.88671875" customWidth="1"/>
    <col min="6828" max="6828" width="14.109375" customWidth="1"/>
    <col min="6829" max="6829" width="15.88671875" customWidth="1"/>
    <col min="6830" max="6830" width="15.33203125" customWidth="1"/>
    <col min="6831" max="6831" width="18.44140625" customWidth="1"/>
    <col min="6832" max="6832" width="14.5546875" customWidth="1"/>
    <col min="6833" max="6833" width="15.88671875" customWidth="1"/>
    <col min="6834" max="6839" width="0" hidden="1" customWidth="1"/>
    <col min="6840" max="6840" width="14" customWidth="1"/>
    <col min="6841" max="6841" width="10.33203125" customWidth="1"/>
    <col min="6842" max="6842" width="8.5546875" customWidth="1"/>
    <col min="6843" max="6843" width="9.33203125" customWidth="1"/>
    <col min="7078" max="7078" width="0" hidden="1" customWidth="1"/>
    <col min="7079" max="7080" width="8.5546875" customWidth="1"/>
    <col min="7081" max="7081" width="19.109375" customWidth="1"/>
    <col min="7082" max="7082" width="16" customWidth="1"/>
    <col min="7083" max="7083" width="12.88671875" customWidth="1"/>
    <col min="7084" max="7084" width="14.109375" customWidth="1"/>
    <col min="7085" max="7085" width="15.88671875" customWidth="1"/>
    <col min="7086" max="7086" width="15.33203125" customWidth="1"/>
    <col min="7087" max="7087" width="18.44140625" customWidth="1"/>
    <col min="7088" max="7088" width="14.5546875" customWidth="1"/>
    <col min="7089" max="7089" width="15.88671875" customWidth="1"/>
    <col min="7090" max="7095" width="0" hidden="1" customWidth="1"/>
    <col min="7096" max="7096" width="14" customWidth="1"/>
    <col min="7097" max="7097" width="10.33203125" customWidth="1"/>
    <col min="7098" max="7098" width="8.5546875" customWidth="1"/>
    <col min="7099" max="7099" width="9.33203125" customWidth="1"/>
    <col min="7334" max="7334" width="0" hidden="1" customWidth="1"/>
    <col min="7335" max="7336" width="8.5546875" customWidth="1"/>
    <col min="7337" max="7337" width="19.109375" customWidth="1"/>
    <col min="7338" max="7338" width="16" customWidth="1"/>
    <col min="7339" max="7339" width="12.88671875" customWidth="1"/>
    <col min="7340" max="7340" width="14.109375" customWidth="1"/>
    <col min="7341" max="7341" width="15.88671875" customWidth="1"/>
    <col min="7342" max="7342" width="15.33203125" customWidth="1"/>
    <col min="7343" max="7343" width="18.44140625" customWidth="1"/>
    <col min="7344" max="7344" width="14.5546875" customWidth="1"/>
    <col min="7345" max="7345" width="15.88671875" customWidth="1"/>
    <col min="7346" max="7351" width="0" hidden="1" customWidth="1"/>
    <col min="7352" max="7352" width="14" customWidth="1"/>
    <col min="7353" max="7353" width="10.33203125" customWidth="1"/>
    <col min="7354" max="7354" width="8.5546875" customWidth="1"/>
    <col min="7355" max="7355" width="9.33203125" customWidth="1"/>
    <col min="7590" max="7590" width="0" hidden="1" customWidth="1"/>
    <col min="7591" max="7592" width="8.5546875" customWidth="1"/>
    <col min="7593" max="7593" width="19.109375" customWidth="1"/>
    <col min="7594" max="7594" width="16" customWidth="1"/>
    <col min="7595" max="7595" width="12.88671875" customWidth="1"/>
    <col min="7596" max="7596" width="14.109375" customWidth="1"/>
    <col min="7597" max="7597" width="15.88671875" customWidth="1"/>
    <col min="7598" max="7598" width="15.33203125" customWidth="1"/>
    <col min="7599" max="7599" width="18.44140625" customWidth="1"/>
    <col min="7600" max="7600" width="14.5546875" customWidth="1"/>
    <col min="7601" max="7601" width="15.88671875" customWidth="1"/>
    <col min="7602" max="7607" width="0" hidden="1" customWidth="1"/>
    <col min="7608" max="7608" width="14" customWidth="1"/>
    <col min="7609" max="7609" width="10.33203125" customWidth="1"/>
    <col min="7610" max="7610" width="8.5546875" customWidth="1"/>
    <col min="7611" max="7611" width="9.33203125" customWidth="1"/>
    <col min="7846" max="7846" width="0" hidden="1" customWidth="1"/>
    <col min="7847" max="7848" width="8.5546875" customWidth="1"/>
    <col min="7849" max="7849" width="19.109375" customWidth="1"/>
    <col min="7850" max="7850" width="16" customWidth="1"/>
    <col min="7851" max="7851" width="12.88671875" customWidth="1"/>
    <col min="7852" max="7852" width="14.109375" customWidth="1"/>
    <col min="7853" max="7853" width="15.88671875" customWidth="1"/>
    <col min="7854" max="7854" width="15.33203125" customWidth="1"/>
    <col min="7855" max="7855" width="18.44140625" customWidth="1"/>
    <col min="7856" max="7856" width="14.5546875" customWidth="1"/>
    <col min="7857" max="7857" width="15.88671875" customWidth="1"/>
    <col min="7858" max="7863" width="0" hidden="1" customWidth="1"/>
    <col min="7864" max="7864" width="14" customWidth="1"/>
    <col min="7865" max="7865" width="10.33203125" customWidth="1"/>
    <col min="7866" max="7866" width="8.5546875" customWidth="1"/>
    <col min="7867" max="7867" width="9.33203125" customWidth="1"/>
    <col min="8102" max="8102" width="0" hidden="1" customWidth="1"/>
    <col min="8103" max="8104" width="8.5546875" customWidth="1"/>
    <col min="8105" max="8105" width="19.109375" customWidth="1"/>
    <col min="8106" max="8106" width="16" customWidth="1"/>
    <col min="8107" max="8107" width="12.88671875" customWidth="1"/>
    <col min="8108" max="8108" width="14.109375" customWidth="1"/>
    <col min="8109" max="8109" width="15.88671875" customWidth="1"/>
    <col min="8110" max="8110" width="15.33203125" customWidth="1"/>
    <col min="8111" max="8111" width="18.44140625" customWidth="1"/>
    <col min="8112" max="8112" width="14.5546875" customWidth="1"/>
    <col min="8113" max="8113" width="15.88671875" customWidth="1"/>
    <col min="8114" max="8119" width="0" hidden="1" customWidth="1"/>
    <col min="8120" max="8120" width="14" customWidth="1"/>
    <col min="8121" max="8121" width="10.33203125" customWidth="1"/>
    <col min="8122" max="8122" width="8.5546875" customWidth="1"/>
    <col min="8123" max="8123" width="9.33203125" customWidth="1"/>
    <col min="8358" max="8358" width="0" hidden="1" customWidth="1"/>
    <col min="8359" max="8360" width="8.5546875" customWidth="1"/>
    <col min="8361" max="8361" width="19.109375" customWidth="1"/>
    <col min="8362" max="8362" width="16" customWidth="1"/>
    <col min="8363" max="8363" width="12.88671875" customWidth="1"/>
    <col min="8364" max="8364" width="14.109375" customWidth="1"/>
    <col min="8365" max="8365" width="15.88671875" customWidth="1"/>
    <col min="8366" max="8366" width="15.33203125" customWidth="1"/>
    <col min="8367" max="8367" width="18.44140625" customWidth="1"/>
    <col min="8368" max="8368" width="14.5546875" customWidth="1"/>
    <col min="8369" max="8369" width="15.88671875" customWidth="1"/>
    <col min="8370" max="8375" width="0" hidden="1" customWidth="1"/>
    <col min="8376" max="8376" width="14" customWidth="1"/>
    <col min="8377" max="8377" width="10.33203125" customWidth="1"/>
    <col min="8378" max="8378" width="8.5546875" customWidth="1"/>
    <col min="8379" max="8379" width="9.33203125" customWidth="1"/>
    <col min="8614" max="8614" width="0" hidden="1" customWidth="1"/>
    <col min="8615" max="8616" width="8.5546875" customWidth="1"/>
    <col min="8617" max="8617" width="19.109375" customWidth="1"/>
    <col min="8618" max="8618" width="16" customWidth="1"/>
    <col min="8619" max="8619" width="12.88671875" customWidth="1"/>
    <col min="8620" max="8620" width="14.109375" customWidth="1"/>
    <col min="8621" max="8621" width="15.88671875" customWidth="1"/>
    <col min="8622" max="8622" width="15.33203125" customWidth="1"/>
    <col min="8623" max="8623" width="18.44140625" customWidth="1"/>
    <col min="8624" max="8624" width="14.5546875" customWidth="1"/>
    <col min="8625" max="8625" width="15.88671875" customWidth="1"/>
    <col min="8626" max="8631" width="0" hidden="1" customWidth="1"/>
    <col min="8632" max="8632" width="14" customWidth="1"/>
    <col min="8633" max="8633" width="10.33203125" customWidth="1"/>
    <col min="8634" max="8634" width="8.5546875" customWidth="1"/>
    <col min="8635" max="8635" width="9.33203125" customWidth="1"/>
    <col min="8870" max="8870" width="0" hidden="1" customWidth="1"/>
    <col min="8871" max="8872" width="8.5546875" customWidth="1"/>
    <col min="8873" max="8873" width="19.109375" customWidth="1"/>
    <col min="8874" max="8874" width="16" customWidth="1"/>
    <col min="8875" max="8875" width="12.88671875" customWidth="1"/>
    <col min="8876" max="8876" width="14.109375" customWidth="1"/>
    <col min="8877" max="8877" width="15.88671875" customWidth="1"/>
    <col min="8878" max="8878" width="15.33203125" customWidth="1"/>
    <col min="8879" max="8879" width="18.44140625" customWidth="1"/>
    <col min="8880" max="8880" width="14.5546875" customWidth="1"/>
    <col min="8881" max="8881" width="15.88671875" customWidth="1"/>
    <col min="8882" max="8887" width="0" hidden="1" customWidth="1"/>
    <col min="8888" max="8888" width="14" customWidth="1"/>
    <col min="8889" max="8889" width="10.33203125" customWidth="1"/>
    <col min="8890" max="8890" width="8.5546875" customWidth="1"/>
    <col min="8891" max="8891" width="9.33203125" customWidth="1"/>
    <col min="9126" max="9126" width="0" hidden="1" customWidth="1"/>
    <col min="9127" max="9128" width="8.5546875" customWidth="1"/>
    <col min="9129" max="9129" width="19.109375" customWidth="1"/>
    <col min="9130" max="9130" width="16" customWidth="1"/>
    <col min="9131" max="9131" width="12.88671875" customWidth="1"/>
    <col min="9132" max="9132" width="14.109375" customWidth="1"/>
    <col min="9133" max="9133" width="15.88671875" customWidth="1"/>
    <col min="9134" max="9134" width="15.33203125" customWidth="1"/>
    <col min="9135" max="9135" width="18.44140625" customWidth="1"/>
    <col min="9136" max="9136" width="14.5546875" customWidth="1"/>
    <col min="9137" max="9137" width="15.88671875" customWidth="1"/>
    <col min="9138" max="9143" width="0" hidden="1" customWidth="1"/>
    <col min="9144" max="9144" width="14" customWidth="1"/>
    <col min="9145" max="9145" width="10.33203125" customWidth="1"/>
    <col min="9146" max="9146" width="8.5546875" customWidth="1"/>
    <col min="9147" max="9147" width="9.33203125" customWidth="1"/>
    <col min="9382" max="9382" width="0" hidden="1" customWidth="1"/>
    <col min="9383" max="9384" width="8.5546875" customWidth="1"/>
    <col min="9385" max="9385" width="19.109375" customWidth="1"/>
    <col min="9386" max="9386" width="16" customWidth="1"/>
    <col min="9387" max="9387" width="12.88671875" customWidth="1"/>
    <col min="9388" max="9388" width="14.109375" customWidth="1"/>
    <col min="9389" max="9389" width="15.88671875" customWidth="1"/>
    <col min="9390" max="9390" width="15.33203125" customWidth="1"/>
    <col min="9391" max="9391" width="18.44140625" customWidth="1"/>
    <col min="9392" max="9392" width="14.5546875" customWidth="1"/>
    <col min="9393" max="9393" width="15.88671875" customWidth="1"/>
    <col min="9394" max="9399" width="0" hidden="1" customWidth="1"/>
    <col min="9400" max="9400" width="14" customWidth="1"/>
    <col min="9401" max="9401" width="10.33203125" customWidth="1"/>
    <col min="9402" max="9402" width="8.5546875" customWidth="1"/>
    <col min="9403" max="9403" width="9.33203125" customWidth="1"/>
    <col min="9638" max="9638" width="0" hidden="1" customWidth="1"/>
    <col min="9639" max="9640" width="8.5546875" customWidth="1"/>
    <col min="9641" max="9641" width="19.109375" customWidth="1"/>
    <col min="9642" max="9642" width="16" customWidth="1"/>
    <col min="9643" max="9643" width="12.88671875" customWidth="1"/>
    <col min="9644" max="9644" width="14.109375" customWidth="1"/>
    <col min="9645" max="9645" width="15.88671875" customWidth="1"/>
    <col min="9646" max="9646" width="15.33203125" customWidth="1"/>
    <col min="9647" max="9647" width="18.44140625" customWidth="1"/>
    <col min="9648" max="9648" width="14.5546875" customWidth="1"/>
    <col min="9649" max="9649" width="15.88671875" customWidth="1"/>
    <col min="9650" max="9655" width="0" hidden="1" customWidth="1"/>
    <col min="9656" max="9656" width="14" customWidth="1"/>
    <col min="9657" max="9657" width="10.33203125" customWidth="1"/>
    <col min="9658" max="9658" width="8.5546875" customWidth="1"/>
    <col min="9659" max="9659" width="9.33203125" customWidth="1"/>
    <col min="9894" max="9894" width="0" hidden="1" customWidth="1"/>
    <col min="9895" max="9896" width="8.5546875" customWidth="1"/>
    <col min="9897" max="9897" width="19.109375" customWidth="1"/>
    <col min="9898" max="9898" width="16" customWidth="1"/>
    <col min="9899" max="9899" width="12.88671875" customWidth="1"/>
    <col min="9900" max="9900" width="14.109375" customWidth="1"/>
    <col min="9901" max="9901" width="15.88671875" customWidth="1"/>
    <col min="9902" max="9902" width="15.33203125" customWidth="1"/>
    <col min="9903" max="9903" width="18.44140625" customWidth="1"/>
    <col min="9904" max="9904" width="14.5546875" customWidth="1"/>
    <col min="9905" max="9905" width="15.88671875" customWidth="1"/>
    <col min="9906" max="9911" width="0" hidden="1" customWidth="1"/>
    <col min="9912" max="9912" width="14" customWidth="1"/>
    <col min="9913" max="9913" width="10.33203125" customWidth="1"/>
    <col min="9914" max="9914" width="8.5546875" customWidth="1"/>
    <col min="9915" max="9915" width="9.33203125" customWidth="1"/>
    <col min="10150" max="10150" width="0" hidden="1" customWidth="1"/>
    <col min="10151" max="10152" width="8.5546875" customWidth="1"/>
    <col min="10153" max="10153" width="19.109375" customWidth="1"/>
    <col min="10154" max="10154" width="16" customWidth="1"/>
    <col min="10155" max="10155" width="12.88671875" customWidth="1"/>
    <col min="10156" max="10156" width="14.109375" customWidth="1"/>
    <col min="10157" max="10157" width="15.88671875" customWidth="1"/>
    <col min="10158" max="10158" width="15.33203125" customWidth="1"/>
    <col min="10159" max="10159" width="18.44140625" customWidth="1"/>
    <col min="10160" max="10160" width="14.5546875" customWidth="1"/>
    <col min="10161" max="10161" width="15.88671875" customWidth="1"/>
    <col min="10162" max="10167" width="0" hidden="1" customWidth="1"/>
    <col min="10168" max="10168" width="14" customWidth="1"/>
    <col min="10169" max="10169" width="10.33203125" customWidth="1"/>
    <col min="10170" max="10170" width="8.5546875" customWidth="1"/>
    <col min="10171" max="10171" width="9.33203125" customWidth="1"/>
    <col min="10406" max="10406" width="0" hidden="1" customWidth="1"/>
    <col min="10407" max="10408" width="8.5546875" customWidth="1"/>
    <col min="10409" max="10409" width="19.109375" customWidth="1"/>
    <col min="10410" max="10410" width="16" customWidth="1"/>
    <col min="10411" max="10411" width="12.88671875" customWidth="1"/>
    <col min="10412" max="10412" width="14.109375" customWidth="1"/>
    <col min="10413" max="10413" width="15.88671875" customWidth="1"/>
    <col min="10414" max="10414" width="15.33203125" customWidth="1"/>
    <col min="10415" max="10415" width="18.44140625" customWidth="1"/>
    <col min="10416" max="10416" width="14.5546875" customWidth="1"/>
    <col min="10417" max="10417" width="15.88671875" customWidth="1"/>
    <col min="10418" max="10423" width="0" hidden="1" customWidth="1"/>
    <col min="10424" max="10424" width="14" customWidth="1"/>
    <col min="10425" max="10425" width="10.33203125" customWidth="1"/>
    <col min="10426" max="10426" width="8.5546875" customWidth="1"/>
    <col min="10427" max="10427" width="9.33203125" customWidth="1"/>
    <col min="10662" max="10662" width="0" hidden="1" customWidth="1"/>
    <col min="10663" max="10664" width="8.5546875" customWidth="1"/>
    <col min="10665" max="10665" width="19.109375" customWidth="1"/>
    <col min="10666" max="10666" width="16" customWidth="1"/>
    <col min="10667" max="10667" width="12.88671875" customWidth="1"/>
    <col min="10668" max="10668" width="14.109375" customWidth="1"/>
    <col min="10669" max="10669" width="15.88671875" customWidth="1"/>
    <col min="10670" max="10670" width="15.33203125" customWidth="1"/>
    <col min="10671" max="10671" width="18.44140625" customWidth="1"/>
    <col min="10672" max="10672" width="14.5546875" customWidth="1"/>
    <col min="10673" max="10673" width="15.88671875" customWidth="1"/>
    <col min="10674" max="10679" width="0" hidden="1" customWidth="1"/>
    <col min="10680" max="10680" width="14" customWidth="1"/>
    <col min="10681" max="10681" width="10.33203125" customWidth="1"/>
    <col min="10682" max="10682" width="8.5546875" customWidth="1"/>
    <col min="10683" max="10683" width="9.33203125" customWidth="1"/>
    <col min="10918" max="10918" width="0" hidden="1" customWidth="1"/>
    <col min="10919" max="10920" width="8.5546875" customWidth="1"/>
    <col min="10921" max="10921" width="19.109375" customWidth="1"/>
    <col min="10922" max="10922" width="16" customWidth="1"/>
    <col min="10923" max="10923" width="12.88671875" customWidth="1"/>
    <col min="10924" max="10924" width="14.109375" customWidth="1"/>
    <col min="10925" max="10925" width="15.88671875" customWidth="1"/>
    <col min="10926" max="10926" width="15.33203125" customWidth="1"/>
    <col min="10927" max="10927" width="18.44140625" customWidth="1"/>
    <col min="10928" max="10928" width="14.5546875" customWidth="1"/>
    <col min="10929" max="10929" width="15.88671875" customWidth="1"/>
    <col min="10930" max="10935" width="0" hidden="1" customWidth="1"/>
    <col min="10936" max="10936" width="14" customWidth="1"/>
    <col min="10937" max="10937" width="10.33203125" customWidth="1"/>
    <col min="10938" max="10938" width="8.5546875" customWidth="1"/>
    <col min="10939" max="10939" width="9.33203125" customWidth="1"/>
    <col min="11174" max="11174" width="0" hidden="1" customWidth="1"/>
    <col min="11175" max="11176" width="8.5546875" customWidth="1"/>
    <col min="11177" max="11177" width="19.109375" customWidth="1"/>
    <col min="11178" max="11178" width="16" customWidth="1"/>
    <col min="11179" max="11179" width="12.88671875" customWidth="1"/>
    <col min="11180" max="11180" width="14.109375" customWidth="1"/>
    <col min="11181" max="11181" width="15.88671875" customWidth="1"/>
    <col min="11182" max="11182" width="15.33203125" customWidth="1"/>
    <col min="11183" max="11183" width="18.44140625" customWidth="1"/>
    <col min="11184" max="11184" width="14.5546875" customWidth="1"/>
    <col min="11185" max="11185" width="15.88671875" customWidth="1"/>
    <col min="11186" max="11191" width="0" hidden="1" customWidth="1"/>
    <col min="11192" max="11192" width="14" customWidth="1"/>
    <col min="11193" max="11193" width="10.33203125" customWidth="1"/>
    <col min="11194" max="11194" width="8.5546875" customWidth="1"/>
    <col min="11195" max="11195" width="9.33203125" customWidth="1"/>
    <col min="11430" max="11430" width="0" hidden="1" customWidth="1"/>
    <col min="11431" max="11432" width="8.5546875" customWidth="1"/>
    <col min="11433" max="11433" width="19.109375" customWidth="1"/>
    <col min="11434" max="11434" width="16" customWidth="1"/>
    <col min="11435" max="11435" width="12.88671875" customWidth="1"/>
    <col min="11436" max="11436" width="14.109375" customWidth="1"/>
    <col min="11437" max="11437" width="15.88671875" customWidth="1"/>
    <col min="11438" max="11438" width="15.33203125" customWidth="1"/>
    <col min="11439" max="11439" width="18.44140625" customWidth="1"/>
    <col min="11440" max="11440" width="14.5546875" customWidth="1"/>
    <col min="11441" max="11441" width="15.88671875" customWidth="1"/>
    <col min="11442" max="11447" width="0" hidden="1" customWidth="1"/>
    <col min="11448" max="11448" width="14" customWidth="1"/>
    <col min="11449" max="11449" width="10.33203125" customWidth="1"/>
    <col min="11450" max="11450" width="8.5546875" customWidth="1"/>
    <col min="11451" max="11451" width="9.33203125" customWidth="1"/>
    <col min="11686" max="11686" width="0" hidden="1" customWidth="1"/>
    <col min="11687" max="11688" width="8.5546875" customWidth="1"/>
    <col min="11689" max="11689" width="19.109375" customWidth="1"/>
    <col min="11690" max="11690" width="16" customWidth="1"/>
    <col min="11691" max="11691" width="12.88671875" customWidth="1"/>
    <col min="11692" max="11692" width="14.109375" customWidth="1"/>
    <col min="11693" max="11693" width="15.88671875" customWidth="1"/>
    <col min="11694" max="11694" width="15.33203125" customWidth="1"/>
    <col min="11695" max="11695" width="18.44140625" customWidth="1"/>
    <col min="11696" max="11696" width="14.5546875" customWidth="1"/>
    <col min="11697" max="11697" width="15.88671875" customWidth="1"/>
    <col min="11698" max="11703" width="0" hidden="1" customWidth="1"/>
    <col min="11704" max="11704" width="14" customWidth="1"/>
    <col min="11705" max="11705" width="10.33203125" customWidth="1"/>
    <col min="11706" max="11706" width="8.5546875" customWidth="1"/>
    <col min="11707" max="11707" width="9.33203125" customWidth="1"/>
    <col min="11942" max="11942" width="0" hidden="1" customWidth="1"/>
    <col min="11943" max="11944" width="8.5546875" customWidth="1"/>
    <col min="11945" max="11945" width="19.109375" customWidth="1"/>
    <col min="11946" max="11946" width="16" customWidth="1"/>
    <col min="11947" max="11947" width="12.88671875" customWidth="1"/>
    <col min="11948" max="11948" width="14.109375" customWidth="1"/>
    <col min="11949" max="11949" width="15.88671875" customWidth="1"/>
    <col min="11950" max="11950" width="15.33203125" customWidth="1"/>
    <col min="11951" max="11951" width="18.44140625" customWidth="1"/>
    <col min="11952" max="11952" width="14.5546875" customWidth="1"/>
    <col min="11953" max="11953" width="15.88671875" customWidth="1"/>
    <col min="11954" max="11959" width="0" hidden="1" customWidth="1"/>
    <col min="11960" max="11960" width="14" customWidth="1"/>
    <col min="11961" max="11961" width="10.33203125" customWidth="1"/>
    <col min="11962" max="11962" width="8.5546875" customWidth="1"/>
    <col min="11963" max="11963" width="9.33203125" customWidth="1"/>
    <col min="12198" max="12198" width="0" hidden="1" customWidth="1"/>
    <col min="12199" max="12200" width="8.5546875" customWidth="1"/>
    <col min="12201" max="12201" width="19.109375" customWidth="1"/>
    <col min="12202" max="12202" width="16" customWidth="1"/>
    <col min="12203" max="12203" width="12.88671875" customWidth="1"/>
    <col min="12204" max="12204" width="14.109375" customWidth="1"/>
    <col min="12205" max="12205" width="15.88671875" customWidth="1"/>
    <col min="12206" max="12206" width="15.33203125" customWidth="1"/>
    <col min="12207" max="12207" width="18.44140625" customWidth="1"/>
    <col min="12208" max="12208" width="14.5546875" customWidth="1"/>
    <col min="12209" max="12209" width="15.88671875" customWidth="1"/>
    <col min="12210" max="12215" width="0" hidden="1" customWidth="1"/>
    <col min="12216" max="12216" width="14" customWidth="1"/>
    <col min="12217" max="12217" width="10.33203125" customWidth="1"/>
    <col min="12218" max="12218" width="8.5546875" customWidth="1"/>
    <col min="12219" max="12219" width="9.33203125" customWidth="1"/>
    <col min="12454" max="12454" width="0" hidden="1" customWidth="1"/>
    <col min="12455" max="12456" width="8.5546875" customWidth="1"/>
    <col min="12457" max="12457" width="19.109375" customWidth="1"/>
    <col min="12458" max="12458" width="16" customWidth="1"/>
    <col min="12459" max="12459" width="12.88671875" customWidth="1"/>
    <col min="12460" max="12460" width="14.109375" customWidth="1"/>
    <col min="12461" max="12461" width="15.88671875" customWidth="1"/>
    <col min="12462" max="12462" width="15.33203125" customWidth="1"/>
    <col min="12463" max="12463" width="18.44140625" customWidth="1"/>
    <col min="12464" max="12464" width="14.5546875" customWidth="1"/>
    <col min="12465" max="12465" width="15.88671875" customWidth="1"/>
    <col min="12466" max="12471" width="0" hidden="1" customWidth="1"/>
    <col min="12472" max="12472" width="14" customWidth="1"/>
    <col min="12473" max="12473" width="10.33203125" customWidth="1"/>
    <col min="12474" max="12474" width="8.5546875" customWidth="1"/>
    <col min="12475" max="12475" width="9.33203125" customWidth="1"/>
    <col min="12710" max="12710" width="0" hidden="1" customWidth="1"/>
    <col min="12711" max="12712" width="8.5546875" customWidth="1"/>
    <col min="12713" max="12713" width="19.109375" customWidth="1"/>
    <col min="12714" max="12714" width="16" customWidth="1"/>
    <col min="12715" max="12715" width="12.88671875" customWidth="1"/>
    <col min="12716" max="12716" width="14.109375" customWidth="1"/>
    <col min="12717" max="12717" width="15.88671875" customWidth="1"/>
    <col min="12718" max="12718" width="15.33203125" customWidth="1"/>
    <col min="12719" max="12719" width="18.44140625" customWidth="1"/>
    <col min="12720" max="12720" width="14.5546875" customWidth="1"/>
    <col min="12721" max="12721" width="15.88671875" customWidth="1"/>
    <col min="12722" max="12727" width="0" hidden="1" customWidth="1"/>
    <col min="12728" max="12728" width="14" customWidth="1"/>
    <col min="12729" max="12729" width="10.33203125" customWidth="1"/>
    <col min="12730" max="12730" width="8.5546875" customWidth="1"/>
    <col min="12731" max="12731" width="9.33203125" customWidth="1"/>
    <col min="12966" max="12966" width="0" hidden="1" customWidth="1"/>
    <col min="12967" max="12968" width="8.5546875" customWidth="1"/>
    <col min="12969" max="12969" width="19.109375" customWidth="1"/>
    <col min="12970" max="12970" width="16" customWidth="1"/>
    <col min="12971" max="12971" width="12.88671875" customWidth="1"/>
    <col min="12972" max="12972" width="14.109375" customWidth="1"/>
    <col min="12973" max="12973" width="15.88671875" customWidth="1"/>
    <col min="12974" max="12974" width="15.33203125" customWidth="1"/>
    <col min="12975" max="12975" width="18.44140625" customWidth="1"/>
    <col min="12976" max="12976" width="14.5546875" customWidth="1"/>
    <col min="12977" max="12977" width="15.88671875" customWidth="1"/>
    <col min="12978" max="12983" width="0" hidden="1" customWidth="1"/>
    <col min="12984" max="12984" width="14" customWidth="1"/>
    <col min="12985" max="12985" width="10.33203125" customWidth="1"/>
    <col min="12986" max="12986" width="8.5546875" customWidth="1"/>
    <col min="12987" max="12987" width="9.33203125" customWidth="1"/>
    <col min="13222" max="13222" width="0" hidden="1" customWidth="1"/>
    <col min="13223" max="13224" width="8.5546875" customWidth="1"/>
    <col min="13225" max="13225" width="19.109375" customWidth="1"/>
    <col min="13226" max="13226" width="16" customWidth="1"/>
    <col min="13227" max="13227" width="12.88671875" customWidth="1"/>
    <col min="13228" max="13228" width="14.109375" customWidth="1"/>
    <col min="13229" max="13229" width="15.88671875" customWidth="1"/>
    <col min="13230" max="13230" width="15.33203125" customWidth="1"/>
    <col min="13231" max="13231" width="18.44140625" customWidth="1"/>
    <col min="13232" max="13232" width="14.5546875" customWidth="1"/>
    <col min="13233" max="13233" width="15.88671875" customWidth="1"/>
    <col min="13234" max="13239" width="0" hidden="1" customWidth="1"/>
    <col min="13240" max="13240" width="14" customWidth="1"/>
    <col min="13241" max="13241" width="10.33203125" customWidth="1"/>
    <col min="13242" max="13242" width="8.5546875" customWidth="1"/>
    <col min="13243" max="13243" width="9.33203125" customWidth="1"/>
    <col min="13478" max="13478" width="0" hidden="1" customWidth="1"/>
    <col min="13479" max="13480" width="8.5546875" customWidth="1"/>
    <col min="13481" max="13481" width="19.109375" customWidth="1"/>
    <col min="13482" max="13482" width="16" customWidth="1"/>
    <col min="13483" max="13483" width="12.88671875" customWidth="1"/>
    <col min="13484" max="13484" width="14.109375" customWidth="1"/>
    <col min="13485" max="13485" width="15.88671875" customWidth="1"/>
    <col min="13486" max="13486" width="15.33203125" customWidth="1"/>
    <col min="13487" max="13487" width="18.44140625" customWidth="1"/>
    <col min="13488" max="13488" width="14.5546875" customWidth="1"/>
    <col min="13489" max="13489" width="15.88671875" customWidth="1"/>
    <col min="13490" max="13495" width="0" hidden="1" customWidth="1"/>
    <col min="13496" max="13496" width="14" customWidth="1"/>
    <col min="13497" max="13497" width="10.33203125" customWidth="1"/>
    <col min="13498" max="13498" width="8.5546875" customWidth="1"/>
    <col min="13499" max="13499" width="9.33203125" customWidth="1"/>
    <col min="13734" max="13734" width="0" hidden="1" customWidth="1"/>
    <col min="13735" max="13736" width="8.5546875" customWidth="1"/>
    <col min="13737" max="13737" width="19.109375" customWidth="1"/>
    <col min="13738" max="13738" width="16" customWidth="1"/>
    <col min="13739" max="13739" width="12.88671875" customWidth="1"/>
    <col min="13740" max="13740" width="14.109375" customWidth="1"/>
    <col min="13741" max="13741" width="15.88671875" customWidth="1"/>
    <col min="13742" max="13742" width="15.33203125" customWidth="1"/>
    <col min="13743" max="13743" width="18.44140625" customWidth="1"/>
    <col min="13744" max="13744" width="14.5546875" customWidth="1"/>
    <col min="13745" max="13745" width="15.88671875" customWidth="1"/>
    <col min="13746" max="13751" width="0" hidden="1" customWidth="1"/>
    <col min="13752" max="13752" width="14" customWidth="1"/>
    <col min="13753" max="13753" width="10.33203125" customWidth="1"/>
    <col min="13754" max="13754" width="8.5546875" customWidth="1"/>
    <col min="13755" max="13755" width="9.33203125" customWidth="1"/>
    <col min="13990" max="13990" width="0" hidden="1" customWidth="1"/>
    <col min="13991" max="13992" width="8.5546875" customWidth="1"/>
    <col min="13993" max="13993" width="19.109375" customWidth="1"/>
    <col min="13994" max="13994" width="16" customWidth="1"/>
    <col min="13995" max="13995" width="12.88671875" customWidth="1"/>
    <col min="13996" max="13996" width="14.109375" customWidth="1"/>
    <col min="13997" max="13997" width="15.88671875" customWidth="1"/>
    <col min="13998" max="13998" width="15.33203125" customWidth="1"/>
    <col min="13999" max="13999" width="18.44140625" customWidth="1"/>
    <col min="14000" max="14000" width="14.5546875" customWidth="1"/>
    <col min="14001" max="14001" width="15.88671875" customWidth="1"/>
    <col min="14002" max="14007" width="0" hidden="1" customWidth="1"/>
    <col min="14008" max="14008" width="14" customWidth="1"/>
    <col min="14009" max="14009" width="10.33203125" customWidth="1"/>
    <col min="14010" max="14010" width="8.5546875" customWidth="1"/>
    <col min="14011" max="14011" width="9.33203125" customWidth="1"/>
    <col min="14246" max="14246" width="0" hidden="1" customWidth="1"/>
    <col min="14247" max="14248" width="8.5546875" customWidth="1"/>
    <col min="14249" max="14249" width="19.109375" customWidth="1"/>
    <col min="14250" max="14250" width="16" customWidth="1"/>
    <col min="14251" max="14251" width="12.88671875" customWidth="1"/>
    <col min="14252" max="14252" width="14.109375" customWidth="1"/>
    <col min="14253" max="14253" width="15.88671875" customWidth="1"/>
    <col min="14254" max="14254" width="15.33203125" customWidth="1"/>
    <col min="14255" max="14255" width="18.44140625" customWidth="1"/>
    <col min="14256" max="14256" width="14.5546875" customWidth="1"/>
    <col min="14257" max="14257" width="15.88671875" customWidth="1"/>
    <col min="14258" max="14263" width="0" hidden="1" customWidth="1"/>
    <col min="14264" max="14264" width="14" customWidth="1"/>
    <col min="14265" max="14265" width="10.33203125" customWidth="1"/>
    <col min="14266" max="14266" width="8.5546875" customWidth="1"/>
    <col min="14267" max="14267" width="9.33203125" customWidth="1"/>
    <col min="14502" max="14502" width="0" hidden="1" customWidth="1"/>
    <col min="14503" max="14504" width="8.5546875" customWidth="1"/>
    <col min="14505" max="14505" width="19.109375" customWidth="1"/>
    <col min="14506" max="14506" width="16" customWidth="1"/>
    <col min="14507" max="14507" width="12.88671875" customWidth="1"/>
    <col min="14508" max="14508" width="14.109375" customWidth="1"/>
    <col min="14509" max="14509" width="15.88671875" customWidth="1"/>
    <col min="14510" max="14510" width="15.33203125" customWidth="1"/>
    <col min="14511" max="14511" width="18.44140625" customWidth="1"/>
    <col min="14512" max="14512" width="14.5546875" customWidth="1"/>
    <col min="14513" max="14513" width="15.88671875" customWidth="1"/>
    <col min="14514" max="14519" width="0" hidden="1" customWidth="1"/>
    <col min="14520" max="14520" width="14" customWidth="1"/>
    <col min="14521" max="14521" width="10.33203125" customWidth="1"/>
    <col min="14522" max="14522" width="8.5546875" customWidth="1"/>
    <col min="14523" max="14523" width="9.33203125" customWidth="1"/>
    <col min="14758" max="14758" width="0" hidden="1" customWidth="1"/>
    <col min="14759" max="14760" width="8.5546875" customWidth="1"/>
    <col min="14761" max="14761" width="19.109375" customWidth="1"/>
    <col min="14762" max="14762" width="16" customWidth="1"/>
    <col min="14763" max="14763" width="12.88671875" customWidth="1"/>
    <col min="14764" max="14764" width="14.109375" customWidth="1"/>
    <col min="14765" max="14765" width="15.88671875" customWidth="1"/>
    <col min="14766" max="14766" width="15.33203125" customWidth="1"/>
    <col min="14767" max="14767" width="18.44140625" customWidth="1"/>
    <col min="14768" max="14768" width="14.5546875" customWidth="1"/>
    <col min="14769" max="14769" width="15.88671875" customWidth="1"/>
    <col min="14770" max="14775" width="0" hidden="1" customWidth="1"/>
    <col min="14776" max="14776" width="14" customWidth="1"/>
    <col min="14777" max="14777" width="10.33203125" customWidth="1"/>
    <col min="14778" max="14778" width="8.5546875" customWidth="1"/>
    <col min="14779" max="14779" width="9.33203125" customWidth="1"/>
    <col min="15014" max="15014" width="0" hidden="1" customWidth="1"/>
    <col min="15015" max="15016" width="8.5546875" customWidth="1"/>
    <col min="15017" max="15017" width="19.109375" customWidth="1"/>
    <col min="15018" max="15018" width="16" customWidth="1"/>
    <col min="15019" max="15019" width="12.88671875" customWidth="1"/>
    <col min="15020" max="15020" width="14.109375" customWidth="1"/>
    <col min="15021" max="15021" width="15.88671875" customWidth="1"/>
    <col min="15022" max="15022" width="15.33203125" customWidth="1"/>
    <col min="15023" max="15023" width="18.44140625" customWidth="1"/>
    <col min="15024" max="15024" width="14.5546875" customWidth="1"/>
    <col min="15025" max="15025" width="15.88671875" customWidth="1"/>
    <col min="15026" max="15031" width="0" hidden="1" customWidth="1"/>
    <col min="15032" max="15032" width="14" customWidth="1"/>
    <col min="15033" max="15033" width="10.33203125" customWidth="1"/>
    <col min="15034" max="15034" width="8.5546875" customWidth="1"/>
    <col min="15035" max="15035" width="9.33203125" customWidth="1"/>
    <col min="15270" max="15270" width="0" hidden="1" customWidth="1"/>
    <col min="15271" max="15272" width="8.5546875" customWidth="1"/>
    <col min="15273" max="15273" width="19.109375" customWidth="1"/>
    <col min="15274" max="15274" width="16" customWidth="1"/>
    <col min="15275" max="15275" width="12.88671875" customWidth="1"/>
    <col min="15276" max="15276" width="14.109375" customWidth="1"/>
    <col min="15277" max="15277" width="15.88671875" customWidth="1"/>
    <col min="15278" max="15278" width="15.33203125" customWidth="1"/>
    <col min="15279" max="15279" width="18.44140625" customWidth="1"/>
    <col min="15280" max="15280" width="14.5546875" customWidth="1"/>
    <col min="15281" max="15281" width="15.88671875" customWidth="1"/>
    <col min="15282" max="15287" width="0" hidden="1" customWidth="1"/>
    <col min="15288" max="15288" width="14" customWidth="1"/>
    <col min="15289" max="15289" width="10.33203125" customWidth="1"/>
    <col min="15290" max="15290" width="8.5546875" customWidth="1"/>
    <col min="15291" max="15291" width="9.33203125" customWidth="1"/>
    <col min="15526" max="15526" width="0" hidden="1" customWidth="1"/>
    <col min="15527" max="15528" width="8.5546875" customWidth="1"/>
    <col min="15529" max="15529" width="19.109375" customWidth="1"/>
    <col min="15530" max="15530" width="16" customWidth="1"/>
    <col min="15531" max="15531" width="12.88671875" customWidth="1"/>
    <col min="15532" max="15532" width="14.109375" customWidth="1"/>
    <col min="15533" max="15533" width="15.88671875" customWidth="1"/>
    <col min="15534" max="15534" width="15.33203125" customWidth="1"/>
    <col min="15535" max="15535" width="18.44140625" customWidth="1"/>
    <col min="15536" max="15536" width="14.5546875" customWidth="1"/>
    <col min="15537" max="15537" width="15.88671875" customWidth="1"/>
    <col min="15538" max="15543" width="0" hidden="1" customWidth="1"/>
    <col min="15544" max="15544" width="14" customWidth="1"/>
    <col min="15545" max="15545" width="10.33203125" customWidth="1"/>
    <col min="15546" max="15546" width="8.5546875" customWidth="1"/>
    <col min="15547" max="15547" width="9.33203125" customWidth="1"/>
    <col min="15782" max="15782" width="0" hidden="1" customWidth="1"/>
    <col min="15783" max="15784" width="8.5546875" customWidth="1"/>
    <col min="15785" max="15785" width="19.109375" customWidth="1"/>
    <col min="15786" max="15786" width="16" customWidth="1"/>
    <col min="15787" max="15787" width="12.88671875" customWidth="1"/>
    <col min="15788" max="15788" width="14.109375" customWidth="1"/>
    <col min="15789" max="15789" width="15.88671875" customWidth="1"/>
    <col min="15790" max="15790" width="15.33203125" customWidth="1"/>
    <col min="15791" max="15791" width="18.44140625" customWidth="1"/>
    <col min="15792" max="15792" width="14.5546875" customWidth="1"/>
    <col min="15793" max="15793" width="15.88671875" customWidth="1"/>
    <col min="15794" max="15799" width="0" hidden="1" customWidth="1"/>
    <col min="15800" max="15800" width="14" customWidth="1"/>
    <col min="15801" max="15801" width="10.33203125" customWidth="1"/>
    <col min="15802" max="15802" width="8.5546875" customWidth="1"/>
    <col min="15803" max="15803" width="9.33203125" customWidth="1"/>
    <col min="16038" max="16038" width="0" hidden="1" customWidth="1"/>
    <col min="16039" max="16040" width="8.5546875" customWidth="1"/>
    <col min="16041" max="16041" width="19.109375" customWidth="1"/>
    <col min="16042" max="16042" width="16" customWidth="1"/>
    <col min="16043" max="16043" width="12.88671875" customWidth="1"/>
    <col min="16044" max="16044" width="14.109375" customWidth="1"/>
    <col min="16045" max="16045" width="15.88671875" customWidth="1"/>
    <col min="16046" max="16046" width="15.33203125" customWidth="1"/>
    <col min="16047" max="16047" width="18.44140625" customWidth="1"/>
    <col min="16048" max="16048" width="14.5546875" customWidth="1"/>
    <col min="16049" max="16049" width="15.88671875" customWidth="1"/>
    <col min="16050" max="16055" width="0" hidden="1" customWidth="1"/>
    <col min="16056" max="16056" width="14" customWidth="1"/>
    <col min="16057" max="16057" width="10.33203125" customWidth="1"/>
    <col min="16058" max="16058" width="8.5546875" customWidth="1"/>
    <col min="16059" max="16059" width="9.33203125" customWidth="1"/>
  </cols>
  <sheetData>
    <row r="2" spans="2:13" x14ac:dyDescent="0.3">
      <c r="B2" s="1"/>
      <c r="C2" s="2"/>
      <c r="D2" s="1"/>
      <c r="E2" s="1"/>
      <c r="F2" s="1"/>
      <c r="H2" s="267" t="s">
        <v>0</v>
      </c>
      <c r="I2" s="242">
        <v>45049</v>
      </c>
    </row>
    <row r="3" spans="2:13" x14ac:dyDescent="0.3">
      <c r="B3" s="1"/>
      <c r="C3" s="2"/>
      <c r="D3" s="1"/>
      <c r="E3" s="1"/>
      <c r="F3" s="1"/>
      <c r="H3" s="267"/>
      <c r="I3" s="243"/>
    </row>
    <row r="4" spans="2:13" ht="6" customHeight="1" x14ac:dyDescent="0.3">
      <c r="B4" s="6"/>
      <c r="C4" s="7"/>
      <c r="D4" s="6"/>
      <c r="E4" s="6"/>
      <c r="F4" s="6"/>
      <c r="G4" s="8"/>
    </row>
    <row r="5" spans="2:13" ht="8.25" customHeight="1" x14ac:dyDescent="0.3">
      <c r="B5" s="1"/>
      <c r="C5" s="2"/>
      <c r="D5" s="1"/>
      <c r="E5" s="1"/>
      <c r="F5" s="1"/>
      <c r="G5" s="1"/>
    </row>
    <row r="6" spans="2:13" ht="13.5" customHeight="1" x14ac:dyDescent="0.3">
      <c r="B6" s="244" t="s">
        <v>1</v>
      </c>
      <c r="C6" s="245"/>
      <c r="D6" s="245"/>
      <c r="E6" s="245"/>
      <c r="F6" s="245"/>
      <c r="G6" s="245"/>
      <c r="H6" s="245"/>
      <c r="I6" s="245"/>
    </row>
    <row r="7" spans="2:13" ht="3.75" customHeight="1" x14ac:dyDescent="0.3">
      <c r="B7" s="244"/>
      <c r="C7" s="245"/>
      <c r="D7" s="245"/>
      <c r="E7" s="245"/>
      <c r="F7" s="245"/>
      <c r="G7" s="245"/>
      <c r="H7" s="245"/>
      <c r="I7" s="245"/>
    </row>
    <row r="8" spans="2:13" ht="7.5" customHeight="1" x14ac:dyDescent="0.3">
      <c r="B8" s="1"/>
      <c r="C8" s="2"/>
      <c r="D8" s="1"/>
      <c r="E8" s="1"/>
      <c r="F8" s="1"/>
      <c r="G8" s="1"/>
    </row>
    <row r="9" spans="2:13" x14ac:dyDescent="0.3">
      <c r="B9" s="246" t="s">
        <v>2</v>
      </c>
      <c r="C9" s="247"/>
      <c r="D9" s="9"/>
      <c r="E9" s="248" t="s">
        <v>3</v>
      </c>
      <c r="F9" s="249"/>
      <c r="G9" s="249"/>
      <c r="H9" s="249"/>
      <c r="I9" s="249"/>
    </row>
    <row r="10" spans="2:13" ht="3.75" customHeight="1" x14ac:dyDescent="0.3">
      <c r="B10" s="1"/>
      <c r="C10" s="2"/>
      <c r="D10" s="1"/>
      <c r="E10" s="1"/>
      <c r="F10" s="1"/>
      <c r="G10" s="1"/>
    </row>
    <row r="11" spans="2:13" ht="18" customHeight="1" x14ac:dyDescent="0.3">
      <c r="B11" s="246" t="s">
        <v>4</v>
      </c>
      <c r="C11" s="250"/>
      <c r="D11" s="250"/>
      <c r="E11" s="250"/>
      <c r="F11" s="250"/>
      <c r="G11" s="250"/>
      <c r="H11" s="250"/>
      <c r="I11" s="250"/>
    </row>
    <row r="12" spans="2:13" ht="3" customHeight="1" x14ac:dyDescent="0.3">
      <c r="B12" s="1"/>
      <c r="C12" s="2"/>
      <c r="D12" s="1"/>
      <c r="E12" s="1"/>
      <c r="F12" s="1"/>
      <c r="G12" s="1"/>
    </row>
    <row r="13" spans="2:13" ht="32.25" customHeight="1" x14ac:dyDescent="0.3">
      <c r="C13" s="234" t="s">
        <v>5</v>
      </c>
      <c r="D13" s="268" t="s">
        <v>6</v>
      </c>
      <c r="E13" s="235" t="s">
        <v>7</v>
      </c>
      <c r="F13" s="236"/>
      <c r="G13" s="237"/>
      <c r="H13" s="240" t="s">
        <v>8</v>
      </c>
      <c r="I13" s="238" t="s">
        <v>9</v>
      </c>
      <c r="J13">
        <v>3.72</v>
      </c>
    </row>
    <row r="14" spans="2:13" s="13" customFormat="1" ht="18" customHeight="1" thickBot="1" x14ac:dyDescent="0.35">
      <c r="B14" s="10"/>
      <c r="C14" s="268"/>
      <c r="D14" s="268"/>
      <c r="E14" s="11" t="s">
        <v>10</v>
      </c>
      <c r="F14" s="11" t="s">
        <v>11</v>
      </c>
      <c r="G14" s="12" t="s">
        <v>12</v>
      </c>
      <c r="H14" s="241"/>
      <c r="I14" s="239"/>
      <c r="J14" s="3"/>
      <c r="K14" s="3"/>
      <c r="L14" s="4"/>
      <c r="M14"/>
    </row>
    <row r="15" spans="2:13" s="13" customFormat="1" ht="18" customHeight="1" x14ac:dyDescent="0.3">
      <c r="B15" s="266" t="s">
        <v>13</v>
      </c>
      <c r="C15" s="14">
        <v>101</v>
      </c>
      <c r="D15" s="15"/>
      <c r="E15" s="16">
        <v>57.45</v>
      </c>
      <c r="F15" s="17">
        <v>19.22</v>
      </c>
      <c r="G15" s="18">
        <f>+E15+F15</f>
        <v>76.67</v>
      </c>
      <c r="H15" s="19">
        <v>637000</v>
      </c>
      <c r="I15" s="20" t="s">
        <v>14</v>
      </c>
      <c r="J15" s="3"/>
      <c r="K15" s="3"/>
      <c r="L15" s="4"/>
      <c r="M15"/>
    </row>
    <row r="16" spans="2:13" s="13" customFormat="1" ht="18" customHeight="1" x14ac:dyDescent="0.3">
      <c r="B16" s="266"/>
      <c r="C16" s="21">
        <v>102</v>
      </c>
      <c r="D16" s="22"/>
      <c r="E16" s="23">
        <v>53.62</v>
      </c>
      <c r="F16" s="24">
        <v>23.64</v>
      </c>
      <c r="G16" s="18">
        <f t="shared" ref="G16:G66" si="0">+E16+F16</f>
        <v>77.259999999999991</v>
      </c>
      <c r="H16" s="19">
        <v>679000</v>
      </c>
      <c r="I16" s="20" t="s">
        <v>15</v>
      </c>
      <c r="J16" s="25">
        <v>1750</v>
      </c>
      <c r="K16" s="25">
        <f>+((F16/2)+E16)*J16*J13</f>
        <v>426014.4</v>
      </c>
      <c r="L16" s="4">
        <v>425900</v>
      </c>
    </row>
    <row r="17" spans="2:13" s="13" customFormat="1" ht="18" customHeight="1" x14ac:dyDescent="0.3">
      <c r="B17" s="266"/>
      <c r="C17" s="21">
        <v>103</v>
      </c>
      <c r="D17" s="22"/>
      <c r="E17" s="23">
        <v>60.64</v>
      </c>
      <c r="F17" s="24">
        <v>32.97</v>
      </c>
      <c r="G17" s="18">
        <f t="shared" si="0"/>
        <v>93.61</v>
      </c>
      <c r="H17" s="19">
        <v>520400</v>
      </c>
      <c r="I17" s="20" t="s">
        <v>14</v>
      </c>
      <c r="J17" s="25"/>
      <c r="K17" s="25"/>
      <c r="L17" s="4"/>
    </row>
    <row r="18" spans="2:13" s="13" customFormat="1" ht="18" customHeight="1" thickBot="1" x14ac:dyDescent="0.35">
      <c r="B18" s="266"/>
      <c r="C18" s="21">
        <v>104</v>
      </c>
      <c r="D18" s="22"/>
      <c r="E18" s="23">
        <v>73.73</v>
      </c>
      <c r="F18" s="24">
        <v>54.52</v>
      </c>
      <c r="G18" s="18">
        <f t="shared" si="0"/>
        <v>128.25</v>
      </c>
      <c r="H18" s="19">
        <v>609100</v>
      </c>
      <c r="I18" s="20" t="s">
        <v>16</v>
      </c>
      <c r="J18" s="25"/>
      <c r="K18" s="25"/>
      <c r="L18" s="4"/>
    </row>
    <row r="19" spans="2:13" s="13" customFormat="1" ht="18" customHeight="1" x14ac:dyDescent="0.3">
      <c r="B19" s="269" t="s">
        <v>17</v>
      </c>
      <c r="C19" s="14">
        <v>201</v>
      </c>
      <c r="D19" s="22"/>
      <c r="E19" s="26">
        <v>80.95</v>
      </c>
      <c r="F19" s="17"/>
      <c r="G19" s="18">
        <f t="shared" si="0"/>
        <v>80.95</v>
      </c>
      <c r="H19" s="19">
        <v>622500</v>
      </c>
      <c r="I19" s="20" t="s">
        <v>18</v>
      </c>
      <c r="J19" s="25"/>
      <c r="K19" s="25"/>
      <c r="L19" s="4"/>
    </row>
    <row r="20" spans="2:13" s="13" customFormat="1" ht="18" customHeight="1" x14ac:dyDescent="0.3">
      <c r="B20" s="269"/>
      <c r="C20" s="27">
        <v>202</v>
      </c>
      <c r="D20" s="28"/>
      <c r="E20" s="29">
        <v>80.819999999999993</v>
      </c>
      <c r="F20" s="30"/>
      <c r="G20" s="31">
        <f t="shared" si="0"/>
        <v>80.819999999999993</v>
      </c>
      <c r="H20" s="32">
        <v>446400</v>
      </c>
      <c r="I20" s="33" t="s">
        <v>19</v>
      </c>
      <c r="J20" s="25"/>
      <c r="K20" s="25"/>
      <c r="L20" s="4"/>
    </row>
    <row r="21" spans="2:13" s="13" customFormat="1" ht="18" customHeight="1" x14ac:dyDescent="0.3">
      <c r="B21" s="269"/>
      <c r="C21" s="34">
        <v>203</v>
      </c>
      <c r="D21" s="22"/>
      <c r="E21" s="35">
        <v>88</v>
      </c>
      <c r="F21" s="24"/>
      <c r="G21" s="18">
        <f t="shared" si="0"/>
        <v>88</v>
      </c>
      <c r="H21" s="19">
        <v>654000</v>
      </c>
      <c r="I21" s="20" t="s">
        <v>20</v>
      </c>
      <c r="J21" s="25"/>
      <c r="K21" s="25"/>
      <c r="L21" s="4"/>
      <c r="M21" s="13" t="s">
        <v>21</v>
      </c>
    </row>
    <row r="22" spans="2:13" s="13" customFormat="1" ht="18" customHeight="1" x14ac:dyDescent="0.3">
      <c r="B22" s="269"/>
      <c r="C22" s="36">
        <v>204</v>
      </c>
      <c r="D22" s="37"/>
      <c r="E22" s="38">
        <v>61</v>
      </c>
      <c r="F22" s="39"/>
      <c r="G22" s="40">
        <f t="shared" si="0"/>
        <v>61</v>
      </c>
      <c r="H22" s="41">
        <v>422700</v>
      </c>
      <c r="I22" s="42"/>
      <c r="J22" s="25"/>
      <c r="K22" s="25"/>
      <c r="L22" s="4"/>
    </row>
    <row r="23" spans="2:13" s="13" customFormat="1" ht="18" customHeight="1" thickBot="1" x14ac:dyDescent="0.35">
      <c r="B23" s="269"/>
      <c r="C23" s="34">
        <v>205</v>
      </c>
      <c r="D23" s="22"/>
      <c r="E23" s="35">
        <v>69</v>
      </c>
      <c r="F23" s="43"/>
      <c r="G23" s="18">
        <f t="shared" si="0"/>
        <v>69</v>
      </c>
      <c r="H23" s="19">
        <v>490000</v>
      </c>
      <c r="I23" s="20" t="s">
        <v>22</v>
      </c>
      <c r="J23" s="25"/>
      <c r="K23" s="25"/>
      <c r="L23" s="4"/>
    </row>
    <row r="24" spans="2:13" s="13" customFormat="1" ht="18" customHeight="1" x14ac:dyDescent="0.3">
      <c r="B24" s="269" t="s">
        <v>23</v>
      </c>
      <c r="C24" s="27">
        <v>301</v>
      </c>
      <c r="D24" s="28"/>
      <c r="E24" s="44">
        <v>80.95</v>
      </c>
      <c r="F24" s="45"/>
      <c r="G24" s="31">
        <f t="shared" si="0"/>
        <v>80.95</v>
      </c>
      <c r="H24" s="32">
        <v>630000</v>
      </c>
      <c r="I24" s="33" t="s">
        <v>24</v>
      </c>
      <c r="J24" s="25"/>
      <c r="K24" s="25"/>
      <c r="L24" s="4"/>
    </row>
    <row r="25" spans="2:13" s="13" customFormat="1" ht="18" customHeight="1" x14ac:dyDescent="0.3">
      <c r="B25" s="269"/>
      <c r="C25" s="21">
        <v>302</v>
      </c>
      <c r="D25" s="22"/>
      <c r="E25" s="35">
        <v>80.819999999999993</v>
      </c>
      <c r="F25" s="24"/>
      <c r="G25" s="18">
        <f t="shared" si="0"/>
        <v>80.819999999999993</v>
      </c>
      <c r="H25" s="19">
        <v>435500</v>
      </c>
      <c r="I25" s="20" t="s">
        <v>25</v>
      </c>
      <c r="J25" s="25">
        <v>2000</v>
      </c>
      <c r="K25" s="25">
        <f t="shared" ref="K25:K62" si="1">+J25*G25*$J$13</f>
        <v>601300.80000000005</v>
      </c>
      <c r="L25" s="4">
        <v>599000</v>
      </c>
    </row>
    <row r="26" spans="2:13" s="13" customFormat="1" ht="18" customHeight="1" x14ac:dyDescent="0.3">
      <c r="B26" s="269"/>
      <c r="C26" s="36">
        <v>303</v>
      </c>
      <c r="D26" s="37"/>
      <c r="E26" s="46">
        <v>88</v>
      </c>
      <c r="F26" s="47"/>
      <c r="G26" s="40">
        <f t="shared" si="0"/>
        <v>88</v>
      </c>
      <c r="H26" s="41">
        <v>660000</v>
      </c>
      <c r="I26" s="42"/>
      <c r="J26" s="25"/>
      <c r="K26" s="25">
        <f t="shared" si="1"/>
        <v>0</v>
      </c>
      <c r="L26" s="4"/>
    </row>
    <row r="27" spans="2:13" s="13" customFormat="1" ht="18" customHeight="1" x14ac:dyDescent="0.3">
      <c r="B27" s="269"/>
      <c r="C27" s="36">
        <v>304</v>
      </c>
      <c r="D27" s="37"/>
      <c r="E27" s="38">
        <v>60.93</v>
      </c>
      <c r="F27" s="47"/>
      <c r="G27" s="40">
        <f t="shared" si="0"/>
        <v>60.93</v>
      </c>
      <c r="H27" s="41">
        <v>422700</v>
      </c>
      <c r="I27" s="42"/>
      <c r="J27" s="25">
        <v>1750</v>
      </c>
      <c r="K27" s="25">
        <f t="shared" si="1"/>
        <v>396654.30000000005</v>
      </c>
      <c r="L27" s="4">
        <v>479500</v>
      </c>
    </row>
    <row r="28" spans="2:13" s="13" customFormat="1" ht="18" customHeight="1" thickBot="1" x14ac:dyDescent="0.35">
      <c r="B28" s="269"/>
      <c r="C28" s="48">
        <v>305</v>
      </c>
      <c r="D28" s="37"/>
      <c r="E28" s="38">
        <v>68.72</v>
      </c>
      <c r="F28" s="47"/>
      <c r="G28" s="40">
        <f t="shared" si="0"/>
        <v>68.72</v>
      </c>
      <c r="H28" s="41">
        <v>476800</v>
      </c>
      <c r="I28" s="42"/>
      <c r="J28" s="25">
        <v>1750</v>
      </c>
      <c r="K28" s="25">
        <f t="shared" si="1"/>
        <v>447367.2</v>
      </c>
      <c r="L28" s="4">
        <v>479500</v>
      </c>
    </row>
    <row r="29" spans="2:13" s="13" customFormat="1" ht="18" customHeight="1" x14ac:dyDescent="0.3">
      <c r="B29" s="230" t="s">
        <v>26</v>
      </c>
      <c r="C29" s="14">
        <v>401</v>
      </c>
      <c r="D29" s="22"/>
      <c r="E29" s="26">
        <v>80.95</v>
      </c>
      <c r="F29" s="17"/>
      <c r="G29" s="18">
        <f t="shared" si="0"/>
        <v>80.95</v>
      </c>
      <c r="H29" s="19">
        <v>630000</v>
      </c>
      <c r="I29" s="20" t="s">
        <v>27</v>
      </c>
      <c r="J29" s="25">
        <v>1750</v>
      </c>
      <c r="K29" s="25">
        <f t="shared" si="1"/>
        <v>526984.5</v>
      </c>
      <c r="L29" s="4">
        <v>479500</v>
      </c>
      <c r="M29" s="13" t="s">
        <v>21</v>
      </c>
    </row>
    <row r="30" spans="2:13" s="13" customFormat="1" ht="18" customHeight="1" x14ac:dyDescent="0.3">
      <c r="B30" s="230"/>
      <c r="C30" s="48">
        <v>402</v>
      </c>
      <c r="D30" s="37"/>
      <c r="E30" s="46">
        <v>56</v>
      </c>
      <c r="F30" s="47"/>
      <c r="G30" s="40">
        <f t="shared" si="0"/>
        <v>56</v>
      </c>
      <c r="H30" s="41">
        <v>420000</v>
      </c>
      <c r="I30" s="42"/>
      <c r="J30" s="25">
        <v>1750</v>
      </c>
      <c r="K30" s="25">
        <f t="shared" si="1"/>
        <v>364560</v>
      </c>
      <c r="L30" s="4">
        <v>479500</v>
      </c>
    </row>
    <row r="31" spans="2:13" s="13" customFormat="1" ht="18" customHeight="1" x14ac:dyDescent="0.3">
      <c r="B31" s="230"/>
      <c r="C31" s="34">
        <v>403</v>
      </c>
      <c r="D31" s="22"/>
      <c r="E31" s="35">
        <v>88</v>
      </c>
      <c r="F31" s="24"/>
      <c r="G31" s="18">
        <f t="shared" si="0"/>
        <v>88</v>
      </c>
      <c r="H31" s="19">
        <v>654000</v>
      </c>
      <c r="I31" s="20" t="s">
        <v>28</v>
      </c>
      <c r="J31" s="25">
        <v>1750</v>
      </c>
      <c r="K31" s="25">
        <f t="shared" si="1"/>
        <v>572880</v>
      </c>
      <c r="L31" s="4">
        <v>479500</v>
      </c>
    </row>
    <row r="32" spans="2:13" s="13" customFormat="1" ht="18" customHeight="1" x14ac:dyDescent="0.3">
      <c r="B32" s="230"/>
      <c r="C32" s="50">
        <v>404</v>
      </c>
      <c r="D32" s="51"/>
      <c r="E32" s="46">
        <v>60.93</v>
      </c>
      <c r="F32" s="52"/>
      <c r="G32" s="53">
        <f t="shared" si="0"/>
        <v>60.93</v>
      </c>
      <c r="H32" s="41">
        <v>422700</v>
      </c>
      <c r="I32" s="42"/>
      <c r="J32" s="25">
        <v>1750</v>
      </c>
      <c r="K32" s="25">
        <f t="shared" si="1"/>
        <v>396654.30000000005</v>
      </c>
      <c r="L32" s="4">
        <v>479500</v>
      </c>
    </row>
    <row r="33" spans="2:13" s="13" customFormat="1" ht="18" customHeight="1" thickBot="1" x14ac:dyDescent="0.35">
      <c r="B33" s="231"/>
      <c r="C33" s="50">
        <v>405</v>
      </c>
      <c r="D33" s="51"/>
      <c r="E33" s="46">
        <v>68.72</v>
      </c>
      <c r="F33" s="52"/>
      <c r="G33" s="53">
        <f t="shared" si="0"/>
        <v>68.72</v>
      </c>
      <c r="H33" s="54">
        <v>476800</v>
      </c>
      <c r="I33" s="42"/>
      <c r="J33" s="25">
        <v>1850</v>
      </c>
      <c r="K33" s="25">
        <f t="shared" si="1"/>
        <v>472931.04000000004</v>
      </c>
      <c r="L33" s="4">
        <v>413000</v>
      </c>
    </row>
    <row r="34" spans="2:13" s="13" customFormat="1" ht="18" customHeight="1" x14ac:dyDescent="0.3">
      <c r="B34" s="229" t="s">
        <v>29</v>
      </c>
      <c r="C34" s="34">
        <v>501</v>
      </c>
      <c r="D34" s="22"/>
      <c r="E34" s="26">
        <v>83</v>
      </c>
      <c r="F34" s="43"/>
      <c r="G34" s="18"/>
      <c r="H34" s="19">
        <v>612000</v>
      </c>
      <c r="I34" s="20" t="s">
        <v>30</v>
      </c>
      <c r="J34" s="25"/>
      <c r="K34" s="25">
        <f t="shared" si="1"/>
        <v>0</v>
      </c>
      <c r="L34" s="4"/>
      <c r="M34" s="55" t="s">
        <v>31</v>
      </c>
    </row>
    <row r="35" spans="2:13" s="13" customFormat="1" ht="18" customHeight="1" x14ac:dyDescent="0.3">
      <c r="B35" s="230"/>
      <c r="C35" s="56">
        <v>502</v>
      </c>
      <c r="D35" s="37"/>
      <c r="E35" s="46">
        <v>56</v>
      </c>
      <c r="F35" s="47"/>
      <c r="G35" s="40">
        <f t="shared" si="0"/>
        <v>56</v>
      </c>
      <c r="H35" s="41">
        <v>460000</v>
      </c>
      <c r="I35" s="42"/>
      <c r="J35" s="25">
        <v>2000</v>
      </c>
      <c r="K35" s="25">
        <f t="shared" si="1"/>
        <v>416640</v>
      </c>
      <c r="L35" s="4">
        <v>599000</v>
      </c>
    </row>
    <row r="36" spans="2:13" s="13" customFormat="1" ht="18" customHeight="1" x14ac:dyDescent="0.3">
      <c r="B36" s="230"/>
      <c r="C36" s="48">
        <v>503</v>
      </c>
      <c r="D36" s="37"/>
      <c r="E36" s="46">
        <v>88</v>
      </c>
      <c r="F36" s="47"/>
      <c r="G36" s="40">
        <f t="shared" si="0"/>
        <v>88</v>
      </c>
      <c r="H36" s="41">
        <v>700000</v>
      </c>
      <c r="I36" s="42"/>
      <c r="J36" s="25"/>
      <c r="K36" s="25">
        <f t="shared" si="1"/>
        <v>0</v>
      </c>
      <c r="L36" s="4"/>
    </row>
    <row r="37" spans="2:13" s="13" customFormat="1" ht="18" customHeight="1" x14ac:dyDescent="0.3">
      <c r="B37" s="230"/>
      <c r="C37" s="56">
        <v>504</v>
      </c>
      <c r="D37" s="37"/>
      <c r="E37" s="46">
        <v>60.93</v>
      </c>
      <c r="F37" s="39"/>
      <c r="G37" s="40">
        <f t="shared" si="0"/>
        <v>60.93</v>
      </c>
      <c r="H37" s="41">
        <v>462700</v>
      </c>
      <c r="I37" s="42"/>
      <c r="J37" s="25">
        <v>1750</v>
      </c>
      <c r="K37" s="25">
        <f t="shared" si="1"/>
        <v>396654.30000000005</v>
      </c>
      <c r="L37" s="4">
        <v>479500</v>
      </c>
    </row>
    <row r="38" spans="2:13" s="59" customFormat="1" ht="18" customHeight="1" thickBot="1" x14ac:dyDescent="0.35">
      <c r="B38" s="231"/>
      <c r="C38" s="34">
        <v>505</v>
      </c>
      <c r="D38" s="22"/>
      <c r="E38" s="35">
        <v>69</v>
      </c>
      <c r="F38" s="57"/>
      <c r="G38" s="18">
        <f t="shared" si="0"/>
        <v>69</v>
      </c>
      <c r="H38" s="19">
        <v>490000</v>
      </c>
      <c r="I38" s="20" t="s">
        <v>32</v>
      </c>
      <c r="J38" s="58"/>
      <c r="K38" s="25">
        <f t="shared" si="1"/>
        <v>0</v>
      </c>
      <c r="L38" s="4"/>
    </row>
    <row r="39" spans="2:13" s="13" customFormat="1" ht="18" customHeight="1" x14ac:dyDescent="0.3">
      <c r="B39" s="229" t="s">
        <v>33</v>
      </c>
      <c r="C39" s="60">
        <v>601</v>
      </c>
      <c r="D39" s="37"/>
      <c r="E39" s="46">
        <v>84</v>
      </c>
      <c r="F39" s="61"/>
      <c r="G39" s="40">
        <f t="shared" si="0"/>
        <v>84</v>
      </c>
      <c r="H39" s="41">
        <v>630000</v>
      </c>
      <c r="I39" s="42"/>
      <c r="J39" s="25">
        <v>2000</v>
      </c>
      <c r="K39" s="25">
        <f t="shared" si="1"/>
        <v>624960</v>
      </c>
      <c r="L39" s="4">
        <v>599000</v>
      </c>
    </row>
    <row r="40" spans="2:13" s="13" customFormat="1" ht="18" customHeight="1" x14ac:dyDescent="0.3">
      <c r="B40" s="230"/>
      <c r="C40" s="48">
        <v>602</v>
      </c>
      <c r="D40" s="37"/>
      <c r="E40" s="46">
        <v>56</v>
      </c>
      <c r="F40" s="62"/>
      <c r="G40" s="40">
        <f t="shared" si="0"/>
        <v>56</v>
      </c>
      <c r="H40" s="41">
        <v>420000</v>
      </c>
      <c r="I40" s="42"/>
      <c r="J40" s="25"/>
      <c r="K40" s="25">
        <f t="shared" si="1"/>
        <v>0</v>
      </c>
      <c r="L40" s="4"/>
    </row>
    <row r="41" spans="2:13" s="13" customFormat="1" ht="18" customHeight="1" x14ac:dyDescent="0.3">
      <c r="B41" s="230"/>
      <c r="C41" s="34">
        <v>603</v>
      </c>
      <c r="D41" s="22"/>
      <c r="E41" s="35">
        <v>88</v>
      </c>
      <c r="F41" s="24"/>
      <c r="G41" s="18">
        <f t="shared" si="0"/>
        <v>88</v>
      </c>
      <c r="H41" s="19">
        <v>654000</v>
      </c>
      <c r="I41" s="20" t="s">
        <v>34</v>
      </c>
      <c r="J41" s="25">
        <v>1850</v>
      </c>
      <c r="K41" s="25">
        <f t="shared" si="1"/>
        <v>605616</v>
      </c>
      <c r="L41" s="4">
        <v>418000</v>
      </c>
    </row>
    <row r="42" spans="2:13" s="13" customFormat="1" ht="18" customHeight="1" x14ac:dyDescent="0.3">
      <c r="B42" s="230"/>
      <c r="C42" s="36">
        <v>604</v>
      </c>
      <c r="D42" s="37"/>
      <c r="E42" s="38">
        <v>61</v>
      </c>
      <c r="F42" s="39"/>
      <c r="G42" s="40">
        <f t="shared" si="0"/>
        <v>61</v>
      </c>
      <c r="H42" s="41">
        <v>422700</v>
      </c>
      <c r="I42" s="42"/>
      <c r="J42" s="25">
        <v>1750</v>
      </c>
      <c r="K42" s="25">
        <f t="shared" si="1"/>
        <v>397110</v>
      </c>
      <c r="L42" s="4">
        <v>479500</v>
      </c>
    </row>
    <row r="43" spans="2:13" s="13" customFormat="1" ht="18" customHeight="1" thickBot="1" x14ac:dyDescent="0.35">
      <c r="B43" s="231"/>
      <c r="C43" s="34">
        <v>605</v>
      </c>
      <c r="D43" s="22"/>
      <c r="E43" s="35">
        <v>69</v>
      </c>
      <c r="F43" s="43"/>
      <c r="G43" s="18">
        <f t="shared" si="0"/>
        <v>69</v>
      </c>
      <c r="H43" s="19">
        <v>501000</v>
      </c>
      <c r="I43" s="20" t="s">
        <v>35</v>
      </c>
      <c r="J43" s="25">
        <v>1800</v>
      </c>
      <c r="K43" s="25">
        <f t="shared" si="1"/>
        <v>462024</v>
      </c>
      <c r="L43" s="4">
        <v>402000</v>
      </c>
    </row>
    <row r="44" spans="2:13" s="13" customFormat="1" ht="18" customHeight="1" x14ac:dyDescent="0.3">
      <c r="B44" s="229" t="s">
        <v>36</v>
      </c>
      <c r="C44" s="34">
        <v>701</v>
      </c>
      <c r="D44" s="22"/>
      <c r="E44" s="35">
        <v>84</v>
      </c>
      <c r="F44" s="43"/>
      <c r="G44" s="18">
        <f t="shared" si="0"/>
        <v>84</v>
      </c>
      <c r="H44" s="19">
        <v>592500</v>
      </c>
      <c r="I44" s="20" t="s">
        <v>37</v>
      </c>
      <c r="J44" s="25"/>
      <c r="K44" s="25">
        <f t="shared" si="1"/>
        <v>0</v>
      </c>
      <c r="L44" s="4"/>
    </row>
    <row r="45" spans="2:13" s="13" customFormat="1" ht="18" customHeight="1" x14ac:dyDescent="0.3">
      <c r="B45" s="230"/>
      <c r="C45" s="48">
        <v>702</v>
      </c>
      <c r="D45" s="37"/>
      <c r="E45" s="38">
        <v>56</v>
      </c>
      <c r="F45" s="39"/>
      <c r="G45" s="40">
        <f t="shared" si="0"/>
        <v>56</v>
      </c>
      <c r="H45" s="41">
        <v>420000</v>
      </c>
      <c r="I45" s="42"/>
      <c r="J45" s="25"/>
      <c r="K45" s="25">
        <f t="shared" si="1"/>
        <v>0</v>
      </c>
      <c r="L45" s="4"/>
    </row>
    <row r="46" spans="2:13" s="13" customFormat="1" ht="18" customHeight="1" x14ac:dyDescent="0.3">
      <c r="B46" s="230"/>
      <c r="C46" s="34">
        <v>703</v>
      </c>
      <c r="D46" s="22"/>
      <c r="E46" s="35">
        <v>88</v>
      </c>
      <c r="F46" s="24"/>
      <c r="G46" s="18">
        <f t="shared" si="0"/>
        <v>88</v>
      </c>
      <c r="H46" s="19">
        <v>654000</v>
      </c>
      <c r="I46" s="20" t="s">
        <v>38</v>
      </c>
      <c r="J46" s="25">
        <v>1800</v>
      </c>
      <c r="K46" s="25">
        <f t="shared" si="1"/>
        <v>589248</v>
      </c>
      <c r="L46" s="4">
        <v>407000</v>
      </c>
      <c r="M46" s="13" t="s">
        <v>21</v>
      </c>
    </row>
    <row r="47" spans="2:13" s="13" customFormat="1" ht="18" customHeight="1" x14ac:dyDescent="0.3">
      <c r="B47" s="230"/>
      <c r="C47" s="36">
        <v>704</v>
      </c>
      <c r="D47" s="37"/>
      <c r="E47" s="38">
        <v>61</v>
      </c>
      <c r="F47" s="39"/>
      <c r="G47" s="40">
        <f t="shared" si="0"/>
        <v>61</v>
      </c>
      <c r="H47" s="41">
        <v>422700</v>
      </c>
      <c r="I47" s="42"/>
      <c r="J47" s="25">
        <v>1750</v>
      </c>
      <c r="K47" s="25">
        <f t="shared" si="1"/>
        <v>397110</v>
      </c>
      <c r="L47" s="4">
        <v>479500</v>
      </c>
    </row>
    <row r="48" spans="2:13" s="13" customFormat="1" ht="18" customHeight="1" thickBot="1" x14ac:dyDescent="0.35">
      <c r="B48" s="231"/>
      <c r="C48" s="27">
        <v>705</v>
      </c>
      <c r="D48" s="28"/>
      <c r="E48" s="29">
        <v>69</v>
      </c>
      <c r="F48" s="63"/>
      <c r="G48" s="31">
        <f t="shared" si="0"/>
        <v>69</v>
      </c>
      <c r="H48" s="32">
        <v>496000</v>
      </c>
      <c r="I48" s="33" t="s">
        <v>39</v>
      </c>
      <c r="J48" s="25">
        <v>1800</v>
      </c>
      <c r="K48" s="25">
        <f t="shared" si="1"/>
        <v>462024</v>
      </c>
      <c r="L48" s="4">
        <v>402000</v>
      </c>
      <c r="M48" s="55" t="s">
        <v>31</v>
      </c>
    </row>
    <row r="49" spans="2:12" s="13" customFormat="1" ht="18" customHeight="1" x14ac:dyDescent="0.3">
      <c r="B49" s="229" t="s">
        <v>40</v>
      </c>
      <c r="C49" s="60">
        <v>801</v>
      </c>
      <c r="D49" s="37"/>
      <c r="E49" s="38">
        <v>84</v>
      </c>
      <c r="F49" s="61"/>
      <c r="G49" s="40">
        <f t="shared" si="0"/>
        <v>84</v>
      </c>
      <c r="H49" s="41">
        <v>630000</v>
      </c>
      <c r="I49" s="42"/>
      <c r="J49" s="25">
        <v>2000</v>
      </c>
      <c r="K49" s="25">
        <f t="shared" si="1"/>
        <v>624960</v>
      </c>
      <c r="L49" s="4">
        <v>599000</v>
      </c>
    </row>
    <row r="50" spans="2:12" s="13" customFormat="1" ht="18" customHeight="1" x14ac:dyDescent="0.3">
      <c r="B50" s="230"/>
      <c r="C50" s="48">
        <v>802</v>
      </c>
      <c r="D50" s="37"/>
      <c r="E50" s="46">
        <v>56</v>
      </c>
      <c r="F50" s="62"/>
      <c r="G50" s="40">
        <f t="shared" si="0"/>
        <v>56</v>
      </c>
      <c r="H50" s="41">
        <v>420000</v>
      </c>
      <c r="I50" s="42"/>
      <c r="J50" s="25"/>
      <c r="K50" s="25">
        <f t="shared" si="1"/>
        <v>0</v>
      </c>
      <c r="L50" s="4"/>
    </row>
    <row r="51" spans="2:12" s="13" customFormat="1" ht="18" customHeight="1" x14ac:dyDescent="0.3">
      <c r="B51" s="230"/>
      <c r="C51" s="27">
        <v>803</v>
      </c>
      <c r="D51" s="28"/>
      <c r="E51" s="29">
        <v>88</v>
      </c>
      <c r="F51" s="30"/>
      <c r="G51" s="31">
        <f t="shared" si="0"/>
        <v>88</v>
      </c>
      <c r="H51" s="32">
        <v>654000</v>
      </c>
      <c r="I51" s="33" t="s">
        <v>41</v>
      </c>
      <c r="J51" s="25">
        <v>1800</v>
      </c>
      <c r="K51" s="25">
        <f t="shared" si="1"/>
        <v>589248</v>
      </c>
      <c r="L51" s="4">
        <v>407000</v>
      </c>
    </row>
    <row r="52" spans="2:12" s="13" customFormat="1" ht="18" customHeight="1" x14ac:dyDescent="0.3">
      <c r="B52" s="230"/>
      <c r="C52" s="36">
        <v>804</v>
      </c>
      <c r="D52" s="37"/>
      <c r="E52" s="46">
        <v>60.93</v>
      </c>
      <c r="F52" s="39"/>
      <c r="G52" s="40">
        <f t="shared" si="0"/>
        <v>60.93</v>
      </c>
      <c r="H52" s="41">
        <v>422700</v>
      </c>
      <c r="I52" s="42"/>
      <c r="J52" s="25">
        <v>1750</v>
      </c>
      <c r="K52" s="25">
        <f t="shared" si="1"/>
        <v>396654.30000000005</v>
      </c>
      <c r="L52" s="4">
        <v>479500</v>
      </c>
    </row>
    <row r="53" spans="2:12" s="13" customFormat="1" ht="18" customHeight="1" thickBot="1" x14ac:dyDescent="0.35">
      <c r="B53" s="231"/>
      <c r="C53" s="48">
        <v>805</v>
      </c>
      <c r="D53" s="37"/>
      <c r="E53" s="46">
        <v>68.72</v>
      </c>
      <c r="F53" s="39"/>
      <c r="G53" s="40">
        <f t="shared" si="0"/>
        <v>68.72</v>
      </c>
      <c r="H53" s="41">
        <v>476800</v>
      </c>
      <c r="I53" s="42"/>
      <c r="J53" s="25">
        <v>1800</v>
      </c>
      <c r="K53" s="25">
        <f t="shared" si="1"/>
        <v>460149.12</v>
      </c>
      <c r="L53" s="4">
        <v>402000</v>
      </c>
    </row>
    <row r="54" spans="2:12" s="13" customFormat="1" ht="18" customHeight="1" x14ac:dyDescent="0.3">
      <c r="B54" s="49"/>
      <c r="C54" s="48">
        <v>901</v>
      </c>
      <c r="D54" s="37"/>
      <c r="E54" s="46">
        <v>84</v>
      </c>
      <c r="F54" s="39"/>
      <c r="G54" s="40">
        <f t="shared" si="0"/>
        <v>84</v>
      </c>
      <c r="H54" s="41">
        <v>630000</v>
      </c>
      <c r="I54" s="42"/>
      <c r="J54" s="25"/>
      <c r="K54" s="25">
        <f t="shared" si="1"/>
        <v>0</v>
      </c>
      <c r="L54" s="4"/>
    </row>
    <row r="55" spans="2:12" s="13" customFormat="1" ht="18" customHeight="1" x14ac:dyDescent="0.3">
      <c r="B55" s="49"/>
      <c r="C55" s="48">
        <v>902</v>
      </c>
      <c r="D55" s="37"/>
      <c r="E55" s="46">
        <v>56</v>
      </c>
      <c r="F55" s="39"/>
      <c r="G55" s="40">
        <f t="shared" si="0"/>
        <v>56</v>
      </c>
      <c r="H55" s="41">
        <v>420000</v>
      </c>
      <c r="I55" s="42"/>
      <c r="J55" s="25"/>
      <c r="K55" s="25">
        <f t="shared" si="1"/>
        <v>0</v>
      </c>
      <c r="L55" s="4"/>
    </row>
    <row r="56" spans="2:12" s="13" customFormat="1" ht="18" customHeight="1" x14ac:dyDescent="0.3">
      <c r="B56" s="230" t="s">
        <v>42</v>
      </c>
      <c r="C56" s="34">
        <v>903</v>
      </c>
      <c r="D56" s="22"/>
      <c r="E56" s="35">
        <v>88</v>
      </c>
      <c r="F56" s="24"/>
      <c r="G56" s="18">
        <f t="shared" si="0"/>
        <v>88</v>
      </c>
      <c r="H56" s="19">
        <v>692000</v>
      </c>
      <c r="I56" s="20" t="s">
        <v>43</v>
      </c>
      <c r="J56" s="25">
        <v>1800</v>
      </c>
      <c r="K56" s="25">
        <f t="shared" si="1"/>
        <v>589248</v>
      </c>
      <c r="L56" s="4">
        <v>407000</v>
      </c>
    </row>
    <row r="57" spans="2:12" s="13" customFormat="1" ht="18" customHeight="1" x14ac:dyDescent="0.3">
      <c r="B57" s="230"/>
      <c r="C57" s="36">
        <v>904</v>
      </c>
      <c r="D57" s="37"/>
      <c r="E57" s="38">
        <v>60.93</v>
      </c>
      <c r="F57" s="39"/>
      <c r="G57" s="40">
        <f t="shared" si="0"/>
        <v>60.93</v>
      </c>
      <c r="H57" s="41">
        <v>422800</v>
      </c>
      <c r="I57" s="42"/>
      <c r="J57" s="25">
        <v>1750</v>
      </c>
      <c r="K57" s="25">
        <f t="shared" si="1"/>
        <v>396654.30000000005</v>
      </c>
      <c r="L57" s="4">
        <v>479500</v>
      </c>
    </row>
    <row r="58" spans="2:12" s="13" customFormat="1" ht="18" customHeight="1" thickBot="1" x14ac:dyDescent="0.35">
      <c r="B58" s="231"/>
      <c r="C58" s="48">
        <v>905</v>
      </c>
      <c r="D58" s="37"/>
      <c r="E58" s="38">
        <v>68.72</v>
      </c>
      <c r="F58" s="39"/>
      <c r="G58" s="40">
        <f t="shared" si="0"/>
        <v>68.72</v>
      </c>
      <c r="H58" s="41">
        <v>476800</v>
      </c>
      <c r="I58" s="42"/>
      <c r="J58" s="25">
        <v>1800</v>
      </c>
      <c r="K58" s="25">
        <f t="shared" si="1"/>
        <v>460149.12</v>
      </c>
      <c r="L58" s="4">
        <v>402000</v>
      </c>
    </row>
    <row r="59" spans="2:12" s="13" customFormat="1" ht="18" customHeight="1" x14ac:dyDescent="0.3">
      <c r="B59" s="229" t="s">
        <v>44</v>
      </c>
      <c r="C59" s="60">
        <v>1001</v>
      </c>
      <c r="D59" s="37"/>
      <c r="E59" s="64">
        <v>82.63</v>
      </c>
      <c r="F59" s="61"/>
      <c r="G59" s="40">
        <f t="shared" si="0"/>
        <v>82.63</v>
      </c>
      <c r="H59" s="41">
        <v>620000</v>
      </c>
      <c r="I59" s="42"/>
      <c r="J59" s="25"/>
      <c r="K59" s="25">
        <f t="shared" si="1"/>
        <v>0</v>
      </c>
      <c r="L59" s="4"/>
    </row>
    <row r="60" spans="2:12" s="13" customFormat="1" ht="18" customHeight="1" x14ac:dyDescent="0.3">
      <c r="B60" s="230"/>
      <c r="C60" s="48">
        <v>1002</v>
      </c>
      <c r="D60" s="37"/>
      <c r="E60" s="46">
        <v>56</v>
      </c>
      <c r="F60" s="62"/>
      <c r="G60" s="40">
        <f t="shared" si="0"/>
        <v>56</v>
      </c>
      <c r="H60" s="41">
        <v>420000</v>
      </c>
      <c r="I60" s="42"/>
      <c r="J60" s="25"/>
      <c r="K60" s="25">
        <f t="shared" si="1"/>
        <v>0</v>
      </c>
      <c r="L60" s="4"/>
    </row>
    <row r="61" spans="2:12" s="13" customFormat="1" ht="18" customHeight="1" x14ac:dyDescent="0.3">
      <c r="B61" s="230"/>
      <c r="C61" s="48">
        <v>1003</v>
      </c>
      <c r="D61" s="37"/>
      <c r="E61" s="46">
        <v>88.27</v>
      </c>
      <c r="F61" s="47"/>
      <c r="G61" s="40">
        <f t="shared" si="0"/>
        <v>88.27</v>
      </c>
      <c r="H61" s="41">
        <v>662000</v>
      </c>
      <c r="I61" s="42"/>
      <c r="J61" s="25">
        <v>1800</v>
      </c>
      <c r="K61" s="25">
        <f t="shared" si="1"/>
        <v>591055.92000000004</v>
      </c>
      <c r="L61" s="4">
        <v>368500</v>
      </c>
    </row>
    <row r="62" spans="2:12" s="13" customFormat="1" ht="18" customHeight="1" x14ac:dyDescent="0.3">
      <c r="B62" s="230"/>
      <c r="C62" s="36">
        <v>1004</v>
      </c>
      <c r="D62" s="37"/>
      <c r="E62" s="38">
        <v>61</v>
      </c>
      <c r="F62" s="39"/>
      <c r="G62" s="40">
        <v>54</v>
      </c>
      <c r="H62" s="41">
        <v>422700</v>
      </c>
      <c r="I62" s="42"/>
      <c r="J62" s="25">
        <v>1800</v>
      </c>
      <c r="K62" s="25">
        <f t="shared" si="1"/>
        <v>361584</v>
      </c>
      <c r="L62" s="4">
        <v>469000</v>
      </c>
    </row>
    <row r="63" spans="2:12" s="13" customFormat="1" ht="18" customHeight="1" thickBot="1" x14ac:dyDescent="0.35">
      <c r="B63" s="231"/>
      <c r="C63" s="48">
        <v>1005</v>
      </c>
      <c r="D63" s="37"/>
      <c r="E63" s="46">
        <v>68.72</v>
      </c>
      <c r="F63" s="65"/>
      <c r="G63" s="40">
        <f t="shared" si="0"/>
        <v>68.72</v>
      </c>
      <c r="H63" s="41">
        <v>476800</v>
      </c>
      <c r="I63" s="42"/>
      <c r="J63" s="25"/>
      <c r="K63" s="25"/>
      <c r="L63" s="4"/>
    </row>
    <row r="64" spans="2:12" s="13" customFormat="1" ht="18" customHeight="1" x14ac:dyDescent="0.3">
      <c r="B64" s="229" t="s">
        <v>45</v>
      </c>
      <c r="C64" s="66">
        <v>1101</v>
      </c>
      <c r="D64" s="37"/>
      <c r="E64" s="64">
        <v>83</v>
      </c>
      <c r="F64" s="61"/>
      <c r="G64" s="40">
        <f t="shared" si="0"/>
        <v>83</v>
      </c>
      <c r="H64" s="41">
        <v>622500</v>
      </c>
      <c r="I64" s="42"/>
      <c r="J64" s="25"/>
      <c r="K64" s="25">
        <f t="shared" ref="K64:K67" si="2">+J64*G64*$J$13</f>
        <v>0</v>
      </c>
      <c r="L64" s="4"/>
    </row>
    <row r="65" spans="2:12" s="13" customFormat="1" ht="18" customHeight="1" x14ac:dyDescent="0.3">
      <c r="B65" s="230"/>
      <c r="C65" s="67">
        <v>1102</v>
      </c>
      <c r="D65" s="37"/>
      <c r="E65" s="46">
        <v>54.58</v>
      </c>
      <c r="F65" s="62"/>
      <c r="G65" s="40">
        <f t="shared" si="0"/>
        <v>54.58</v>
      </c>
      <c r="H65" s="41">
        <v>380300</v>
      </c>
      <c r="I65" s="42"/>
      <c r="J65" s="25"/>
      <c r="K65" s="25">
        <f t="shared" si="2"/>
        <v>0</v>
      </c>
      <c r="L65" s="4"/>
    </row>
    <row r="66" spans="2:12" s="13" customFormat="1" ht="18" customHeight="1" x14ac:dyDescent="0.3">
      <c r="B66" s="230"/>
      <c r="C66" s="68">
        <v>1103</v>
      </c>
      <c r="D66" s="37"/>
      <c r="E66" s="46">
        <v>87</v>
      </c>
      <c r="F66" s="47"/>
      <c r="G66" s="40">
        <f t="shared" si="0"/>
        <v>87</v>
      </c>
      <c r="H66" s="41">
        <v>652500</v>
      </c>
      <c r="I66" s="42"/>
      <c r="J66" s="25">
        <v>1800</v>
      </c>
      <c r="K66" s="25">
        <f t="shared" si="2"/>
        <v>582552</v>
      </c>
      <c r="L66" s="4">
        <v>368500</v>
      </c>
    </row>
    <row r="67" spans="2:12" s="13" customFormat="1" ht="18" customHeight="1" x14ac:dyDescent="0.3">
      <c r="B67" s="230"/>
      <c r="C67" s="21">
        <v>1104</v>
      </c>
      <c r="D67" s="22"/>
      <c r="E67" s="35">
        <v>54.26</v>
      </c>
      <c r="F67" s="43"/>
      <c r="G67" s="18">
        <v>54</v>
      </c>
      <c r="H67" s="19">
        <v>397000</v>
      </c>
      <c r="I67" s="20" t="s">
        <v>46</v>
      </c>
      <c r="J67" s="25">
        <v>1800</v>
      </c>
      <c r="K67" s="25">
        <f t="shared" si="2"/>
        <v>361584</v>
      </c>
      <c r="L67" s="4">
        <v>469000</v>
      </c>
    </row>
    <row r="68" spans="2:12" s="13" customFormat="1" ht="18" customHeight="1" thickBot="1" x14ac:dyDescent="0.35">
      <c r="B68" s="231"/>
      <c r="C68" s="68">
        <v>1105</v>
      </c>
      <c r="D68" s="37"/>
      <c r="E68" s="46">
        <v>61.67</v>
      </c>
      <c r="F68" s="65"/>
      <c r="G68" s="40">
        <f t="shared" ref="G68" si="3">+E68+F68</f>
        <v>61.67</v>
      </c>
      <c r="H68" s="41">
        <v>427800</v>
      </c>
      <c r="I68" s="42"/>
      <c r="J68" s="25"/>
      <c r="K68" s="25"/>
      <c r="L68" s="4"/>
    </row>
    <row r="69" spans="2:12" s="13" customFormat="1" ht="18" customHeight="1" x14ac:dyDescent="0.3">
      <c r="B69" s="258" t="s">
        <v>47</v>
      </c>
      <c r="C69" s="69" t="s">
        <v>48</v>
      </c>
      <c r="D69" s="70">
        <v>13</v>
      </c>
      <c r="E69" s="71"/>
      <c r="F69" s="72">
        <f t="shared" ref="F69:F117" si="4">+D69+E69</f>
        <v>13</v>
      </c>
      <c r="G69" s="73"/>
      <c r="H69" s="74">
        <v>46500</v>
      </c>
      <c r="I69" s="42"/>
      <c r="J69" s="25"/>
      <c r="K69" s="25"/>
      <c r="L69" s="4"/>
    </row>
    <row r="70" spans="2:12" s="13" customFormat="1" ht="18" customHeight="1" thickBot="1" x14ac:dyDescent="0.35">
      <c r="B70" s="270"/>
      <c r="C70" s="75" t="s">
        <v>49</v>
      </c>
      <c r="D70" s="76">
        <v>12.5</v>
      </c>
      <c r="E70" s="77"/>
      <c r="F70" s="72">
        <f t="shared" si="4"/>
        <v>12.5</v>
      </c>
      <c r="G70" s="73"/>
      <c r="H70" s="74">
        <v>44500</v>
      </c>
      <c r="I70" s="42"/>
      <c r="J70" s="25"/>
      <c r="K70" s="25"/>
      <c r="L70" s="4"/>
    </row>
    <row r="71" spans="2:12" s="13" customFormat="1" ht="18" customHeight="1" x14ac:dyDescent="0.3">
      <c r="B71" s="260" t="s">
        <v>50</v>
      </c>
      <c r="C71" s="75" t="s">
        <v>51</v>
      </c>
      <c r="D71" s="78">
        <v>12.5</v>
      </c>
      <c r="E71" s="77">
        <v>1.3</v>
      </c>
      <c r="F71" s="72">
        <f t="shared" si="4"/>
        <v>13.8</v>
      </c>
      <c r="G71" s="73"/>
      <c r="H71" s="74">
        <v>52500</v>
      </c>
      <c r="I71" s="42"/>
      <c r="J71" s="25"/>
      <c r="K71" s="25"/>
      <c r="L71" s="4"/>
    </row>
    <row r="72" spans="2:12" s="13" customFormat="1" ht="18" customHeight="1" x14ac:dyDescent="0.3">
      <c r="B72" s="261"/>
      <c r="C72" s="75" t="s">
        <v>52</v>
      </c>
      <c r="D72" s="78">
        <v>13.5</v>
      </c>
      <c r="E72" s="77">
        <v>0.56999999999999995</v>
      </c>
      <c r="F72" s="72">
        <f t="shared" si="4"/>
        <v>14.07</v>
      </c>
      <c r="G72" s="73"/>
      <c r="H72" s="74">
        <v>50500</v>
      </c>
      <c r="I72" s="42"/>
      <c r="J72" s="25"/>
      <c r="K72" s="25"/>
      <c r="L72" s="4"/>
    </row>
    <row r="73" spans="2:12" s="13" customFormat="1" ht="18" customHeight="1" x14ac:dyDescent="0.3">
      <c r="B73" s="261"/>
      <c r="C73" s="75" t="s">
        <v>53</v>
      </c>
      <c r="D73" s="78">
        <v>17.2</v>
      </c>
      <c r="E73" s="77">
        <v>2.44</v>
      </c>
      <c r="F73" s="72">
        <f t="shared" si="4"/>
        <v>19.64</v>
      </c>
      <c r="G73" s="73"/>
      <c r="H73" s="74">
        <v>70500</v>
      </c>
      <c r="I73" s="42"/>
      <c r="J73" s="25"/>
      <c r="K73" s="25"/>
      <c r="L73" s="4"/>
    </row>
    <row r="74" spans="2:12" s="13" customFormat="1" ht="18" customHeight="1" x14ac:dyDescent="0.3">
      <c r="B74" s="261"/>
      <c r="C74" s="79" t="s">
        <v>54</v>
      </c>
      <c r="D74" s="80">
        <v>15.9</v>
      </c>
      <c r="E74" s="81">
        <v>2.2599999999999998</v>
      </c>
      <c r="F74" s="82">
        <f t="shared" si="4"/>
        <v>18.16</v>
      </c>
      <c r="G74" s="83"/>
      <c r="H74" s="84">
        <v>57500</v>
      </c>
      <c r="I74" s="20" t="s">
        <v>38</v>
      </c>
      <c r="J74" s="25"/>
      <c r="K74" s="25"/>
      <c r="L74" s="4"/>
    </row>
    <row r="75" spans="2:12" s="13" customFormat="1" ht="18" customHeight="1" x14ac:dyDescent="0.3">
      <c r="B75" s="261"/>
      <c r="C75" s="79" t="s">
        <v>55</v>
      </c>
      <c r="D75" s="80">
        <v>15.4</v>
      </c>
      <c r="E75" s="81">
        <v>2.2599999999999998</v>
      </c>
      <c r="F75" s="82">
        <f t="shared" si="4"/>
        <v>17.66</v>
      </c>
      <c r="G75" s="83"/>
      <c r="H75" s="84">
        <v>57300</v>
      </c>
      <c r="I75" s="20" t="s">
        <v>35</v>
      </c>
      <c r="J75" s="25"/>
      <c r="K75" s="25"/>
      <c r="L75" s="4"/>
    </row>
    <row r="76" spans="2:12" s="13" customFormat="1" ht="18" customHeight="1" x14ac:dyDescent="0.3">
      <c r="B76" s="261"/>
      <c r="C76" s="75" t="s">
        <v>56</v>
      </c>
      <c r="D76" s="78">
        <v>12.5</v>
      </c>
      <c r="E76" s="77"/>
      <c r="F76" s="72">
        <f t="shared" si="4"/>
        <v>12.5</v>
      </c>
      <c r="G76" s="73"/>
      <c r="H76" s="74">
        <v>47500</v>
      </c>
      <c r="I76" s="42"/>
      <c r="J76" s="25"/>
      <c r="K76" s="25"/>
      <c r="L76" s="4"/>
    </row>
    <row r="77" spans="2:12" s="13" customFormat="1" ht="18" customHeight="1" x14ac:dyDescent="0.3">
      <c r="B77" s="261"/>
      <c r="C77" s="75" t="s">
        <v>57</v>
      </c>
      <c r="D77" s="78">
        <v>12.5</v>
      </c>
      <c r="E77" s="85">
        <v>1.83</v>
      </c>
      <c r="F77" s="72">
        <f t="shared" si="4"/>
        <v>14.33</v>
      </c>
      <c r="G77" s="73"/>
      <c r="H77" s="74">
        <v>52000</v>
      </c>
      <c r="I77" s="42"/>
      <c r="J77" s="25"/>
      <c r="K77" s="25"/>
      <c r="L77" s="4"/>
    </row>
    <row r="78" spans="2:12" s="13" customFormat="1" ht="18" customHeight="1" x14ac:dyDescent="0.3">
      <c r="B78" s="261"/>
      <c r="C78" s="75" t="s">
        <v>58</v>
      </c>
      <c r="D78" s="78">
        <v>12.5</v>
      </c>
      <c r="E78" s="85">
        <v>5.32</v>
      </c>
      <c r="F78" s="72">
        <f t="shared" si="4"/>
        <v>17.82</v>
      </c>
      <c r="G78" s="73"/>
      <c r="H78" s="74">
        <v>66300</v>
      </c>
      <c r="I78" s="42"/>
      <c r="J78" s="25"/>
      <c r="K78" s="25"/>
      <c r="L78" s="4"/>
    </row>
    <row r="79" spans="2:12" s="13" customFormat="1" ht="15" customHeight="1" x14ac:dyDescent="0.3">
      <c r="B79" s="261"/>
      <c r="C79" s="75" t="s">
        <v>59</v>
      </c>
      <c r="D79" s="78">
        <v>12.5</v>
      </c>
      <c r="E79" s="85">
        <v>3.8</v>
      </c>
      <c r="F79" s="72">
        <f t="shared" si="4"/>
        <v>16.3</v>
      </c>
      <c r="G79" s="73"/>
      <c r="H79" s="74">
        <v>60400</v>
      </c>
      <c r="I79" s="42"/>
      <c r="J79" s="25"/>
      <c r="K79" s="25"/>
      <c r="L79" s="4"/>
    </row>
    <row r="80" spans="2:12" s="13" customFormat="1" ht="15" customHeight="1" thickBot="1" x14ac:dyDescent="0.35">
      <c r="B80" s="261"/>
      <c r="C80" s="79" t="s">
        <v>60</v>
      </c>
      <c r="D80" s="80">
        <v>13</v>
      </c>
      <c r="E80" s="86">
        <v>3.89</v>
      </c>
      <c r="F80" s="82">
        <f t="shared" si="4"/>
        <v>16.89</v>
      </c>
      <c r="G80" s="83"/>
      <c r="H80" s="84">
        <v>56300</v>
      </c>
      <c r="I80" s="20" t="s">
        <v>20</v>
      </c>
      <c r="J80" s="25"/>
      <c r="K80" s="25"/>
      <c r="L80" s="4"/>
    </row>
    <row r="81" spans="2:12" s="13" customFormat="1" ht="15" thickBot="1" x14ac:dyDescent="0.35">
      <c r="B81" s="261"/>
      <c r="C81" s="79" t="s">
        <v>61</v>
      </c>
      <c r="D81" s="87">
        <v>12.86</v>
      </c>
      <c r="E81" s="86">
        <v>3</v>
      </c>
      <c r="F81" s="82">
        <f t="shared" si="4"/>
        <v>15.86</v>
      </c>
      <c r="G81" s="83"/>
      <c r="H81" s="84">
        <v>64600</v>
      </c>
      <c r="I81" s="20" t="s">
        <v>16</v>
      </c>
      <c r="J81" s="25"/>
      <c r="K81" s="25"/>
      <c r="L81" s="4"/>
    </row>
    <row r="82" spans="2:12" s="13" customFormat="1" x14ac:dyDescent="0.3">
      <c r="B82" s="261"/>
      <c r="C82" s="75" t="s">
        <v>62</v>
      </c>
      <c r="D82" s="70">
        <v>14.63</v>
      </c>
      <c r="E82" s="85">
        <v>2.37</v>
      </c>
      <c r="F82" s="72">
        <f t="shared" si="4"/>
        <v>17</v>
      </c>
      <c r="G82" s="73"/>
      <c r="H82" s="74">
        <v>56300</v>
      </c>
      <c r="I82" s="42"/>
      <c r="J82" s="25"/>
      <c r="K82" s="25"/>
      <c r="L82" s="4"/>
    </row>
    <row r="83" spans="2:12" s="13" customFormat="1" ht="14.4" hidden="1" customHeight="1" x14ac:dyDescent="0.3">
      <c r="B83" s="261"/>
      <c r="C83" s="75" t="s">
        <v>63</v>
      </c>
      <c r="D83" s="76">
        <v>13.27</v>
      </c>
      <c r="E83" s="85"/>
      <c r="F83" s="72">
        <f t="shared" si="4"/>
        <v>13.27</v>
      </c>
      <c r="G83" s="73"/>
      <c r="H83" s="74">
        <v>50500</v>
      </c>
      <c r="I83" s="42"/>
      <c r="J83" s="25"/>
      <c r="K83" s="25"/>
      <c r="L83" s="4"/>
    </row>
    <row r="84" spans="2:12" s="13" customFormat="1" ht="15" thickBot="1" x14ac:dyDescent="0.35">
      <c r="B84" s="262"/>
      <c r="C84" s="90" t="s">
        <v>64</v>
      </c>
      <c r="D84" s="91">
        <v>13.27</v>
      </c>
      <c r="E84" s="92"/>
      <c r="F84" s="93">
        <f t="shared" si="4"/>
        <v>13.27</v>
      </c>
      <c r="G84" s="94"/>
      <c r="H84" s="95">
        <v>50500</v>
      </c>
      <c r="I84" s="33" t="s">
        <v>39</v>
      </c>
      <c r="J84" s="25"/>
      <c r="K84" s="25"/>
      <c r="L84" s="4"/>
    </row>
    <row r="85" spans="2:12" s="13" customFormat="1" ht="15" hidden="1" customHeight="1" x14ac:dyDescent="0.3">
      <c r="B85" s="263" t="s">
        <v>65</v>
      </c>
      <c r="C85" s="75" t="s">
        <v>66</v>
      </c>
      <c r="D85" s="78">
        <v>12.5</v>
      </c>
      <c r="E85" s="85">
        <v>1.3</v>
      </c>
      <c r="F85" s="72">
        <f t="shared" si="4"/>
        <v>13.8</v>
      </c>
      <c r="G85" s="73"/>
      <c r="H85" s="74">
        <v>52500</v>
      </c>
      <c r="I85" s="42"/>
      <c r="J85" s="25"/>
      <c r="K85" s="25"/>
      <c r="L85" s="4"/>
    </row>
    <row r="86" spans="2:12" s="13" customFormat="1" ht="14.4" hidden="1" customHeight="1" x14ac:dyDescent="0.3">
      <c r="B86" s="264"/>
      <c r="C86" s="75" t="s">
        <v>67</v>
      </c>
      <c r="D86" s="78">
        <v>12.5</v>
      </c>
      <c r="E86" s="85">
        <v>1.82</v>
      </c>
      <c r="F86" s="72">
        <f t="shared" si="4"/>
        <v>14.32</v>
      </c>
      <c r="G86" s="73"/>
      <c r="H86" s="74">
        <v>56000</v>
      </c>
      <c r="I86" s="42"/>
      <c r="J86" s="25"/>
      <c r="K86" s="25"/>
      <c r="L86" s="4"/>
    </row>
    <row r="87" spans="2:12" s="13" customFormat="1" ht="14.4" hidden="1" customHeight="1" x14ac:dyDescent="0.3">
      <c r="B87" s="264"/>
      <c r="C87" s="75" t="s">
        <v>68</v>
      </c>
      <c r="D87" s="78">
        <v>17.100000000000001</v>
      </c>
      <c r="E87" s="85">
        <v>2.4300000000000002</v>
      </c>
      <c r="F87" s="72">
        <f t="shared" si="4"/>
        <v>19.53</v>
      </c>
      <c r="G87" s="73"/>
      <c r="H87" s="74">
        <v>60000</v>
      </c>
      <c r="I87" s="42"/>
      <c r="J87" s="25"/>
      <c r="K87" s="25"/>
      <c r="L87" s="4"/>
    </row>
    <row r="88" spans="2:12" s="13" customFormat="1" ht="14.4" hidden="1" customHeight="1" x14ac:dyDescent="0.3">
      <c r="B88" s="264"/>
      <c r="C88" s="75" t="s">
        <v>69</v>
      </c>
      <c r="D88" s="78">
        <v>15.89</v>
      </c>
      <c r="E88" s="85">
        <v>2.2599999999999998</v>
      </c>
      <c r="F88" s="72">
        <f t="shared" si="4"/>
        <v>18.149999999999999</v>
      </c>
      <c r="G88" s="73"/>
      <c r="H88" s="74">
        <v>59300</v>
      </c>
      <c r="I88" s="42"/>
      <c r="J88" s="25"/>
      <c r="K88" s="25"/>
      <c r="L88" s="4"/>
    </row>
    <row r="89" spans="2:12" s="13" customFormat="1" x14ac:dyDescent="0.3">
      <c r="B89" s="264"/>
      <c r="C89" s="75" t="s">
        <v>70</v>
      </c>
      <c r="D89" s="78">
        <v>15.4</v>
      </c>
      <c r="E89" s="85">
        <v>2.2599999999999998</v>
      </c>
      <c r="F89" s="72">
        <f t="shared" si="4"/>
        <v>17.66</v>
      </c>
      <c r="G89" s="73"/>
      <c r="H89" s="74">
        <v>57300</v>
      </c>
      <c r="I89" s="42"/>
      <c r="J89" s="25"/>
      <c r="K89" s="25"/>
      <c r="L89" s="4"/>
    </row>
    <row r="90" spans="2:12" s="13" customFormat="1" ht="14.4" customHeight="1" x14ac:dyDescent="0.3">
      <c r="B90" s="264"/>
      <c r="C90" s="75" t="s">
        <v>71</v>
      </c>
      <c r="D90" s="78">
        <v>12.51</v>
      </c>
      <c r="E90" s="85"/>
      <c r="F90" s="72">
        <f t="shared" si="4"/>
        <v>12.51</v>
      </c>
      <c r="G90" s="73"/>
      <c r="H90" s="74">
        <v>47500</v>
      </c>
      <c r="I90" s="42"/>
      <c r="J90" s="25"/>
      <c r="K90" s="25"/>
      <c r="L90" s="4"/>
    </row>
    <row r="91" spans="2:12" s="13" customFormat="1" x14ac:dyDescent="0.3">
      <c r="B91" s="264"/>
      <c r="C91" s="90" t="s">
        <v>72</v>
      </c>
      <c r="D91" s="91">
        <v>12.49</v>
      </c>
      <c r="E91" s="92">
        <v>1.83</v>
      </c>
      <c r="F91" s="93">
        <f t="shared" si="4"/>
        <v>14.32</v>
      </c>
      <c r="G91" s="94"/>
      <c r="H91" s="95">
        <v>52000</v>
      </c>
      <c r="I91" s="33"/>
      <c r="J91" s="25"/>
      <c r="K91" s="25"/>
      <c r="L91" s="4"/>
    </row>
    <row r="92" spans="2:12" s="13" customFormat="1" x14ac:dyDescent="0.3">
      <c r="B92" s="264"/>
      <c r="C92" s="75" t="s">
        <v>73</v>
      </c>
      <c r="D92" s="78">
        <v>12.5</v>
      </c>
      <c r="E92" s="85">
        <v>5.32</v>
      </c>
      <c r="F92" s="72">
        <f t="shared" si="4"/>
        <v>17.82</v>
      </c>
      <c r="G92" s="73"/>
      <c r="H92" s="74">
        <v>66400</v>
      </c>
      <c r="I92" s="42"/>
      <c r="J92" s="25"/>
      <c r="K92" s="25"/>
      <c r="L92" s="4"/>
    </row>
    <row r="93" spans="2:12" s="13" customFormat="1" x14ac:dyDescent="0.3">
      <c r="B93" s="264"/>
      <c r="C93" s="75" t="s">
        <v>74</v>
      </c>
      <c r="D93" s="78">
        <v>12.5</v>
      </c>
      <c r="E93" s="85">
        <v>3.8</v>
      </c>
      <c r="F93" s="72">
        <f t="shared" si="4"/>
        <v>16.3</v>
      </c>
      <c r="G93" s="73"/>
      <c r="H93" s="74">
        <v>60400</v>
      </c>
      <c r="I93" s="42"/>
      <c r="J93" s="25"/>
      <c r="K93" s="25"/>
      <c r="L93" s="4"/>
    </row>
    <row r="94" spans="2:12" s="13" customFormat="1" x14ac:dyDescent="0.3">
      <c r="B94" s="264"/>
      <c r="C94" s="90" t="s">
        <v>75</v>
      </c>
      <c r="D94" s="91">
        <v>14.6</v>
      </c>
      <c r="E94" s="92">
        <v>3.89</v>
      </c>
      <c r="F94" s="93">
        <f t="shared" si="4"/>
        <v>18.489999999999998</v>
      </c>
      <c r="G94" s="94"/>
      <c r="H94" s="95">
        <v>64600</v>
      </c>
      <c r="I94" s="33"/>
      <c r="J94" s="25"/>
      <c r="K94" s="25"/>
      <c r="L94" s="4"/>
    </row>
    <row r="95" spans="2:12" s="13" customFormat="1" x14ac:dyDescent="0.3">
      <c r="B95" s="264"/>
      <c r="C95" s="75" t="s">
        <v>76</v>
      </c>
      <c r="D95" s="78">
        <v>12.86</v>
      </c>
      <c r="E95" s="85">
        <v>3</v>
      </c>
      <c r="F95" s="72">
        <f t="shared" si="4"/>
        <v>15.86</v>
      </c>
      <c r="G95" s="73"/>
      <c r="H95" s="74">
        <v>57800</v>
      </c>
      <c r="I95" s="42"/>
      <c r="J95" s="25"/>
      <c r="K95" s="25"/>
      <c r="L95" s="4"/>
    </row>
    <row r="96" spans="2:12" s="13" customFormat="1" x14ac:dyDescent="0.3">
      <c r="B96" s="264"/>
      <c r="C96" s="75" t="s">
        <v>77</v>
      </c>
      <c r="D96" s="78">
        <v>13</v>
      </c>
      <c r="E96" s="85">
        <v>3.89</v>
      </c>
      <c r="F96" s="72">
        <f t="shared" si="4"/>
        <v>16.89</v>
      </c>
      <c r="G96" s="73"/>
      <c r="H96" s="74">
        <v>61000</v>
      </c>
      <c r="I96" s="42"/>
      <c r="J96" s="25"/>
      <c r="K96" s="25"/>
      <c r="L96" s="4"/>
    </row>
    <row r="97" spans="2:13" s="13" customFormat="1" ht="15" thickBot="1" x14ac:dyDescent="0.35">
      <c r="B97" s="264"/>
      <c r="C97" s="75" t="s">
        <v>78</v>
      </c>
      <c r="D97" s="78">
        <v>13.27</v>
      </c>
      <c r="E97" s="85"/>
      <c r="F97" s="72">
        <f t="shared" si="4"/>
        <v>13.27</v>
      </c>
      <c r="G97" s="73"/>
      <c r="H97" s="74">
        <v>50500</v>
      </c>
      <c r="I97" s="42" t="s">
        <v>11</v>
      </c>
      <c r="J97" s="25"/>
      <c r="K97" s="25"/>
      <c r="L97" s="4"/>
    </row>
    <row r="98" spans="2:13" s="13" customFormat="1" ht="15" hidden="1" customHeight="1" x14ac:dyDescent="0.3">
      <c r="B98" s="265"/>
      <c r="C98" s="75" t="s">
        <v>79</v>
      </c>
      <c r="D98" s="78">
        <v>13.52</v>
      </c>
      <c r="E98" s="85"/>
      <c r="F98" s="72">
        <f t="shared" si="4"/>
        <v>13.52</v>
      </c>
      <c r="G98" s="73"/>
      <c r="H98" s="74">
        <v>51500</v>
      </c>
      <c r="I98" s="33" t="s">
        <v>80</v>
      </c>
      <c r="J98" s="25"/>
      <c r="K98" s="25"/>
      <c r="L98" s="4"/>
    </row>
    <row r="99" spans="2:13" s="13" customFormat="1" x14ac:dyDescent="0.3">
      <c r="B99" s="263" t="s">
        <v>81</v>
      </c>
      <c r="C99" s="75" t="s">
        <v>82</v>
      </c>
      <c r="D99" s="78">
        <v>12.5</v>
      </c>
      <c r="E99" s="85">
        <v>1.3</v>
      </c>
      <c r="F99" s="72">
        <f t="shared" si="4"/>
        <v>13.8</v>
      </c>
      <c r="G99" s="73"/>
      <c r="H99" s="74">
        <v>52500</v>
      </c>
      <c r="I99" s="42" t="s">
        <v>11</v>
      </c>
      <c r="J99" s="25"/>
      <c r="K99" s="25"/>
      <c r="L99" s="4"/>
    </row>
    <row r="100" spans="2:13" s="13" customFormat="1" ht="14.4" hidden="1" customHeight="1" x14ac:dyDescent="0.3">
      <c r="B100" s="264"/>
      <c r="C100" s="75" t="s">
        <v>83</v>
      </c>
      <c r="D100" s="78">
        <v>13.5</v>
      </c>
      <c r="E100" s="85">
        <v>1.82</v>
      </c>
      <c r="F100" s="72">
        <f t="shared" si="4"/>
        <v>15.32</v>
      </c>
      <c r="G100" s="73"/>
      <c r="H100" s="74">
        <v>55800</v>
      </c>
      <c r="I100" s="33" t="s">
        <v>84</v>
      </c>
      <c r="J100" s="25"/>
      <c r="K100" s="25"/>
      <c r="L100" s="4"/>
    </row>
    <row r="101" spans="2:13" s="13" customFormat="1" ht="14.4" hidden="1" customHeight="1" x14ac:dyDescent="0.3">
      <c r="B101" s="264"/>
      <c r="C101" s="75" t="s">
        <v>85</v>
      </c>
      <c r="D101" s="78">
        <v>17.100000000000001</v>
      </c>
      <c r="E101" s="85">
        <v>2.4300000000000002</v>
      </c>
      <c r="F101" s="72">
        <f t="shared" si="4"/>
        <v>19.53</v>
      </c>
      <c r="G101" s="73"/>
      <c r="H101" s="74">
        <v>60000</v>
      </c>
      <c r="I101" s="33" t="s">
        <v>86</v>
      </c>
      <c r="J101" s="25"/>
      <c r="K101" s="25"/>
      <c r="L101" s="4"/>
    </row>
    <row r="102" spans="2:13" s="13" customFormat="1" ht="14.4" hidden="1" customHeight="1" x14ac:dyDescent="0.3">
      <c r="B102" s="264"/>
      <c r="C102" s="75" t="s">
        <v>87</v>
      </c>
      <c r="D102" s="78">
        <v>15.89</v>
      </c>
      <c r="E102" s="85">
        <v>2.2599999999999998</v>
      </c>
      <c r="F102" s="72">
        <f t="shared" si="4"/>
        <v>18.149999999999999</v>
      </c>
      <c r="G102" s="73"/>
      <c r="H102" s="74">
        <v>59300</v>
      </c>
      <c r="I102" s="33" t="s">
        <v>88</v>
      </c>
      <c r="J102" s="25"/>
      <c r="K102" s="25"/>
      <c r="L102" s="4"/>
    </row>
    <row r="103" spans="2:13" s="13" customFormat="1" ht="14.4" hidden="1" customHeight="1" x14ac:dyDescent="0.3">
      <c r="B103" s="264"/>
      <c r="C103" s="75" t="s">
        <v>89</v>
      </c>
      <c r="D103" s="78">
        <v>15.4</v>
      </c>
      <c r="E103" s="85">
        <v>2.2599999999999998</v>
      </c>
      <c r="F103" s="72">
        <f t="shared" si="4"/>
        <v>17.66</v>
      </c>
      <c r="G103" s="73"/>
      <c r="H103" s="74">
        <v>66400</v>
      </c>
      <c r="I103" s="33" t="s">
        <v>14</v>
      </c>
      <c r="J103" s="25"/>
      <c r="K103" s="25"/>
      <c r="L103" s="4"/>
    </row>
    <row r="104" spans="2:13" s="13" customFormat="1" ht="14.4" hidden="1" customHeight="1" x14ac:dyDescent="0.3">
      <c r="B104" s="264"/>
      <c r="C104" s="75" t="s">
        <v>90</v>
      </c>
      <c r="D104" s="78">
        <v>12.51</v>
      </c>
      <c r="E104" s="85"/>
      <c r="F104" s="72">
        <f t="shared" si="4"/>
        <v>12.51</v>
      </c>
      <c r="G104" s="73"/>
      <c r="H104" s="74">
        <v>47500</v>
      </c>
      <c r="I104" s="33" t="s">
        <v>91</v>
      </c>
      <c r="J104" s="25"/>
      <c r="K104" s="25"/>
      <c r="L104" s="4"/>
    </row>
    <row r="105" spans="2:13" s="13" customFormat="1" ht="14.4" hidden="1" customHeight="1" x14ac:dyDescent="0.3">
      <c r="B105" s="264"/>
      <c r="C105" s="75" t="s">
        <v>92</v>
      </c>
      <c r="D105" s="78">
        <v>12.49</v>
      </c>
      <c r="E105" s="85">
        <v>1.83</v>
      </c>
      <c r="F105" s="72">
        <f t="shared" si="4"/>
        <v>14.32</v>
      </c>
      <c r="G105" s="73"/>
      <c r="H105" s="74">
        <v>52000</v>
      </c>
      <c r="I105" s="33" t="s">
        <v>93</v>
      </c>
      <c r="J105" s="25"/>
      <c r="K105" s="25"/>
      <c r="L105" s="4"/>
    </row>
    <row r="106" spans="2:13" s="13" customFormat="1" ht="14.4" hidden="1" customHeight="1" x14ac:dyDescent="0.3">
      <c r="B106" s="264"/>
      <c r="C106" s="75" t="s">
        <v>94</v>
      </c>
      <c r="D106" s="78">
        <v>12.5</v>
      </c>
      <c r="E106" s="85">
        <v>5.32</v>
      </c>
      <c r="F106" s="72">
        <f t="shared" si="4"/>
        <v>17.82</v>
      </c>
      <c r="G106" s="73"/>
      <c r="H106" s="74">
        <v>66400</v>
      </c>
      <c r="I106" s="33" t="s">
        <v>95</v>
      </c>
      <c r="J106" s="25"/>
      <c r="K106" s="25"/>
      <c r="L106" s="4"/>
    </row>
    <row r="107" spans="2:13" s="13" customFormat="1" x14ac:dyDescent="0.3">
      <c r="B107" s="264"/>
      <c r="C107" s="75" t="s">
        <v>96</v>
      </c>
      <c r="D107" s="78">
        <v>12.5</v>
      </c>
      <c r="E107" s="85">
        <v>3.8</v>
      </c>
      <c r="F107" s="72">
        <f t="shared" si="4"/>
        <v>16.3</v>
      </c>
      <c r="G107" s="73"/>
      <c r="H107" s="74">
        <v>60400</v>
      </c>
      <c r="I107" s="42" t="s">
        <v>11</v>
      </c>
      <c r="J107" s="25"/>
      <c r="K107" s="25"/>
      <c r="L107" s="4"/>
    </row>
    <row r="108" spans="2:13" s="13" customFormat="1" x14ac:dyDescent="0.3">
      <c r="B108" s="264"/>
      <c r="C108" s="75" t="s">
        <v>97</v>
      </c>
      <c r="D108" s="78">
        <v>14.6</v>
      </c>
      <c r="E108" s="85">
        <v>3.89</v>
      </c>
      <c r="F108" s="72">
        <f t="shared" si="4"/>
        <v>18.489999999999998</v>
      </c>
      <c r="G108" s="73"/>
      <c r="H108" s="74">
        <v>67300</v>
      </c>
      <c r="I108" s="42" t="s">
        <v>11</v>
      </c>
      <c r="J108" s="25"/>
      <c r="K108" s="25"/>
      <c r="L108" s="4"/>
    </row>
    <row r="109" spans="2:13" s="13" customFormat="1" ht="14.4" customHeight="1" x14ac:dyDescent="0.3">
      <c r="B109" s="264"/>
      <c r="C109" s="75" t="s">
        <v>98</v>
      </c>
      <c r="D109" s="78">
        <v>12.86</v>
      </c>
      <c r="E109" s="85">
        <v>3</v>
      </c>
      <c r="F109" s="72">
        <f t="shared" si="4"/>
        <v>15.86</v>
      </c>
      <c r="G109" s="73"/>
      <c r="H109" s="74">
        <v>57800</v>
      </c>
      <c r="I109" s="42" t="s">
        <v>11</v>
      </c>
      <c r="J109" s="3"/>
      <c r="K109" s="3"/>
      <c r="L109" s="4"/>
      <c r="M109"/>
    </row>
    <row r="110" spans="2:13" s="13" customFormat="1" x14ac:dyDescent="0.3">
      <c r="B110" s="264"/>
      <c r="C110" s="75" t="s">
        <v>99</v>
      </c>
      <c r="D110" s="78">
        <v>13</v>
      </c>
      <c r="E110" s="85">
        <v>3.89</v>
      </c>
      <c r="F110" s="72">
        <f t="shared" si="4"/>
        <v>16.89</v>
      </c>
      <c r="G110" s="73"/>
      <c r="H110" s="74">
        <v>61000</v>
      </c>
      <c r="I110" s="42" t="s">
        <v>11</v>
      </c>
      <c r="J110" s="3"/>
      <c r="K110" s="3"/>
      <c r="L110" s="4"/>
      <c r="M110"/>
    </row>
    <row r="111" spans="2:13" s="13" customFormat="1" x14ac:dyDescent="0.3">
      <c r="B111" s="264"/>
      <c r="C111" s="75" t="s">
        <v>100</v>
      </c>
      <c r="D111" s="78">
        <v>13.27</v>
      </c>
      <c r="E111" s="85"/>
      <c r="F111" s="72">
        <f t="shared" si="4"/>
        <v>13.27</v>
      </c>
      <c r="G111" s="73"/>
      <c r="H111" s="74">
        <v>50500</v>
      </c>
      <c r="I111" s="42" t="s">
        <v>11</v>
      </c>
      <c r="J111" s="3"/>
      <c r="K111" s="3"/>
      <c r="L111" s="4"/>
      <c r="M111"/>
    </row>
    <row r="112" spans="2:13" s="13" customFormat="1" ht="15" thickBot="1" x14ac:dyDescent="0.35">
      <c r="B112" s="265"/>
      <c r="C112" s="75" t="s">
        <v>101</v>
      </c>
      <c r="D112" s="78">
        <v>13.52</v>
      </c>
      <c r="E112" s="85"/>
      <c r="F112" s="72">
        <f t="shared" si="4"/>
        <v>13.52</v>
      </c>
      <c r="G112" s="73"/>
      <c r="H112" s="74">
        <v>51500</v>
      </c>
      <c r="I112" s="42" t="s">
        <v>11</v>
      </c>
      <c r="J112" s="3"/>
      <c r="K112" s="3"/>
      <c r="L112" s="4"/>
      <c r="M112"/>
    </row>
    <row r="113" spans="2:13" s="13" customFormat="1" ht="14.4" customHeight="1" x14ac:dyDescent="0.3">
      <c r="B113" s="256" t="s">
        <v>102</v>
      </c>
      <c r="C113" s="75" t="s">
        <v>103</v>
      </c>
      <c r="D113" s="78">
        <v>12.5</v>
      </c>
      <c r="E113" s="85">
        <v>1.3</v>
      </c>
      <c r="F113" s="72">
        <f t="shared" si="4"/>
        <v>13.8</v>
      </c>
      <c r="G113" s="73"/>
      <c r="H113" s="74">
        <v>52500</v>
      </c>
      <c r="I113" s="42" t="s">
        <v>11</v>
      </c>
      <c r="J113" s="3"/>
      <c r="K113" s="3"/>
      <c r="L113" s="4"/>
      <c r="M113"/>
    </row>
    <row r="114" spans="2:13" s="13" customFormat="1" ht="14.4" hidden="1" customHeight="1" x14ac:dyDescent="0.3">
      <c r="B114" s="256"/>
      <c r="C114" s="75" t="s">
        <v>104</v>
      </c>
      <c r="D114" s="78">
        <v>13.5</v>
      </c>
      <c r="E114" s="85">
        <v>1.86</v>
      </c>
      <c r="F114" s="72">
        <f t="shared" si="4"/>
        <v>15.36</v>
      </c>
      <c r="G114" s="73"/>
      <c r="H114" s="74">
        <v>54400</v>
      </c>
      <c r="I114" s="88" t="s">
        <v>11</v>
      </c>
      <c r="J114" s="3"/>
      <c r="K114" s="3"/>
      <c r="L114" s="4"/>
      <c r="M114"/>
    </row>
    <row r="115" spans="2:13" s="13" customFormat="1" x14ac:dyDescent="0.3">
      <c r="B115" s="256"/>
      <c r="C115" s="75" t="s">
        <v>105</v>
      </c>
      <c r="D115" s="78">
        <v>17.100000000000001</v>
      </c>
      <c r="E115" s="85">
        <v>2.4300000000000002</v>
      </c>
      <c r="F115" s="72">
        <f t="shared" si="4"/>
        <v>19.53</v>
      </c>
      <c r="G115" s="73"/>
      <c r="H115" s="74">
        <v>60000</v>
      </c>
      <c r="I115" s="42" t="s">
        <v>11</v>
      </c>
      <c r="J115" s="3"/>
      <c r="K115" s="3"/>
      <c r="L115" s="4"/>
      <c r="M115"/>
    </row>
    <row r="116" spans="2:13" s="13" customFormat="1" ht="14.4" hidden="1" customHeight="1" x14ac:dyDescent="0.3">
      <c r="B116" s="256"/>
      <c r="C116" s="75" t="s">
        <v>106</v>
      </c>
      <c r="D116" s="78">
        <v>15.89</v>
      </c>
      <c r="E116" s="85">
        <v>2.2599999999999998</v>
      </c>
      <c r="F116" s="72">
        <f t="shared" si="4"/>
        <v>18.149999999999999</v>
      </c>
      <c r="G116" s="73"/>
      <c r="H116" s="74">
        <v>59300</v>
      </c>
      <c r="I116" s="33" t="s">
        <v>86</v>
      </c>
      <c r="J116" s="3"/>
      <c r="K116" s="3"/>
      <c r="L116" s="4"/>
      <c r="M116"/>
    </row>
    <row r="117" spans="2:13" s="13" customFormat="1" x14ac:dyDescent="0.3">
      <c r="B117" s="256"/>
      <c r="C117" s="75" t="s">
        <v>107</v>
      </c>
      <c r="D117" s="78">
        <v>15.4</v>
      </c>
      <c r="E117" s="85">
        <v>2.2599999999999998</v>
      </c>
      <c r="F117" s="72">
        <f t="shared" si="4"/>
        <v>17.66</v>
      </c>
      <c r="G117" s="73"/>
      <c r="H117" s="74">
        <v>66400</v>
      </c>
      <c r="I117" s="42" t="s">
        <v>11</v>
      </c>
      <c r="J117" s="3"/>
      <c r="K117" s="3"/>
      <c r="L117" s="4"/>
      <c r="M117"/>
    </row>
    <row r="118" spans="2:13" s="13" customFormat="1" x14ac:dyDescent="0.3">
      <c r="B118" s="256"/>
      <c r="C118" s="75" t="s">
        <v>108</v>
      </c>
      <c r="D118" s="78">
        <v>12.5</v>
      </c>
      <c r="E118" s="85"/>
      <c r="F118" s="72">
        <f>+D118+E118</f>
        <v>12.5</v>
      </c>
      <c r="G118" s="73"/>
      <c r="H118" s="74">
        <v>57500</v>
      </c>
      <c r="I118" s="42" t="s">
        <v>11</v>
      </c>
      <c r="J118" s="3"/>
      <c r="K118" s="3"/>
      <c r="L118" s="4"/>
      <c r="M118"/>
    </row>
    <row r="119" spans="2:13" x14ac:dyDescent="0.3">
      <c r="B119" s="256"/>
      <c r="C119" s="75" t="s">
        <v>109</v>
      </c>
      <c r="D119" s="78">
        <v>12.5</v>
      </c>
      <c r="E119" s="85">
        <v>1.83</v>
      </c>
      <c r="F119" s="72">
        <f>+D119+E119</f>
        <v>14.33</v>
      </c>
      <c r="G119" s="73"/>
      <c r="H119" s="74">
        <v>52000</v>
      </c>
      <c r="I119" s="42" t="s">
        <v>11</v>
      </c>
    </row>
    <row r="120" spans="2:13" ht="15" thickBot="1" x14ac:dyDescent="0.35">
      <c r="B120" s="257"/>
      <c r="C120" s="75" t="s">
        <v>110</v>
      </c>
      <c r="D120" s="78">
        <v>25.63</v>
      </c>
      <c r="E120" s="85">
        <v>2.75</v>
      </c>
      <c r="F120" s="72">
        <f>+D120+E120</f>
        <v>28.38</v>
      </c>
      <c r="G120" s="73"/>
      <c r="H120" s="74">
        <v>79000</v>
      </c>
    </row>
    <row r="121" spans="2:13" x14ac:dyDescent="0.3">
      <c r="H121" s="89">
        <f>SUM(H15:H120)</f>
        <v>31543900</v>
      </c>
    </row>
  </sheetData>
  <mergeCells count="27">
    <mergeCell ref="B85:B98"/>
    <mergeCell ref="B99:B112"/>
    <mergeCell ref="B113:B120"/>
    <mergeCell ref="B49:B53"/>
    <mergeCell ref="B56:B58"/>
    <mergeCell ref="B59:B63"/>
    <mergeCell ref="B64:B68"/>
    <mergeCell ref="B69:B70"/>
    <mergeCell ref="B71:B84"/>
    <mergeCell ref="B44:B48"/>
    <mergeCell ref="C13:C14"/>
    <mergeCell ref="D13:D14"/>
    <mergeCell ref="E13:G13"/>
    <mergeCell ref="H13:H14"/>
    <mergeCell ref="B19:B23"/>
    <mergeCell ref="B24:B28"/>
    <mergeCell ref="B29:B33"/>
    <mergeCell ref="B34:B38"/>
    <mergeCell ref="B39:B43"/>
    <mergeCell ref="I13:I14"/>
    <mergeCell ref="B15:B18"/>
    <mergeCell ref="H2:H3"/>
    <mergeCell ref="I2:I3"/>
    <mergeCell ref="B6:I7"/>
    <mergeCell ref="B9:C9"/>
    <mergeCell ref="E9:I9"/>
    <mergeCell ref="B11:I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6021-3211-4816-8D6E-FC34EC28CE17}">
  <dimension ref="B2:P125"/>
  <sheetViews>
    <sheetView showGridLines="0" tabSelected="1" zoomScaleNormal="100" workbookViewId="0">
      <selection activeCell="M44" sqref="M44"/>
    </sheetView>
  </sheetViews>
  <sheetFormatPr baseColWidth="10" defaultRowHeight="14.4" x14ac:dyDescent="0.3"/>
  <cols>
    <col min="1" max="1" width="4.5546875" customWidth="1"/>
    <col min="2" max="2" width="5.6640625" customWidth="1"/>
    <col min="3" max="3" width="12.109375" customWidth="1"/>
    <col min="4" max="12" width="10.6640625" customWidth="1"/>
    <col min="13" max="13" width="11" customWidth="1"/>
    <col min="14" max="14" width="12.6640625" customWidth="1"/>
    <col min="15" max="15" width="34.109375" bestFit="1" customWidth="1"/>
  </cols>
  <sheetData>
    <row r="2" spans="2:15" ht="15" customHeight="1" x14ac:dyDescent="0.3">
      <c r="B2" s="1"/>
      <c r="C2" s="2"/>
      <c r="D2" s="1"/>
      <c r="E2" s="1"/>
      <c r="F2" s="5"/>
      <c r="H2" s="251" t="s">
        <v>0</v>
      </c>
      <c r="I2" s="251"/>
      <c r="J2" s="251"/>
      <c r="K2" s="251"/>
      <c r="L2" s="251"/>
      <c r="M2" s="251"/>
      <c r="N2" s="252"/>
      <c r="O2" s="242">
        <v>46138</v>
      </c>
    </row>
    <row r="3" spans="2:15" ht="15" customHeight="1" x14ac:dyDescent="0.3">
      <c r="B3" s="1"/>
      <c r="C3" s="2"/>
      <c r="D3" s="1"/>
      <c r="E3" s="1"/>
      <c r="F3" s="5"/>
      <c r="H3" s="251"/>
      <c r="I3" s="251"/>
      <c r="J3" s="251"/>
      <c r="K3" s="251"/>
      <c r="L3" s="251"/>
      <c r="M3" s="251"/>
      <c r="N3" s="252"/>
      <c r="O3" s="243"/>
    </row>
    <row r="4" spans="2:15" ht="9.9" customHeight="1" x14ac:dyDescent="0.3">
      <c r="B4" s="6"/>
      <c r="C4" s="7"/>
      <c r="D4" s="6"/>
      <c r="E4" s="6"/>
      <c r="F4" s="8"/>
      <c r="G4" s="8"/>
    </row>
    <row r="5" spans="2:15" ht="15" customHeight="1" x14ac:dyDescent="0.3">
      <c r="B5" s="244" t="s">
        <v>1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</row>
    <row r="6" spans="2:15" ht="15" customHeight="1" x14ac:dyDescent="0.3">
      <c r="B6" s="244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</row>
    <row r="7" spans="2:15" ht="5.0999999999999996" customHeight="1" x14ac:dyDescent="0.3">
      <c r="B7" s="1"/>
      <c r="C7" s="2"/>
      <c r="D7" s="1"/>
      <c r="E7" s="1"/>
      <c r="F7" s="1"/>
      <c r="G7" s="1"/>
    </row>
    <row r="8" spans="2:15" ht="15" customHeight="1" x14ac:dyDescent="0.3">
      <c r="B8" s="246" t="s">
        <v>2</v>
      </c>
      <c r="C8" s="247"/>
      <c r="D8" s="248" t="s">
        <v>111</v>
      </c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9"/>
    </row>
    <row r="9" spans="2:15" ht="5.0999999999999996" customHeight="1" x14ac:dyDescent="0.3">
      <c r="B9" s="1"/>
      <c r="C9" s="2"/>
      <c r="D9" s="1"/>
      <c r="E9" s="1"/>
      <c r="F9" s="1"/>
      <c r="G9" s="1"/>
    </row>
    <row r="10" spans="2:15" ht="15" customHeight="1" x14ac:dyDescent="0.3">
      <c r="B10" s="246" t="s">
        <v>4</v>
      </c>
      <c r="C10" s="25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</row>
    <row r="11" spans="2:15" ht="5.0999999999999996" customHeight="1" x14ac:dyDescent="0.3">
      <c r="B11" s="1"/>
      <c r="C11" s="2"/>
      <c r="D11" s="1"/>
      <c r="E11" s="1"/>
      <c r="F11" s="1"/>
      <c r="G11" s="1"/>
    </row>
    <row r="12" spans="2:15" ht="15" customHeight="1" x14ac:dyDescent="0.3">
      <c r="B12" s="10"/>
      <c r="C12" s="234" t="s">
        <v>5</v>
      </c>
      <c r="D12" s="235" t="s">
        <v>7</v>
      </c>
      <c r="E12" s="236"/>
      <c r="F12" s="237"/>
      <c r="G12" s="232" t="s">
        <v>112</v>
      </c>
      <c r="H12" s="240" t="s">
        <v>8</v>
      </c>
      <c r="I12" s="240" t="s">
        <v>113</v>
      </c>
      <c r="J12" s="240" t="s">
        <v>113</v>
      </c>
      <c r="K12" s="240" t="s">
        <v>113</v>
      </c>
      <c r="L12" s="240" t="s">
        <v>164</v>
      </c>
      <c r="M12" s="240" t="s">
        <v>114</v>
      </c>
      <c r="N12" s="240" t="s">
        <v>115</v>
      </c>
      <c r="O12" s="238" t="s">
        <v>9</v>
      </c>
    </row>
    <row r="13" spans="2:15" ht="15" customHeight="1" thickBot="1" x14ac:dyDescent="0.35">
      <c r="B13" s="10"/>
      <c r="C13" s="232"/>
      <c r="D13" s="12" t="s">
        <v>10</v>
      </c>
      <c r="E13" s="12" t="s">
        <v>11</v>
      </c>
      <c r="F13" s="12" t="s">
        <v>12</v>
      </c>
      <c r="G13" s="233"/>
      <c r="H13" s="241"/>
      <c r="I13" s="241"/>
      <c r="J13" s="241"/>
      <c r="K13" s="241"/>
      <c r="L13" s="241"/>
      <c r="M13" s="241"/>
      <c r="N13" s="241"/>
      <c r="O13" s="239"/>
    </row>
    <row r="14" spans="2:15" s="13" customFormat="1" ht="18" customHeight="1" x14ac:dyDescent="0.3">
      <c r="B14" s="229" t="s">
        <v>116</v>
      </c>
      <c r="C14" s="119">
        <v>101</v>
      </c>
      <c r="D14" s="120">
        <v>80.58</v>
      </c>
      <c r="E14" s="116">
        <v>18.899999999999999</v>
      </c>
      <c r="F14" s="148">
        <f>+D14+E14</f>
        <v>99.47999999999999</v>
      </c>
      <c r="G14" s="149">
        <v>3</v>
      </c>
      <c r="H14" s="150">
        <v>696500</v>
      </c>
      <c r="I14" s="150"/>
      <c r="J14" s="150"/>
      <c r="K14" s="150"/>
      <c r="L14" s="150"/>
      <c r="M14" s="150">
        <v>637000</v>
      </c>
      <c r="N14" s="150" t="s">
        <v>117</v>
      </c>
      <c r="O14" s="151" t="s">
        <v>141</v>
      </c>
    </row>
    <row r="15" spans="2:15" s="13" customFormat="1" ht="18" customHeight="1" x14ac:dyDescent="0.3">
      <c r="B15" s="230"/>
      <c r="C15" s="117">
        <v>102</v>
      </c>
      <c r="D15" s="121">
        <v>81.790000000000006</v>
      </c>
      <c r="E15" s="106">
        <v>19.690000000000001</v>
      </c>
      <c r="F15" s="102">
        <f t="shared" ref="F15:F77" si="0">+D15+E15</f>
        <v>101.48</v>
      </c>
      <c r="G15" s="103">
        <v>3</v>
      </c>
      <c r="H15" s="104">
        <v>679000</v>
      </c>
      <c r="I15" s="104"/>
      <c r="J15" s="104"/>
      <c r="K15" s="104"/>
      <c r="L15" s="104"/>
      <c r="M15" s="104">
        <v>679000</v>
      </c>
      <c r="N15" s="104" t="s">
        <v>117</v>
      </c>
      <c r="O15" s="152" t="s">
        <v>142</v>
      </c>
    </row>
    <row r="16" spans="2:15" s="13" customFormat="1" ht="18" customHeight="1" x14ac:dyDescent="0.3">
      <c r="B16" s="230"/>
      <c r="C16" s="117">
        <v>103</v>
      </c>
      <c r="D16" s="121">
        <v>60.94</v>
      </c>
      <c r="E16" s="106">
        <v>30.59</v>
      </c>
      <c r="F16" s="122">
        <f t="shared" si="0"/>
        <v>91.53</v>
      </c>
      <c r="G16" s="123">
        <v>2</v>
      </c>
      <c r="H16" s="124">
        <v>582000</v>
      </c>
      <c r="I16" s="124"/>
      <c r="J16" s="124"/>
      <c r="K16" s="124"/>
      <c r="L16" s="124"/>
      <c r="M16" s="124">
        <v>520400</v>
      </c>
      <c r="N16" s="124" t="s">
        <v>117</v>
      </c>
      <c r="O16" s="153" t="s">
        <v>143</v>
      </c>
    </row>
    <row r="17" spans="2:16" s="13" customFormat="1" ht="18" customHeight="1" thickBot="1" x14ac:dyDescent="0.35">
      <c r="B17" s="231"/>
      <c r="C17" s="154">
        <v>104</v>
      </c>
      <c r="D17" s="155">
        <v>68.52</v>
      </c>
      <c r="E17" s="156">
        <v>31.7</v>
      </c>
      <c r="F17" s="157">
        <f t="shared" si="0"/>
        <v>100.22</v>
      </c>
      <c r="G17" s="158">
        <v>3</v>
      </c>
      <c r="H17" s="159">
        <v>609100</v>
      </c>
      <c r="I17" s="159"/>
      <c r="J17" s="159"/>
      <c r="K17" s="159"/>
      <c r="L17" s="159"/>
      <c r="M17" s="159">
        <v>609000</v>
      </c>
      <c r="N17" s="159" t="s">
        <v>118</v>
      </c>
      <c r="O17" s="160" t="s">
        <v>144</v>
      </c>
    </row>
    <row r="18" spans="2:16" s="13" customFormat="1" ht="18" customHeight="1" x14ac:dyDescent="0.3">
      <c r="B18" s="229" t="s">
        <v>17</v>
      </c>
      <c r="C18" s="119">
        <v>201</v>
      </c>
      <c r="D18" s="115">
        <v>84</v>
      </c>
      <c r="E18" s="116"/>
      <c r="F18" s="148">
        <f t="shared" si="0"/>
        <v>84</v>
      </c>
      <c r="G18" s="149">
        <v>3</v>
      </c>
      <c r="H18" s="150">
        <v>622500</v>
      </c>
      <c r="I18" s="150"/>
      <c r="J18" s="150"/>
      <c r="K18" s="150"/>
      <c r="L18" s="150"/>
      <c r="M18" s="150">
        <v>622500</v>
      </c>
      <c r="N18" s="150" t="s">
        <v>117</v>
      </c>
      <c r="O18" s="151" t="s">
        <v>145</v>
      </c>
    </row>
    <row r="19" spans="2:16" s="13" customFormat="1" ht="18" customHeight="1" x14ac:dyDescent="0.3">
      <c r="B19" s="230"/>
      <c r="C19" s="117">
        <v>202</v>
      </c>
      <c r="D19" s="100">
        <v>56</v>
      </c>
      <c r="E19" s="106"/>
      <c r="F19" s="102">
        <f t="shared" si="0"/>
        <v>56</v>
      </c>
      <c r="G19" s="103">
        <v>2</v>
      </c>
      <c r="H19" s="104">
        <v>446900</v>
      </c>
      <c r="I19" s="104"/>
      <c r="J19" s="104"/>
      <c r="K19" s="104"/>
      <c r="L19" s="104"/>
      <c r="M19" s="104">
        <v>446900</v>
      </c>
      <c r="N19" s="104" t="s">
        <v>117</v>
      </c>
      <c r="O19" s="152" t="s">
        <v>146</v>
      </c>
    </row>
    <row r="20" spans="2:16" s="13" customFormat="1" ht="15" customHeight="1" x14ac:dyDescent="0.3">
      <c r="B20" s="230"/>
      <c r="C20" s="99">
        <v>203</v>
      </c>
      <c r="D20" s="100">
        <v>88.27</v>
      </c>
      <c r="E20" s="106"/>
      <c r="F20" s="102">
        <f t="shared" si="0"/>
        <v>88.27</v>
      </c>
      <c r="G20" s="103">
        <v>3</v>
      </c>
      <c r="H20" s="104">
        <v>654000</v>
      </c>
      <c r="I20" s="104"/>
      <c r="J20" s="104"/>
      <c r="K20" s="104"/>
      <c r="L20" s="104"/>
      <c r="M20" s="104">
        <v>654000</v>
      </c>
      <c r="N20" s="104" t="s">
        <v>117</v>
      </c>
      <c r="O20" s="152" t="s">
        <v>147</v>
      </c>
    </row>
    <row r="21" spans="2:16" s="13" customFormat="1" ht="18" customHeight="1" x14ac:dyDescent="0.3">
      <c r="B21" s="230"/>
      <c r="C21" s="56">
        <v>204</v>
      </c>
      <c r="D21" s="38">
        <v>60.93</v>
      </c>
      <c r="E21" s="39"/>
      <c r="F21" s="40">
        <f t="shared" si="0"/>
        <v>60.93</v>
      </c>
      <c r="G21" s="73">
        <v>2</v>
      </c>
      <c r="H21" s="41">
        <v>478700</v>
      </c>
      <c r="I21" s="41">
        <v>40000</v>
      </c>
      <c r="J21" s="41">
        <v>15000</v>
      </c>
      <c r="K21" s="41">
        <v>6000</v>
      </c>
      <c r="L21" s="134">
        <f>I21+J21+K21</f>
        <v>61000</v>
      </c>
      <c r="M21" s="41">
        <f>H21-L21</f>
        <v>417700</v>
      </c>
      <c r="N21" s="41" t="s">
        <v>118</v>
      </c>
      <c r="O21" s="161" t="s">
        <v>11</v>
      </c>
    </row>
    <row r="22" spans="2:16" s="13" customFormat="1" ht="18" customHeight="1" thickBot="1" x14ac:dyDescent="0.35">
      <c r="B22" s="231"/>
      <c r="C22" s="162">
        <v>205</v>
      </c>
      <c r="D22" s="125">
        <v>68.72</v>
      </c>
      <c r="E22" s="156"/>
      <c r="F22" s="157">
        <f t="shared" si="0"/>
        <v>68.72</v>
      </c>
      <c r="G22" s="158">
        <v>3</v>
      </c>
      <c r="H22" s="159">
        <v>528000</v>
      </c>
      <c r="I22" s="159">
        <v>40000</v>
      </c>
      <c r="J22" s="159"/>
      <c r="K22" s="159"/>
      <c r="L22" s="159"/>
      <c r="M22" s="159">
        <f>+H22-I22</f>
        <v>488000</v>
      </c>
      <c r="N22" s="159" t="s">
        <v>118</v>
      </c>
      <c r="O22" s="160" t="s">
        <v>136</v>
      </c>
    </row>
    <row r="23" spans="2:16" s="13" customFormat="1" ht="18" customHeight="1" x14ac:dyDescent="0.3">
      <c r="B23" s="229" t="s">
        <v>23</v>
      </c>
      <c r="C23" s="114">
        <v>301</v>
      </c>
      <c r="D23" s="115">
        <v>84</v>
      </c>
      <c r="E23" s="116"/>
      <c r="F23" s="148">
        <v>84</v>
      </c>
      <c r="G23" s="149">
        <v>3</v>
      </c>
      <c r="H23" s="150">
        <v>670000</v>
      </c>
      <c r="I23" s="150">
        <v>40000</v>
      </c>
      <c r="J23" s="150"/>
      <c r="K23" s="150"/>
      <c r="L23" s="150"/>
      <c r="M23" s="150">
        <f>+H23-I23</f>
        <v>630000</v>
      </c>
      <c r="N23" s="150" t="s">
        <v>117</v>
      </c>
      <c r="O23" s="151" t="s">
        <v>119</v>
      </c>
    </row>
    <row r="24" spans="2:16" s="13" customFormat="1" ht="18" customHeight="1" x14ac:dyDescent="0.3">
      <c r="B24" s="230"/>
      <c r="C24" s="99">
        <v>302</v>
      </c>
      <c r="D24" s="100">
        <v>55</v>
      </c>
      <c r="E24" s="106"/>
      <c r="F24" s="102">
        <f t="shared" si="0"/>
        <v>55</v>
      </c>
      <c r="G24" s="103">
        <v>2</v>
      </c>
      <c r="H24" s="104">
        <v>435500</v>
      </c>
      <c r="I24" s="104">
        <v>40000</v>
      </c>
      <c r="J24" s="104"/>
      <c r="K24" s="104"/>
      <c r="L24" s="104"/>
      <c r="M24" s="104">
        <f>+H24-I24</f>
        <v>395500</v>
      </c>
      <c r="N24" s="104" t="s">
        <v>117</v>
      </c>
      <c r="O24" s="152" t="s">
        <v>120</v>
      </c>
    </row>
    <row r="25" spans="2:16" s="13" customFormat="1" ht="18" customHeight="1" x14ac:dyDescent="0.3">
      <c r="B25" s="230"/>
      <c r="C25" s="68">
        <v>303</v>
      </c>
      <c r="D25" s="46">
        <v>88</v>
      </c>
      <c r="E25" s="98"/>
      <c r="F25" s="53">
        <f t="shared" si="0"/>
        <v>88</v>
      </c>
      <c r="G25" s="96">
        <v>3</v>
      </c>
      <c r="H25" s="54">
        <v>778000</v>
      </c>
      <c r="I25" s="54">
        <v>40000</v>
      </c>
      <c r="J25" s="54">
        <v>15000</v>
      </c>
      <c r="K25" s="54">
        <v>5000</v>
      </c>
      <c r="L25" s="134">
        <f t="shared" ref="L25:L27" si="1">I25+J25+K25</f>
        <v>60000</v>
      </c>
      <c r="M25" s="41">
        <f>H25-L25</f>
        <v>718000</v>
      </c>
      <c r="N25" s="54" t="s">
        <v>117</v>
      </c>
      <c r="O25" s="161" t="s">
        <v>11</v>
      </c>
      <c r="P25" s="135">
        <f>M25/F25</f>
        <v>8159.090909090909</v>
      </c>
    </row>
    <row r="26" spans="2:16" s="13" customFormat="1" ht="18" customHeight="1" x14ac:dyDescent="0.3">
      <c r="B26" s="230"/>
      <c r="C26" s="56">
        <v>304</v>
      </c>
      <c r="D26" s="38">
        <v>60.93</v>
      </c>
      <c r="E26" s="47"/>
      <c r="F26" s="40">
        <f t="shared" si="0"/>
        <v>60.93</v>
      </c>
      <c r="G26" s="73">
        <v>2</v>
      </c>
      <c r="H26" s="41">
        <v>480700</v>
      </c>
      <c r="I26" s="54">
        <v>40000</v>
      </c>
      <c r="J26" s="54">
        <v>15000</v>
      </c>
      <c r="K26" s="54">
        <v>6000</v>
      </c>
      <c r="L26" s="134">
        <f t="shared" si="1"/>
        <v>61000</v>
      </c>
      <c r="M26" s="41">
        <f>H26-L26</f>
        <v>419700</v>
      </c>
      <c r="N26" s="41" t="s">
        <v>118</v>
      </c>
      <c r="O26" s="161" t="s">
        <v>11</v>
      </c>
      <c r="P26" s="135">
        <f t="shared" ref="P26:P29" si="2">M26/F26</f>
        <v>6888.2323978335799</v>
      </c>
    </row>
    <row r="27" spans="2:16" s="13" customFormat="1" ht="18" customHeight="1" thickBot="1" x14ac:dyDescent="0.35">
      <c r="B27" s="231"/>
      <c r="C27" s="163">
        <v>305</v>
      </c>
      <c r="D27" s="164">
        <v>68.72</v>
      </c>
      <c r="E27" s="165"/>
      <c r="F27" s="166">
        <f t="shared" si="0"/>
        <v>68.72</v>
      </c>
      <c r="G27" s="167">
        <v>3</v>
      </c>
      <c r="H27" s="168">
        <v>537000</v>
      </c>
      <c r="I27" s="169">
        <v>40000</v>
      </c>
      <c r="J27" s="169">
        <v>15000</v>
      </c>
      <c r="K27" s="169">
        <v>9500</v>
      </c>
      <c r="L27" s="170">
        <f t="shared" si="1"/>
        <v>64500</v>
      </c>
      <c r="M27" s="168">
        <f>H27-L27</f>
        <v>472500</v>
      </c>
      <c r="N27" s="168" t="s">
        <v>118</v>
      </c>
      <c r="O27" s="171" t="s">
        <v>11</v>
      </c>
      <c r="P27" s="135">
        <f t="shared" si="2"/>
        <v>6875.7275902211877</v>
      </c>
    </row>
    <row r="28" spans="2:16" s="13" customFormat="1" ht="18" customHeight="1" x14ac:dyDescent="0.3">
      <c r="B28" s="230" t="s">
        <v>26</v>
      </c>
      <c r="C28" s="99">
        <v>401</v>
      </c>
      <c r="D28" s="100">
        <v>84</v>
      </c>
      <c r="E28" s="143"/>
      <c r="F28" s="144">
        <f t="shared" si="0"/>
        <v>84</v>
      </c>
      <c r="G28" s="145">
        <v>3</v>
      </c>
      <c r="H28" s="146">
        <v>480700</v>
      </c>
      <c r="I28" s="146">
        <v>40000</v>
      </c>
      <c r="J28" s="146"/>
      <c r="K28" s="146"/>
      <c r="L28" s="146"/>
      <c r="M28" s="146">
        <f>+H28-I28</f>
        <v>440700</v>
      </c>
      <c r="N28" s="146" t="s">
        <v>117</v>
      </c>
      <c r="O28" s="147" t="s">
        <v>121</v>
      </c>
      <c r="P28" s="135"/>
    </row>
    <row r="29" spans="2:16" s="13" customFormat="1" ht="18" customHeight="1" x14ac:dyDescent="0.3">
      <c r="B29" s="230"/>
      <c r="C29" s="133">
        <v>402</v>
      </c>
      <c r="D29" s="29">
        <v>56</v>
      </c>
      <c r="E29" s="30"/>
      <c r="F29" s="31">
        <f t="shared" si="0"/>
        <v>56</v>
      </c>
      <c r="G29" s="94">
        <v>2</v>
      </c>
      <c r="H29" s="32">
        <v>537000</v>
      </c>
      <c r="I29" s="32">
        <v>40000</v>
      </c>
      <c r="J29" s="32"/>
      <c r="K29" s="32"/>
      <c r="L29" s="32"/>
      <c r="M29" s="32">
        <f>+H29-I29</f>
        <v>497000</v>
      </c>
      <c r="N29" s="32" t="s">
        <v>117</v>
      </c>
      <c r="O29" s="33" t="s">
        <v>153</v>
      </c>
      <c r="P29" s="135">
        <f t="shared" si="2"/>
        <v>8875</v>
      </c>
    </row>
    <row r="30" spans="2:16" s="13" customFormat="1" ht="18" customHeight="1" x14ac:dyDescent="0.3">
      <c r="B30" s="230"/>
      <c r="C30" s="99">
        <v>403</v>
      </c>
      <c r="D30" s="100">
        <v>88.27</v>
      </c>
      <c r="E30" s="106"/>
      <c r="F30" s="102">
        <f t="shared" si="0"/>
        <v>88.27</v>
      </c>
      <c r="G30" s="103">
        <v>3</v>
      </c>
      <c r="H30" s="104">
        <v>654000</v>
      </c>
      <c r="I30" s="104">
        <v>40000</v>
      </c>
      <c r="J30" s="104"/>
      <c r="K30" s="104"/>
      <c r="L30" s="104"/>
      <c r="M30" s="104">
        <f>+H30-I30</f>
        <v>614000</v>
      </c>
      <c r="N30" s="104" t="s">
        <v>117</v>
      </c>
      <c r="O30" s="105" t="s">
        <v>122</v>
      </c>
    </row>
    <row r="31" spans="2:16" s="13" customFormat="1" ht="18" customHeight="1" x14ac:dyDescent="0.3">
      <c r="B31" s="230"/>
      <c r="C31" s="50">
        <v>404</v>
      </c>
      <c r="D31" s="46">
        <v>60.93</v>
      </c>
      <c r="E31" s="52"/>
      <c r="F31" s="53">
        <f t="shared" si="0"/>
        <v>60.93</v>
      </c>
      <c r="G31" s="96">
        <v>2</v>
      </c>
      <c r="H31" s="54">
        <v>478700</v>
      </c>
      <c r="I31" s="54">
        <v>40000</v>
      </c>
      <c r="J31" s="54">
        <v>15000</v>
      </c>
      <c r="K31" s="54">
        <v>6000</v>
      </c>
      <c r="L31" s="134">
        <f t="shared" ref="L31:L32" si="3">I31+J31+K31</f>
        <v>61000</v>
      </c>
      <c r="M31" s="41">
        <f>H31-L31</f>
        <v>417700</v>
      </c>
      <c r="N31" s="54" t="s">
        <v>118</v>
      </c>
      <c r="O31" s="42" t="s">
        <v>11</v>
      </c>
      <c r="P31" s="135">
        <f t="shared" ref="P31:P32" si="4">M31/F31</f>
        <v>6855.4078450681109</v>
      </c>
    </row>
    <row r="32" spans="2:16" s="13" customFormat="1" ht="18" customHeight="1" thickBot="1" x14ac:dyDescent="0.35">
      <c r="B32" s="230"/>
      <c r="C32" s="172">
        <v>405</v>
      </c>
      <c r="D32" s="173">
        <v>68.72</v>
      </c>
      <c r="E32" s="52"/>
      <c r="F32" s="174">
        <f t="shared" si="0"/>
        <v>68.72</v>
      </c>
      <c r="G32" s="175">
        <v>3</v>
      </c>
      <c r="H32" s="176">
        <v>537000</v>
      </c>
      <c r="I32" s="176">
        <v>40000</v>
      </c>
      <c r="J32" s="176">
        <v>15000</v>
      </c>
      <c r="K32" s="176">
        <v>9500</v>
      </c>
      <c r="L32" s="177">
        <f t="shared" si="3"/>
        <v>64500</v>
      </c>
      <c r="M32" s="178">
        <f>H32-L32</f>
        <v>472500</v>
      </c>
      <c r="N32" s="176" t="s">
        <v>118</v>
      </c>
      <c r="O32" s="179" t="s">
        <v>11</v>
      </c>
      <c r="P32" s="135">
        <f t="shared" si="4"/>
        <v>6875.7275902211877</v>
      </c>
    </row>
    <row r="33" spans="2:16" s="13" customFormat="1" ht="18" customHeight="1" x14ac:dyDescent="0.3">
      <c r="B33" s="229" t="s">
        <v>29</v>
      </c>
      <c r="C33" s="114">
        <v>501</v>
      </c>
      <c r="D33" s="115">
        <v>83</v>
      </c>
      <c r="E33" s="116"/>
      <c r="F33" s="148">
        <f t="shared" si="0"/>
        <v>83</v>
      </c>
      <c r="G33" s="149">
        <v>3</v>
      </c>
      <c r="H33" s="150">
        <v>612000</v>
      </c>
      <c r="I33" s="150">
        <v>40000</v>
      </c>
      <c r="J33" s="150"/>
      <c r="K33" s="150"/>
      <c r="L33" s="150"/>
      <c r="M33" s="150">
        <f t="shared" ref="M33:M40" si="5">+H33-I33</f>
        <v>572000</v>
      </c>
      <c r="N33" s="150" t="s">
        <v>117</v>
      </c>
      <c r="O33" s="151" t="s">
        <v>137</v>
      </c>
    </row>
    <row r="34" spans="2:16" ht="18" customHeight="1" x14ac:dyDescent="0.3">
      <c r="B34" s="230"/>
      <c r="C34" s="117">
        <v>502</v>
      </c>
      <c r="D34" s="100">
        <v>56</v>
      </c>
      <c r="E34" s="101"/>
      <c r="F34" s="102">
        <f t="shared" si="0"/>
        <v>56</v>
      </c>
      <c r="G34" s="103">
        <v>2</v>
      </c>
      <c r="H34" s="104">
        <v>519000</v>
      </c>
      <c r="I34" s="54">
        <v>40000</v>
      </c>
      <c r="J34" s="54"/>
      <c r="K34" s="54"/>
      <c r="L34" s="104">
        <v>40000</v>
      </c>
      <c r="M34" s="104">
        <f t="shared" si="5"/>
        <v>479000</v>
      </c>
      <c r="N34" s="104" t="s">
        <v>117</v>
      </c>
      <c r="O34" s="152" t="s">
        <v>154</v>
      </c>
      <c r="P34" s="135">
        <f>M34/F34</f>
        <v>8553.5714285714294</v>
      </c>
    </row>
    <row r="35" spans="2:16" s="13" customFormat="1" ht="18" customHeight="1" x14ac:dyDescent="0.3">
      <c r="B35" s="230"/>
      <c r="C35" s="99">
        <v>503</v>
      </c>
      <c r="D35" s="100">
        <v>88</v>
      </c>
      <c r="E35" s="106"/>
      <c r="F35" s="102">
        <f t="shared" si="0"/>
        <v>88</v>
      </c>
      <c r="G35" s="103">
        <v>3</v>
      </c>
      <c r="H35" s="104">
        <v>700000</v>
      </c>
      <c r="I35" s="104">
        <v>40000</v>
      </c>
      <c r="J35" s="104"/>
      <c r="K35" s="104"/>
      <c r="L35" s="104"/>
      <c r="M35" s="104">
        <f t="shared" si="5"/>
        <v>660000</v>
      </c>
      <c r="N35" s="104" t="s">
        <v>117</v>
      </c>
      <c r="O35" s="152" t="s">
        <v>124</v>
      </c>
    </row>
    <row r="36" spans="2:16" ht="18" customHeight="1" x14ac:dyDescent="0.3">
      <c r="B36" s="230"/>
      <c r="C36" s="117">
        <v>504</v>
      </c>
      <c r="D36" s="100">
        <v>60.93</v>
      </c>
      <c r="E36" s="101"/>
      <c r="F36" s="102">
        <f t="shared" si="0"/>
        <v>60.93</v>
      </c>
      <c r="G36" s="103">
        <v>2</v>
      </c>
      <c r="H36" s="104">
        <v>462700</v>
      </c>
      <c r="I36" s="104">
        <v>40000</v>
      </c>
      <c r="J36" s="104"/>
      <c r="K36" s="104"/>
      <c r="L36" s="104"/>
      <c r="M36" s="104">
        <f t="shared" si="5"/>
        <v>422700</v>
      </c>
      <c r="N36" s="104" t="s">
        <v>118</v>
      </c>
      <c r="O36" s="152" t="s">
        <v>125</v>
      </c>
    </row>
    <row r="37" spans="2:16" s="13" customFormat="1" ht="18" customHeight="1" thickBot="1" x14ac:dyDescent="0.35">
      <c r="B37" s="231"/>
      <c r="C37" s="162">
        <v>505</v>
      </c>
      <c r="D37" s="180">
        <v>68.72</v>
      </c>
      <c r="E37" s="156"/>
      <c r="F37" s="157">
        <f t="shared" si="0"/>
        <v>68.72</v>
      </c>
      <c r="G37" s="158">
        <v>3</v>
      </c>
      <c r="H37" s="159">
        <v>516800</v>
      </c>
      <c r="I37" s="159">
        <v>40000</v>
      </c>
      <c r="J37" s="159"/>
      <c r="K37" s="159"/>
      <c r="L37" s="159"/>
      <c r="M37" s="159">
        <f t="shared" si="5"/>
        <v>476800</v>
      </c>
      <c r="N37" s="159" t="s">
        <v>118</v>
      </c>
      <c r="O37" s="160" t="s">
        <v>148</v>
      </c>
    </row>
    <row r="38" spans="2:16" s="13" customFormat="1" ht="18" customHeight="1" x14ac:dyDescent="0.3">
      <c r="B38" s="229" t="s">
        <v>33</v>
      </c>
      <c r="C38" s="114">
        <v>601</v>
      </c>
      <c r="D38" s="115">
        <v>84</v>
      </c>
      <c r="E38" s="116"/>
      <c r="F38" s="148">
        <f t="shared" si="0"/>
        <v>84</v>
      </c>
      <c r="G38" s="149">
        <v>3</v>
      </c>
      <c r="H38" s="150">
        <v>670000</v>
      </c>
      <c r="I38" s="150">
        <v>40000</v>
      </c>
      <c r="J38" s="150"/>
      <c r="K38" s="150"/>
      <c r="L38" s="150"/>
      <c r="M38" s="150">
        <f t="shared" si="5"/>
        <v>630000</v>
      </c>
      <c r="N38" s="150" t="s">
        <v>117</v>
      </c>
      <c r="O38" s="151" t="s">
        <v>126</v>
      </c>
    </row>
    <row r="39" spans="2:16" s="13" customFormat="1" ht="18" customHeight="1" x14ac:dyDescent="0.3">
      <c r="B39" s="230"/>
      <c r="C39" s="118">
        <v>602</v>
      </c>
      <c r="D39" s="100">
        <v>56</v>
      </c>
      <c r="E39" s="106"/>
      <c r="F39" s="102">
        <f t="shared" si="0"/>
        <v>56</v>
      </c>
      <c r="G39" s="103">
        <v>2</v>
      </c>
      <c r="H39" s="104">
        <v>519000</v>
      </c>
      <c r="I39" s="54">
        <v>40000</v>
      </c>
      <c r="J39" s="54">
        <v>15000</v>
      </c>
      <c r="K39" s="54">
        <v>6000</v>
      </c>
      <c r="L39" s="104">
        <v>40000</v>
      </c>
      <c r="M39" s="104">
        <f>H39-L39</f>
        <v>479000</v>
      </c>
      <c r="N39" s="104" t="s">
        <v>117</v>
      </c>
      <c r="O39" s="152" t="s">
        <v>155</v>
      </c>
      <c r="P39" s="135">
        <f>M39/F39</f>
        <v>8553.5714285714294</v>
      </c>
    </row>
    <row r="40" spans="2:16" s="13" customFormat="1" ht="18" customHeight="1" x14ac:dyDescent="0.3">
      <c r="B40" s="230"/>
      <c r="C40" s="117">
        <v>603</v>
      </c>
      <c r="D40" s="100">
        <v>88.27</v>
      </c>
      <c r="E40" s="101"/>
      <c r="F40" s="102">
        <f t="shared" si="0"/>
        <v>88.27</v>
      </c>
      <c r="G40" s="103">
        <v>3</v>
      </c>
      <c r="H40" s="104">
        <v>654000</v>
      </c>
      <c r="I40" s="104">
        <v>40000</v>
      </c>
      <c r="J40" s="104"/>
      <c r="K40" s="104"/>
      <c r="L40" s="104"/>
      <c r="M40" s="104">
        <f t="shared" si="5"/>
        <v>614000</v>
      </c>
      <c r="N40" s="104" t="s">
        <v>117</v>
      </c>
      <c r="O40" s="152" t="s">
        <v>127</v>
      </c>
    </row>
    <row r="41" spans="2:16" s="13" customFormat="1" ht="18" customHeight="1" x14ac:dyDescent="0.3">
      <c r="B41" s="230"/>
      <c r="C41" s="136">
        <v>604</v>
      </c>
      <c r="D41" s="29">
        <v>60.93</v>
      </c>
      <c r="E41" s="63"/>
      <c r="F41" s="31">
        <f t="shared" si="0"/>
        <v>60.93</v>
      </c>
      <c r="G41" s="94">
        <v>2</v>
      </c>
      <c r="H41" s="32">
        <v>480700</v>
      </c>
      <c r="I41" s="32">
        <v>40000</v>
      </c>
      <c r="J41" s="32">
        <v>15000</v>
      </c>
      <c r="K41" s="32">
        <v>6000</v>
      </c>
      <c r="L41" s="32">
        <v>60000</v>
      </c>
      <c r="M41" s="32">
        <f>H41-L41</f>
        <v>420700</v>
      </c>
      <c r="N41" s="32" t="s">
        <v>118</v>
      </c>
      <c r="O41" s="181" t="s">
        <v>156</v>
      </c>
      <c r="P41" s="135">
        <f>M41/F41</f>
        <v>6904.6446742163134</v>
      </c>
    </row>
    <row r="42" spans="2:16" s="13" customFormat="1" ht="18" customHeight="1" thickBot="1" x14ac:dyDescent="0.35">
      <c r="B42" s="231"/>
      <c r="C42" s="162">
        <v>605</v>
      </c>
      <c r="D42" s="180">
        <v>68.72</v>
      </c>
      <c r="E42" s="156"/>
      <c r="F42" s="157">
        <f t="shared" si="0"/>
        <v>68.72</v>
      </c>
      <c r="G42" s="158">
        <v>3</v>
      </c>
      <c r="H42" s="159">
        <v>516800</v>
      </c>
      <c r="I42" s="159">
        <v>40000</v>
      </c>
      <c r="J42" s="159"/>
      <c r="K42" s="159"/>
      <c r="L42" s="159"/>
      <c r="M42" s="159">
        <f t="shared" ref="M42:M50" si="6">+H42-I42</f>
        <v>476800</v>
      </c>
      <c r="N42" s="159" t="s">
        <v>118</v>
      </c>
      <c r="O42" s="160" t="s">
        <v>149</v>
      </c>
    </row>
    <row r="43" spans="2:16" s="13" customFormat="1" ht="18" customHeight="1" x14ac:dyDescent="0.3">
      <c r="B43" s="229" t="s">
        <v>36</v>
      </c>
      <c r="C43" s="182">
        <v>701</v>
      </c>
      <c r="D43" s="115">
        <v>84</v>
      </c>
      <c r="E43" s="116"/>
      <c r="F43" s="148">
        <f t="shared" si="0"/>
        <v>84</v>
      </c>
      <c r="G43" s="149">
        <v>3</v>
      </c>
      <c r="H43" s="150">
        <v>652500</v>
      </c>
      <c r="I43" s="150">
        <v>40000</v>
      </c>
      <c r="J43" s="150"/>
      <c r="K43" s="150"/>
      <c r="L43" s="150"/>
      <c r="M43" s="150">
        <f t="shared" si="6"/>
        <v>612500</v>
      </c>
      <c r="N43" s="150" t="s">
        <v>117</v>
      </c>
      <c r="O43" s="151" t="s">
        <v>128</v>
      </c>
    </row>
    <row r="44" spans="2:16" s="13" customFormat="1" ht="18" customHeight="1" x14ac:dyDescent="0.3">
      <c r="B44" s="230"/>
      <c r="C44" s="118">
        <v>702</v>
      </c>
      <c r="D44" s="100">
        <v>56</v>
      </c>
      <c r="E44" s="106"/>
      <c r="F44" s="102">
        <f t="shared" si="0"/>
        <v>56</v>
      </c>
      <c r="G44" s="103">
        <v>2</v>
      </c>
      <c r="H44" s="104">
        <v>519000</v>
      </c>
      <c r="I44" s="54">
        <v>40000</v>
      </c>
      <c r="J44" s="54">
        <v>15000</v>
      </c>
      <c r="K44" s="54">
        <v>6000</v>
      </c>
      <c r="L44" s="104">
        <v>40000</v>
      </c>
      <c r="M44" s="104">
        <f>H44-L44</f>
        <v>479000</v>
      </c>
      <c r="N44" s="104" t="s">
        <v>117</v>
      </c>
      <c r="O44" s="152" t="s">
        <v>157</v>
      </c>
      <c r="P44" s="135">
        <f>M44/F44</f>
        <v>8553.5714285714294</v>
      </c>
    </row>
    <row r="45" spans="2:16" s="13" customFormat="1" ht="18.600000000000001" customHeight="1" x14ac:dyDescent="0.3">
      <c r="B45" s="230"/>
      <c r="C45" s="99">
        <v>703</v>
      </c>
      <c r="D45" s="100">
        <v>88.27</v>
      </c>
      <c r="E45" s="106"/>
      <c r="F45" s="102">
        <f t="shared" si="0"/>
        <v>88.27</v>
      </c>
      <c r="G45" s="103">
        <v>3</v>
      </c>
      <c r="H45" s="104">
        <v>702000</v>
      </c>
      <c r="I45" s="104">
        <v>40000</v>
      </c>
      <c r="J45" s="104"/>
      <c r="K45" s="104"/>
      <c r="L45" s="104"/>
      <c r="M45" s="104">
        <f t="shared" si="6"/>
        <v>662000</v>
      </c>
      <c r="N45" s="104" t="s">
        <v>117</v>
      </c>
      <c r="O45" s="152" t="s">
        <v>129</v>
      </c>
    </row>
    <row r="46" spans="2:16" s="13" customFormat="1" ht="18" customHeight="1" x14ac:dyDescent="0.3">
      <c r="B46" s="230"/>
      <c r="C46" s="118">
        <v>704</v>
      </c>
      <c r="D46" s="100">
        <v>60.93</v>
      </c>
      <c r="E46" s="101"/>
      <c r="F46" s="102">
        <f t="shared" si="0"/>
        <v>60.93</v>
      </c>
      <c r="G46" s="103">
        <v>2</v>
      </c>
      <c r="H46" s="104">
        <v>462700</v>
      </c>
      <c r="I46" s="104">
        <v>40000</v>
      </c>
      <c r="J46" s="104"/>
      <c r="K46" s="104"/>
      <c r="L46" s="104"/>
      <c r="M46" s="104">
        <f t="shared" si="6"/>
        <v>422700</v>
      </c>
      <c r="N46" s="104" t="s">
        <v>118</v>
      </c>
      <c r="O46" s="152" t="s">
        <v>130</v>
      </c>
    </row>
    <row r="47" spans="2:16" s="13" customFormat="1" ht="18" customHeight="1" thickBot="1" x14ac:dyDescent="0.35">
      <c r="B47" s="231"/>
      <c r="C47" s="162">
        <v>705</v>
      </c>
      <c r="D47" s="180">
        <v>68.72</v>
      </c>
      <c r="E47" s="156"/>
      <c r="F47" s="157">
        <f t="shared" si="0"/>
        <v>68.72</v>
      </c>
      <c r="G47" s="158">
        <v>3</v>
      </c>
      <c r="H47" s="159">
        <v>528000</v>
      </c>
      <c r="I47" s="159">
        <v>40000</v>
      </c>
      <c r="J47" s="159"/>
      <c r="K47" s="159"/>
      <c r="L47" s="159"/>
      <c r="M47" s="159">
        <f t="shared" si="6"/>
        <v>488000</v>
      </c>
      <c r="N47" s="159" t="s">
        <v>118</v>
      </c>
      <c r="O47" s="160" t="s">
        <v>138</v>
      </c>
    </row>
    <row r="48" spans="2:16" s="13" customFormat="1" ht="19.2" customHeight="1" x14ac:dyDescent="0.3">
      <c r="B48" s="229" t="s">
        <v>40</v>
      </c>
      <c r="C48" s="114">
        <v>801</v>
      </c>
      <c r="D48" s="115">
        <v>84</v>
      </c>
      <c r="E48" s="116"/>
      <c r="F48" s="148">
        <f t="shared" si="0"/>
        <v>84</v>
      </c>
      <c r="G48" s="149">
        <v>3</v>
      </c>
      <c r="H48" s="150">
        <v>670000</v>
      </c>
      <c r="I48" s="150">
        <v>40000</v>
      </c>
      <c r="J48" s="150"/>
      <c r="K48" s="150"/>
      <c r="L48" s="150"/>
      <c r="M48" s="150">
        <f t="shared" si="6"/>
        <v>630000</v>
      </c>
      <c r="N48" s="150" t="s">
        <v>117</v>
      </c>
      <c r="O48" s="151" t="s">
        <v>131</v>
      </c>
    </row>
    <row r="49" spans="2:16" s="13" customFormat="1" ht="18.600000000000001" customHeight="1" x14ac:dyDescent="0.3">
      <c r="B49" s="230"/>
      <c r="C49" s="118">
        <v>802</v>
      </c>
      <c r="D49" s="100">
        <v>56</v>
      </c>
      <c r="E49" s="106"/>
      <c r="F49" s="102">
        <f t="shared" si="0"/>
        <v>56</v>
      </c>
      <c r="G49" s="103">
        <v>2</v>
      </c>
      <c r="H49" s="104">
        <v>460000</v>
      </c>
      <c r="I49" s="104">
        <v>40000</v>
      </c>
      <c r="J49" s="104"/>
      <c r="K49" s="104"/>
      <c r="L49" s="104"/>
      <c r="M49" s="104">
        <f t="shared" si="6"/>
        <v>420000</v>
      </c>
      <c r="N49" s="104" t="s">
        <v>117</v>
      </c>
      <c r="O49" s="152" t="s">
        <v>132</v>
      </c>
    </row>
    <row r="50" spans="2:16" s="13" customFormat="1" ht="18" customHeight="1" x14ac:dyDescent="0.3">
      <c r="B50" s="230"/>
      <c r="C50" s="99">
        <v>803</v>
      </c>
      <c r="D50" s="100">
        <v>88.27</v>
      </c>
      <c r="E50" s="106"/>
      <c r="F50" s="102">
        <f t="shared" si="0"/>
        <v>88.27</v>
      </c>
      <c r="G50" s="103">
        <v>3</v>
      </c>
      <c r="H50" s="104">
        <v>722000</v>
      </c>
      <c r="I50" s="183">
        <v>30000</v>
      </c>
      <c r="J50" s="183"/>
      <c r="K50" s="183"/>
      <c r="L50" s="183"/>
      <c r="M50" s="104">
        <f t="shared" si="6"/>
        <v>692000</v>
      </c>
      <c r="N50" s="104" t="s">
        <v>117</v>
      </c>
      <c r="O50" s="152" t="s">
        <v>150</v>
      </c>
    </row>
    <row r="51" spans="2:16" s="13" customFormat="1" ht="18" customHeight="1" x14ac:dyDescent="0.3">
      <c r="B51" s="230"/>
      <c r="C51" s="67">
        <v>804</v>
      </c>
      <c r="D51" s="46">
        <v>60.93</v>
      </c>
      <c r="E51" s="52"/>
      <c r="F51" s="53">
        <f t="shared" si="0"/>
        <v>60.93</v>
      </c>
      <c r="G51" s="96">
        <v>2</v>
      </c>
      <c r="H51" s="54">
        <v>480700</v>
      </c>
      <c r="I51" s="54">
        <v>40000</v>
      </c>
      <c r="J51" s="54">
        <v>15000</v>
      </c>
      <c r="K51" s="54">
        <v>6000</v>
      </c>
      <c r="L51" s="134">
        <f>I51+J51+K51</f>
        <v>61000</v>
      </c>
      <c r="M51" s="54">
        <f>H51-L51</f>
        <v>419700</v>
      </c>
      <c r="N51" s="54" t="s">
        <v>118</v>
      </c>
      <c r="O51" s="184" t="s">
        <v>11</v>
      </c>
      <c r="P51" s="135">
        <f>M51/F51</f>
        <v>6888.2323978335799</v>
      </c>
    </row>
    <row r="52" spans="2:16" s="13" customFormat="1" ht="18" customHeight="1" thickBot="1" x14ac:dyDescent="0.35">
      <c r="B52" s="231"/>
      <c r="C52" s="162">
        <v>805</v>
      </c>
      <c r="D52" s="180">
        <v>68.72</v>
      </c>
      <c r="E52" s="156"/>
      <c r="F52" s="157">
        <f t="shared" si="0"/>
        <v>68.72</v>
      </c>
      <c r="G52" s="158">
        <v>3</v>
      </c>
      <c r="H52" s="159">
        <v>535000</v>
      </c>
      <c r="I52" s="159">
        <v>40000</v>
      </c>
      <c r="J52" s="159">
        <v>15000</v>
      </c>
      <c r="K52" s="159">
        <v>9500</v>
      </c>
      <c r="L52" s="159">
        <v>60000</v>
      </c>
      <c r="M52" s="159">
        <f>H52-L52</f>
        <v>475000</v>
      </c>
      <c r="N52" s="159" t="s">
        <v>118</v>
      </c>
      <c r="O52" s="160" t="s">
        <v>123</v>
      </c>
    </row>
    <row r="53" spans="2:16" s="13" customFormat="1" ht="18" customHeight="1" x14ac:dyDescent="0.3">
      <c r="B53" s="229" t="s">
        <v>42</v>
      </c>
      <c r="C53" s="137">
        <v>901</v>
      </c>
      <c r="D53" s="44">
        <v>84</v>
      </c>
      <c r="E53" s="45"/>
      <c r="F53" s="185">
        <f t="shared" si="0"/>
        <v>84</v>
      </c>
      <c r="G53" s="186">
        <v>3</v>
      </c>
      <c r="H53" s="187">
        <v>722500</v>
      </c>
      <c r="I53" s="187">
        <v>40000</v>
      </c>
      <c r="J53" s="188">
        <v>0</v>
      </c>
      <c r="K53" s="188">
        <v>0</v>
      </c>
      <c r="L53" s="187">
        <v>40000</v>
      </c>
      <c r="M53" s="187">
        <f>H53-L53</f>
        <v>682500</v>
      </c>
      <c r="N53" s="187" t="s">
        <v>117</v>
      </c>
      <c r="O53" s="189" t="s">
        <v>158</v>
      </c>
      <c r="P53" s="135">
        <f>M53/F53</f>
        <v>8125</v>
      </c>
    </row>
    <row r="54" spans="2:16" s="13" customFormat="1" ht="18" customHeight="1" x14ac:dyDescent="0.3">
      <c r="B54" s="230"/>
      <c r="C54" s="118">
        <v>902</v>
      </c>
      <c r="D54" s="100">
        <v>56</v>
      </c>
      <c r="E54" s="106"/>
      <c r="F54" s="102">
        <f t="shared" si="0"/>
        <v>56</v>
      </c>
      <c r="G54" s="103">
        <v>2</v>
      </c>
      <c r="H54" s="104">
        <v>460000</v>
      </c>
      <c r="I54" s="104">
        <v>40000</v>
      </c>
      <c r="J54" s="104"/>
      <c r="K54" s="104"/>
      <c r="L54" s="104"/>
      <c r="M54" s="104">
        <f>+H54-I54</f>
        <v>420000</v>
      </c>
      <c r="N54" s="104" t="s">
        <v>117</v>
      </c>
      <c r="O54" s="152" t="s">
        <v>133</v>
      </c>
    </row>
    <row r="55" spans="2:16" s="13" customFormat="1" ht="18" customHeight="1" x14ac:dyDescent="0.3">
      <c r="B55" s="230"/>
      <c r="C55" s="99">
        <v>903</v>
      </c>
      <c r="D55" s="100">
        <v>88.27</v>
      </c>
      <c r="E55" s="106"/>
      <c r="F55" s="102">
        <f t="shared" si="0"/>
        <v>88.27</v>
      </c>
      <c r="G55" s="103">
        <v>3</v>
      </c>
      <c r="H55" s="104">
        <v>702000</v>
      </c>
      <c r="I55" s="104">
        <v>40000</v>
      </c>
      <c r="J55" s="104"/>
      <c r="K55" s="104"/>
      <c r="L55" s="104"/>
      <c r="M55" s="104">
        <f>+H55-I55</f>
        <v>662000</v>
      </c>
      <c r="N55" s="104" t="s">
        <v>117</v>
      </c>
      <c r="O55" s="152" t="s">
        <v>139</v>
      </c>
    </row>
    <row r="56" spans="2:16" s="13" customFormat="1" ht="18" customHeight="1" x14ac:dyDescent="0.3">
      <c r="B56" s="230"/>
      <c r="C56" s="118">
        <v>904</v>
      </c>
      <c r="D56" s="100">
        <v>60.93</v>
      </c>
      <c r="E56" s="101"/>
      <c r="F56" s="102">
        <f t="shared" si="0"/>
        <v>60.93</v>
      </c>
      <c r="G56" s="103">
        <v>2</v>
      </c>
      <c r="H56" s="104">
        <v>478700</v>
      </c>
      <c r="I56" s="54">
        <v>40000</v>
      </c>
      <c r="J56" s="54">
        <v>15000</v>
      </c>
      <c r="K56" s="54">
        <v>6000</v>
      </c>
      <c r="L56" s="104">
        <f t="shared" ref="L56" si="7">I56+J56+K56</f>
        <v>61000</v>
      </c>
      <c r="M56" s="104">
        <f>H56-L56</f>
        <v>417700</v>
      </c>
      <c r="N56" s="104" t="s">
        <v>118</v>
      </c>
      <c r="O56" s="152" t="s">
        <v>151</v>
      </c>
    </row>
    <row r="57" spans="2:16" s="13" customFormat="1" ht="18" customHeight="1" thickBot="1" x14ac:dyDescent="0.35">
      <c r="B57" s="231"/>
      <c r="C57" s="162">
        <v>905</v>
      </c>
      <c r="D57" s="180">
        <v>68.72</v>
      </c>
      <c r="E57" s="156"/>
      <c r="F57" s="157">
        <f t="shared" si="0"/>
        <v>68.72</v>
      </c>
      <c r="G57" s="158">
        <v>3</v>
      </c>
      <c r="H57" s="159">
        <v>535000</v>
      </c>
      <c r="I57" s="169">
        <v>40000</v>
      </c>
      <c r="J57" s="169">
        <v>15000</v>
      </c>
      <c r="K57" s="169">
        <v>9500</v>
      </c>
      <c r="L57" s="159">
        <f t="shared" ref="L57" si="8">I57+J57+K57</f>
        <v>64500</v>
      </c>
      <c r="M57" s="159">
        <f>H57-L57</f>
        <v>470500</v>
      </c>
      <c r="N57" s="159" t="s">
        <v>118</v>
      </c>
      <c r="O57" s="160" t="s">
        <v>152</v>
      </c>
    </row>
    <row r="58" spans="2:16" s="13" customFormat="1" ht="18" customHeight="1" x14ac:dyDescent="0.3">
      <c r="B58" s="229" t="s">
        <v>44</v>
      </c>
      <c r="C58" s="114">
        <v>1001</v>
      </c>
      <c r="D58" s="115">
        <v>82.63</v>
      </c>
      <c r="E58" s="116"/>
      <c r="F58" s="148">
        <f>+D58+E58</f>
        <v>82.63</v>
      </c>
      <c r="G58" s="149">
        <v>3</v>
      </c>
      <c r="H58" s="150">
        <v>660000</v>
      </c>
      <c r="I58" s="150">
        <v>40000</v>
      </c>
      <c r="J58" s="150"/>
      <c r="K58" s="150"/>
      <c r="L58" s="150"/>
      <c r="M58" s="150">
        <f>+H58-I58</f>
        <v>620000</v>
      </c>
      <c r="N58" s="150" t="s">
        <v>117</v>
      </c>
      <c r="O58" s="151" t="s">
        <v>159</v>
      </c>
    </row>
    <row r="59" spans="2:16" s="13" customFormat="1" ht="18" customHeight="1" x14ac:dyDescent="0.3">
      <c r="B59" s="230"/>
      <c r="C59" s="118">
        <v>1002</v>
      </c>
      <c r="D59" s="100">
        <v>56</v>
      </c>
      <c r="E59" s="106"/>
      <c r="F59" s="102">
        <f>+D59+E59</f>
        <v>56</v>
      </c>
      <c r="G59" s="103">
        <v>2</v>
      </c>
      <c r="H59" s="104">
        <v>460000</v>
      </c>
      <c r="I59" s="104">
        <v>40000</v>
      </c>
      <c r="J59" s="104"/>
      <c r="K59" s="104"/>
      <c r="L59" s="104"/>
      <c r="M59" s="104">
        <f>+H59-I59</f>
        <v>420000</v>
      </c>
      <c r="N59" s="104" t="s">
        <v>117</v>
      </c>
      <c r="O59" s="152" t="s">
        <v>160</v>
      </c>
    </row>
    <row r="60" spans="2:16" s="13" customFormat="1" ht="18" customHeight="1" x14ac:dyDescent="0.3">
      <c r="B60" s="230"/>
      <c r="C60" s="99">
        <v>1003</v>
      </c>
      <c r="D60" s="100">
        <v>88.27</v>
      </c>
      <c r="E60" s="106"/>
      <c r="F60" s="102">
        <f>+D60+E60</f>
        <v>88.27</v>
      </c>
      <c r="G60" s="103">
        <v>3</v>
      </c>
      <c r="H60" s="104">
        <v>702000</v>
      </c>
      <c r="I60" s="104">
        <v>40000</v>
      </c>
      <c r="J60" s="104"/>
      <c r="K60" s="104"/>
      <c r="L60" s="104"/>
      <c r="M60" s="104">
        <f>+H60-I60</f>
        <v>662000</v>
      </c>
      <c r="N60" s="104" t="s">
        <v>117</v>
      </c>
      <c r="O60" s="152" t="s">
        <v>134</v>
      </c>
    </row>
    <row r="61" spans="2:16" s="13" customFormat="1" ht="18" customHeight="1" x14ac:dyDescent="0.3">
      <c r="B61" s="230"/>
      <c r="C61" s="136">
        <v>1004</v>
      </c>
      <c r="D61" s="29">
        <v>60.93</v>
      </c>
      <c r="E61" s="63"/>
      <c r="F61" s="31">
        <f>+D61+E61</f>
        <v>60.93</v>
      </c>
      <c r="G61" s="94">
        <v>2</v>
      </c>
      <c r="H61" s="32">
        <v>487000</v>
      </c>
      <c r="I61" s="32">
        <v>40000</v>
      </c>
      <c r="J61" s="32">
        <v>15000</v>
      </c>
      <c r="K61" s="32">
        <v>6000</v>
      </c>
      <c r="L61" s="32">
        <v>80000</v>
      </c>
      <c r="M61" s="32">
        <f>H61-L61</f>
        <v>407000</v>
      </c>
      <c r="N61" s="32" t="s">
        <v>118</v>
      </c>
      <c r="O61" s="181" t="s">
        <v>161</v>
      </c>
      <c r="P61" s="135">
        <f t="shared" ref="P61:P64" si="9">M61/F61</f>
        <v>6679.7964877728546</v>
      </c>
    </row>
    <row r="62" spans="2:16" s="13" customFormat="1" ht="18" customHeight="1" thickBot="1" x14ac:dyDescent="0.35">
      <c r="B62" s="231"/>
      <c r="C62" s="190">
        <v>1005</v>
      </c>
      <c r="D62" s="191">
        <v>68.72</v>
      </c>
      <c r="E62" s="138"/>
      <c r="F62" s="192">
        <f>+D62+E62</f>
        <v>68.72</v>
      </c>
      <c r="G62" s="193">
        <v>2</v>
      </c>
      <c r="H62" s="194">
        <v>537000</v>
      </c>
      <c r="I62" s="194">
        <v>40000</v>
      </c>
      <c r="J62" s="194">
        <v>15000</v>
      </c>
      <c r="K62" s="194">
        <v>9500</v>
      </c>
      <c r="L62" s="194">
        <v>60000</v>
      </c>
      <c r="M62" s="194">
        <f>H62-L62</f>
        <v>477000</v>
      </c>
      <c r="N62" s="194" t="s">
        <v>118</v>
      </c>
      <c r="O62" s="195" t="s">
        <v>162</v>
      </c>
      <c r="P62" s="135">
        <f t="shared" si="9"/>
        <v>6941.2107101280562</v>
      </c>
    </row>
    <row r="63" spans="2:16" s="13" customFormat="1" ht="18" customHeight="1" x14ac:dyDescent="0.3">
      <c r="B63" s="229" t="s">
        <v>45</v>
      </c>
      <c r="C63" s="66">
        <v>1101</v>
      </c>
      <c r="D63" s="64">
        <v>83</v>
      </c>
      <c r="E63" s="97"/>
      <c r="F63" s="196">
        <f t="shared" si="0"/>
        <v>83</v>
      </c>
      <c r="G63" s="197">
        <v>3</v>
      </c>
      <c r="H63" s="198">
        <v>741000</v>
      </c>
      <c r="I63" s="198">
        <v>40000</v>
      </c>
      <c r="J63" s="198">
        <v>15000</v>
      </c>
      <c r="K63" s="198">
        <v>9000</v>
      </c>
      <c r="L63" s="199">
        <f t="shared" ref="L63:L64" si="10">I63+J63+K63</f>
        <v>64000</v>
      </c>
      <c r="M63" s="200">
        <f>H63-L63</f>
        <v>677000</v>
      </c>
      <c r="N63" s="198" t="s">
        <v>117</v>
      </c>
      <c r="O63" s="201" t="s">
        <v>11</v>
      </c>
      <c r="P63" s="135">
        <f t="shared" si="9"/>
        <v>8156.6265060240967</v>
      </c>
    </row>
    <row r="64" spans="2:16" s="13" customFormat="1" ht="18" customHeight="1" x14ac:dyDescent="0.3">
      <c r="B64" s="230"/>
      <c r="C64" s="68">
        <v>1103</v>
      </c>
      <c r="D64" s="46">
        <v>87</v>
      </c>
      <c r="E64" s="98"/>
      <c r="F64" s="53">
        <f t="shared" si="0"/>
        <v>87</v>
      </c>
      <c r="G64" s="96">
        <v>3</v>
      </c>
      <c r="H64" s="54">
        <v>772000</v>
      </c>
      <c r="I64" s="54">
        <v>40000</v>
      </c>
      <c r="J64" s="54">
        <v>15000</v>
      </c>
      <c r="K64" s="54">
        <v>6000</v>
      </c>
      <c r="L64" s="134">
        <f t="shared" si="10"/>
        <v>61000</v>
      </c>
      <c r="M64" s="41">
        <f>H64-L64</f>
        <v>711000</v>
      </c>
      <c r="N64" s="54" t="s">
        <v>117</v>
      </c>
      <c r="O64" s="161" t="s">
        <v>11</v>
      </c>
      <c r="P64" s="135">
        <f t="shared" si="9"/>
        <v>8172.4137931034484</v>
      </c>
    </row>
    <row r="65" spans="2:16" s="13" customFormat="1" ht="18" customHeight="1" x14ac:dyDescent="0.3">
      <c r="B65" s="230"/>
      <c r="C65" s="118">
        <v>1104</v>
      </c>
      <c r="D65" s="100">
        <v>54.26</v>
      </c>
      <c r="E65" s="101"/>
      <c r="F65" s="102">
        <f t="shared" si="0"/>
        <v>54.26</v>
      </c>
      <c r="G65" s="103">
        <v>2</v>
      </c>
      <c r="H65" s="104">
        <v>425000</v>
      </c>
      <c r="I65" s="104">
        <v>40000</v>
      </c>
      <c r="J65" s="104"/>
      <c r="K65" s="104"/>
      <c r="L65" s="104"/>
      <c r="M65" s="104">
        <f>+H65-I65</f>
        <v>385000</v>
      </c>
      <c r="N65" s="104" t="s">
        <v>118</v>
      </c>
      <c r="O65" s="152" t="s">
        <v>135</v>
      </c>
    </row>
    <row r="66" spans="2:16" s="13" customFormat="1" ht="18" customHeight="1" thickBot="1" x14ac:dyDescent="0.35">
      <c r="B66" s="231"/>
      <c r="C66" s="162">
        <v>1105</v>
      </c>
      <c r="D66" s="180">
        <v>61.67</v>
      </c>
      <c r="E66" s="142"/>
      <c r="F66" s="157">
        <f t="shared" si="0"/>
        <v>61.67</v>
      </c>
      <c r="G66" s="158">
        <v>2</v>
      </c>
      <c r="H66" s="159">
        <v>486000</v>
      </c>
      <c r="I66" s="169">
        <v>40000</v>
      </c>
      <c r="J66" s="169">
        <v>15000</v>
      </c>
      <c r="K66" s="169">
        <v>7000</v>
      </c>
      <c r="L66" s="159">
        <v>60000</v>
      </c>
      <c r="M66" s="159">
        <f>H66-L66</f>
        <v>426000</v>
      </c>
      <c r="N66" s="159" t="s">
        <v>118</v>
      </c>
      <c r="O66" s="160" t="s">
        <v>163</v>
      </c>
      <c r="P66" s="135">
        <f>M66/F66</f>
        <v>6907.7347170423218</v>
      </c>
    </row>
    <row r="67" spans="2:16" s="13" customFormat="1" ht="18" customHeight="1" x14ac:dyDescent="0.3">
      <c r="B67" s="258" t="s">
        <v>47</v>
      </c>
      <c r="C67" s="69" t="s">
        <v>48</v>
      </c>
      <c r="D67" s="70">
        <v>13</v>
      </c>
      <c r="E67" s="228"/>
      <c r="F67" s="219">
        <f t="shared" si="0"/>
        <v>13</v>
      </c>
      <c r="G67" s="220"/>
      <c r="H67" s="221">
        <v>46500</v>
      </c>
      <c r="I67" s="221"/>
      <c r="J67" s="221"/>
      <c r="K67" s="221"/>
      <c r="L67" s="221"/>
      <c r="M67" s="221"/>
      <c r="N67" s="200" t="s">
        <v>117</v>
      </c>
      <c r="O67" s="201" t="s">
        <v>11</v>
      </c>
    </row>
    <row r="68" spans="2:16" s="13" customFormat="1" ht="18" customHeight="1" thickBot="1" x14ac:dyDescent="0.35">
      <c r="B68" s="259"/>
      <c r="C68" s="204" t="s">
        <v>49</v>
      </c>
      <c r="D68" s="205">
        <v>12.5</v>
      </c>
      <c r="E68" s="206"/>
      <c r="F68" s="207">
        <f t="shared" si="0"/>
        <v>12.5</v>
      </c>
      <c r="G68" s="208"/>
      <c r="H68" s="209">
        <v>44500</v>
      </c>
      <c r="I68" s="209"/>
      <c r="J68" s="209"/>
      <c r="K68" s="209"/>
      <c r="L68" s="209"/>
      <c r="M68" s="209"/>
      <c r="N68" s="169" t="s">
        <v>117</v>
      </c>
      <c r="O68" s="210" t="s">
        <v>11</v>
      </c>
    </row>
    <row r="69" spans="2:16" s="13" customFormat="1" ht="18" customHeight="1" x14ac:dyDescent="0.3">
      <c r="B69" s="260" t="s">
        <v>50</v>
      </c>
      <c r="C69" s="131" t="s">
        <v>51</v>
      </c>
      <c r="D69" s="113">
        <v>12.5</v>
      </c>
      <c r="E69" s="211">
        <v>1.3</v>
      </c>
      <c r="F69" s="202">
        <f t="shared" si="0"/>
        <v>13.8</v>
      </c>
      <c r="G69" s="149"/>
      <c r="H69" s="203">
        <v>52500</v>
      </c>
      <c r="I69" s="203"/>
      <c r="J69" s="203"/>
      <c r="K69" s="203"/>
      <c r="L69" s="203"/>
      <c r="M69" s="203"/>
      <c r="N69" s="203"/>
      <c r="O69" s="151" t="s">
        <v>140</v>
      </c>
    </row>
    <row r="70" spans="2:16" s="13" customFormat="1" ht="18" customHeight="1" x14ac:dyDescent="0.3">
      <c r="B70" s="261"/>
      <c r="C70" s="128" t="s">
        <v>52</v>
      </c>
      <c r="D70" s="132">
        <v>13.5</v>
      </c>
      <c r="E70" s="129">
        <v>0.56999999999999995</v>
      </c>
      <c r="F70" s="130">
        <f t="shared" si="0"/>
        <v>14.07</v>
      </c>
      <c r="G70" s="96"/>
      <c r="H70" s="107">
        <v>50500</v>
      </c>
      <c r="I70" s="107"/>
      <c r="J70" s="107"/>
      <c r="K70" s="107"/>
      <c r="L70" s="107"/>
      <c r="M70" s="107"/>
      <c r="N70" s="107"/>
      <c r="O70" s="184" t="s">
        <v>11</v>
      </c>
    </row>
    <row r="71" spans="2:16" s="13" customFormat="1" ht="18" customHeight="1" x14ac:dyDescent="0.3">
      <c r="B71" s="261"/>
      <c r="C71" s="128" t="s">
        <v>53</v>
      </c>
      <c r="D71" s="132">
        <v>17.2</v>
      </c>
      <c r="E71" s="129">
        <v>2.44</v>
      </c>
      <c r="F71" s="130">
        <f t="shared" si="0"/>
        <v>19.64</v>
      </c>
      <c r="G71" s="96"/>
      <c r="H71" s="107">
        <v>70500</v>
      </c>
      <c r="I71" s="107"/>
      <c r="J71" s="107"/>
      <c r="K71" s="107"/>
      <c r="L71" s="107"/>
      <c r="M71" s="107"/>
      <c r="N71" s="107"/>
      <c r="O71" s="184" t="s">
        <v>11</v>
      </c>
    </row>
    <row r="72" spans="2:16" s="13" customFormat="1" ht="18" customHeight="1" x14ac:dyDescent="0.3">
      <c r="B72" s="261"/>
      <c r="C72" s="108" t="s">
        <v>54</v>
      </c>
      <c r="D72" s="109">
        <v>15.9</v>
      </c>
      <c r="E72" s="127">
        <v>2.2599999999999998</v>
      </c>
      <c r="F72" s="111">
        <f t="shared" si="0"/>
        <v>18.16</v>
      </c>
      <c r="G72" s="103"/>
      <c r="H72" s="112">
        <v>57500</v>
      </c>
      <c r="I72" s="112"/>
      <c r="J72" s="112"/>
      <c r="K72" s="112"/>
      <c r="L72" s="112"/>
      <c r="M72" s="112"/>
      <c r="N72" s="112"/>
      <c r="O72" s="152" t="s">
        <v>140</v>
      </c>
    </row>
    <row r="73" spans="2:16" s="13" customFormat="1" ht="18" customHeight="1" x14ac:dyDescent="0.3">
      <c r="B73" s="261"/>
      <c r="C73" s="108" t="s">
        <v>55</v>
      </c>
      <c r="D73" s="109">
        <v>15.4</v>
      </c>
      <c r="E73" s="127">
        <v>2.2599999999999998</v>
      </c>
      <c r="F73" s="111">
        <f t="shared" si="0"/>
        <v>17.66</v>
      </c>
      <c r="G73" s="103"/>
      <c r="H73" s="112">
        <v>57300</v>
      </c>
      <c r="I73" s="112"/>
      <c r="J73" s="112"/>
      <c r="K73" s="112"/>
      <c r="L73" s="112"/>
      <c r="M73" s="112"/>
      <c r="N73" s="112"/>
      <c r="O73" s="152" t="s">
        <v>140</v>
      </c>
    </row>
    <row r="74" spans="2:16" s="13" customFormat="1" ht="18" customHeight="1" x14ac:dyDescent="0.3">
      <c r="B74" s="261"/>
      <c r="C74" s="108" t="s">
        <v>56</v>
      </c>
      <c r="D74" s="109">
        <v>12.5</v>
      </c>
      <c r="E74" s="127"/>
      <c r="F74" s="111">
        <f t="shared" si="0"/>
        <v>12.5</v>
      </c>
      <c r="G74" s="103"/>
      <c r="H74" s="112">
        <v>47500</v>
      </c>
      <c r="I74" s="112"/>
      <c r="J74" s="112"/>
      <c r="K74" s="112"/>
      <c r="L74" s="112"/>
      <c r="M74" s="112"/>
      <c r="N74" s="112"/>
      <c r="O74" s="152" t="s">
        <v>140</v>
      </c>
    </row>
    <row r="75" spans="2:16" s="13" customFormat="1" x14ac:dyDescent="0.3">
      <c r="B75" s="261"/>
      <c r="C75" s="108" t="s">
        <v>57</v>
      </c>
      <c r="D75" s="109">
        <v>12.5</v>
      </c>
      <c r="E75" s="110">
        <v>1.83</v>
      </c>
      <c r="F75" s="111">
        <f t="shared" si="0"/>
        <v>14.33</v>
      </c>
      <c r="G75" s="103"/>
      <c r="H75" s="112">
        <v>52000</v>
      </c>
      <c r="I75" s="112"/>
      <c r="J75" s="112"/>
      <c r="K75" s="112"/>
      <c r="L75" s="112"/>
      <c r="M75" s="112"/>
      <c r="N75" s="112"/>
      <c r="O75" s="152" t="s">
        <v>140</v>
      </c>
    </row>
    <row r="76" spans="2:16" s="13" customFormat="1" x14ac:dyDescent="0.3">
      <c r="B76" s="261"/>
      <c r="C76" s="108" t="s">
        <v>58</v>
      </c>
      <c r="D76" s="109">
        <v>12.5</v>
      </c>
      <c r="E76" s="110">
        <v>5.32</v>
      </c>
      <c r="F76" s="111">
        <f t="shared" si="0"/>
        <v>17.82</v>
      </c>
      <c r="G76" s="103"/>
      <c r="H76" s="112">
        <v>66300</v>
      </c>
      <c r="I76" s="112"/>
      <c r="J76" s="112"/>
      <c r="K76" s="112"/>
      <c r="L76" s="112"/>
      <c r="M76" s="112"/>
      <c r="N76" s="112"/>
      <c r="O76" s="152" t="s">
        <v>140</v>
      </c>
    </row>
    <row r="77" spans="2:16" s="13" customFormat="1" x14ac:dyDescent="0.3">
      <c r="B77" s="261"/>
      <c r="C77" s="108" t="s">
        <v>59</v>
      </c>
      <c r="D77" s="109">
        <v>12.5</v>
      </c>
      <c r="E77" s="110">
        <v>3.8</v>
      </c>
      <c r="F77" s="111">
        <f t="shared" si="0"/>
        <v>16.3</v>
      </c>
      <c r="G77" s="103"/>
      <c r="H77" s="112">
        <v>60400</v>
      </c>
      <c r="I77" s="112"/>
      <c r="J77" s="112"/>
      <c r="K77" s="112"/>
      <c r="L77" s="112"/>
      <c r="M77" s="112"/>
      <c r="N77" s="112"/>
      <c r="O77" s="152" t="s">
        <v>140</v>
      </c>
    </row>
    <row r="78" spans="2:16" s="13" customFormat="1" ht="15" thickBot="1" x14ac:dyDescent="0.35">
      <c r="B78" s="261"/>
      <c r="C78" s="108" t="s">
        <v>60</v>
      </c>
      <c r="D78" s="109">
        <v>13</v>
      </c>
      <c r="E78" s="110">
        <v>3.89</v>
      </c>
      <c r="F78" s="111">
        <f t="shared" ref="F78:F115" si="11">+D78+E78</f>
        <v>16.89</v>
      </c>
      <c r="G78" s="103"/>
      <c r="H78" s="112">
        <v>56300</v>
      </c>
      <c r="I78" s="112"/>
      <c r="J78" s="112"/>
      <c r="K78" s="112"/>
      <c r="L78" s="112"/>
      <c r="M78" s="112"/>
      <c r="N78" s="112"/>
      <c r="O78" s="152" t="s">
        <v>140</v>
      </c>
    </row>
    <row r="79" spans="2:16" s="13" customFormat="1" ht="15" thickBot="1" x14ac:dyDescent="0.35">
      <c r="B79" s="261"/>
      <c r="C79" s="108" t="s">
        <v>61</v>
      </c>
      <c r="D79" s="113">
        <v>12.86</v>
      </c>
      <c r="E79" s="110">
        <v>3</v>
      </c>
      <c r="F79" s="111">
        <f t="shared" si="11"/>
        <v>15.86</v>
      </c>
      <c r="G79" s="103"/>
      <c r="H79" s="112">
        <v>57800</v>
      </c>
      <c r="I79" s="112"/>
      <c r="J79" s="112"/>
      <c r="K79" s="112"/>
      <c r="L79" s="112"/>
      <c r="M79" s="112"/>
      <c r="N79" s="112"/>
      <c r="O79" s="152" t="s">
        <v>140</v>
      </c>
    </row>
    <row r="80" spans="2:16" s="13" customFormat="1" x14ac:dyDescent="0.3">
      <c r="B80" s="261"/>
      <c r="C80" s="108" t="s">
        <v>62</v>
      </c>
      <c r="D80" s="113">
        <v>14.63</v>
      </c>
      <c r="E80" s="110">
        <v>2.37</v>
      </c>
      <c r="F80" s="111">
        <f t="shared" si="11"/>
        <v>17</v>
      </c>
      <c r="G80" s="103"/>
      <c r="H80" s="112">
        <v>56300</v>
      </c>
      <c r="I80" s="112"/>
      <c r="J80" s="112"/>
      <c r="K80" s="112"/>
      <c r="L80" s="112"/>
      <c r="M80" s="112"/>
      <c r="N80" s="112"/>
      <c r="O80" s="152" t="s">
        <v>140</v>
      </c>
    </row>
    <row r="81" spans="2:15" s="13" customFormat="1" ht="15" customHeight="1" x14ac:dyDescent="0.3">
      <c r="B81" s="261"/>
      <c r="C81" s="108" t="s">
        <v>63</v>
      </c>
      <c r="D81" s="126">
        <v>13.27</v>
      </c>
      <c r="E81" s="110"/>
      <c r="F81" s="111">
        <f t="shared" si="11"/>
        <v>13.27</v>
      </c>
      <c r="G81" s="103"/>
      <c r="H81" s="112">
        <v>50500</v>
      </c>
      <c r="I81" s="112"/>
      <c r="J81" s="112"/>
      <c r="K81" s="112"/>
      <c r="L81" s="112"/>
      <c r="M81" s="112"/>
      <c r="N81" s="112"/>
      <c r="O81" s="152" t="s">
        <v>140</v>
      </c>
    </row>
    <row r="82" spans="2:15" s="13" customFormat="1" ht="14.4" customHeight="1" thickBot="1" x14ac:dyDescent="0.35">
      <c r="B82" s="262"/>
      <c r="C82" s="212" t="s">
        <v>64</v>
      </c>
      <c r="D82" s="213">
        <v>13.27</v>
      </c>
      <c r="E82" s="214"/>
      <c r="F82" s="215">
        <f t="shared" si="11"/>
        <v>13.27</v>
      </c>
      <c r="G82" s="158"/>
      <c r="H82" s="216">
        <v>50500</v>
      </c>
      <c r="I82" s="216"/>
      <c r="J82" s="216"/>
      <c r="K82" s="216"/>
      <c r="L82" s="216"/>
      <c r="M82" s="216"/>
      <c r="N82" s="216"/>
      <c r="O82" s="160" t="s">
        <v>140</v>
      </c>
    </row>
    <row r="83" spans="2:15" s="13" customFormat="1" ht="14.4" customHeight="1" x14ac:dyDescent="0.3">
      <c r="B83" s="263" t="s">
        <v>65</v>
      </c>
      <c r="C83" s="131" t="s">
        <v>66</v>
      </c>
      <c r="D83" s="113">
        <v>12.5</v>
      </c>
      <c r="E83" s="217">
        <v>1.3</v>
      </c>
      <c r="F83" s="202">
        <f t="shared" si="11"/>
        <v>13.8</v>
      </c>
      <c r="G83" s="149"/>
      <c r="H83" s="203">
        <v>52500</v>
      </c>
      <c r="I83" s="203"/>
      <c r="J83" s="203"/>
      <c r="K83" s="203"/>
      <c r="L83" s="203"/>
      <c r="M83" s="203"/>
      <c r="N83" s="203"/>
      <c r="O83" s="151" t="s">
        <v>140</v>
      </c>
    </row>
    <row r="84" spans="2:15" s="13" customFormat="1" x14ac:dyDescent="0.3">
      <c r="B84" s="264"/>
      <c r="C84" s="108" t="s">
        <v>67</v>
      </c>
      <c r="D84" s="109">
        <v>12.5</v>
      </c>
      <c r="E84" s="110">
        <v>1.82</v>
      </c>
      <c r="F84" s="111">
        <f t="shared" si="11"/>
        <v>14.32</v>
      </c>
      <c r="G84" s="103"/>
      <c r="H84" s="112">
        <v>56000</v>
      </c>
      <c r="I84" s="74"/>
      <c r="J84" s="74"/>
      <c r="K84" s="74"/>
      <c r="L84" s="112"/>
      <c r="M84" s="112"/>
      <c r="N84" s="112"/>
      <c r="O84" s="152" t="s">
        <v>140</v>
      </c>
    </row>
    <row r="85" spans="2:15" s="13" customFormat="1" x14ac:dyDescent="0.3">
      <c r="B85" s="264"/>
      <c r="C85" s="75" t="s">
        <v>68</v>
      </c>
      <c r="D85" s="78">
        <v>17.100000000000001</v>
      </c>
      <c r="E85" s="85">
        <v>2.4300000000000002</v>
      </c>
      <c r="F85" s="72">
        <f t="shared" si="11"/>
        <v>19.53</v>
      </c>
      <c r="G85" s="73"/>
      <c r="H85" s="74">
        <v>60000</v>
      </c>
      <c r="I85" s="74"/>
      <c r="J85" s="74"/>
      <c r="K85" s="74"/>
      <c r="L85" s="74"/>
      <c r="M85" s="74"/>
      <c r="N85" s="74"/>
      <c r="O85" s="161" t="s">
        <v>11</v>
      </c>
    </row>
    <row r="86" spans="2:15" s="13" customFormat="1" ht="14.4" customHeight="1" x14ac:dyDescent="0.3">
      <c r="B86" s="264"/>
      <c r="C86" s="108" t="s">
        <v>69</v>
      </c>
      <c r="D86" s="109">
        <v>15.89</v>
      </c>
      <c r="E86" s="110">
        <v>2.2599999999999998</v>
      </c>
      <c r="F86" s="111">
        <f t="shared" si="11"/>
        <v>18.149999999999999</v>
      </c>
      <c r="G86" s="103"/>
      <c r="H86" s="112">
        <v>59300</v>
      </c>
      <c r="I86" s="112"/>
      <c r="J86" s="112"/>
      <c r="K86" s="112"/>
      <c r="L86" s="112"/>
      <c r="M86" s="112"/>
      <c r="N86" s="112"/>
      <c r="O86" s="152" t="s">
        <v>140</v>
      </c>
    </row>
    <row r="87" spans="2:15" s="13" customFormat="1" x14ac:dyDescent="0.3">
      <c r="B87" s="264"/>
      <c r="C87" s="108" t="s">
        <v>70</v>
      </c>
      <c r="D87" s="109">
        <v>15.4</v>
      </c>
      <c r="E87" s="110">
        <v>2.2599999999999998</v>
      </c>
      <c r="F87" s="111">
        <f t="shared" si="11"/>
        <v>17.66</v>
      </c>
      <c r="G87" s="103"/>
      <c r="H87" s="112">
        <v>57300</v>
      </c>
      <c r="I87" s="74"/>
      <c r="J87" s="74"/>
      <c r="K87" s="74"/>
      <c r="L87" s="112"/>
      <c r="M87" s="112"/>
      <c r="N87" s="112"/>
      <c r="O87" s="152" t="s">
        <v>140</v>
      </c>
    </row>
    <row r="88" spans="2:15" s="13" customFormat="1" x14ac:dyDescent="0.3">
      <c r="B88" s="264"/>
      <c r="C88" s="75" t="s">
        <v>71</v>
      </c>
      <c r="D88" s="78">
        <v>12.51</v>
      </c>
      <c r="E88" s="85"/>
      <c r="F88" s="72">
        <f t="shared" si="11"/>
        <v>12.51</v>
      </c>
      <c r="G88" s="73"/>
      <c r="H88" s="74">
        <v>47500</v>
      </c>
      <c r="I88" s="74"/>
      <c r="J88" s="74"/>
      <c r="K88" s="74"/>
      <c r="L88" s="74"/>
      <c r="M88" s="74"/>
      <c r="N88" s="74"/>
      <c r="O88" s="161" t="s">
        <v>11</v>
      </c>
    </row>
    <row r="89" spans="2:15" s="13" customFormat="1" x14ac:dyDescent="0.3">
      <c r="B89" s="264"/>
      <c r="C89" s="108" t="s">
        <v>72</v>
      </c>
      <c r="D89" s="109">
        <v>12.49</v>
      </c>
      <c r="E89" s="110">
        <v>1.83</v>
      </c>
      <c r="F89" s="111">
        <f t="shared" si="11"/>
        <v>14.32</v>
      </c>
      <c r="G89" s="103"/>
      <c r="H89" s="112">
        <v>52000</v>
      </c>
      <c r="I89" s="112"/>
      <c r="J89" s="112"/>
      <c r="K89" s="112"/>
      <c r="L89" s="112"/>
      <c r="M89" s="112"/>
      <c r="N89" s="112"/>
      <c r="O89" s="152" t="s">
        <v>140</v>
      </c>
    </row>
    <row r="90" spans="2:15" s="13" customFormat="1" x14ac:dyDescent="0.3">
      <c r="B90" s="264"/>
      <c r="C90" s="75" t="s">
        <v>73</v>
      </c>
      <c r="D90" s="78">
        <v>12.5</v>
      </c>
      <c r="E90" s="85">
        <v>5.32</v>
      </c>
      <c r="F90" s="72">
        <f t="shared" si="11"/>
        <v>17.82</v>
      </c>
      <c r="G90" s="73"/>
      <c r="H90" s="74">
        <v>66400</v>
      </c>
      <c r="I90" s="74"/>
      <c r="J90" s="74"/>
      <c r="K90" s="74"/>
      <c r="L90" s="74"/>
      <c r="M90" s="74"/>
      <c r="N90" s="74"/>
      <c r="O90" s="161" t="s">
        <v>11</v>
      </c>
    </row>
    <row r="91" spans="2:15" s="13" customFormat="1" x14ac:dyDescent="0.3">
      <c r="B91" s="264"/>
      <c r="C91" s="108" t="s">
        <v>74</v>
      </c>
      <c r="D91" s="109">
        <v>12.5</v>
      </c>
      <c r="E91" s="110">
        <v>3.8</v>
      </c>
      <c r="F91" s="111">
        <f t="shared" si="11"/>
        <v>16.3</v>
      </c>
      <c r="G91" s="103"/>
      <c r="H91" s="112">
        <v>60400</v>
      </c>
      <c r="I91" s="112"/>
      <c r="J91" s="112"/>
      <c r="K91" s="112"/>
      <c r="L91" s="112"/>
      <c r="M91" s="112"/>
      <c r="N91" s="112"/>
      <c r="O91" s="152" t="s">
        <v>140</v>
      </c>
    </row>
    <row r="92" spans="2:15" s="13" customFormat="1" x14ac:dyDescent="0.3">
      <c r="B92" s="264"/>
      <c r="C92" s="108" t="s">
        <v>75</v>
      </c>
      <c r="D92" s="109">
        <v>14.6</v>
      </c>
      <c r="E92" s="110">
        <v>3.89</v>
      </c>
      <c r="F92" s="111">
        <f t="shared" si="11"/>
        <v>18.489999999999998</v>
      </c>
      <c r="G92" s="103"/>
      <c r="H92" s="112">
        <v>64600</v>
      </c>
      <c r="I92" s="112"/>
      <c r="J92" s="112"/>
      <c r="K92" s="112"/>
      <c r="L92" s="112"/>
      <c r="M92" s="112"/>
      <c r="N92" s="112"/>
      <c r="O92" s="152" t="s">
        <v>140</v>
      </c>
    </row>
    <row r="93" spans="2:15" s="13" customFormat="1" x14ac:dyDescent="0.3">
      <c r="B93" s="264"/>
      <c r="C93" s="75" t="s">
        <v>76</v>
      </c>
      <c r="D93" s="78">
        <v>12.86</v>
      </c>
      <c r="E93" s="85">
        <v>3</v>
      </c>
      <c r="F93" s="72">
        <f t="shared" si="11"/>
        <v>15.86</v>
      </c>
      <c r="G93" s="73"/>
      <c r="H93" s="74">
        <v>57800</v>
      </c>
      <c r="I93" s="74"/>
      <c r="J93" s="74"/>
      <c r="K93" s="74"/>
      <c r="L93" s="74"/>
      <c r="M93" s="74"/>
      <c r="N93" s="74"/>
      <c r="O93" s="161" t="s">
        <v>11</v>
      </c>
    </row>
    <row r="94" spans="2:15" s="13" customFormat="1" x14ac:dyDescent="0.3">
      <c r="B94" s="264"/>
      <c r="C94" s="108" t="s">
        <v>77</v>
      </c>
      <c r="D94" s="109">
        <v>13</v>
      </c>
      <c r="E94" s="110">
        <v>3.89</v>
      </c>
      <c r="F94" s="111">
        <f t="shared" si="11"/>
        <v>16.89</v>
      </c>
      <c r="G94" s="103"/>
      <c r="H94" s="112">
        <v>61000</v>
      </c>
      <c r="I94" s="112"/>
      <c r="J94" s="112"/>
      <c r="K94" s="112"/>
      <c r="L94" s="112"/>
      <c r="M94" s="112"/>
      <c r="N94" s="112"/>
      <c r="O94" s="152" t="s">
        <v>140</v>
      </c>
    </row>
    <row r="95" spans="2:15" s="13" customFormat="1" x14ac:dyDescent="0.3">
      <c r="B95" s="264"/>
      <c r="C95" s="108" t="s">
        <v>78</v>
      </c>
      <c r="D95" s="109">
        <v>13.27</v>
      </c>
      <c r="E95" s="110"/>
      <c r="F95" s="111">
        <f t="shared" si="11"/>
        <v>13.27</v>
      </c>
      <c r="G95" s="103"/>
      <c r="H95" s="112">
        <v>50500</v>
      </c>
      <c r="I95" s="74"/>
      <c r="J95" s="74"/>
      <c r="K95" s="74"/>
      <c r="L95" s="112"/>
      <c r="M95" s="112"/>
      <c r="N95" s="112"/>
      <c r="O95" s="152" t="s">
        <v>140</v>
      </c>
    </row>
    <row r="96" spans="2:15" s="13" customFormat="1" ht="14.4" customHeight="1" thickBot="1" x14ac:dyDescent="0.35">
      <c r="B96" s="265"/>
      <c r="C96" s="212" t="s">
        <v>79</v>
      </c>
      <c r="D96" s="213">
        <v>13.52</v>
      </c>
      <c r="E96" s="214"/>
      <c r="F96" s="215">
        <f t="shared" si="11"/>
        <v>13.52</v>
      </c>
      <c r="G96" s="158"/>
      <c r="H96" s="216">
        <v>51500</v>
      </c>
      <c r="I96" s="216"/>
      <c r="J96" s="216"/>
      <c r="K96" s="216"/>
      <c r="L96" s="216"/>
      <c r="M96" s="216"/>
      <c r="N96" s="216"/>
      <c r="O96" s="160" t="s">
        <v>140</v>
      </c>
    </row>
    <row r="97" spans="2:15" s="13" customFormat="1" ht="14.4" customHeight="1" x14ac:dyDescent="0.3">
      <c r="B97" s="263" t="s">
        <v>81</v>
      </c>
      <c r="C97" s="69" t="s">
        <v>82</v>
      </c>
      <c r="D97" s="70">
        <v>12.5</v>
      </c>
      <c r="E97" s="218">
        <v>1.3</v>
      </c>
      <c r="F97" s="219">
        <f t="shared" si="11"/>
        <v>13.8</v>
      </c>
      <c r="G97" s="220"/>
      <c r="H97" s="221">
        <v>52500</v>
      </c>
      <c r="I97" s="221"/>
      <c r="J97" s="221"/>
      <c r="K97" s="221"/>
      <c r="L97" s="221"/>
      <c r="M97" s="221"/>
      <c r="N97" s="221"/>
      <c r="O97" s="201" t="s">
        <v>11</v>
      </c>
    </row>
    <row r="98" spans="2:15" s="13" customFormat="1" x14ac:dyDescent="0.3">
      <c r="B98" s="264"/>
      <c r="C98" s="108" t="s">
        <v>83</v>
      </c>
      <c r="D98" s="109">
        <v>13.5</v>
      </c>
      <c r="E98" s="110">
        <v>1.82</v>
      </c>
      <c r="F98" s="111">
        <f t="shared" si="11"/>
        <v>15.32</v>
      </c>
      <c r="G98" s="103"/>
      <c r="H98" s="112">
        <v>55800</v>
      </c>
      <c r="I98" s="112"/>
      <c r="J98" s="112"/>
      <c r="K98" s="112"/>
      <c r="L98" s="112"/>
      <c r="M98" s="112"/>
      <c r="N98" s="112"/>
      <c r="O98" s="152" t="s">
        <v>140</v>
      </c>
    </row>
    <row r="99" spans="2:15" s="13" customFormat="1" x14ac:dyDescent="0.3">
      <c r="B99" s="264"/>
      <c r="C99" s="108" t="s">
        <v>85</v>
      </c>
      <c r="D99" s="109">
        <v>17.100000000000001</v>
      </c>
      <c r="E99" s="110">
        <v>2.4300000000000002</v>
      </c>
      <c r="F99" s="111">
        <f t="shared" si="11"/>
        <v>19.53</v>
      </c>
      <c r="G99" s="103"/>
      <c r="H99" s="112">
        <v>60000</v>
      </c>
      <c r="I99" s="112"/>
      <c r="J99" s="112"/>
      <c r="K99" s="112"/>
      <c r="L99" s="112"/>
      <c r="M99" s="112"/>
      <c r="N99" s="112"/>
      <c r="O99" s="152" t="s">
        <v>140</v>
      </c>
    </row>
    <row r="100" spans="2:15" s="13" customFormat="1" x14ac:dyDescent="0.3">
      <c r="B100" s="264"/>
      <c r="C100" s="108" t="s">
        <v>87</v>
      </c>
      <c r="D100" s="109">
        <v>15.89</v>
      </c>
      <c r="E100" s="110">
        <v>2.2599999999999998</v>
      </c>
      <c r="F100" s="111">
        <f t="shared" si="11"/>
        <v>18.149999999999999</v>
      </c>
      <c r="G100" s="103"/>
      <c r="H100" s="112">
        <v>59300</v>
      </c>
      <c r="I100" s="74"/>
      <c r="J100" s="74"/>
      <c r="K100" s="74"/>
      <c r="L100" s="112"/>
      <c r="M100" s="112"/>
      <c r="N100" s="112"/>
      <c r="O100" s="152" t="s">
        <v>140</v>
      </c>
    </row>
    <row r="101" spans="2:15" s="13" customFormat="1" x14ac:dyDescent="0.3">
      <c r="B101" s="264"/>
      <c r="C101" s="75" t="s">
        <v>89</v>
      </c>
      <c r="D101" s="78">
        <v>15.4</v>
      </c>
      <c r="E101" s="85">
        <v>2.2599999999999998</v>
      </c>
      <c r="F101" s="72">
        <f t="shared" si="11"/>
        <v>17.66</v>
      </c>
      <c r="G101" s="73"/>
      <c r="H101" s="74">
        <v>66400</v>
      </c>
      <c r="I101" s="74"/>
      <c r="J101" s="74"/>
      <c r="K101" s="74"/>
      <c r="L101" s="74"/>
      <c r="M101" s="74"/>
      <c r="N101" s="74"/>
      <c r="O101" s="161" t="s">
        <v>11</v>
      </c>
    </row>
    <row r="102" spans="2:15" s="13" customFormat="1" x14ac:dyDescent="0.3">
      <c r="B102" s="264"/>
      <c r="C102" s="108" t="s">
        <v>90</v>
      </c>
      <c r="D102" s="109">
        <v>12.51</v>
      </c>
      <c r="E102" s="110"/>
      <c r="F102" s="111">
        <f t="shared" si="11"/>
        <v>12.51</v>
      </c>
      <c r="G102" s="103"/>
      <c r="H102" s="112">
        <v>47500</v>
      </c>
      <c r="I102" s="74"/>
      <c r="J102" s="74"/>
      <c r="K102" s="74"/>
      <c r="L102" s="112"/>
      <c r="M102" s="112"/>
      <c r="N102" s="112"/>
      <c r="O102" s="152" t="s">
        <v>140</v>
      </c>
    </row>
    <row r="103" spans="2:15" s="13" customFormat="1" x14ac:dyDescent="0.3">
      <c r="B103" s="264"/>
      <c r="C103" s="108" t="s">
        <v>92</v>
      </c>
      <c r="D103" s="109">
        <v>12.49</v>
      </c>
      <c r="E103" s="110">
        <v>1.83</v>
      </c>
      <c r="F103" s="111">
        <f t="shared" si="11"/>
        <v>14.32</v>
      </c>
      <c r="G103" s="103"/>
      <c r="H103" s="112">
        <v>52000</v>
      </c>
      <c r="I103" s="112"/>
      <c r="J103" s="112"/>
      <c r="K103" s="112"/>
      <c r="L103" s="112"/>
      <c r="M103" s="112"/>
      <c r="N103" s="112"/>
      <c r="O103" s="152" t="s">
        <v>140</v>
      </c>
    </row>
    <row r="104" spans="2:15" s="13" customFormat="1" x14ac:dyDescent="0.3">
      <c r="B104" s="264"/>
      <c r="C104" s="75" t="s">
        <v>94</v>
      </c>
      <c r="D104" s="78">
        <v>12.5</v>
      </c>
      <c r="E104" s="85">
        <v>5.32</v>
      </c>
      <c r="F104" s="72">
        <f t="shared" si="11"/>
        <v>17.82</v>
      </c>
      <c r="G104" s="73"/>
      <c r="H104" s="74">
        <v>66400</v>
      </c>
      <c r="I104" s="74"/>
      <c r="J104" s="74"/>
      <c r="K104" s="74"/>
      <c r="L104" s="74"/>
      <c r="M104" s="74"/>
      <c r="N104" s="74"/>
      <c r="O104" s="161" t="s">
        <v>11</v>
      </c>
    </row>
    <row r="105" spans="2:15" s="13" customFormat="1" ht="14.4" customHeight="1" x14ac:dyDescent="0.3">
      <c r="B105" s="264"/>
      <c r="C105" s="75" t="s">
        <v>96</v>
      </c>
      <c r="D105" s="78">
        <v>12.5</v>
      </c>
      <c r="E105" s="85">
        <v>3.8</v>
      </c>
      <c r="F105" s="72">
        <f t="shared" si="11"/>
        <v>16.3</v>
      </c>
      <c r="G105" s="73"/>
      <c r="H105" s="74">
        <v>60400</v>
      </c>
      <c r="I105" s="74"/>
      <c r="J105" s="74"/>
      <c r="K105" s="74"/>
      <c r="L105" s="74"/>
      <c r="M105" s="74"/>
      <c r="N105" s="74"/>
      <c r="O105" s="161" t="s">
        <v>11</v>
      </c>
    </row>
    <row r="106" spans="2:15" s="13" customFormat="1" x14ac:dyDescent="0.3">
      <c r="B106" s="264"/>
      <c r="C106" s="75" t="s">
        <v>97</v>
      </c>
      <c r="D106" s="78">
        <v>14.6</v>
      </c>
      <c r="E106" s="85">
        <v>3.89</v>
      </c>
      <c r="F106" s="72">
        <f t="shared" si="11"/>
        <v>18.489999999999998</v>
      </c>
      <c r="G106" s="73"/>
      <c r="H106" s="74">
        <v>67300</v>
      </c>
      <c r="I106" s="74"/>
      <c r="J106" s="74"/>
      <c r="K106" s="74"/>
      <c r="L106" s="74"/>
      <c r="M106" s="74"/>
      <c r="N106" s="74"/>
      <c r="O106" s="161" t="s">
        <v>11</v>
      </c>
    </row>
    <row r="107" spans="2:15" s="13" customFormat="1" x14ac:dyDescent="0.3">
      <c r="B107" s="264"/>
      <c r="C107" s="75" t="s">
        <v>98</v>
      </c>
      <c r="D107" s="78">
        <v>12.86</v>
      </c>
      <c r="E107" s="85">
        <v>3</v>
      </c>
      <c r="F107" s="72">
        <f t="shared" si="11"/>
        <v>15.86</v>
      </c>
      <c r="G107" s="73"/>
      <c r="H107" s="74">
        <v>57800</v>
      </c>
      <c r="I107" s="74"/>
      <c r="J107" s="74"/>
      <c r="K107" s="74"/>
      <c r="L107" s="74"/>
      <c r="M107" s="74"/>
      <c r="N107" s="74"/>
      <c r="O107" s="161" t="s">
        <v>11</v>
      </c>
    </row>
    <row r="108" spans="2:15" s="13" customFormat="1" x14ac:dyDescent="0.3">
      <c r="B108" s="264"/>
      <c r="C108" s="75" t="s">
        <v>99</v>
      </c>
      <c r="D108" s="78">
        <v>13</v>
      </c>
      <c r="E108" s="85">
        <v>3.89</v>
      </c>
      <c r="F108" s="72">
        <f t="shared" si="11"/>
        <v>16.89</v>
      </c>
      <c r="G108" s="73"/>
      <c r="H108" s="74">
        <v>61000</v>
      </c>
      <c r="I108" s="74"/>
      <c r="J108" s="74"/>
      <c r="K108" s="74"/>
      <c r="L108" s="74"/>
      <c r="M108" s="74"/>
      <c r="N108" s="74"/>
      <c r="O108" s="161" t="s">
        <v>11</v>
      </c>
    </row>
    <row r="109" spans="2:15" s="13" customFormat="1" x14ac:dyDescent="0.3">
      <c r="B109" s="264"/>
      <c r="C109" s="108" t="s">
        <v>100</v>
      </c>
      <c r="D109" s="109">
        <v>13.27</v>
      </c>
      <c r="E109" s="110"/>
      <c r="F109" s="111">
        <f t="shared" si="11"/>
        <v>13.27</v>
      </c>
      <c r="G109" s="103"/>
      <c r="H109" s="112">
        <v>50500</v>
      </c>
      <c r="I109" s="112"/>
      <c r="J109" s="112"/>
      <c r="K109" s="112"/>
      <c r="L109" s="112"/>
      <c r="M109" s="112"/>
      <c r="N109" s="112"/>
      <c r="O109" s="152" t="s">
        <v>140</v>
      </c>
    </row>
    <row r="110" spans="2:15" s="13" customFormat="1" ht="15.6" customHeight="1" thickBot="1" x14ac:dyDescent="0.35">
      <c r="B110" s="265"/>
      <c r="C110" s="212" t="s">
        <v>101</v>
      </c>
      <c r="D110" s="213">
        <v>13.52</v>
      </c>
      <c r="E110" s="214"/>
      <c r="F110" s="215">
        <f t="shared" si="11"/>
        <v>13.52</v>
      </c>
      <c r="G110" s="158"/>
      <c r="H110" s="216">
        <v>51500</v>
      </c>
      <c r="I110" s="226"/>
      <c r="J110" s="226"/>
      <c r="K110" s="226"/>
      <c r="L110" s="216"/>
      <c r="M110" s="216"/>
      <c r="N110" s="216"/>
      <c r="O110" s="160" t="s">
        <v>140</v>
      </c>
    </row>
    <row r="111" spans="2:15" s="13" customFormat="1" ht="14.4" customHeight="1" x14ac:dyDescent="0.3">
      <c r="B111" s="255" t="s">
        <v>102</v>
      </c>
      <c r="C111" s="69" t="s">
        <v>103</v>
      </c>
      <c r="D111" s="70">
        <v>12.5</v>
      </c>
      <c r="E111" s="218">
        <v>1.3</v>
      </c>
      <c r="F111" s="219">
        <f t="shared" si="11"/>
        <v>13.8</v>
      </c>
      <c r="G111" s="220"/>
      <c r="H111" s="221">
        <v>52500</v>
      </c>
      <c r="I111" s="221"/>
      <c r="J111" s="221"/>
      <c r="K111" s="221"/>
      <c r="L111" s="221"/>
      <c r="M111" s="221"/>
      <c r="N111" s="221"/>
      <c r="O111" s="201" t="s">
        <v>11</v>
      </c>
    </row>
    <row r="112" spans="2:15" s="13" customFormat="1" x14ac:dyDescent="0.3">
      <c r="B112" s="256"/>
      <c r="C112" s="75" t="s">
        <v>104</v>
      </c>
      <c r="D112" s="78">
        <v>13.5</v>
      </c>
      <c r="E112" s="85">
        <v>1.86</v>
      </c>
      <c r="F112" s="72">
        <f t="shared" si="11"/>
        <v>15.36</v>
      </c>
      <c r="G112" s="73"/>
      <c r="H112" s="74">
        <v>54400</v>
      </c>
      <c r="I112" s="74"/>
      <c r="J112" s="74"/>
      <c r="K112" s="74"/>
      <c r="L112" s="74"/>
      <c r="M112" s="74"/>
      <c r="N112" s="74"/>
      <c r="O112" s="161" t="s">
        <v>11</v>
      </c>
    </row>
    <row r="113" spans="2:15" s="13" customFormat="1" x14ac:dyDescent="0.3">
      <c r="B113" s="256"/>
      <c r="C113" s="75" t="s">
        <v>105</v>
      </c>
      <c r="D113" s="78">
        <v>17.100000000000001</v>
      </c>
      <c r="E113" s="85">
        <v>2.4300000000000002</v>
      </c>
      <c r="F113" s="72">
        <f t="shared" si="11"/>
        <v>19.53</v>
      </c>
      <c r="G113" s="73"/>
      <c r="H113" s="74">
        <v>60000</v>
      </c>
      <c r="I113" s="74"/>
      <c r="J113" s="74"/>
      <c r="K113" s="74"/>
      <c r="L113" s="74"/>
      <c r="M113" s="74"/>
      <c r="N113" s="74"/>
      <c r="O113" s="161" t="s">
        <v>11</v>
      </c>
    </row>
    <row r="114" spans="2:15" s="13" customFormat="1" x14ac:dyDescent="0.3">
      <c r="B114" s="256"/>
      <c r="C114" s="75" t="s">
        <v>106</v>
      </c>
      <c r="D114" s="78">
        <v>15.89</v>
      </c>
      <c r="E114" s="85">
        <v>2.2599999999999998</v>
      </c>
      <c r="F114" s="72">
        <f t="shared" si="11"/>
        <v>18.149999999999999</v>
      </c>
      <c r="G114" s="73"/>
      <c r="H114" s="74">
        <v>59300</v>
      </c>
      <c r="I114" s="74"/>
      <c r="J114" s="74"/>
      <c r="K114" s="74"/>
      <c r="L114" s="74"/>
      <c r="M114" s="74"/>
      <c r="N114" s="74"/>
      <c r="O114" s="161" t="s">
        <v>11</v>
      </c>
    </row>
    <row r="115" spans="2:15" s="13" customFormat="1" x14ac:dyDescent="0.3">
      <c r="B115" s="256"/>
      <c r="C115" s="75" t="s">
        <v>107</v>
      </c>
      <c r="D115" s="78">
        <v>15.4</v>
      </c>
      <c r="E115" s="85">
        <v>2.2599999999999998</v>
      </c>
      <c r="F115" s="72">
        <f t="shared" si="11"/>
        <v>17.66</v>
      </c>
      <c r="G115" s="73"/>
      <c r="H115" s="74">
        <v>66400</v>
      </c>
      <c r="I115" s="74"/>
      <c r="J115" s="74"/>
      <c r="K115" s="74"/>
      <c r="L115" s="74"/>
      <c r="M115" s="74"/>
      <c r="N115" s="74"/>
      <c r="O115" s="161" t="s">
        <v>11</v>
      </c>
    </row>
    <row r="116" spans="2:15" s="13" customFormat="1" x14ac:dyDescent="0.3">
      <c r="B116" s="256"/>
      <c r="C116" s="108" t="s">
        <v>108</v>
      </c>
      <c r="D116" s="109">
        <v>12.5</v>
      </c>
      <c r="E116" s="110"/>
      <c r="F116" s="111">
        <f>+D116+E116</f>
        <v>12.5</v>
      </c>
      <c r="G116" s="103"/>
      <c r="H116" s="112">
        <v>57500</v>
      </c>
      <c r="I116" s="74"/>
      <c r="J116" s="74"/>
      <c r="K116" s="74"/>
      <c r="L116" s="112"/>
      <c r="M116" s="112"/>
      <c r="N116" s="104"/>
      <c r="O116" s="152" t="s">
        <v>140</v>
      </c>
    </row>
    <row r="117" spans="2:15" s="13" customFormat="1" x14ac:dyDescent="0.3">
      <c r="B117" s="256"/>
      <c r="C117" s="108" t="s">
        <v>109</v>
      </c>
      <c r="D117" s="109">
        <v>12.5</v>
      </c>
      <c r="E117" s="110">
        <v>1.83</v>
      </c>
      <c r="F117" s="111">
        <f>+D117+E117</f>
        <v>14.33</v>
      </c>
      <c r="G117" s="103"/>
      <c r="H117" s="112">
        <v>52000</v>
      </c>
      <c r="I117" s="74"/>
      <c r="J117" s="74"/>
      <c r="K117" s="74"/>
      <c r="L117" s="112"/>
      <c r="M117" s="112"/>
      <c r="N117" s="104"/>
      <c r="O117" s="152" t="s">
        <v>140</v>
      </c>
    </row>
    <row r="118" spans="2:15" s="13" customFormat="1" ht="15" thickBot="1" x14ac:dyDescent="0.35">
      <c r="B118" s="257"/>
      <c r="C118" s="222" t="s">
        <v>110</v>
      </c>
      <c r="D118" s="223">
        <v>25.63</v>
      </c>
      <c r="E118" s="224">
        <v>2.75</v>
      </c>
      <c r="F118" s="225">
        <f>+D118+E118</f>
        <v>28.38</v>
      </c>
      <c r="G118" s="167"/>
      <c r="H118" s="226">
        <v>79000</v>
      </c>
      <c r="I118" s="226"/>
      <c r="J118" s="226"/>
      <c r="K118" s="226"/>
      <c r="L118" s="226"/>
      <c r="M118" s="226"/>
      <c r="N118" s="227"/>
      <c r="O118" s="171" t="s">
        <v>11</v>
      </c>
    </row>
    <row r="120" spans="2:15" x14ac:dyDescent="0.3">
      <c r="H120" s="139"/>
      <c r="I120" s="139"/>
      <c r="J120" s="139"/>
      <c r="K120" s="139"/>
      <c r="L120" s="139"/>
      <c r="M120" s="140"/>
    </row>
    <row r="121" spans="2:15" x14ac:dyDescent="0.3">
      <c r="H121" s="13"/>
      <c r="I121" s="13"/>
      <c r="J121" s="13"/>
      <c r="K121" s="13"/>
      <c r="L121" s="13"/>
      <c r="M121" s="13"/>
    </row>
    <row r="122" spans="2:15" x14ac:dyDescent="0.3">
      <c r="H122" s="253"/>
      <c r="I122" s="254"/>
      <c r="J122" s="254"/>
      <c r="K122" s="254"/>
      <c r="L122" s="253"/>
      <c r="M122" s="141"/>
    </row>
    <row r="123" spans="2:15" x14ac:dyDescent="0.3">
      <c r="H123" s="13"/>
      <c r="I123" s="13"/>
      <c r="J123" s="13"/>
      <c r="K123" s="13"/>
      <c r="L123" s="13"/>
      <c r="M123" s="13"/>
    </row>
    <row r="124" spans="2:15" x14ac:dyDescent="0.3">
      <c r="H124" s="253"/>
      <c r="I124" s="254"/>
      <c r="J124" s="254"/>
      <c r="K124" s="254"/>
      <c r="L124" s="253"/>
      <c r="M124" s="139"/>
    </row>
    <row r="125" spans="2:15" x14ac:dyDescent="0.3">
      <c r="H125" s="13"/>
      <c r="I125" s="13"/>
      <c r="J125" s="13"/>
      <c r="K125" s="13"/>
      <c r="L125" s="13"/>
      <c r="M125" s="13"/>
    </row>
  </sheetData>
  <autoFilter ref="B13:P118" xr:uid="{D3496021-3211-4816-8D6E-FC34EC28CE17}"/>
  <mergeCells count="35">
    <mergeCell ref="H122:L122"/>
    <mergeCell ref="H124:L124"/>
    <mergeCell ref="B111:B118"/>
    <mergeCell ref="B33:B37"/>
    <mergeCell ref="B38:B42"/>
    <mergeCell ref="B43:B47"/>
    <mergeCell ref="B48:B52"/>
    <mergeCell ref="B53:B57"/>
    <mergeCell ref="B58:B62"/>
    <mergeCell ref="B63:B66"/>
    <mergeCell ref="B67:B68"/>
    <mergeCell ref="B69:B82"/>
    <mergeCell ref="B83:B96"/>
    <mergeCell ref="B97:B110"/>
    <mergeCell ref="O2:O3"/>
    <mergeCell ref="B5:O6"/>
    <mergeCell ref="B8:C8"/>
    <mergeCell ref="D8:O8"/>
    <mergeCell ref="B10:O10"/>
    <mergeCell ref="H2:N3"/>
    <mergeCell ref="O12:O13"/>
    <mergeCell ref="M12:M13"/>
    <mergeCell ref="N12:N13"/>
    <mergeCell ref="H12:H13"/>
    <mergeCell ref="I12:I13"/>
    <mergeCell ref="J12:J13"/>
    <mergeCell ref="K12:K13"/>
    <mergeCell ref="L12:L13"/>
    <mergeCell ref="B18:B22"/>
    <mergeCell ref="B23:B27"/>
    <mergeCell ref="B28:B32"/>
    <mergeCell ref="G12:G13"/>
    <mergeCell ref="C12:C13"/>
    <mergeCell ref="D12:F12"/>
    <mergeCell ref="B14:B17"/>
  </mergeCells>
  <conditionalFormatting sqref="P25:P6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6" orientation="portrait" r:id="rId1"/>
  <ignoredErrors>
    <ignoredError sqref="F14:F63 F84:F118 F64:F82" unlockedFormula="1"/>
    <ignoredError sqref="M54:M56 M28:M30 M33:M38 M58:M60 M45:M50 M42:M43 M40 M39 M41 M44 M6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2afbfa-e8c4-476e-897d-8f89ba7ec2d5" xsi:nil="true"/>
    <lcf76f155ced4ddcb4097134ff3c332f xmlns="cea7d724-0401-4ab7-9335-0a1bc0aaa78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0A9D50705E924EA02D565C3097A2A8" ma:contentTypeVersion="13" ma:contentTypeDescription="Crear nuevo documento." ma:contentTypeScope="" ma:versionID="8fd8c59e4c50453b7d7b1388dd6a67df">
  <xsd:schema xmlns:xsd="http://www.w3.org/2001/XMLSchema" xmlns:xs="http://www.w3.org/2001/XMLSchema" xmlns:p="http://schemas.microsoft.com/office/2006/metadata/properties" xmlns:ns2="cea7d724-0401-4ab7-9335-0a1bc0aaa782" xmlns:ns3="c82afbfa-e8c4-476e-897d-8f89ba7ec2d5" targetNamespace="http://schemas.microsoft.com/office/2006/metadata/properties" ma:root="true" ma:fieldsID="397d94704bf2ce01ad163c5197a8d263" ns2:_="" ns3:_="">
    <xsd:import namespace="cea7d724-0401-4ab7-9335-0a1bc0aaa782"/>
    <xsd:import namespace="c82afbfa-e8c4-476e-897d-8f89ba7ec2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a7d724-0401-4ab7-9335-0a1bc0aaa7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7a95056-230e-480f-b80f-b40d9684a1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afbfa-e8c4-476e-897d-8f89ba7ec2d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678d7df-bb52-4226-b77a-36ad91330905}" ma:internalName="TaxCatchAll" ma:showField="CatchAllData" ma:web="c82afbfa-e8c4-476e-897d-8f89ba7ec2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388F85-DCE8-46B5-A7D4-C2E34E0016BD}">
  <ds:schemaRefs>
    <ds:schemaRef ds:uri="cea7d724-0401-4ab7-9335-0a1bc0aaa782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c82afbfa-e8c4-476e-897d-8f89ba7ec2d5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919B60-7D6D-44B3-BBAB-9F928580C0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364CAB-31C3-41A2-8F7F-153CCF0C5C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a7d724-0401-4ab7-9335-0a1bc0aaa782"/>
    <ds:schemaRef ds:uri="c82afbfa-e8c4-476e-897d-8f89ba7ec2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STOCK</vt:lpstr>
      <vt:lpstr>STOCK!Área_de_impresión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Altuna Pastor</dc:creator>
  <cp:lastModifiedBy>Eduardo Huamani</cp:lastModifiedBy>
  <cp:lastPrinted>2026-04-26T20:14:58Z</cp:lastPrinted>
  <dcterms:created xsi:type="dcterms:W3CDTF">2025-04-30T21:40:55Z</dcterms:created>
  <dcterms:modified xsi:type="dcterms:W3CDTF">2026-04-27T13:30:52Z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0x0101007B0A9D50705E924EA02D565C3097A2A8</vt:lpwstr>
  </property>
  <property fmtid="{D5CDD505-2E9C-101B-9397-08002B2CF9AE}" pid="3" name="MediaServiceImageTags">
    <vt:lpwstr/>
  </property>
</Properties>
</file>