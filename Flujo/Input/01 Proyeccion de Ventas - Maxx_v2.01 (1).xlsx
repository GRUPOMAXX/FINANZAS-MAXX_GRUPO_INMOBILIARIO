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huamani\MAXX_Grupo_Inmobiliario\Flujo\Input\"/>
    </mc:Choice>
  </mc:AlternateContent>
  <xr:revisionPtr revIDLastSave="0" documentId="13_ncr:1_{8FD0E301-3A82-4287-BC57-8C27CF2A1DF7}" xr6:coauthVersionLast="47" xr6:coauthVersionMax="47" xr10:uidLastSave="{00000000-0000-0000-0000-000000000000}"/>
  <bookViews>
    <workbookView xWindow="-108" yWindow="-108" windowWidth="23256" windowHeight="13896" tabRatio="803" firstSheet="3" activeTab="3" xr2:uid="{955A7148-D258-4FAA-9B61-F71605697EC4}"/>
  </bookViews>
  <sheets>
    <sheet name="Resumen" sheetId="11" r:id="rId1"/>
    <sheet name="Dashboard" sheetId="2" r:id="rId2"/>
    <sheet name="General" sheetId="6" state="hidden" r:id="rId3"/>
    <sheet name="Ventas Dptos" sheetId="1" r:id="rId4"/>
    <sheet name="Vnt Est - dpsto" sheetId="12" r:id="rId5"/>
    <sheet name="Comparativo_Por Mes" sheetId="3" r:id="rId6"/>
    <sheet name="Historial Venta Prada " sheetId="8" state="hidden" r:id="rId7"/>
    <sheet name="Historial Venta Beyond" sheetId="9" state="hidden" r:id="rId8"/>
    <sheet name="Historial Venta Venecia" sheetId="10" state="hidden" r:id="rId9"/>
  </sheets>
  <definedNames>
    <definedName name="_xlnm._FilterDatabase" localSheetId="3" hidden="1">'Ventas Dptos'!#REF!</definedName>
    <definedName name="_xlnm._FilterDatabase" localSheetId="4" hidden="1">'Vnt Est - dpsto'!#REF!</definedName>
    <definedName name="_xlnm.Print_Area" localSheetId="7">'Historial Venta Beyond'!$A$1:$H$33</definedName>
    <definedName name="_xlnm.Print_Area" localSheetId="8">'Historial Venta Venecia'!$A$1:$G$31</definedName>
    <definedName name="SegmentaciónDeDatos_Año_Minuta">#N/A</definedName>
    <definedName name="SegmentaciónDeDatos_Año_Minuta1">#N/A</definedName>
    <definedName name="SegmentaciónDeDatos_Año_Minuta2">#N/A</definedName>
    <definedName name="SegmentaciónDeDatos_Año_Separación">#N/A</definedName>
    <definedName name="SegmentaciónDeDatos_Mes_Minuta">#N/A</definedName>
    <definedName name="SegmentaciónDeDatos_Mes_Minuta1">#N/A</definedName>
    <definedName name="SegmentaciónDeDatos_Mes_Minuta2">#N/A</definedName>
    <definedName name="SegmentaciónDeDatos_Mes_Separación">#N/A</definedName>
    <definedName name="SegmentaciónDeDatos_Proyecto">#N/A</definedName>
  </definedNames>
  <calcPr calcId="191028"/>
  <pivotCaches>
    <pivotCache cacheId="16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0" i="1" l="1"/>
  <c r="A60" i="1"/>
  <c r="Q60" i="1"/>
  <c r="R60" i="1"/>
  <c r="AJ60" i="1" s="1"/>
  <c r="AK60" i="1" s="1"/>
  <c r="S60" i="1"/>
  <c r="D60" i="1"/>
  <c r="AT60" i="1"/>
  <c r="AU60" i="1"/>
  <c r="AV60" i="1"/>
  <c r="AW60" i="1"/>
  <c r="AX60" i="1"/>
  <c r="AY60" i="1"/>
  <c r="AZ60" i="1"/>
  <c r="T60" i="1" l="1"/>
  <c r="U60" i="1" s="1"/>
  <c r="AB56" i="1" l="1"/>
  <c r="A98" i="1"/>
  <c r="D98" i="1"/>
  <c r="Q98" i="1"/>
  <c r="R98" i="1"/>
  <c r="AJ98" i="1" s="1"/>
  <c r="AK98" i="1" s="1"/>
  <c r="S98" i="1"/>
  <c r="AT98" i="1"/>
  <c r="AU98" i="1"/>
  <c r="AV98" i="1"/>
  <c r="AW98" i="1"/>
  <c r="AX98" i="1"/>
  <c r="AY98" i="1"/>
  <c r="AZ98" i="1"/>
  <c r="T98" i="1" l="1"/>
  <c r="U98" i="1" s="1"/>
  <c r="A100" i="1"/>
  <c r="D100" i="1"/>
  <c r="T100" i="1" s="1"/>
  <c r="U100" i="1" s="1"/>
  <c r="Q100" i="1"/>
  <c r="R100" i="1"/>
  <c r="AJ100" i="1" s="1"/>
  <c r="AK100" i="1" s="1"/>
  <c r="S100" i="1"/>
  <c r="AT100" i="1"/>
  <c r="AU100" i="1"/>
  <c r="AV100" i="1"/>
  <c r="AW100" i="1"/>
  <c r="AX100" i="1"/>
  <c r="AY100" i="1"/>
  <c r="AZ100" i="1"/>
  <c r="A86" i="1"/>
  <c r="D86" i="1"/>
  <c r="T86" i="1" s="1"/>
  <c r="U86" i="1" s="1"/>
  <c r="Q86" i="1"/>
  <c r="R86" i="1"/>
  <c r="AJ86" i="1" s="1"/>
  <c r="AK86" i="1" s="1"/>
  <c r="S86" i="1"/>
  <c r="AT86" i="1"/>
  <c r="AU86" i="1"/>
  <c r="AV86" i="1"/>
  <c r="AW86" i="1"/>
  <c r="AX86" i="1"/>
  <c r="AY86" i="1"/>
  <c r="AZ86" i="1"/>
  <c r="A40" i="1"/>
  <c r="D40" i="1"/>
  <c r="T40" i="1" s="1"/>
  <c r="U40" i="1" s="1"/>
  <c r="Q40" i="1"/>
  <c r="R40" i="1"/>
  <c r="AJ40" i="1" s="1"/>
  <c r="AK40" i="1" s="1"/>
  <c r="S40" i="1"/>
  <c r="AT40" i="1"/>
  <c r="AU40" i="1"/>
  <c r="AV40" i="1"/>
  <c r="AW40" i="1"/>
  <c r="AX40" i="1"/>
  <c r="AY40" i="1"/>
  <c r="AZ40" i="1"/>
  <c r="D3" i="12"/>
  <c r="A3" i="12"/>
  <c r="Q3" i="12"/>
  <c r="R3" i="12"/>
  <c r="S3" i="12"/>
  <c r="AB101" i="1"/>
  <c r="AB74" i="1"/>
  <c r="AB82" i="1"/>
  <c r="AB77" i="1"/>
  <c r="D77" i="1" s="1"/>
  <c r="T77" i="1" s="1"/>
  <c r="U77" i="1" s="1"/>
  <c r="A5" i="12"/>
  <c r="D5" i="12"/>
  <c r="Q5" i="12"/>
  <c r="R5" i="12"/>
  <c r="AI5" i="12" s="1"/>
  <c r="AJ5" i="12" s="1"/>
  <c r="S5" i="12"/>
  <c r="AS5" i="12"/>
  <c r="AT5" i="12"/>
  <c r="AU5" i="12"/>
  <c r="AV5" i="12"/>
  <c r="AW5" i="12"/>
  <c r="AX5" i="12"/>
  <c r="AY5" i="12"/>
  <c r="A93" i="1"/>
  <c r="D93" i="1"/>
  <c r="T93" i="1" s="1"/>
  <c r="Q93" i="1"/>
  <c r="R93" i="1"/>
  <c r="AJ93" i="1" s="1"/>
  <c r="AK93" i="1" s="1"/>
  <c r="S93" i="1"/>
  <c r="AT93" i="1"/>
  <c r="AU93" i="1"/>
  <c r="AV93" i="1"/>
  <c r="AW93" i="1"/>
  <c r="AX93" i="1"/>
  <c r="AY93" i="1"/>
  <c r="AZ93" i="1"/>
  <c r="A62" i="1"/>
  <c r="D62" i="1"/>
  <c r="T62" i="1" s="1"/>
  <c r="Q62" i="1"/>
  <c r="R62" i="1"/>
  <c r="AJ62" i="1" s="1"/>
  <c r="AK62" i="1" s="1"/>
  <c r="S62" i="1"/>
  <c r="AT62" i="1"/>
  <c r="AU62" i="1"/>
  <c r="AV62" i="1"/>
  <c r="AW62" i="1"/>
  <c r="AX62" i="1"/>
  <c r="AY62" i="1"/>
  <c r="AZ62" i="1"/>
  <c r="A56" i="1"/>
  <c r="D56" i="1"/>
  <c r="Q56" i="1"/>
  <c r="R56" i="1"/>
  <c r="AJ56" i="1" s="1"/>
  <c r="AK56" i="1" s="1"/>
  <c r="S56" i="1"/>
  <c r="AT56" i="1"/>
  <c r="AU56" i="1"/>
  <c r="AV56" i="1"/>
  <c r="AW56" i="1"/>
  <c r="AX56" i="1"/>
  <c r="AY56" i="1"/>
  <c r="AZ56" i="1"/>
  <c r="A35" i="1"/>
  <c r="D35" i="1"/>
  <c r="T35" i="1" s="1"/>
  <c r="Q35" i="1"/>
  <c r="R35" i="1"/>
  <c r="AJ35" i="1" s="1"/>
  <c r="AK35" i="1" s="1"/>
  <c r="S35" i="1"/>
  <c r="AT35" i="1"/>
  <c r="AU35" i="1"/>
  <c r="AV35" i="1"/>
  <c r="AW35" i="1"/>
  <c r="AX35" i="1"/>
  <c r="AY35" i="1"/>
  <c r="AZ35" i="1"/>
  <c r="A61" i="1"/>
  <c r="D61" i="1"/>
  <c r="T61" i="1" s="1"/>
  <c r="U61" i="1" s="1"/>
  <c r="Q61" i="1"/>
  <c r="R61" i="1"/>
  <c r="AJ61" i="1" s="1"/>
  <c r="AK61" i="1" s="1"/>
  <c r="S61" i="1"/>
  <c r="AT61" i="1"/>
  <c r="AU61" i="1"/>
  <c r="AV61" i="1"/>
  <c r="AW61" i="1"/>
  <c r="AX61" i="1"/>
  <c r="AY61" i="1"/>
  <c r="AZ61" i="1"/>
  <c r="A85" i="1"/>
  <c r="D85" i="1"/>
  <c r="T85" i="1" s="1"/>
  <c r="Q85" i="1"/>
  <c r="R85" i="1"/>
  <c r="AJ85" i="1" s="1"/>
  <c r="AK85" i="1" s="1"/>
  <c r="S85" i="1"/>
  <c r="AT85" i="1"/>
  <c r="AU85" i="1"/>
  <c r="AV85" i="1"/>
  <c r="AW85" i="1"/>
  <c r="AX85" i="1"/>
  <c r="AY85" i="1"/>
  <c r="AZ85" i="1"/>
  <c r="A77" i="1"/>
  <c r="Q77" i="1"/>
  <c r="R77" i="1"/>
  <c r="AJ77" i="1" s="1"/>
  <c r="AK77" i="1" s="1"/>
  <c r="AT77" i="1"/>
  <c r="AU77" i="1"/>
  <c r="AV77" i="1"/>
  <c r="AW77" i="1"/>
  <c r="AX77" i="1"/>
  <c r="AY77" i="1"/>
  <c r="AZ77" i="1"/>
  <c r="A96" i="1"/>
  <c r="D96" i="1"/>
  <c r="T96" i="1" s="1"/>
  <c r="U96" i="1" s="1"/>
  <c r="Q96" i="1"/>
  <c r="R96" i="1"/>
  <c r="AJ96" i="1" s="1"/>
  <c r="AK96" i="1" s="1"/>
  <c r="S96" i="1"/>
  <c r="AT96" i="1"/>
  <c r="AU96" i="1"/>
  <c r="AV96" i="1"/>
  <c r="AW96" i="1"/>
  <c r="AX96" i="1"/>
  <c r="AY96" i="1"/>
  <c r="AZ96" i="1"/>
  <c r="A83" i="1"/>
  <c r="D83" i="1"/>
  <c r="T83" i="1" s="1"/>
  <c r="Q83" i="1"/>
  <c r="R83" i="1"/>
  <c r="AJ83" i="1" s="1"/>
  <c r="AK83" i="1" s="1"/>
  <c r="S83" i="1"/>
  <c r="AT83" i="1"/>
  <c r="AU83" i="1"/>
  <c r="AV83" i="1"/>
  <c r="AW83" i="1"/>
  <c r="AX83" i="1"/>
  <c r="AY83" i="1"/>
  <c r="AZ83" i="1"/>
  <c r="AL77" i="1" l="1"/>
  <c r="S77" i="1"/>
  <c r="T5" i="12"/>
  <c r="U5" i="12" s="1"/>
  <c r="U93" i="1"/>
  <c r="U62" i="1"/>
  <c r="T56" i="1"/>
  <c r="U56" i="1" s="1"/>
  <c r="U35" i="1"/>
  <c r="U85" i="1"/>
  <c r="U83" i="1"/>
  <c r="Q27" i="1" l="1"/>
  <c r="Q45" i="1"/>
  <c r="A45" i="1"/>
  <c r="D45" i="1"/>
  <c r="T45" i="1" s="1"/>
  <c r="U45" i="1" s="1"/>
  <c r="R45" i="1"/>
  <c r="AJ45" i="1" s="1"/>
  <c r="AK45" i="1" s="1"/>
  <c r="S45" i="1"/>
  <c r="AT45" i="1"/>
  <c r="AU45" i="1"/>
  <c r="AV45" i="1"/>
  <c r="AW45" i="1"/>
  <c r="AX45" i="1"/>
  <c r="AY45" i="1"/>
  <c r="AZ45" i="1"/>
  <c r="A58" i="1"/>
  <c r="D58" i="1"/>
  <c r="T58" i="1" s="1"/>
  <c r="U58" i="1" s="1"/>
  <c r="Q58" i="1"/>
  <c r="R58" i="1"/>
  <c r="AJ58" i="1" s="1"/>
  <c r="AK58" i="1" s="1"/>
  <c r="S58" i="1"/>
  <c r="AT58" i="1"/>
  <c r="AU58" i="1"/>
  <c r="AV58" i="1"/>
  <c r="AW58" i="1"/>
  <c r="AX58" i="1"/>
  <c r="AY58" i="1"/>
  <c r="AZ58" i="1"/>
  <c r="AB14" i="1"/>
  <c r="D14" i="1" s="1"/>
  <c r="T14" i="1" s="1"/>
  <c r="A28" i="1"/>
  <c r="D28" i="1"/>
  <c r="T28" i="1" s="1"/>
  <c r="U28" i="1" s="1"/>
  <c r="Q28" i="1"/>
  <c r="R28" i="1"/>
  <c r="AJ28" i="1" s="1"/>
  <c r="AK28" i="1" s="1"/>
  <c r="S28" i="1"/>
  <c r="AT28" i="1"/>
  <c r="AU28" i="1"/>
  <c r="AV28" i="1"/>
  <c r="AW28" i="1"/>
  <c r="AX28" i="1"/>
  <c r="AY28" i="1"/>
  <c r="AZ28" i="1"/>
  <c r="A82" i="1"/>
  <c r="D82" i="1"/>
  <c r="T82" i="1" s="1"/>
  <c r="U82" i="1" s="1"/>
  <c r="Q82" i="1"/>
  <c r="R82" i="1"/>
  <c r="AJ82" i="1" s="1"/>
  <c r="S82" i="1"/>
  <c r="AT82" i="1"/>
  <c r="AU82" i="1"/>
  <c r="AV82" i="1"/>
  <c r="AW82" i="1"/>
  <c r="AX82" i="1"/>
  <c r="AY82" i="1"/>
  <c r="AZ82" i="1"/>
  <c r="AB15" i="1"/>
  <c r="AZ30" i="1"/>
  <c r="AY30" i="1"/>
  <c r="AX30" i="1"/>
  <c r="AW30" i="1"/>
  <c r="AV30" i="1"/>
  <c r="AU30" i="1"/>
  <c r="AT30" i="1"/>
  <c r="S30" i="1"/>
  <c r="R30" i="1"/>
  <c r="AJ30" i="1" s="1"/>
  <c r="AK30" i="1" s="1"/>
  <c r="Q30" i="1"/>
  <c r="D30" i="1"/>
  <c r="T30" i="1" s="1"/>
  <c r="A30" i="1"/>
  <c r="AB48" i="1"/>
  <c r="D48" i="1" s="1"/>
  <c r="T48" i="1" s="1"/>
  <c r="A26" i="1"/>
  <c r="D26" i="1"/>
  <c r="T26" i="1" s="1"/>
  <c r="U26" i="1" s="1"/>
  <c r="Q26" i="1"/>
  <c r="R26" i="1"/>
  <c r="AJ26" i="1" s="1"/>
  <c r="AK26" i="1" s="1"/>
  <c r="S26" i="1"/>
  <c r="AT26" i="1"/>
  <c r="AU26" i="1"/>
  <c r="AV26" i="1"/>
  <c r="AW26" i="1"/>
  <c r="AX26" i="1"/>
  <c r="AY26" i="1"/>
  <c r="AZ26" i="1"/>
  <c r="A104" i="1"/>
  <c r="D104" i="1"/>
  <c r="T104" i="1" s="1"/>
  <c r="U104" i="1" s="1"/>
  <c r="Q104" i="1"/>
  <c r="R104" i="1"/>
  <c r="AJ104" i="1" s="1"/>
  <c r="AK104" i="1" s="1"/>
  <c r="S104" i="1"/>
  <c r="AT104" i="1"/>
  <c r="AU104" i="1"/>
  <c r="AV104" i="1"/>
  <c r="AW104" i="1"/>
  <c r="AX104" i="1"/>
  <c r="AY104" i="1"/>
  <c r="AZ104" i="1"/>
  <c r="A71" i="1"/>
  <c r="D71" i="1"/>
  <c r="T71" i="1" s="1"/>
  <c r="U71" i="1" s="1"/>
  <c r="Q71" i="1"/>
  <c r="R71" i="1"/>
  <c r="AJ71" i="1" s="1"/>
  <c r="S71" i="1"/>
  <c r="AT71" i="1"/>
  <c r="AU71" i="1"/>
  <c r="AV71" i="1"/>
  <c r="AW71" i="1"/>
  <c r="AX71" i="1"/>
  <c r="AY71" i="1"/>
  <c r="AZ71" i="1"/>
  <c r="J36" i="1"/>
  <c r="AB103" i="1"/>
  <c r="D103" i="1" s="1"/>
  <c r="T103" i="1" s="1"/>
  <c r="AB92" i="1"/>
  <c r="D92" i="1" s="1"/>
  <c r="T92" i="1" s="1"/>
  <c r="AB90" i="1"/>
  <c r="D90" i="1" s="1"/>
  <c r="AB87" i="1"/>
  <c r="T87" i="1" s="1"/>
  <c r="AB79" i="1"/>
  <c r="D79" i="1" s="1"/>
  <c r="T79" i="1" s="1"/>
  <c r="AB95" i="1"/>
  <c r="D95" i="1" s="1"/>
  <c r="AB81" i="1"/>
  <c r="D81" i="1" s="1"/>
  <c r="AB73" i="1"/>
  <c r="D73" i="1" s="1"/>
  <c r="AB46" i="1"/>
  <c r="D46" i="1" s="1"/>
  <c r="AB32" i="1"/>
  <c r="D32" i="1" s="1"/>
  <c r="AB13" i="1"/>
  <c r="D13" i="1" s="1"/>
  <c r="D106" i="1"/>
  <c r="T106" i="1" s="1"/>
  <c r="D7" i="1"/>
  <c r="T7" i="1" s="1"/>
  <c r="D8" i="1"/>
  <c r="T8" i="1" s="1"/>
  <c r="D10" i="1"/>
  <c r="T10" i="1" s="1"/>
  <c r="D12" i="1"/>
  <c r="T12" i="1" s="1"/>
  <c r="D17" i="1"/>
  <c r="T17" i="1" s="1"/>
  <c r="D18" i="1"/>
  <c r="T18" i="1" s="1"/>
  <c r="D20" i="1"/>
  <c r="T20" i="1" s="1"/>
  <c r="D21" i="1"/>
  <c r="T21" i="1" s="1"/>
  <c r="D23" i="1"/>
  <c r="T23" i="1" s="1"/>
  <c r="D25" i="1"/>
  <c r="T25" i="1" s="1"/>
  <c r="D27" i="1"/>
  <c r="T27" i="1" s="1"/>
  <c r="D29" i="1"/>
  <c r="T29" i="1" s="1"/>
  <c r="D31" i="1"/>
  <c r="T31" i="1" s="1"/>
  <c r="D33" i="1"/>
  <c r="T33" i="1" s="1"/>
  <c r="D34" i="1"/>
  <c r="T34" i="1" s="1"/>
  <c r="D36" i="1"/>
  <c r="D39" i="1"/>
  <c r="T39" i="1" s="1"/>
  <c r="D41" i="1"/>
  <c r="T41" i="1" s="1"/>
  <c r="D42" i="1"/>
  <c r="T42" i="1" s="1"/>
  <c r="D44" i="1"/>
  <c r="T44" i="1" s="1"/>
  <c r="D84" i="1"/>
  <c r="T84" i="1" s="1"/>
  <c r="D49" i="1"/>
  <c r="T49" i="1" s="1"/>
  <c r="D50" i="1"/>
  <c r="T50" i="1" s="1"/>
  <c r="D53" i="1"/>
  <c r="T53" i="1" s="1"/>
  <c r="D57" i="1"/>
  <c r="T57" i="1" s="1"/>
  <c r="D65" i="1"/>
  <c r="T65" i="1" s="1"/>
  <c r="D68" i="1"/>
  <c r="T68" i="1" s="1"/>
  <c r="D67" i="1"/>
  <c r="T67" i="1" s="1"/>
  <c r="D74" i="1"/>
  <c r="T74" i="1" s="1"/>
  <c r="D69" i="1"/>
  <c r="T69" i="1" s="1"/>
  <c r="D72" i="1"/>
  <c r="T72" i="1" s="1"/>
  <c r="D76" i="1"/>
  <c r="T76" i="1" s="1"/>
  <c r="D80" i="1"/>
  <c r="T80" i="1" s="1"/>
  <c r="D89" i="1"/>
  <c r="T89" i="1" s="1"/>
  <c r="D101" i="1"/>
  <c r="T101" i="1" s="1"/>
  <c r="D94" i="1"/>
  <c r="T94" i="1" s="1"/>
  <c r="D102" i="1"/>
  <c r="T102" i="1" s="1"/>
  <c r="D105" i="1"/>
  <c r="T105" i="1" s="1"/>
  <c r="D16" i="1"/>
  <c r="D70" i="1"/>
  <c r="T70" i="1" s="1"/>
  <c r="U70" i="1" s="1"/>
  <c r="A70" i="1"/>
  <c r="Q70" i="1"/>
  <c r="R70" i="1"/>
  <c r="AJ70" i="1" s="1"/>
  <c r="AK70" i="1" s="1"/>
  <c r="S70" i="1"/>
  <c r="AT70" i="1"/>
  <c r="AU70" i="1"/>
  <c r="AV70" i="1"/>
  <c r="AW70" i="1"/>
  <c r="AX70" i="1"/>
  <c r="AY70" i="1"/>
  <c r="AZ70" i="1"/>
  <c r="A16" i="1"/>
  <c r="Q16" i="1"/>
  <c r="R16" i="1"/>
  <c r="AJ16" i="1" s="1"/>
  <c r="AK16" i="1" s="1"/>
  <c r="S16" i="1"/>
  <c r="AT16" i="1"/>
  <c r="AU16" i="1"/>
  <c r="AV16" i="1"/>
  <c r="AW16" i="1"/>
  <c r="AX16" i="1"/>
  <c r="AY16" i="1"/>
  <c r="AZ16" i="1"/>
  <c r="AJ6" i="12"/>
  <c r="AY4" i="12"/>
  <c r="AX4" i="12"/>
  <c r="AW4" i="12"/>
  <c r="AV4" i="12"/>
  <c r="AU4" i="12"/>
  <c r="AT4" i="12"/>
  <c r="AS4" i="12"/>
  <c r="S4" i="12"/>
  <c r="R4" i="12"/>
  <c r="AI4" i="12" s="1"/>
  <c r="AJ4" i="12" s="1"/>
  <c r="Q4" i="12"/>
  <c r="D4" i="12"/>
  <c r="A4" i="12"/>
  <c r="AB47" i="1"/>
  <c r="D47" i="1" s="1"/>
  <c r="T47" i="1" s="1"/>
  <c r="C1" i="2"/>
  <c r="N1" i="2"/>
  <c r="AB91" i="1"/>
  <c r="D91" i="1" s="1"/>
  <c r="A34" i="1"/>
  <c r="Q34" i="1"/>
  <c r="R34" i="1"/>
  <c r="AK34" i="1" s="1"/>
  <c r="S34" i="1"/>
  <c r="AT34" i="1"/>
  <c r="AU34" i="1"/>
  <c r="AV34" i="1"/>
  <c r="AW34" i="1"/>
  <c r="AX34" i="1"/>
  <c r="AY34" i="1"/>
  <c r="AZ34" i="1"/>
  <c r="A67" i="1"/>
  <c r="Q67" i="1"/>
  <c r="R67" i="1"/>
  <c r="AJ67" i="1" s="1"/>
  <c r="S67" i="1"/>
  <c r="AT67" i="1"/>
  <c r="AU67" i="1"/>
  <c r="AV67" i="1"/>
  <c r="AW67" i="1"/>
  <c r="AX67" i="1"/>
  <c r="AY67" i="1"/>
  <c r="AZ67" i="1"/>
  <c r="A106" i="1"/>
  <c r="Q106" i="1"/>
  <c r="R106" i="1"/>
  <c r="AJ106" i="1" s="1"/>
  <c r="S106" i="1"/>
  <c r="AT106" i="1"/>
  <c r="AU106" i="1"/>
  <c r="AV106" i="1"/>
  <c r="AW106" i="1"/>
  <c r="AX106" i="1"/>
  <c r="AY106" i="1"/>
  <c r="AZ106" i="1"/>
  <c r="J91" i="1"/>
  <c r="E35" i="11"/>
  <c r="E34" i="11"/>
  <c r="E42" i="11"/>
  <c r="E41" i="11"/>
  <c r="E49" i="11"/>
  <c r="E48" i="11"/>
  <c r="AL71" i="1" l="1"/>
  <c r="AK71" i="1"/>
  <c r="AK82" i="1"/>
  <c r="AL82" i="1"/>
  <c r="AL106" i="1"/>
  <c r="AK106" i="1"/>
  <c r="AK67" i="1"/>
  <c r="AL67" i="1"/>
  <c r="AL26" i="1"/>
  <c r="AL34" i="1"/>
  <c r="U30" i="1"/>
  <c r="T36" i="1"/>
  <c r="U36" i="1" s="1"/>
  <c r="T16" i="1"/>
  <c r="U16" i="1" s="1"/>
  <c r="T91" i="1"/>
  <c r="T4" i="12"/>
  <c r="U4" i="12" s="1"/>
  <c r="U47" i="1"/>
  <c r="U89" i="1"/>
  <c r="U34" i="1"/>
  <c r="U101" i="1"/>
  <c r="U87" i="1"/>
  <c r="U67" i="1"/>
  <c r="U106" i="1"/>
  <c r="U41" i="1"/>
  <c r="U8" i="1"/>
  <c r="U65" i="1"/>
  <c r="G30" i="10"/>
  <c r="D30" i="10"/>
  <c r="G25" i="10"/>
  <c r="P24" i="10"/>
  <c r="G23" i="10"/>
  <c r="G20" i="10"/>
  <c r="G18" i="10"/>
  <c r="G15" i="10"/>
  <c r="P14" i="10"/>
  <c r="G13" i="10"/>
  <c r="G10" i="10"/>
  <c r="G9" i="10"/>
  <c r="G8" i="10"/>
  <c r="P7" i="10"/>
  <c r="G7" i="10"/>
  <c r="M6" i="10"/>
  <c r="G6" i="10"/>
  <c r="M5" i="10"/>
  <c r="G5" i="10"/>
  <c r="M4" i="10"/>
  <c r="G4" i="10"/>
  <c r="G33" i="9"/>
  <c r="D33" i="9"/>
  <c r="G28" i="9"/>
  <c r="Q26" i="9"/>
  <c r="G23" i="9"/>
  <c r="G21" i="9"/>
  <c r="G18" i="9"/>
  <c r="Q15" i="9"/>
  <c r="G12" i="9"/>
  <c r="G11" i="9"/>
  <c r="G10" i="9"/>
  <c r="G9" i="9"/>
  <c r="Q8" i="9"/>
  <c r="G8" i="9"/>
  <c r="G7" i="9"/>
  <c r="M6" i="9"/>
  <c r="G6" i="9"/>
  <c r="M5" i="9"/>
  <c r="G5" i="9"/>
  <c r="M4" i="9"/>
  <c r="G4" i="9"/>
  <c r="G51" i="8"/>
  <c r="D51" i="8"/>
  <c r="G47" i="8"/>
  <c r="G45" i="8"/>
  <c r="G44" i="8"/>
  <c r="G43" i="8"/>
  <c r="G40" i="8"/>
  <c r="G37" i="8"/>
  <c r="G35" i="8"/>
  <c r="G30" i="8"/>
  <c r="Q29" i="8"/>
  <c r="G28" i="8"/>
  <c r="G25" i="8"/>
  <c r="G23" i="8"/>
  <c r="G21" i="8"/>
  <c r="G20" i="8"/>
  <c r="Q17" i="8"/>
  <c r="G17" i="8"/>
  <c r="G16" i="8"/>
  <c r="G13" i="8"/>
  <c r="Q11" i="8"/>
  <c r="G10" i="8"/>
  <c r="Q8" i="8"/>
  <c r="M6" i="8"/>
  <c r="M5" i="8"/>
  <c r="M4" i="8"/>
  <c r="K14" i="3"/>
  <c r="J14" i="3"/>
  <c r="K12" i="3"/>
  <c r="J12" i="3"/>
  <c r="I12" i="3"/>
  <c r="H12" i="3"/>
  <c r="F12" i="3"/>
  <c r="E12" i="3"/>
  <c r="K11" i="3"/>
  <c r="J11" i="3"/>
  <c r="AZ81" i="1"/>
  <c r="AY81" i="1"/>
  <c r="AX81" i="1"/>
  <c r="AW81" i="1"/>
  <c r="AV81" i="1"/>
  <c r="AU81" i="1"/>
  <c r="AT81" i="1"/>
  <c r="S81" i="1"/>
  <c r="Q81" i="1"/>
  <c r="M81" i="1"/>
  <c r="R81" i="1" s="1"/>
  <c r="AJ81" i="1" s="1"/>
  <c r="AK81" i="1" s="1"/>
  <c r="L81" i="1"/>
  <c r="A81" i="1"/>
  <c r="AZ46" i="1"/>
  <c r="AY46" i="1"/>
  <c r="AX46" i="1"/>
  <c r="AW46" i="1"/>
  <c r="AV46" i="1"/>
  <c r="AU46" i="1"/>
  <c r="AT46" i="1"/>
  <c r="T46" i="1"/>
  <c r="S46" i="1"/>
  <c r="R46" i="1"/>
  <c r="AJ46" i="1" s="1"/>
  <c r="AK46" i="1" s="1"/>
  <c r="Q46" i="1"/>
  <c r="A46" i="1"/>
  <c r="AZ22" i="1"/>
  <c r="AY22" i="1"/>
  <c r="AX22" i="1"/>
  <c r="AW22" i="1"/>
  <c r="AV22" i="1"/>
  <c r="AU22" i="1"/>
  <c r="AT22" i="1"/>
  <c r="AB22" i="1"/>
  <c r="D22" i="1" s="1"/>
  <c r="R22" i="1"/>
  <c r="AJ22" i="1" s="1"/>
  <c r="AK22" i="1" s="1"/>
  <c r="Q22" i="1"/>
  <c r="A22" i="1"/>
  <c r="AZ49" i="1"/>
  <c r="AY49" i="1"/>
  <c r="AX49" i="1"/>
  <c r="AW49" i="1"/>
  <c r="AV49" i="1"/>
  <c r="AU49" i="1"/>
  <c r="AT49" i="1"/>
  <c r="S49" i="1"/>
  <c r="R49" i="1"/>
  <c r="AJ49" i="1" s="1"/>
  <c r="Q49" i="1"/>
  <c r="A49" i="1"/>
  <c r="AZ99" i="1"/>
  <c r="AY99" i="1"/>
  <c r="AX99" i="1"/>
  <c r="AW99" i="1"/>
  <c r="AV99" i="1"/>
  <c r="AU99" i="1"/>
  <c r="AT99" i="1"/>
  <c r="AB99" i="1"/>
  <c r="D99" i="1" s="1"/>
  <c r="R99" i="1"/>
  <c r="Q99" i="1"/>
  <c r="A99" i="1"/>
  <c r="AZ5" i="1"/>
  <c r="AY5" i="1"/>
  <c r="AX5" i="1"/>
  <c r="AW5" i="1"/>
  <c r="AV5" i="1"/>
  <c r="AU5" i="1"/>
  <c r="AT5" i="1"/>
  <c r="AB5" i="1"/>
  <c r="D5" i="1" s="1"/>
  <c r="T5" i="1" s="1"/>
  <c r="R5" i="1"/>
  <c r="AJ5" i="1" s="1"/>
  <c r="AK5" i="1" s="1"/>
  <c r="Q5" i="1"/>
  <c r="A5" i="1"/>
  <c r="AZ15" i="1"/>
  <c r="AY15" i="1"/>
  <c r="AX15" i="1"/>
  <c r="AW15" i="1"/>
  <c r="AV15" i="1"/>
  <c r="AU15" i="1"/>
  <c r="AT15" i="1"/>
  <c r="D15" i="1"/>
  <c r="S15" i="1"/>
  <c r="R15" i="1"/>
  <c r="AJ15" i="1" s="1"/>
  <c r="AK15" i="1" s="1"/>
  <c r="Q15" i="1"/>
  <c r="A15" i="1"/>
  <c r="AZ55" i="1"/>
  <c r="AY55" i="1"/>
  <c r="AX55" i="1"/>
  <c r="AW55" i="1"/>
  <c r="AV55" i="1"/>
  <c r="AU55" i="1"/>
  <c r="AT55" i="1"/>
  <c r="AB55" i="1"/>
  <c r="D55" i="1" s="1"/>
  <c r="R55" i="1"/>
  <c r="AJ55" i="1" s="1"/>
  <c r="AK55" i="1" s="1"/>
  <c r="Q55" i="1"/>
  <c r="A55" i="1"/>
  <c r="AZ24" i="1"/>
  <c r="AY24" i="1"/>
  <c r="AX24" i="1"/>
  <c r="AW24" i="1"/>
  <c r="AV24" i="1"/>
  <c r="AU24" i="1"/>
  <c r="AT24" i="1"/>
  <c r="AB24" i="1"/>
  <c r="D24" i="1" s="1"/>
  <c r="T24" i="1" s="1"/>
  <c r="R24" i="1"/>
  <c r="AJ24" i="1" s="1"/>
  <c r="AK24" i="1" s="1"/>
  <c r="Q24" i="1"/>
  <c r="A24" i="1"/>
  <c r="AZ87" i="1"/>
  <c r="AY87" i="1"/>
  <c r="AX87" i="1"/>
  <c r="AW87" i="1"/>
  <c r="AV87" i="1"/>
  <c r="AU87" i="1"/>
  <c r="AT87" i="1"/>
  <c r="S87" i="1"/>
  <c r="R87" i="1"/>
  <c r="AJ87" i="1" s="1"/>
  <c r="Q87" i="1"/>
  <c r="A87" i="1"/>
  <c r="AZ23" i="1"/>
  <c r="AY23" i="1"/>
  <c r="AX23" i="1"/>
  <c r="AW23" i="1"/>
  <c r="AV23" i="1"/>
  <c r="AU23" i="1"/>
  <c r="AT23" i="1"/>
  <c r="S23" i="1"/>
  <c r="R23" i="1"/>
  <c r="Q23" i="1"/>
  <c r="A23" i="1"/>
  <c r="AZ51" i="1"/>
  <c r="AY51" i="1"/>
  <c r="AX51" i="1"/>
  <c r="AW51" i="1"/>
  <c r="AV51" i="1"/>
  <c r="AU51" i="1"/>
  <c r="AT51" i="1"/>
  <c r="AB51" i="1"/>
  <c r="D51" i="1" s="1"/>
  <c r="T51" i="1" s="1"/>
  <c r="R51" i="1"/>
  <c r="AJ51" i="1" s="1"/>
  <c r="AK51" i="1" s="1"/>
  <c r="Q51" i="1"/>
  <c r="A51" i="1"/>
  <c r="AZ105" i="1"/>
  <c r="AY105" i="1"/>
  <c r="AX105" i="1"/>
  <c r="AW105" i="1"/>
  <c r="AV105" i="1"/>
  <c r="AU105" i="1"/>
  <c r="AT105" i="1"/>
  <c r="S105" i="1"/>
  <c r="R105" i="1"/>
  <c r="AJ105" i="1" s="1"/>
  <c r="AK105" i="1" s="1"/>
  <c r="Q105" i="1"/>
  <c r="A105" i="1"/>
  <c r="AZ73" i="1"/>
  <c r="AY73" i="1"/>
  <c r="AX73" i="1"/>
  <c r="AW73" i="1"/>
  <c r="AV73" i="1"/>
  <c r="AU73" i="1"/>
  <c r="AT73" i="1"/>
  <c r="T73" i="1"/>
  <c r="S73" i="1"/>
  <c r="R73" i="1"/>
  <c r="AJ73" i="1" s="1"/>
  <c r="AK73" i="1" s="1"/>
  <c r="Q73" i="1"/>
  <c r="A73" i="1"/>
  <c r="AZ79" i="1"/>
  <c r="AY79" i="1"/>
  <c r="AX79" i="1"/>
  <c r="AW79" i="1"/>
  <c r="AV79" i="1"/>
  <c r="AU79" i="1"/>
  <c r="AT79" i="1"/>
  <c r="S79" i="1"/>
  <c r="R79" i="1"/>
  <c r="AJ79" i="1" s="1"/>
  <c r="AK79" i="1" s="1"/>
  <c r="Q79" i="1"/>
  <c r="A79" i="1"/>
  <c r="AZ102" i="1"/>
  <c r="AY102" i="1"/>
  <c r="AX102" i="1"/>
  <c r="AW102" i="1"/>
  <c r="AV102" i="1"/>
  <c r="AU102" i="1"/>
  <c r="AT102" i="1"/>
  <c r="S102" i="1"/>
  <c r="R102" i="1"/>
  <c r="AJ102" i="1" s="1"/>
  <c r="Q102" i="1"/>
  <c r="A102" i="1"/>
  <c r="AZ25" i="1"/>
  <c r="AY25" i="1"/>
  <c r="AX25" i="1"/>
  <c r="AW25" i="1"/>
  <c r="AV25" i="1"/>
  <c r="AU25" i="1"/>
  <c r="AT25" i="1"/>
  <c r="S25" i="1"/>
  <c r="R25" i="1"/>
  <c r="AJ25" i="1" s="1"/>
  <c r="AK25" i="1" s="1"/>
  <c r="Q25" i="1"/>
  <c r="A25" i="1"/>
  <c r="AZ68" i="1"/>
  <c r="AY68" i="1"/>
  <c r="AX68" i="1"/>
  <c r="AW68" i="1"/>
  <c r="AV68" i="1"/>
  <c r="AU68" i="1"/>
  <c r="AT68" i="1"/>
  <c r="S68" i="1"/>
  <c r="R68" i="1"/>
  <c r="AJ68" i="1" s="1"/>
  <c r="Q68" i="1"/>
  <c r="A68" i="1"/>
  <c r="AZ92" i="1"/>
  <c r="AY92" i="1"/>
  <c r="AX92" i="1"/>
  <c r="AW92" i="1"/>
  <c r="AV92" i="1"/>
  <c r="AU92" i="1"/>
  <c r="AT92" i="1"/>
  <c r="S92" i="1"/>
  <c r="R92" i="1"/>
  <c r="Q92" i="1"/>
  <c r="A92" i="1"/>
  <c r="AZ4" i="1"/>
  <c r="AY4" i="1"/>
  <c r="AX4" i="1"/>
  <c r="AW4" i="1"/>
  <c r="AV4" i="1"/>
  <c r="AU4" i="1"/>
  <c r="AT4" i="1"/>
  <c r="AB4" i="1"/>
  <c r="D4" i="1" s="1"/>
  <c r="T4" i="1" s="1"/>
  <c r="R4" i="1"/>
  <c r="AJ4" i="1" s="1"/>
  <c r="AK4" i="1" s="1"/>
  <c r="Q4" i="1"/>
  <c r="A4" i="1"/>
  <c r="AZ19" i="1"/>
  <c r="AY19" i="1"/>
  <c r="AX19" i="1"/>
  <c r="AW19" i="1"/>
  <c r="AV19" i="1"/>
  <c r="AU19" i="1"/>
  <c r="AT19" i="1"/>
  <c r="AB19" i="1"/>
  <c r="D19" i="1" s="1"/>
  <c r="T19" i="1" s="1"/>
  <c r="R19" i="1"/>
  <c r="Q19" i="1"/>
  <c r="A19" i="1"/>
  <c r="AZ3" i="1"/>
  <c r="AY3" i="1"/>
  <c r="AX3" i="1"/>
  <c r="AW3" i="1"/>
  <c r="AV3" i="1"/>
  <c r="AU3" i="1"/>
  <c r="AT3" i="1"/>
  <c r="AB3" i="1"/>
  <c r="D3" i="1" s="1"/>
  <c r="R3" i="1"/>
  <c r="AJ3" i="1" s="1"/>
  <c r="AK3" i="1" s="1"/>
  <c r="Q3" i="1"/>
  <c r="A3" i="1"/>
  <c r="AZ69" i="1"/>
  <c r="AY69" i="1"/>
  <c r="AX69" i="1"/>
  <c r="AW69" i="1"/>
  <c r="AV69" i="1"/>
  <c r="AU69" i="1"/>
  <c r="AT69" i="1"/>
  <c r="S69" i="1"/>
  <c r="R69" i="1"/>
  <c r="AJ69" i="1" s="1"/>
  <c r="AK69" i="1" s="1"/>
  <c r="Q69" i="1"/>
  <c r="A69" i="1"/>
  <c r="AZ47" i="1"/>
  <c r="AY47" i="1"/>
  <c r="AX47" i="1"/>
  <c r="AW47" i="1"/>
  <c r="AV47" i="1"/>
  <c r="AU47" i="1"/>
  <c r="AT47" i="1"/>
  <c r="S47" i="1"/>
  <c r="R47" i="1"/>
  <c r="AJ47" i="1" s="1"/>
  <c r="Q47" i="1"/>
  <c r="A47" i="1"/>
  <c r="AZ39" i="1"/>
  <c r="AY39" i="1"/>
  <c r="AX39" i="1"/>
  <c r="AW39" i="1"/>
  <c r="AV39" i="1"/>
  <c r="AU39" i="1"/>
  <c r="AT39" i="1"/>
  <c r="S39" i="1"/>
  <c r="R39" i="1"/>
  <c r="Q39" i="1"/>
  <c r="A39" i="1"/>
  <c r="AZ103" i="1"/>
  <c r="AY103" i="1"/>
  <c r="AX103" i="1"/>
  <c r="AW103" i="1"/>
  <c r="AV103" i="1"/>
  <c r="AU103" i="1"/>
  <c r="AT103" i="1"/>
  <c r="S103" i="1"/>
  <c r="R103" i="1"/>
  <c r="AK103" i="1" s="1"/>
  <c r="Q103" i="1"/>
  <c r="A103" i="1"/>
  <c r="AZ42" i="1"/>
  <c r="AY42" i="1"/>
  <c r="AX42" i="1"/>
  <c r="AW42" i="1"/>
  <c r="AV42" i="1"/>
  <c r="AU42" i="1"/>
  <c r="AT42" i="1"/>
  <c r="S42" i="1"/>
  <c r="R42" i="1"/>
  <c r="AJ42" i="1" s="1"/>
  <c r="AK42" i="1" s="1"/>
  <c r="Q42" i="1"/>
  <c r="A42" i="1"/>
  <c r="AZ80" i="1"/>
  <c r="AY80" i="1"/>
  <c r="AX80" i="1"/>
  <c r="AW80" i="1"/>
  <c r="AV80" i="1"/>
  <c r="AU80" i="1"/>
  <c r="AT80" i="1"/>
  <c r="S80" i="1"/>
  <c r="R80" i="1"/>
  <c r="Q80" i="1"/>
  <c r="A80" i="1"/>
  <c r="AZ13" i="1"/>
  <c r="AY13" i="1"/>
  <c r="AX13" i="1"/>
  <c r="AW13" i="1"/>
  <c r="AV13" i="1"/>
  <c r="AU13" i="1"/>
  <c r="AT13" i="1"/>
  <c r="T13" i="1"/>
  <c r="S13" i="1"/>
  <c r="R13" i="1"/>
  <c r="AJ13" i="1" s="1"/>
  <c r="AK13" i="1" s="1"/>
  <c r="Q13" i="1"/>
  <c r="A13" i="1"/>
  <c r="AZ29" i="1"/>
  <c r="AY29" i="1"/>
  <c r="AX29" i="1"/>
  <c r="AW29" i="1"/>
  <c r="AV29" i="1"/>
  <c r="AU29" i="1"/>
  <c r="AT29" i="1"/>
  <c r="S29" i="1"/>
  <c r="R29" i="1"/>
  <c r="Q29" i="1"/>
  <c r="A29" i="1"/>
  <c r="AZ32" i="1"/>
  <c r="AY32" i="1"/>
  <c r="AX32" i="1"/>
  <c r="AW32" i="1"/>
  <c r="AV32" i="1"/>
  <c r="AU32" i="1"/>
  <c r="AT32" i="1"/>
  <c r="R32" i="1"/>
  <c r="AJ32" i="1" s="1"/>
  <c r="AK32" i="1" s="1"/>
  <c r="Q32" i="1"/>
  <c r="A32" i="1"/>
  <c r="AZ14" i="1"/>
  <c r="AY14" i="1"/>
  <c r="AX14" i="1"/>
  <c r="AW14" i="1"/>
  <c r="AV14" i="1"/>
  <c r="AU14" i="1"/>
  <c r="AT14" i="1"/>
  <c r="S14" i="1"/>
  <c r="R14" i="1"/>
  <c r="Q14" i="1"/>
  <c r="A14" i="1"/>
  <c r="AZ53" i="1"/>
  <c r="AY53" i="1"/>
  <c r="AX53" i="1"/>
  <c r="AW53" i="1"/>
  <c r="AV53" i="1"/>
  <c r="AU53" i="1"/>
  <c r="AT53" i="1"/>
  <c r="S53" i="1"/>
  <c r="R53" i="1"/>
  <c r="AJ53" i="1" s="1"/>
  <c r="Q53" i="1"/>
  <c r="A53" i="1"/>
  <c r="AZ33" i="1"/>
  <c r="AY33" i="1"/>
  <c r="AX33" i="1"/>
  <c r="AW33" i="1"/>
  <c r="AV33" i="1"/>
  <c r="AU33" i="1"/>
  <c r="AT33" i="1"/>
  <c r="S33" i="1"/>
  <c r="R33" i="1"/>
  <c r="Q33" i="1"/>
  <c r="A33" i="1"/>
  <c r="AZ50" i="1"/>
  <c r="AY50" i="1"/>
  <c r="AX50" i="1"/>
  <c r="AW50" i="1"/>
  <c r="AV50" i="1"/>
  <c r="AU50" i="1"/>
  <c r="AT50" i="1"/>
  <c r="S50" i="1"/>
  <c r="R50" i="1"/>
  <c r="AJ50" i="1" s="1"/>
  <c r="Q50" i="1"/>
  <c r="A50" i="1"/>
  <c r="AZ64" i="1"/>
  <c r="AY64" i="1"/>
  <c r="AX64" i="1"/>
  <c r="AW64" i="1"/>
  <c r="AV64" i="1"/>
  <c r="AU64" i="1"/>
  <c r="AT64" i="1"/>
  <c r="AB64" i="1"/>
  <c r="D64" i="1" s="1"/>
  <c r="R64" i="1"/>
  <c r="Q64" i="1"/>
  <c r="A64" i="1"/>
  <c r="AZ9" i="1"/>
  <c r="AY9" i="1"/>
  <c r="AX9" i="1"/>
  <c r="AW9" i="1"/>
  <c r="AV9" i="1"/>
  <c r="AU9" i="1"/>
  <c r="AT9" i="1"/>
  <c r="AB9" i="1"/>
  <c r="D9" i="1" s="1"/>
  <c r="S9" i="1"/>
  <c r="R9" i="1"/>
  <c r="AJ9" i="1" s="1"/>
  <c r="AK9" i="1" s="1"/>
  <c r="Q9" i="1"/>
  <c r="A9" i="1"/>
  <c r="AZ43" i="1"/>
  <c r="AY43" i="1"/>
  <c r="AX43" i="1"/>
  <c r="AW43" i="1"/>
  <c r="AV43" i="1"/>
  <c r="AU43" i="1"/>
  <c r="AT43" i="1"/>
  <c r="AB43" i="1"/>
  <c r="D43" i="1" s="1"/>
  <c r="R43" i="1"/>
  <c r="AJ43" i="1" s="1"/>
  <c r="AK43" i="1" s="1"/>
  <c r="Q43" i="1"/>
  <c r="A43" i="1"/>
  <c r="AZ38" i="1"/>
  <c r="AY38" i="1"/>
  <c r="AX38" i="1"/>
  <c r="AW38" i="1"/>
  <c r="AV38" i="1"/>
  <c r="AU38" i="1"/>
  <c r="AT38" i="1"/>
  <c r="AB38" i="1"/>
  <c r="D38" i="1" s="1"/>
  <c r="R38" i="1"/>
  <c r="AJ38" i="1" s="1"/>
  <c r="AK38" i="1" s="1"/>
  <c r="Q38" i="1"/>
  <c r="A38" i="1"/>
  <c r="AZ95" i="1"/>
  <c r="AY95" i="1"/>
  <c r="AX95" i="1"/>
  <c r="AW95" i="1"/>
  <c r="AV95" i="1"/>
  <c r="AU95" i="1"/>
  <c r="AT95" i="1"/>
  <c r="R95" i="1"/>
  <c r="AJ95" i="1" s="1"/>
  <c r="AK95" i="1" s="1"/>
  <c r="Q95" i="1"/>
  <c r="A95" i="1"/>
  <c r="AZ88" i="1"/>
  <c r="AY88" i="1"/>
  <c r="AX88" i="1"/>
  <c r="AW88" i="1"/>
  <c r="AV88" i="1"/>
  <c r="AU88" i="1"/>
  <c r="AT88" i="1"/>
  <c r="AB88" i="1"/>
  <c r="D88" i="1" s="1"/>
  <c r="R88" i="1"/>
  <c r="Q88" i="1"/>
  <c r="A88" i="1"/>
  <c r="AZ21" i="1"/>
  <c r="AY21" i="1"/>
  <c r="AX21" i="1"/>
  <c r="AW21" i="1"/>
  <c r="AV21" i="1"/>
  <c r="AU21" i="1"/>
  <c r="AT21" i="1"/>
  <c r="S21" i="1"/>
  <c r="R21" i="1"/>
  <c r="AJ21" i="1" s="1"/>
  <c r="AK21" i="1" s="1"/>
  <c r="Q21" i="1"/>
  <c r="A21" i="1"/>
  <c r="AZ37" i="1"/>
  <c r="AY37" i="1"/>
  <c r="AX37" i="1"/>
  <c r="AW37" i="1"/>
  <c r="AV37" i="1"/>
  <c r="AU37" i="1"/>
  <c r="AT37" i="1"/>
  <c r="AB37" i="1"/>
  <c r="D37" i="1" s="1"/>
  <c r="T37" i="1" s="1"/>
  <c r="R37" i="1"/>
  <c r="AJ37" i="1" s="1"/>
  <c r="AK37" i="1" s="1"/>
  <c r="Q37" i="1"/>
  <c r="A37" i="1"/>
  <c r="AZ36" i="1"/>
  <c r="AY36" i="1"/>
  <c r="AX36" i="1"/>
  <c r="AW36" i="1"/>
  <c r="AV36" i="1"/>
  <c r="AU36" i="1"/>
  <c r="AT36" i="1"/>
  <c r="S36" i="1"/>
  <c r="R36" i="1"/>
  <c r="AJ36" i="1" s="1"/>
  <c r="Q36" i="1"/>
  <c r="A36" i="1"/>
  <c r="AZ89" i="1"/>
  <c r="AY89" i="1"/>
  <c r="AX89" i="1"/>
  <c r="AW89" i="1"/>
  <c r="AV89" i="1"/>
  <c r="AU89" i="1"/>
  <c r="AT89" i="1"/>
  <c r="S89" i="1"/>
  <c r="R89" i="1"/>
  <c r="AJ89" i="1" s="1"/>
  <c r="Q89" i="1"/>
  <c r="A89" i="1"/>
  <c r="AZ59" i="1"/>
  <c r="AY59" i="1"/>
  <c r="AX59" i="1"/>
  <c r="AW59" i="1"/>
  <c r="AV59" i="1"/>
  <c r="AU59" i="1"/>
  <c r="AT59" i="1"/>
  <c r="AB59" i="1"/>
  <c r="D59" i="1" s="1"/>
  <c r="R59" i="1"/>
  <c r="AJ59" i="1" s="1"/>
  <c r="AK59" i="1" s="1"/>
  <c r="Q59" i="1"/>
  <c r="A59" i="1"/>
  <c r="AZ7" i="1"/>
  <c r="AY7" i="1"/>
  <c r="AX7" i="1"/>
  <c r="AW7" i="1"/>
  <c r="AV7" i="1"/>
  <c r="AU7" i="1"/>
  <c r="AT7" i="1"/>
  <c r="S7" i="1"/>
  <c r="R7" i="1"/>
  <c r="AJ7" i="1" s="1"/>
  <c r="Q7" i="1"/>
  <c r="A7" i="1"/>
  <c r="AZ8" i="1"/>
  <c r="AY8" i="1"/>
  <c r="AX8" i="1"/>
  <c r="AW8" i="1"/>
  <c r="AV8" i="1"/>
  <c r="AU8" i="1"/>
  <c r="AT8" i="1"/>
  <c r="S8" i="1"/>
  <c r="R8" i="1"/>
  <c r="AJ8" i="1" s="1"/>
  <c r="Q8" i="1"/>
  <c r="A8" i="1"/>
  <c r="AZ10" i="1"/>
  <c r="AY10" i="1"/>
  <c r="AX10" i="1"/>
  <c r="AW10" i="1"/>
  <c r="AV10" i="1"/>
  <c r="AU10" i="1"/>
  <c r="AT10" i="1"/>
  <c r="S10" i="1"/>
  <c r="R10" i="1"/>
  <c r="Q10" i="1"/>
  <c r="A10" i="1"/>
  <c r="AZ11" i="1"/>
  <c r="AY11" i="1"/>
  <c r="AX11" i="1"/>
  <c r="AW11" i="1"/>
  <c r="AV11" i="1"/>
  <c r="AU11" i="1"/>
  <c r="AT11" i="1"/>
  <c r="AB11" i="1"/>
  <c r="D11" i="1" s="1"/>
  <c r="T11" i="1" s="1"/>
  <c r="R11" i="1"/>
  <c r="AJ11" i="1" s="1"/>
  <c r="AK11" i="1" s="1"/>
  <c r="Q11" i="1"/>
  <c r="A11" i="1"/>
  <c r="AZ18" i="1"/>
  <c r="AY18" i="1"/>
  <c r="AX18" i="1"/>
  <c r="AW18" i="1"/>
  <c r="AV18" i="1"/>
  <c r="AU18" i="1"/>
  <c r="AT18" i="1"/>
  <c r="S18" i="1"/>
  <c r="R18" i="1"/>
  <c r="AJ18" i="1" s="1"/>
  <c r="Q18" i="1"/>
  <c r="A18" i="1"/>
  <c r="AZ52" i="1"/>
  <c r="AY52" i="1"/>
  <c r="AX52" i="1"/>
  <c r="AW52" i="1"/>
  <c r="AV52" i="1"/>
  <c r="AU52" i="1"/>
  <c r="AT52" i="1"/>
  <c r="AB52" i="1"/>
  <c r="D52" i="1" s="1"/>
  <c r="R52" i="1"/>
  <c r="Q52" i="1"/>
  <c r="A52" i="1"/>
  <c r="AZ27" i="1"/>
  <c r="AY27" i="1"/>
  <c r="AX27" i="1"/>
  <c r="AW27" i="1"/>
  <c r="AV27" i="1"/>
  <c r="AU27" i="1"/>
  <c r="AT27" i="1"/>
  <c r="S27" i="1"/>
  <c r="R27" i="1"/>
  <c r="A27" i="1"/>
  <c r="AZ65" i="1"/>
  <c r="AY65" i="1"/>
  <c r="AX65" i="1"/>
  <c r="AW65" i="1"/>
  <c r="AV65" i="1"/>
  <c r="AU65" i="1"/>
  <c r="AT65" i="1"/>
  <c r="S65" i="1"/>
  <c r="R65" i="1"/>
  <c r="AJ65" i="1" s="1"/>
  <c r="AK65" i="1" s="1"/>
  <c r="Q65" i="1"/>
  <c r="A65" i="1"/>
  <c r="AZ12" i="1"/>
  <c r="AY12" i="1"/>
  <c r="AX12" i="1"/>
  <c r="AW12" i="1"/>
  <c r="AV12" i="1"/>
  <c r="AU12" i="1"/>
  <c r="AT12" i="1"/>
  <c r="S12" i="1"/>
  <c r="R12" i="1"/>
  <c r="AJ12" i="1" s="1"/>
  <c r="AK12" i="1" s="1"/>
  <c r="Q12" i="1"/>
  <c r="A12" i="1"/>
  <c r="AZ54" i="1"/>
  <c r="AY54" i="1"/>
  <c r="AX54" i="1"/>
  <c r="AW54" i="1"/>
  <c r="AV54" i="1"/>
  <c r="AU54" i="1"/>
  <c r="AT54" i="1"/>
  <c r="AB54" i="1"/>
  <c r="D54" i="1" s="1"/>
  <c r="T54" i="1" s="1"/>
  <c r="R54" i="1"/>
  <c r="AJ54" i="1" s="1"/>
  <c r="AK54" i="1" s="1"/>
  <c r="Q54" i="1"/>
  <c r="A54" i="1"/>
  <c r="AZ31" i="1"/>
  <c r="AY31" i="1"/>
  <c r="AX31" i="1"/>
  <c r="AW31" i="1"/>
  <c r="AV31" i="1"/>
  <c r="AU31" i="1"/>
  <c r="AT31" i="1"/>
  <c r="S31" i="1"/>
  <c r="R31" i="1"/>
  <c r="AJ31" i="1" s="1"/>
  <c r="AK31" i="1" s="1"/>
  <c r="Q31" i="1"/>
  <c r="A31" i="1"/>
  <c r="AZ94" i="1"/>
  <c r="AY94" i="1"/>
  <c r="AX94" i="1"/>
  <c r="AW94" i="1"/>
  <c r="AV94" i="1"/>
  <c r="AU94" i="1"/>
  <c r="AT94" i="1"/>
  <c r="S94" i="1"/>
  <c r="R94" i="1"/>
  <c r="AJ94" i="1" s="1"/>
  <c r="Q94" i="1"/>
  <c r="A94" i="1"/>
  <c r="AZ63" i="1"/>
  <c r="AY63" i="1"/>
  <c r="AX63" i="1"/>
  <c r="AW63" i="1"/>
  <c r="AV63" i="1"/>
  <c r="AU63" i="1"/>
  <c r="AT63" i="1"/>
  <c r="AB63" i="1"/>
  <c r="D63" i="1" s="1"/>
  <c r="R63" i="1"/>
  <c r="AJ63" i="1" s="1"/>
  <c r="AK63" i="1" s="1"/>
  <c r="Q63" i="1"/>
  <c r="A63" i="1"/>
  <c r="AZ72" i="1"/>
  <c r="AY72" i="1"/>
  <c r="AX72" i="1"/>
  <c r="AW72" i="1"/>
  <c r="AV72" i="1"/>
  <c r="AU72" i="1"/>
  <c r="AT72" i="1"/>
  <c r="S72" i="1"/>
  <c r="R72" i="1"/>
  <c r="AJ72" i="1" s="1"/>
  <c r="AK72" i="1" s="1"/>
  <c r="Q72" i="1"/>
  <c r="A72" i="1"/>
  <c r="AZ41" i="1"/>
  <c r="AY41" i="1"/>
  <c r="AX41" i="1"/>
  <c r="AW41" i="1"/>
  <c r="AV41" i="1"/>
  <c r="AU41" i="1"/>
  <c r="AT41" i="1"/>
  <c r="S41" i="1"/>
  <c r="R41" i="1"/>
  <c r="AJ41" i="1" s="1"/>
  <c r="AK41" i="1" s="1"/>
  <c r="Q41" i="1"/>
  <c r="A41" i="1"/>
  <c r="AZ97" i="1"/>
  <c r="AY97" i="1"/>
  <c r="AX97" i="1"/>
  <c r="AW97" i="1"/>
  <c r="AV97" i="1"/>
  <c r="AU97" i="1"/>
  <c r="AT97" i="1"/>
  <c r="AB97" i="1"/>
  <c r="D97" i="1" s="1"/>
  <c r="R97" i="1"/>
  <c r="AJ97" i="1" s="1"/>
  <c r="AK97" i="1" s="1"/>
  <c r="Q97" i="1"/>
  <c r="A97" i="1"/>
  <c r="AZ66" i="1"/>
  <c r="AY66" i="1"/>
  <c r="AX66" i="1"/>
  <c r="AW66" i="1"/>
  <c r="AV66" i="1"/>
  <c r="AU66" i="1"/>
  <c r="AT66" i="1"/>
  <c r="AB66" i="1"/>
  <c r="D66" i="1" s="1"/>
  <c r="R66" i="1"/>
  <c r="AJ66" i="1" s="1"/>
  <c r="AK66" i="1" s="1"/>
  <c r="Q66" i="1"/>
  <c r="A66" i="1"/>
  <c r="AZ57" i="1"/>
  <c r="AY57" i="1"/>
  <c r="AX57" i="1"/>
  <c r="AW57" i="1"/>
  <c r="AV57" i="1"/>
  <c r="AU57" i="1"/>
  <c r="AT57" i="1"/>
  <c r="S57" i="1"/>
  <c r="R57" i="1"/>
  <c r="Q57" i="1"/>
  <c r="A57" i="1"/>
  <c r="AZ48" i="1"/>
  <c r="AY48" i="1"/>
  <c r="AX48" i="1"/>
  <c r="AW48" i="1"/>
  <c r="AV48" i="1"/>
  <c r="AU48" i="1"/>
  <c r="AT48" i="1"/>
  <c r="S48" i="1"/>
  <c r="R48" i="1"/>
  <c r="Q48" i="1"/>
  <c r="A48" i="1"/>
  <c r="AZ44" i="1"/>
  <c r="AY44" i="1"/>
  <c r="AX44" i="1"/>
  <c r="AW44" i="1"/>
  <c r="AV44" i="1"/>
  <c r="AU44" i="1"/>
  <c r="AT44" i="1"/>
  <c r="S44" i="1"/>
  <c r="R44" i="1"/>
  <c r="Q44" i="1"/>
  <c r="A44" i="1"/>
  <c r="AZ91" i="1"/>
  <c r="AY91" i="1"/>
  <c r="AX91" i="1"/>
  <c r="AW91" i="1"/>
  <c r="AV91" i="1"/>
  <c r="AU91" i="1"/>
  <c r="AT91" i="1"/>
  <c r="S91" i="1"/>
  <c r="R91" i="1"/>
  <c r="AJ91" i="1" s="1"/>
  <c r="Q91" i="1"/>
  <c r="A91" i="1"/>
  <c r="AZ78" i="1"/>
  <c r="AY78" i="1"/>
  <c r="AX78" i="1"/>
  <c r="AW78" i="1"/>
  <c r="AV78" i="1"/>
  <c r="AU78" i="1"/>
  <c r="AT78" i="1"/>
  <c r="AB78" i="1"/>
  <c r="R78" i="1"/>
  <c r="AJ78" i="1" s="1"/>
  <c r="AK78" i="1" s="1"/>
  <c r="Q78" i="1"/>
  <c r="A78" i="1"/>
  <c r="AZ84" i="1"/>
  <c r="AY84" i="1"/>
  <c r="AX84" i="1"/>
  <c r="AW84" i="1"/>
  <c r="AV84" i="1"/>
  <c r="AU84" i="1"/>
  <c r="AT84" i="1"/>
  <c r="S84" i="1"/>
  <c r="R84" i="1"/>
  <c r="AJ84" i="1" s="1"/>
  <c r="AK84" i="1" s="1"/>
  <c r="Q84" i="1"/>
  <c r="A84" i="1"/>
  <c r="AZ17" i="1"/>
  <c r="AY17" i="1"/>
  <c r="AX17" i="1"/>
  <c r="AW17" i="1"/>
  <c r="AV17" i="1"/>
  <c r="AU17" i="1"/>
  <c r="AT17" i="1"/>
  <c r="S17" i="1"/>
  <c r="R17" i="1"/>
  <c r="AJ17" i="1" s="1"/>
  <c r="AK17" i="1" s="1"/>
  <c r="Q17" i="1"/>
  <c r="A17" i="1"/>
  <c r="AZ101" i="1"/>
  <c r="AY101" i="1"/>
  <c r="AX101" i="1"/>
  <c r="AW101" i="1"/>
  <c r="AV101" i="1"/>
  <c r="AU101" i="1"/>
  <c r="AT101" i="1"/>
  <c r="S101" i="1"/>
  <c r="R101" i="1"/>
  <c r="AJ101" i="1" s="1"/>
  <c r="AK101" i="1" s="1"/>
  <c r="Q101" i="1"/>
  <c r="A101" i="1"/>
  <c r="AZ74" i="1"/>
  <c r="AY74" i="1"/>
  <c r="AX74" i="1"/>
  <c r="AW74" i="1"/>
  <c r="AV74" i="1"/>
  <c r="AU74" i="1"/>
  <c r="AT74" i="1"/>
  <c r="S74" i="1"/>
  <c r="R74" i="1"/>
  <c r="Q74" i="1"/>
  <c r="A74" i="1"/>
  <c r="AZ20" i="1"/>
  <c r="AY20" i="1"/>
  <c r="AX20" i="1"/>
  <c r="AW20" i="1"/>
  <c r="AV20" i="1"/>
  <c r="AU20" i="1"/>
  <c r="AT20" i="1"/>
  <c r="S20" i="1"/>
  <c r="R20" i="1"/>
  <c r="AJ20" i="1" s="1"/>
  <c r="AK20" i="1" s="1"/>
  <c r="Q20" i="1"/>
  <c r="A20" i="1"/>
  <c r="AZ6" i="1"/>
  <c r="AY6" i="1"/>
  <c r="AX6" i="1"/>
  <c r="AW6" i="1"/>
  <c r="AV6" i="1"/>
  <c r="AU6" i="1"/>
  <c r="AT6" i="1"/>
  <c r="AB6" i="1"/>
  <c r="D6" i="1" s="1"/>
  <c r="T6" i="1" s="1"/>
  <c r="R6" i="1"/>
  <c r="Q6" i="1"/>
  <c r="A6" i="1"/>
  <c r="AZ90" i="1"/>
  <c r="AY90" i="1"/>
  <c r="AX90" i="1"/>
  <c r="AW90" i="1"/>
  <c r="AV90" i="1"/>
  <c r="AU90" i="1"/>
  <c r="AT90" i="1"/>
  <c r="S90" i="1"/>
  <c r="Q90" i="1"/>
  <c r="J90" i="1"/>
  <c r="A90" i="1"/>
  <c r="AZ75" i="1"/>
  <c r="AY75" i="1"/>
  <c r="AX75" i="1"/>
  <c r="AW75" i="1"/>
  <c r="AV75" i="1"/>
  <c r="AU75" i="1"/>
  <c r="AT75" i="1"/>
  <c r="AB75" i="1"/>
  <c r="D75" i="1" s="1"/>
  <c r="R75" i="1"/>
  <c r="AJ75" i="1" s="1"/>
  <c r="Q75" i="1"/>
  <c r="A75" i="1"/>
  <c r="AZ76" i="1"/>
  <c r="AY76" i="1"/>
  <c r="AX76" i="1"/>
  <c r="AW76" i="1"/>
  <c r="AV76" i="1"/>
  <c r="AU76" i="1"/>
  <c r="AT76" i="1"/>
  <c r="S76" i="1"/>
  <c r="R76" i="1"/>
  <c r="Q76" i="1"/>
  <c r="A76" i="1"/>
  <c r="E1" i="6"/>
  <c r="D1" i="6"/>
  <c r="O1" i="2"/>
  <c r="D1" i="2"/>
  <c r="S24" i="1" l="1"/>
  <c r="S4" i="1"/>
  <c r="S97" i="1"/>
  <c r="S37" i="1"/>
  <c r="AL75" i="1"/>
  <c r="AK75" i="1"/>
  <c r="AK49" i="1"/>
  <c r="AL49" i="1"/>
  <c r="AK8" i="1"/>
  <c r="AL8" i="1"/>
  <c r="AL94" i="1"/>
  <c r="AK94" i="1"/>
  <c r="AK87" i="1"/>
  <c r="AL87" i="1"/>
  <c r="AK7" i="1"/>
  <c r="AL7" i="1"/>
  <c r="AL91" i="1"/>
  <c r="AK91" i="1"/>
  <c r="AL102" i="1"/>
  <c r="AK102" i="1"/>
  <c r="AK36" i="1"/>
  <c r="AL36" i="1"/>
  <c r="AL53" i="1"/>
  <c r="AK53" i="1"/>
  <c r="AL68" i="1"/>
  <c r="AK68" i="1"/>
  <c r="AK47" i="1"/>
  <c r="AL47" i="1"/>
  <c r="AK18" i="1"/>
  <c r="AL18" i="1"/>
  <c r="AK50" i="1"/>
  <c r="AL50" i="1"/>
  <c r="AL89" i="1"/>
  <c r="AK89" i="1"/>
  <c r="J21" i="3"/>
  <c r="J22" i="3"/>
  <c r="J20" i="3"/>
  <c r="S75" i="1"/>
  <c r="S5" i="1"/>
  <c r="S54" i="1"/>
  <c r="S6" i="1"/>
  <c r="S43" i="1"/>
  <c r="S51" i="1"/>
  <c r="S38" i="1"/>
  <c r="S19" i="1"/>
  <c r="S11" i="1"/>
  <c r="T90" i="1"/>
  <c r="S78" i="1"/>
  <c r="D78" i="1"/>
  <c r="S22" i="1"/>
  <c r="S95" i="1"/>
  <c r="S32" i="1"/>
  <c r="T81" i="1"/>
  <c r="U81" i="1" s="1"/>
  <c r="S99" i="1"/>
  <c r="T15" i="1"/>
  <c r="U15" i="1" s="1"/>
  <c r="S55" i="1"/>
  <c r="I14" i="3"/>
  <c r="S3" i="1"/>
  <c r="S64" i="1"/>
  <c r="T9" i="1"/>
  <c r="U9" i="1" s="1"/>
  <c r="T43" i="1"/>
  <c r="U43" i="1" s="1"/>
  <c r="T38" i="1"/>
  <c r="U38" i="1" s="1"/>
  <c r="S88" i="1"/>
  <c r="B12" i="3"/>
  <c r="S59" i="1"/>
  <c r="S52" i="1"/>
  <c r="M4" i="3"/>
  <c r="S63" i="1"/>
  <c r="T97" i="1"/>
  <c r="U97" i="1" s="1"/>
  <c r="S66" i="1"/>
  <c r="T75" i="1"/>
  <c r="U75" i="1" s="1"/>
  <c r="U102" i="1"/>
  <c r="U50" i="1"/>
  <c r="U12" i="1"/>
  <c r="U72" i="1"/>
  <c r="AJ27" i="1"/>
  <c r="U27" i="1"/>
  <c r="AJ33" i="1"/>
  <c r="AK33" i="1" s="1"/>
  <c r="U33" i="1"/>
  <c r="U103" i="1"/>
  <c r="AJ23" i="1"/>
  <c r="U23" i="1"/>
  <c r="U53" i="1"/>
  <c r="AJ57" i="1"/>
  <c r="AK57" i="1" s="1"/>
  <c r="U57" i="1"/>
  <c r="U20" i="1"/>
  <c r="U46" i="1"/>
  <c r="AJ74" i="1"/>
  <c r="U74" i="1"/>
  <c r="U25" i="1"/>
  <c r="U51" i="1"/>
  <c r="AJ6" i="1"/>
  <c r="AK6" i="1" s="1"/>
  <c r="U6" i="1"/>
  <c r="AJ52" i="1"/>
  <c r="AK52" i="1" s="1"/>
  <c r="AJ80" i="1"/>
  <c r="AK80" i="1" s="1"/>
  <c r="U80" i="1"/>
  <c r="AJ99" i="1"/>
  <c r="AK99" i="1" s="1"/>
  <c r="U18" i="1"/>
  <c r="AJ48" i="1"/>
  <c r="U48" i="1"/>
  <c r="AJ29" i="1"/>
  <c r="AK29" i="1" s="1"/>
  <c r="U29" i="1"/>
  <c r="AJ39" i="1"/>
  <c r="AK39" i="1" s="1"/>
  <c r="U39" i="1"/>
  <c r="AJ19" i="1"/>
  <c r="AK19" i="1" s="1"/>
  <c r="U19" i="1"/>
  <c r="AJ92" i="1"/>
  <c r="U92" i="1"/>
  <c r="U7" i="1"/>
  <c r="U24" i="1"/>
  <c r="U84" i="1"/>
  <c r="U68" i="1"/>
  <c r="U17" i="1"/>
  <c r="U37" i="1"/>
  <c r="U54" i="1"/>
  <c r="U13" i="1"/>
  <c r="AJ76" i="1"/>
  <c r="AK76" i="1" s="1"/>
  <c r="U76" i="1"/>
  <c r="AJ44" i="1"/>
  <c r="AK44" i="1" s="1"/>
  <c r="U44" i="1"/>
  <c r="AJ10" i="1"/>
  <c r="AK10" i="1" s="1"/>
  <c r="U10" i="1"/>
  <c r="AJ88" i="1"/>
  <c r="AK88" i="1" s="1"/>
  <c r="AJ64" i="1"/>
  <c r="AK64" i="1" s="1"/>
  <c r="AJ14" i="1"/>
  <c r="U14" i="1"/>
  <c r="U11" i="1"/>
  <c r="U31" i="1"/>
  <c r="U49" i="1"/>
  <c r="U69" i="1"/>
  <c r="U94" i="1"/>
  <c r="U4" i="1"/>
  <c r="U21" i="1"/>
  <c r="U42" i="1"/>
  <c r="U91" i="1"/>
  <c r="U79" i="1"/>
  <c r="U5" i="1"/>
  <c r="U73" i="1"/>
  <c r="U105" i="1"/>
  <c r="R90" i="1"/>
  <c r="F47" i="11"/>
  <c r="F51" i="11" s="1"/>
  <c r="G47" i="11"/>
  <c r="M29" i="3"/>
  <c r="I29" i="3"/>
  <c r="E29" i="3"/>
  <c r="M21" i="3"/>
  <c r="I21" i="3"/>
  <c r="K5" i="3"/>
  <c r="G5" i="3"/>
  <c r="C5" i="3"/>
  <c r="L29" i="3"/>
  <c r="H29" i="3"/>
  <c r="D29" i="3"/>
  <c r="L21" i="3"/>
  <c r="H21" i="3"/>
  <c r="D21" i="3"/>
  <c r="J5" i="3"/>
  <c r="F5" i="3"/>
  <c r="B5" i="3"/>
  <c r="K29" i="3"/>
  <c r="G29" i="3"/>
  <c r="C29" i="3"/>
  <c r="K21" i="3"/>
  <c r="G21" i="3"/>
  <c r="C21" i="3"/>
  <c r="M5" i="3"/>
  <c r="I5" i="3"/>
  <c r="E5" i="3"/>
  <c r="J29" i="3"/>
  <c r="F29" i="3"/>
  <c r="B29" i="3"/>
  <c r="F21" i="3"/>
  <c r="B21" i="3"/>
  <c r="L5" i="3"/>
  <c r="H5" i="3"/>
  <c r="D5" i="3"/>
  <c r="E14" i="3"/>
  <c r="K13" i="3"/>
  <c r="K15" i="3" s="1"/>
  <c r="G11" i="3"/>
  <c r="C11" i="3"/>
  <c r="H14" i="3"/>
  <c r="J13" i="3"/>
  <c r="J15" i="3" s="1"/>
  <c r="D12" i="3"/>
  <c r="F11" i="3"/>
  <c r="B11" i="3"/>
  <c r="I11" i="3"/>
  <c r="E11" i="3"/>
  <c r="F14" i="3"/>
  <c r="H11" i="3"/>
  <c r="D11" i="3"/>
  <c r="M30" i="3"/>
  <c r="I30" i="3"/>
  <c r="E30" i="3"/>
  <c r="M22" i="3"/>
  <c r="I22" i="3"/>
  <c r="E22" i="3"/>
  <c r="K6" i="3"/>
  <c r="G6" i="3"/>
  <c r="C6" i="3"/>
  <c r="L30" i="3"/>
  <c r="H30" i="3"/>
  <c r="D30" i="3"/>
  <c r="L22" i="3"/>
  <c r="H22" i="3"/>
  <c r="D22" i="3"/>
  <c r="J6" i="3"/>
  <c r="F6" i="3"/>
  <c r="B6" i="3"/>
  <c r="K30" i="3"/>
  <c r="G30" i="3"/>
  <c r="C30" i="3"/>
  <c r="K22" i="3"/>
  <c r="G22" i="3"/>
  <c r="C22" i="3"/>
  <c r="M6" i="3"/>
  <c r="I6" i="3"/>
  <c r="E6" i="3"/>
  <c r="J30" i="3"/>
  <c r="F30" i="3"/>
  <c r="B30" i="3"/>
  <c r="F22" i="3"/>
  <c r="B22" i="3"/>
  <c r="L6" i="3"/>
  <c r="H6" i="3"/>
  <c r="D6" i="3"/>
  <c r="M28" i="3"/>
  <c r="I28" i="3"/>
  <c r="E28" i="3"/>
  <c r="M20" i="3"/>
  <c r="I20" i="3"/>
  <c r="G4" i="3"/>
  <c r="C4" i="3"/>
  <c r="L28" i="3"/>
  <c r="H28" i="3"/>
  <c r="D28" i="3"/>
  <c r="H20" i="3"/>
  <c r="J4" i="3"/>
  <c r="F4" i="3"/>
  <c r="B4" i="3"/>
  <c r="K28" i="3"/>
  <c r="G28" i="3"/>
  <c r="C28" i="3"/>
  <c r="K20" i="3"/>
  <c r="I4" i="3"/>
  <c r="E4" i="3"/>
  <c r="J28" i="3"/>
  <c r="F28" i="3"/>
  <c r="F20" i="3"/>
  <c r="B20" i="3"/>
  <c r="H4" i="3"/>
  <c r="D4" i="3"/>
  <c r="H13" i="3"/>
  <c r="C12" i="3"/>
  <c r="I13" i="3"/>
  <c r="B13" i="3"/>
  <c r="F13" i="3"/>
  <c r="AK23" i="1" l="1"/>
  <c r="AL23" i="1"/>
  <c r="AK92" i="1"/>
  <c r="AL92" i="1"/>
  <c r="AL14" i="1"/>
  <c r="AK14" i="1"/>
  <c r="AL27" i="1"/>
  <c r="AK27" i="1"/>
  <c r="AL74" i="1"/>
  <c r="AK74" i="1"/>
  <c r="AL48" i="1"/>
  <c r="AK48" i="1"/>
  <c r="N30" i="3"/>
  <c r="N22" i="3"/>
  <c r="N29" i="3"/>
  <c r="U90" i="1"/>
  <c r="T78" i="1"/>
  <c r="U78" i="1" s="1"/>
  <c r="G40" i="11"/>
  <c r="G43" i="11" s="1"/>
  <c r="E21" i="3"/>
  <c r="N21" i="3" s="1"/>
  <c r="D14" i="3"/>
  <c r="L4" i="3"/>
  <c r="L7" i="3" s="1"/>
  <c r="C20" i="3"/>
  <c r="C13" i="3"/>
  <c r="C15" i="3" s="1"/>
  <c r="G20" i="3"/>
  <c r="G23" i="3" s="1"/>
  <c r="B14" i="3"/>
  <c r="G13" i="3"/>
  <c r="G15" i="3" s="1"/>
  <c r="T95" i="1"/>
  <c r="U95" i="1" s="1"/>
  <c r="C14" i="3"/>
  <c r="L20" i="3"/>
  <c r="L23" i="3" s="1"/>
  <c r="T32" i="1"/>
  <c r="U32" i="1" s="1"/>
  <c r="E20" i="3"/>
  <c r="E13" i="3"/>
  <c r="E15" i="3" s="1"/>
  <c r="D20" i="3"/>
  <c r="D23" i="3" s="1"/>
  <c r="D13" i="3"/>
  <c r="D15" i="3" s="1"/>
  <c r="G14" i="3"/>
  <c r="T22" i="1"/>
  <c r="U22" i="1" s="1"/>
  <c r="F33" i="11"/>
  <c r="F36" i="11" s="1"/>
  <c r="T66" i="1"/>
  <c r="U66" i="1" s="1"/>
  <c r="T55" i="1"/>
  <c r="U55" i="1" s="1"/>
  <c r="T3" i="1"/>
  <c r="U3" i="1" s="1"/>
  <c r="T99" i="1"/>
  <c r="U99" i="1" s="1"/>
  <c r="T64" i="1"/>
  <c r="U64" i="1" s="1"/>
  <c r="T88" i="1"/>
  <c r="U88" i="1" s="1"/>
  <c r="T59" i="1"/>
  <c r="U59" i="1" s="1"/>
  <c r="T52" i="1"/>
  <c r="U52" i="1" s="1"/>
  <c r="T63" i="1"/>
  <c r="U63" i="1" s="1"/>
  <c r="F40" i="11"/>
  <c r="K4" i="3"/>
  <c r="K7" i="3" s="1"/>
  <c r="G12" i="3"/>
  <c r="G33" i="11"/>
  <c r="AJ90" i="1"/>
  <c r="B28" i="3"/>
  <c r="N28" i="3" s="1"/>
  <c r="F15" i="3"/>
  <c r="I15" i="3"/>
  <c r="H15" i="3"/>
  <c r="G51" i="11"/>
  <c r="E47" i="11"/>
  <c r="E51" i="11" s="1"/>
  <c r="F31" i="3"/>
  <c r="M7" i="3"/>
  <c r="C31" i="3"/>
  <c r="F7" i="3"/>
  <c r="C7" i="3"/>
  <c r="I23" i="3"/>
  <c r="M31" i="3"/>
  <c r="B23" i="3"/>
  <c r="D7" i="3"/>
  <c r="F23" i="3"/>
  <c r="J31" i="3"/>
  <c r="G31" i="3"/>
  <c r="J7" i="3"/>
  <c r="D31" i="3"/>
  <c r="G7" i="3"/>
  <c r="M23" i="3"/>
  <c r="H7" i="3"/>
  <c r="J23" i="3"/>
  <c r="E7" i="3"/>
  <c r="K31" i="3"/>
  <c r="H31" i="3"/>
  <c r="E31" i="3"/>
  <c r="B15" i="3"/>
  <c r="I7" i="3"/>
  <c r="K23" i="3"/>
  <c r="B7" i="3"/>
  <c r="H23" i="3"/>
  <c r="L31" i="3"/>
  <c r="I31" i="3"/>
  <c r="AL90" i="1" l="1"/>
  <c r="AK90" i="1"/>
  <c r="N20" i="3"/>
  <c r="C23" i="3"/>
  <c r="B31" i="3"/>
  <c r="E23" i="3"/>
  <c r="F43" i="11"/>
  <c r="E40" i="11"/>
  <c r="E43" i="11" s="1"/>
  <c r="E33" i="11"/>
  <c r="E36" i="11" s="1"/>
  <c r="G36" i="11"/>
  <c r="H51" i="11"/>
  <c r="N23" i="3" l="1"/>
  <c r="N31" i="3"/>
  <c r="H43" i="11"/>
  <c r="H3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tc={ED9FE7F8-3B33-43FA-A0B8-0F586710A6A5}</author>
    <author>tc={7C0733C6-BF08-468A-8575-5B678E3D0E62}</author>
    <author>tc={A6FD2F06-830C-4128-8D58-C9E918C9E501}</author>
    <author>tc={14D4D3E0-6C57-4292-8D0B-B0946E7FA476}</author>
    <author>tc={6C0256ED-180F-4996-8925-4ACE4CFF3747}</author>
    <author>tc={147A4591-04F4-4486-8D05-2987CD7CC3C7}</author>
  </authors>
  <commentList>
    <comment ref="AF14" authorId="0" shapeId="0" xr:uid="{ED9FE7F8-3B33-43FA-A0B8-0F586710A6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marisolpaucarc@bcp.com.pe
</t>
      </text>
    </comment>
    <comment ref="AF20" authorId="1" shapeId="0" xr:uid="{7C0733C6-BF08-468A-8575-5B678E3D0E6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jpezo@bcp.com.pe
</t>
      </text>
    </comment>
    <comment ref="AF53" authorId="2" shapeId="0" xr:uid="{A6FD2F06-830C-4128-8D58-C9E918C9E5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mlolit@bcp.com.pe
</t>
      </text>
    </comment>
    <comment ref="AF74" authorId="3" shapeId="0" xr:uid="{14D4D3E0-6C57-4292-8D0B-B0946E7FA4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calbino@bcp.com.pe
</t>
      </text>
    </comment>
    <comment ref="AF91" authorId="4" shapeId="0" xr:uid="{6C0256ED-180F-4996-8925-4ACE4CFF374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mariacortezd@bcp.com.pe
</t>
      </text>
    </comment>
    <comment ref="AF101" authorId="5" shapeId="0" xr:uid="{147A4591-04F4-4486-8D05-2987CD7CC3C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rominaalarcone@bcp.com.pe
</t>
      </text>
    </comment>
  </commentList>
</comments>
</file>

<file path=xl/sharedStrings.xml><?xml version="1.0" encoding="utf-8"?>
<sst xmlns="http://schemas.openxmlformats.org/spreadsheetml/2006/main" count="1795" uniqueCount="404">
  <si>
    <t>Categoria</t>
  </si>
  <si>
    <t>Vendido</t>
  </si>
  <si>
    <t>DELAY : LEAD - SEPARACION - MINUTA</t>
  </si>
  <si>
    <t>Ejecutivo</t>
  </si>
  <si>
    <t>Leads vs Separación</t>
  </si>
  <si>
    <t>Leads vs Minuta</t>
  </si>
  <si>
    <t>Separación vs Minutas</t>
  </si>
  <si>
    <t>Año / Mes</t>
  </si>
  <si>
    <t>Cuenta de N° Unidad(es)</t>
  </si>
  <si>
    <t>Administracion</t>
  </si>
  <si>
    <t>2025</t>
  </si>
  <si>
    <t>Caseta de Venta</t>
  </si>
  <si>
    <t>Carla Michue</t>
  </si>
  <si>
    <t>Enero</t>
  </si>
  <si>
    <t>Contato Web</t>
  </si>
  <si>
    <t>Diana Urcia</t>
  </si>
  <si>
    <t>Facebook Leads</t>
  </si>
  <si>
    <t>Juli Vila</t>
  </si>
  <si>
    <t>Urbania</t>
  </si>
  <si>
    <t>Kary Gutierrez</t>
  </si>
  <si>
    <t>2026</t>
  </si>
  <si>
    <t>Web Maxx</t>
  </si>
  <si>
    <t>Magaly Guevara</t>
  </si>
  <si>
    <t>Total general</t>
  </si>
  <si>
    <t>Renzo Salinas</t>
  </si>
  <si>
    <t>Kenny Salazar</t>
  </si>
  <si>
    <t>Vanessa Leiva</t>
  </si>
  <si>
    <t>CITAS PROGRAMADAS</t>
  </si>
  <si>
    <t>Proyecto</t>
  </si>
  <si>
    <t>Citas Programadas</t>
  </si>
  <si>
    <t>Beyond</t>
  </si>
  <si>
    <t>Prada</t>
  </si>
  <si>
    <t>Venecia</t>
  </si>
  <si>
    <t>RESUMEN - ESTADO DE PROYECTOS</t>
  </si>
  <si>
    <t>Cuenta de Categoria</t>
  </si>
  <si>
    <t>Etiquetas de columna</t>
  </si>
  <si>
    <t xml:space="preserve">Libres </t>
  </si>
  <si>
    <t>Separados</t>
  </si>
  <si>
    <t>Vendidos</t>
  </si>
  <si>
    <t>Total</t>
  </si>
  <si>
    <t>Dptos</t>
  </si>
  <si>
    <t>Desiste</t>
  </si>
  <si>
    <t xml:space="preserve">Estacionamientos </t>
  </si>
  <si>
    <t>Separación</t>
  </si>
  <si>
    <t xml:space="preserve">Depostisos </t>
  </si>
  <si>
    <t>Depositos</t>
  </si>
  <si>
    <t>CD</t>
  </si>
  <si>
    <t>CH</t>
  </si>
  <si>
    <t>PA</t>
  </si>
  <si>
    <t>Detalle</t>
  </si>
  <si>
    <t>N° Unidad</t>
  </si>
  <si>
    <t>N° UI Departamento</t>
  </si>
  <si>
    <t>(Todas)</t>
  </si>
  <si>
    <t>Medio de Capatacion</t>
  </si>
  <si>
    <t>Fecha Separacion</t>
  </si>
  <si>
    <t>T. Fina.</t>
  </si>
  <si>
    <t>N° UI</t>
  </si>
  <si>
    <t>Precio Venta</t>
  </si>
  <si>
    <t>Cobrado</t>
  </si>
  <si>
    <t>Costo M2</t>
  </si>
  <si>
    <t>Firma Minuta</t>
  </si>
  <si>
    <t>301</t>
  </si>
  <si>
    <t>1301</t>
  </si>
  <si>
    <t>901 / E34 / D26</t>
  </si>
  <si>
    <t>602</t>
  </si>
  <si>
    <t>1004</t>
  </si>
  <si>
    <t>Feria Nexo</t>
  </si>
  <si>
    <t>603 / E37 / D23</t>
  </si>
  <si>
    <t>404</t>
  </si>
  <si>
    <t>803 / E28 / D18</t>
  </si>
  <si>
    <t>502</t>
  </si>
  <si>
    <t>402</t>
  </si>
  <si>
    <t>604</t>
  </si>
  <si>
    <t>1105</t>
  </si>
  <si>
    <t>1001</t>
  </si>
  <si>
    <t>1005</t>
  </si>
  <si>
    <t>(Varios elementos)</t>
  </si>
  <si>
    <t>Año Minuta</t>
  </si>
  <si>
    <t>Mes Minuta</t>
  </si>
  <si>
    <t>Julio</t>
  </si>
  <si>
    <t>Setiembre</t>
  </si>
  <si>
    <t>Diciembre</t>
  </si>
  <si>
    <t>Febrero</t>
  </si>
  <si>
    <t>Octubre</t>
  </si>
  <si>
    <t>Noviembre</t>
  </si>
  <si>
    <t>Marzo</t>
  </si>
  <si>
    <t>Abril</t>
  </si>
  <si>
    <t>Agosto</t>
  </si>
  <si>
    <t>Nexo Inmobiliario</t>
  </si>
  <si>
    <t/>
  </si>
  <si>
    <t>Junio</t>
  </si>
  <si>
    <t>2024</t>
  </si>
  <si>
    <t>Feria Inmobiliaria</t>
  </si>
  <si>
    <t>Referido</t>
  </si>
  <si>
    <t>Instagram</t>
  </si>
  <si>
    <t>Web Scotiabank</t>
  </si>
  <si>
    <t>Feria Urbania</t>
  </si>
  <si>
    <t xml:space="preserve">Registro Ventas </t>
  </si>
  <si>
    <t>Mes</t>
  </si>
  <si>
    <t>Fecha Captacion</t>
  </si>
  <si>
    <t>Área Ocupada Departamento</t>
  </si>
  <si>
    <t>Precio Venta Departamento</t>
  </si>
  <si>
    <t>N° UI Estacionamiento</t>
  </si>
  <si>
    <t>Área Ocupada Estacionamiento</t>
  </si>
  <si>
    <t>Precio Venta Estacionamiento</t>
  </si>
  <si>
    <t>N° UI Depósito</t>
  </si>
  <si>
    <t>Área Ocupada Depósito</t>
  </si>
  <si>
    <t>Precio Venta Depósito</t>
  </si>
  <si>
    <t>N° Unidad(es)</t>
  </si>
  <si>
    <t>Precio Venta Unidad(es)</t>
  </si>
  <si>
    <t>Total Cobrado</t>
  </si>
  <si>
    <t>M2 PEN</t>
  </si>
  <si>
    <t>M2USD</t>
  </si>
  <si>
    <t>Cliente</t>
  </si>
  <si>
    <t>Documento</t>
  </si>
  <si>
    <t>Fecha de Cita</t>
  </si>
  <si>
    <t>Valor Separacion</t>
  </si>
  <si>
    <t>Cuota Inicial</t>
  </si>
  <si>
    <t xml:space="preserve">Status Minuta </t>
  </si>
  <si>
    <t xml:space="preserve">Termino Ahorro Casa </t>
  </si>
  <si>
    <t>Desembolsa/ Cancela</t>
  </si>
  <si>
    <t xml:space="preserve">Ejecutivo </t>
  </si>
  <si>
    <t>Carta Fianza</t>
  </si>
  <si>
    <t>Desembolso/Cancelacion</t>
  </si>
  <si>
    <t>%Comision
Ejecutivo</t>
  </si>
  <si>
    <t>Total Comision</t>
  </si>
  <si>
    <t>% Comision</t>
  </si>
  <si>
    <t>% C. Pendiente</t>
  </si>
  <si>
    <t>Modalidad Pago</t>
  </si>
  <si>
    <t xml:space="preserve">Fecha Pago
Comisión </t>
  </si>
  <si>
    <t>Columna1</t>
  </si>
  <si>
    <t>Desistimiento</t>
  </si>
  <si>
    <t>Penalidad Desestimiento</t>
  </si>
  <si>
    <t>Fecha Devolucion</t>
  </si>
  <si>
    <t>Notas</t>
  </si>
  <si>
    <t>Mes Separación</t>
  </si>
  <si>
    <t>Año Separación</t>
  </si>
  <si>
    <t>Lead vs Separación</t>
  </si>
  <si>
    <t>Lead vs Minuta</t>
  </si>
  <si>
    <t>Separación vs Minuta</t>
  </si>
  <si>
    <t>Elmo Calatayud Chumbes</t>
  </si>
  <si>
    <t xml:space="preserve">Minuta Firmada </t>
  </si>
  <si>
    <t>Virna Manarelli</t>
  </si>
  <si>
    <t>Edwin Modigliani Efrain Suclla Flores</t>
  </si>
  <si>
    <t>08062531</t>
  </si>
  <si>
    <t>Ayleen Katia Messarina Rios</t>
  </si>
  <si>
    <t>E26/D20</t>
  </si>
  <si>
    <t>Victoria Sampi Gonzales</t>
  </si>
  <si>
    <t>Sandy chavez</t>
  </si>
  <si>
    <t>bbva</t>
  </si>
  <si>
    <t>Luis Miguel Montero Monteza</t>
  </si>
  <si>
    <t xml:space="preserve">PA - Minuta Firmada </t>
  </si>
  <si>
    <t>Planilla</t>
  </si>
  <si>
    <t xml:space="preserve">E29 </t>
  </si>
  <si>
    <t>Marco Antonio Cordova Oropeza</t>
  </si>
  <si>
    <t>rxh</t>
  </si>
  <si>
    <t>Jose luis Gaspar Zapata Flores</t>
  </si>
  <si>
    <t>Margarita Lujan Pardes</t>
  </si>
  <si>
    <t>06772294</t>
  </si>
  <si>
    <t xml:space="preserve">CA - Minuta Firmada </t>
  </si>
  <si>
    <t>Julio Barrientos</t>
  </si>
  <si>
    <t>Maria Cristina Collazos Romero</t>
  </si>
  <si>
    <t>Frank  SBK</t>
  </si>
  <si>
    <t>E15+D3</t>
  </si>
  <si>
    <t>Nicolas Pauccar Calcina</t>
  </si>
  <si>
    <t xml:space="preserve">envio los documentos asu ejectuvio </t>
  </si>
  <si>
    <t xml:space="preserve">cliente no envia documentos para calificacion </t>
  </si>
  <si>
    <t>E12/D09</t>
  </si>
  <si>
    <t>Gilberto Videla Flores</t>
  </si>
  <si>
    <t>06571347</t>
  </si>
  <si>
    <t>Jhoully Kattherine Moreno Saavedra</t>
  </si>
  <si>
    <t xml:space="preserve">Marisol Paucar </t>
  </si>
  <si>
    <t>desembolso</t>
  </si>
  <si>
    <t>E14</t>
  </si>
  <si>
    <t>Carlos La Cruz Crespo</t>
  </si>
  <si>
    <t>09022488</t>
  </si>
  <si>
    <t>Yober Rimac Poma</t>
  </si>
  <si>
    <t>por temas laborales - menor sueldo</t>
  </si>
  <si>
    <t>No</t>
  </si>
  <si>
    <t>Tania Milagros Cotrina Vara</t>
  </si>
  <si>
    <t>E20</t>
  </si>
  <si>
    <t>Mariela Gabriela Zapata Santivañez</t>
  </si>
  <si>
    <t>BCP</t>
  </si>
  <si>
    <t>Elizabeth Rocio Urbina ñañez</t>
  </si>
  <si>
    <t>71404863</t>
  </si>
  <si>
    <t xml:space="preserve">Maria </t>
  </si>
  <si>
    <t>Banbif</t>
  </si>
  <si>
    <t>Victor Hugo Quispe Cupe</t>
  </si>
  <si>
    <t>09848317</t>
  </si>
  <si>
    <t xml:space="preserve">Gestion de CA </t>
  </si>
  <si>
    <t>Jose Pezo</t>
  </si>
  <si>
    <t>E17</t>
  </si>
  <si>
    <t>Leidy Pilar Espinoza Mariño</t>
  </si>
  <si>
    <t>Alejandro Jose Navarrete Maldonado</t>
  </si>
  <si>
    <t>Danixa Thalia Manosalva Ameri</t>
  </si>
  <si>
    <t>Cristhiam Ortiz Angeles</t>
  </si>
  <si>
    <t>Dolly Rios Ugarte</t>
  </si>
  <si>
    <t>01115641</t>
  </si>
  <si>
    <t xml:space="preserve">Temas Personales </t>
  </si>
  <si>
    <t>Si</t>
  </si>
  <si>
    <t>Patricia Salazar Aparcana</t>
  </si>
  <si>
    <t xml:space="preserve">Cita Addriela </t>
  </si>
  <si>
    <t>Leidy Lucero Espiritu Zabarburu</t>
  </si>
  <si>
    <t>E24</t>
  </si>
  <si>
    <t>D18</t>
  </si>
  <si>
    <t>Jose Luis Peralta Gamboa</t>
  </si>
  <si>
    <t>cliente desiste por condiciones bancarias</t>
  </si>
  <si>
    <t>E28</t>
  </si>
  <si>
    <t>Giovani Chumioque Garcia</t>
  </si>
  <si>
    <t>Pedro Jose Quiliche Aguirre</t>
  </si>
  <si>
    <t xml:space="preserve">No califica CH mal reporte de Infocord </t>
  </si>
  <si>
    <t>Olga Ysabel Bellon Silva</t>
  </si>
  <si>
    <t>06656631</t>
  </si>
  <si>
    <t>Gladys Marta Moreano Bellido</t>
  </si>
  <si>
    <t>E01</t>
  </si>
  <si>
    <t>Jose Antonio Castillo Tavara</t>
  </si>
  <si>
    <t>03883412</t>
  </si>
  <si>
    <t xml:space="preserve">No Salio su carta de aprobacion y vencio el plazo </t>
  </si>
  <si>
    <t>Ubaldo Yovera Puruguay</t>
  </si>
  <si>
    <t>PA / Minuta Firmada</t>
  </si>
  <si>
    <t>Gina Victoria Saenz Pasco</t>
  </si>
  <si>
    <t>0436237</t>
  </si>
  <si>
    <t>PA - PFM</t>
  </si>
  <si>
    <t>E06</t>
  </si>
  <si>
    <t>Liseth Carguavilva Perez</t>
  </si>
  <si>
    <t>Liliana Lucila Luciano Claros</t>
  </si>
  <si>
    <t>Juana Mercedes Moran Peralta</t>
  </si>
  <si>
    <t>Patricia Valverde</t>
  </si>
  <si>
    <t>E4</t>
  </si>
  <si>
    <t>Evelyn Leon Estela</t>
  </si>
  <si>
    <t>Luis Felipe Asmat Cuno</t>
  </si>
  <si>
    <t>E29 - D13</t>
  </si>
  <si>
    <t xml:space="preserve">Petronila Tisnado Meneses </t>
  </si>
  <si>
    <t>01207150</t>
  </si>
  <si>
    <t>E14 - D2</t>
  </si>
  <si>
    <t>Francesca Giuliana Ramos Ortiz</t>
  </si>
  <si>
    <t xml:space="preserve"> Julio Barrientos</t>
  </si>
  <si>
    <t>Juan Carlos ángeles Milla</t>
  </si>
  <si>
    <t>Rosario Maria Miguel Zacarias</t>
  </si>
  <si>
    <t>07496540</t>
  </si>
  <si>
    <t>envio documentos al banco</t>
  </si>
  <si>
    <t>Por temas de Salud de Mamá</t>
  </si>
  <si>
    <t xml:space="preserve">Juan Gonzales Atahualpa </t>
  </si>
  <si>
    <t>09518829</t>
  </si>
  <si>
    <t xml:space="preserve"> Patrocinio Huamani Cuevas</t>
  </si>
  <si>
    <t>Erick Raul Bedoya Baca</t>
  </si>
  <si>
    <t>E7</t>
  </si>
  <si>
    <t>Ronal Jose Claudio Ramirez</t>
  </si>
  <si>
    <t>PA / PFM</t>
  </si>
  <si>
    <t>Alvaro Geanfranco Mendoza Jump</t>
  </si>
  <si>
    <t>José Edgardo Cespedes Camacho</t>
  </si>
  <si>
    <t>Sbk</t>
  </si>
  <si>
    <t>E5</t>
  </si>
  <si>
    <t>D5</t>
  </si>
  <si>
    <t>Dante Enrique Segura Florian</t>
  </si>
  <si>
    <t>Marina Francisca Vasquez Samaniego</t>
  </si>
  <si>
    <t>Jimmy Luis Andrade Morveli</t>
  </si>
  <si>
    <t xml:space="preserve">Melissa Loli </t>
  </si>
  <si>
    <t>E11</t>
  </si>
  <si>
    <t>Norma Tello</t>
  </si>
  <si>
    <t>04063971</t>
  </si>
  <si>
    <t>E28/D22</t>
  </si>
  <si>
    <t>Chistopher Omar Peña Camargo</t>
  </si>
  <si>
    <t>Edwin Victor Ashtu Acosta</t>
  </si>
  <si>
    <t>Minuta Firmada</t>
  </si>
  <si>
    <t>Rocio Chuquimango Valencia</t>
  </si>
  <si>
    <t>E41</t>
  </si>
  <si>
    <t>D32</t>
  </si>
  <si>
    <t>Teresa Aguilar Sánchez</t>
  </si>
  <si>
    <t>06040106</t>
  </si>
  <si>
    <t>cliente desiste por temas familiares (mama en uci)</t>
  </si>
  <si>
    <t>Luis Alberto Ovalle Huamanguilla</t>
  </si>
  <si>
    <t>Luisa Liliana Esther Erazo Medina</t>
  </si>
  <si>
    <t>E37</t>
  </si>
  <si>
    <t>D23</t>
  </si>
  <si>
    <t>Vivina Pasco Blas Vda. De Saenz</t>
  </si>
  <si>
    <t>08494885</t>
  </si>
  <si>
    <t xml:space="preserve">Judith Medina alvarez </t>
  </si>
  <si>
    <t>D6</t>
  </si>
  <si>
    <t>Pablo Jaime Cornejo Pereda</t>
  </si>
  <si>
    <t>07763504</t>
  </si>
  <si>
    <t>E07/D05</t>
  </si>
  <si>
    <t>Jose Humberto Pehovaz Diez</t>
  </si>
  <si>
    <t>Mayra Andrea Montenegro</t>
  </si>
  <si>
    <t>Richard Humberto Lima Garcia</t>
  </si>
  <si>
    <t>Irma Paulina Palomino Huaman</t>
  </si>
  <si>
    <t>Dolores Lissett Castillo Diaz</t>
  </si>
  <si>
    <t>E10</t>
  </si>
  <si>
    <t>Eloisa Farfan Bautista De Justo</t>
  </si>
  <si>
    <t>07616475</t>
  </si>
  <si>
    <t>Abonara Inicial 28/01</t>
  </si>
  <si>
    <t>No esta de acuerdo con el contrato</t>
  </si>
  <si>
    <t>Elva Melinda Leiva Gracian</t>
  </si>
  <si>
    <t>envo os documentos al banco</t>
  </si>
  <si>
    <t>Infocorp</t>
  </si>
  <si>
    <t>no</t>
  </si>
  <si>
    <t>E50</t>
  </si>
  <si>
    <t>Francescoli Del Aguila Bär</t>
  </si>
  <si>
    <t>Pedro Jose Capcha Pacherrez</t>
  </si>
  <si>
    <t xml:space="preserve">Temas Bancarios </t>
  </si>
  <si>
    <t>E06/D04</t>
  </si>
  <si>
    <t>David Edgar Valencia Cordova</t>
  </si>
  <si>
    <t>Víctor Daniel Chuquihuaccha Hernandez</t>
  </si>
  <si>
    <t>Cesar Albino</t>
  </si>
  <si>
    <t>Wendy Carolina Junes Gonzáles</t>
  </si>
  <si>
    <t>Yul Frank Rodriquez Valeriano</t>
  </si>
  <si>
    <t>Ronal Ticona Arones</t>
  </si>
  <si>
    <t>Sthefany Carolina Rodriguez Huamán</t>
  </si>
  <si>
    <t>Denisse Estela Linares Suarez</t>
  </si>
  <si>
    <t>Gersom Gonzales Alfaro</t>
  </si>
  <si>
    <t>E32/D24/E33/D25</t>
  </si>
  <si>
    <t xml:space="preserve"> Marco Antonio Cordova Oropeza</t>
  </si>
  <si>
    <t>E45</t>
  </si>
  <si>
    <t>D34</t>
  </si>
  <si>
    <t>Jose Antonio Madrid Rodriguez</t>
  </si>
  <si>
    <t>Disiste por temasa familiares</t>
  </si>
  <si>
    <t>Sussan Yassmine Rubin Domínguez</t>
  </si>
  <si>
    <t>Jorge Luis Montoya Mendoza</t>
  </si>
  <si>
    <t>E34</t>
  </si>
  <si>
    <t>D26</t>
  </si>
  <si>
    <t>Evelin Ugarte Cama</t>
  </si>
  <si>
    <t>E43</t>
  </si>
  <si>
    <t>Daniel Alejandro Aguayo Vera</t>
  </si>
  <si>
    <t>Karina Cabanillas Correa</t>
  </si>
  <si>
    <t>Lizet Lopez Paucar</t>
  </si>
  <si>
    <t>E36</t>
  </si>
  <si>
    <t xml:space="preserve">Walther Antonio Espinoza Gomez </t>
  </si>
  <si>
    <t>08657121</t>
  </si>
  <si>
    <t>SBK</t>
  </si>
  <si>
    <t>E18</t>
  </si>
  <si>
    <t>Harry Anderson Yance Ruiz</t>
  </si>
  <si>
    <t xml:space="preserve">Maria Cortez </t>
  </si>
  <si>
    <t>Danny Romel Ore Gerreros</t>
  </si>
  <si>
    <t xml:space="preserve">PA  - Minuta Firmada </t>
  </si>
  <si>
    <t>Rosa Maria Mantilla Guardamino</t>
  </si>
  <si>
    <t>09568981</t>
  </si>
  <si>
    <t>Maria De Los Angeles Ibañez Mogrovejo</t>
  </si>
  <si>
    <t>E11/D08</t>
  </si>
  <si>
    <t>Judith Condori Yucra</t>
  </si>
  <si>
    <t>01345064</t>
  </si>
  <si>
    <t>Marita Angeles Milla</t>
  </si>
  <si>
    <t>09096071</t>
  </si>
  <si>
    <t>Rennie Sven Flores Humareda</t>
  </si>
  <si>
    <t>Stephanie Lizeth Aquino Herrera</t>
  </si>
  <si>
    <t>PA  - PFM</t>
  </si>
  <si>
    <t>Ana Fabiola Alvarez Elias</t>
  </si>
  <si>
    <t>06789211</t>
  </si>
  <si>
    <t>Carlos Enrique Morante Arroyo</t>
  </si>
  <si>
    <t>CA - PFM</t>
  </si>
  <si>
    <t>Tania Valladares Timana</t>
  </si>
  <si>
    <t xml:space="preserve"> Romina Alarcon </t>
  </si>
  <si>
    <t>Diana Carolina Asmat Cuno</t>
  </si>
  <si>
    <t xml:space="preserve">Minuta Firmada digital </t>
  </si>
  <si>
    <t>Fabiola Maria Lecca Vargas</t>
  </si>
  <si>
    <t>08034254</t>
  </si>
  <si>
    <t>Elizabeth Mindy Delgado Pereyra</t>
  </si>
  <si>
    <t>Darwin Martin Peralta Conchucos</t>
  </si>
  <si>
    <t>E39</t>
  </si>
  <si>
    <t>Christian Blas Acosta</t>
  </si>
  <si>
    <t xml:space="preserve">CD - Minuta Firmada </t>
  </si>
  <si>
    <t>D13</t>
  </si>
  <si>
    <t>Pendiente FM</t>
  </si>
  <si>
    <t>E44</t>
  </si>
  <si>
    <t>Monto Vendido</t>
  </si>
  <si>
    <t>Mayo</t>
  </si>
  <si>
    <t>Relación</t>
  </si>
  <si>
    <t>Septiembre</t>
  </si>
  <si>
    <t>PROSPECTO</t>
  </si>
  <si>
    <t>SEPARACION</t>
  </si>
  <si>
    <t>VENDIDO</t>
  </si>
  <si>
    <t>DESISTE</t>
  </si>
  <si>
    <t>Conversión</t>
  </si>
  <si>
    <t xml:space="preserve">Ventas Prada </t>
  </si>
  <si>
    <t>Cantidad</t>
  </si>
  <si>
    <t>Medio Captacion</t>
  </si>
  <si>
    <t>Venta Total</t>
  </si>
  <si>
    <t xml:space="preserve">Prada - Minutas </t>
  </si>
  <si>
    <t xml:space="preserve">Abril </t>
  </si>
  <si>
    <t xml:space="preserve">PA </t>
  </si>
  <si>
    <t xml:space="preserve">Mayo </t>
  </si>
  <si>
    <t xml:space="preserve">Junio </t>
  </si>
  <si>
    <t xml:space="preserve">Julio </t>
  </si>
  <si>
    <t>CO</t>
  </si>
  <si>
    <t>Prada - Separaciones</t>
  </si>
  <si>
    <t xml:space="preserve">Setiembre </t>
  </si>
  <si>
    <t xml:space="preserve">Octubre </t>
  </si>
  <si>
    <t xml:space="preserve">Noviembre </t>
  </si>
  <si>
    <t xml:space="preserve">Diciembre </t>
  </si>
  <si>
    <t xml:space="preserve">Medios de Captacion </t>
  </si>
  <si>
    <t>Contacto Web</t>
  </si>
  <si>
    <t xml:space="preserve">Feria Inmobiliaria </t>
  </si>
  <si>
    <t xml:space="preserve">Referido </t>
  </si>
  <si>
    <t xml:space="preserve">Urbania </t>
  </si>
  <si>
    <t xml:space="preserve">Instagram </t>
  </si>
  <si>
    <t>Caseta de Ventas</t>
  </si>
  <si>
    <t>Whatsapp</t>
  </si>
  <si>
    <t>Ventas Beyond</t>
  </si>
  <si>
    <t xml:space="preserve">Beyond - Minutas </t>
  </si>
  <si>
    <t xml:space="preserve">Beyond  - Separaciones </t>
  </si>
  <si>
    <t>Medio de Captacion</t>
  </si>
  <si>
    <t>Ventas Venecia</t>
  </si>
  <si>
    <t xml:space="preserve">Venecia - Minutas </t>
  </si>
  <si>
    <t xml:space="preserve">Venecia - Separaciones </t>
  </si>
  <si>
    <t>Medios de Captacion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</si>
</sst>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S/&quot;\ * #,##0.00_-;\-&quot;S/&quot;\ * #,##0.00_-;_-&quot;S/&quot;\ * &quot;-&quot;??_-;_-@_-"/>
    <numFmt numFmtId="164" formatCode="_-[$S/-280A]\ * #,##0.00_-;\-[$S/-280A]\ * #,##0.00_-;_-[$S/-280A]\ * &quot;-&quot;??_-;_-@_-"/>
    <numFmt numFmtId="165" formatCode="_-[$USD]\ * #,##0.00_-;\-[$USD]\ * #,##0.00_-;_-[$USD]\ * &quot;-&quot;??_-;_-@_-"/>
    <numFmt numFmtId="166" formatCode="00.00\ &quot;m2&quot;"/>
    <numFmt numFmtId="167" formatCode="General\ &quot;días&quot;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2" tint="-0.89999084444715716"/>
      <name val="Arial"/>
      <family val="2"/>
    </font>
    <font>
      <b/>
      <sz val="11"/>
      <color theme="2" tint="-0.89999084444715716"/>
      <name val="Arial"/>
      <family val="2"/>
    </font>
    <font>
      <b/>
      <u val="singleAccounting"/>
      <sz val="11"/>
      <color theme="1"/>
      <name val="Arial"/>
      <family val="2"/>
    </font>
    <font>
      <u/>
      <sz val="11"/>
      <color theme="2" tint="-0.89999084444715716"/>
      <name val="Arial"/>
      <family val="2"/>
    </font>
    <font>
      <u/>
      <sz val="11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rial"/>
      <family val="2"/>
    </font>
    <font>
      <u val="singleAccounting"/>
      <sz val="11"/>
      <name val="Arial"/>
      <family val="2"/>
    </font>
    <font>
      <b/>
      <sz val="11"/>
      <color theme="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sz val="14"/>
      <color rgb="FF00206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9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6" fillId="0" borderId="0" xfId="0" applyFont="1"/>
    <xf numFmtId="44" fontId="6" fillId="0" borderId="0" xfId="1" applyFont="1"/>
    <xf numFmtId="14" fontId="2" fillId="2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4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3" fillId="0" borderId="0" xfId="0" applyNumberFormat="1" applyFont="1"/>
    <xf numFmtId="0" fontId="9" fillId="0" borderId="2" xfId="0" applyFont="1" applyBorder="1" applyAlignment="1">
      <alignment horizontal="center" vertical="center"/>
    </xf>
    <xf numFmtId="0" fontId="0" fillId="0" borderId="2" xfId="0" applyBorder="1"/>
    <xf numFmtId="9" fontId="8" fillId="0" borderId="3" xfId="2" applyFont="1" applyBorder="1" applyAlignment="1">
      <alignment horizontal="center" vertical="center"/>
    </xf>
    <xf numFmtId="44" fontId="7" fillId="0" borderId="0" xfId="1" applyFont="1" applyAlignment="1">
      <alignment horizontal="center" vertical="center"/>
    </xf>
    <xf numFmtId="44" fontId="8" fillId="0" borderId="3" xfId="2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44" fontId="0" fillId="5" borderId="0" xfId="1" applyFont="1" applyFill="1"/>
    <xf numFmtId="44" fontId="0" fillId="5" borderId="0" xfId="1" applyFont="1" applyFill="1" applyAlignment="1">
      <alignment horizontal="center" vertical="center"/>
    </xf>
    <xf numFmtId="166" fontId="0" fillId="5" borderId="0" xfId="1" applyNumberFormat="1" applyFont="1" applyFill="1" applyAlignment="1">
      <alignment horizontal="center" vertical="center"/>
    </xf>
    <xf numFmtId="0" fontId="0" fillId="5" borderId="0" xfId="1" applyNumberFormat="1" applyFont="1" applyFill="1" applyAlignment="1">
      <alignment horizontal="center" vertical="center"/>
    </xf>
    <xf numFmtId="164" fontId="0" fillId="5" borderId="0" xfId="0" applyNumberFormat="1" applyFill="1"/>
    <xf numFmtId="165" fontId="0" fillId="5" borderId="0" xfId="0" applyNumberFormat="1" applyFill="1"/>
    <xf numFmtId="14" fontId="0" fillId="5" borderId="0" xfId="0" applyNumberFormat="1" applyFill="1" applyAlignment="1">
      <alignment horizontal="center"/>
    </xf>
    <xf numFmtId="14" fontId="0" fillId="5" borderId="0" xfId="0" applyNumberFormat="1" applyFill="1"/>
    <xf numFmtId="44" fontId="0" fillId="5" borderId="0" xfId="0" applyNumberFormat="1" applyFill="1"/>
    <xf numFmtId="0" fontId="10" fillId="5" borderId="0" xfId="0" applyFont="1" applyFill="1" applyAlignment="1">
      <alignment horizontal="center"/>
    </xf>
    <xf numFmtId="9" fontId="0" fillId="5" borderId="0" xfId="2" applyFont="1" applyFill="1" applyAlignment="1">
      <alignment horizontal="center"/>
    </xf>
    <xf numFmtId="0" fontId="7" fillId="0" borderId="0" xfId="0" applyFont="1" applyAlignment="1">
      <alignment horizontal="left" vertical="center"/>
    </xf>
    <xf numFmtId="14" fontId="0" fillId="5" borderId="0" xfId="0" applyNumberFormat="1" applyFill="1" applyAlignment="1">
      <alignment horizontal="right"/>
    </xf>
    <xf numFmtId="164" fontId="2" fillId="0" borderId="5" xfId="0" applyNumberFormat="1" applyFont="1" applyBorder="1"/>
    <xf numFmtId="0" fontId="0" fillId="5" borderId="0" xfId="0" quotePrefix="1" applyFill="1" applyAlignment="1">
      <alignment horizontal="center"/>
    </xf>
    <xf numFmtId="16" fontId="0" fillId="5" borderId="0" xfId="0" applyNumberFormat="1" applyFill="1"/>
    <xf numFmtId="0" fontId="7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1" fillId="0" borderId="0" xfId="0" applyFont="1"/>
    <xf numFmtId="2" fontId="11" fillId="0" borderId="0" xfId="0" applyNumberFormat="1" applyFont="1"/>
    <xf numFmtId="0" fontId="12" fillId="0" borderId="7" xfId="0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14" fontId="12" fillId="0" borderId="7" xfId="0" applyNumberFormat="1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left"/>
    </xf>
    <xf numFmtId="164" fontId="13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left"/>
    </xf>
    <xf numFmtId="164" fontId="13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164" fontId="12" fillId="0" borderId="8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/>
    </xf>
    <xf numFmtId="164" fontId="12" fillId="0" borderId="9" xfId="0" applyNumberFormat="1" applyFont="1" applyBorder="1" applyAlignment="1">
      <alignment horizontal="center"/>
    </xf>
    <xf numFmtId="164" fontId="12" fillId="0" borderId="6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2" fillId="0" borderId="9" xfId="0" applyNumberFormat="1" applyFont="1" applyBorder="1" applyAlignment="1">
      <alignment horizontal="center" vertical="center"/>
    </xf>
    <xf numFmtId="0" fontId="13" fillId="6" borderId="6" xfId="0" applyFont="1" applyFill="1" applyBorder="1" applyAlignment="1">
      <alignment horizontal="center"/>
    </xf>
    <xf numFmtId="2" fontId="13" fillId="6" borderId="6" xfId="0" applyNumberFormat="1" applyFont="1" applyFill="1" applyBorder="1" applyAlignment="1">
      <alignment horizontal="center"/>
    </xf>
    <xf numFmtId="164" fontId="15" fillId="0" borderId="5" xfId="0" applyNumberFormat="1" applyFont="1" applyBorder="1"/>
    <xf numFmtId="14" fontId="12" fillId="0" borderId="6" xfId="0" applyNumberFormat="1" applyFont="1" applyBorder="1" applyAlignment="1">
      <alignment vertical="center"/>
    </xf>
    <xf numFmtId="14" fontId="12" fillId="0" borderId="9" xfId="0" applyNumberFormat="1" applyFont="1" applyBorder="1" applyAlignment="1">
      <alignment vertical="center"/>
    </xf>
    <xf numFmtId="14" fontId="12" fillId="0" borderId="6" xfId="0" applyNumberFormat="1" applyFont="1" applyBorder="1" applyAlignment="1">
      <alignment horizontal="left" vertical="center"/>
    </xf>
    <xf numFmtId="14" fontId="16" fillId="0" borderId="6" xfId="0" applyNumberFormat="1" applyFont="1" applyBorder="1" applyAlignment="1">
      <alignment horizontal="left"/>
    </xf>
    <xf numFmtId="164" fontId="16" fillId="0" borderId="6" xfId="0" applyNumberFormat="1" applyFont="1" applyBorder="1" applyAlignment="1">
      <alignment horizontal="center"/>
    </xf>
    <xf numFmtId="0" fontId="13" fillId="8" borderId="7" xfId="0" applyFont="1" applyFill="1" applyBorder="1" applyAlignment="1">
      <alignment horizontal="center"/>
    </xf>
    <xf numFmtId="2" fontId="13" fillId="8" borderId="7" xfId="0" applyNumberFormat="1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2" fontId="13" fillId="7" borderId="7" xfId="0" applyNumberFormat="1" applyFont="1" applyFill="1" applyBorder="1" applyAlignment="1">
      <alignment horizontal="center"/>
    </xf>
    <xf numFmtId="0" fontId="17" fillId="0" borderId="6" xfId="0" applyFont="1" applyBorder="1" applyAlignment="1">
      <alignment horizontal="left"/>
    </xf>
    <xf numFmtId="164" fontId="17" fillId="0" borderId="6" xfId="0" applyNumberFormat="1" applyFont="1" applyBorder="1" applyAlignment="1">
      <alignment horizontal="center"/>
    </xf>
    <xf numFmtId="14" fontId="12" fillId="0" borderId="7" xfId="0" applyNumberFormat="1" applyFon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1" fontId="19" fillId="0" borderId="5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44" fontId="0" fillId="5" borderId="0" xfId="1" applyFont="1" applyFill="1" applyAlignment="1">
      <alignment vertical="center"/>
    </xf>
    <xf numFmtId="164" fontId="0" fillId="5" borderId="0" xfId="0" applyNumberFormat="1" applyFill="1" applyAlignment="1">
      <alignment vertical="center"/>
    </xf>
    <xf numFmtId="14" fontId="12" fillId="0" borderId="1" xfId="0" applyNumberFormat="1" applyFont="1" applyBorder="1" applyAlignment="1">
      <alignment vertical="center"/>
    </xf>
    <xf numFmtId="14" fontId="18" fillId="5" borderId="0" xfId="0" applyNumberFormat="1" applyFont="1" applyFill="1" applyAlignment="1">
      <alignment horizontal="right"/>
    </xf>
    <xf numFmtId="14" fontId="13" fillId="0" borderId="8" xfId="0" applyNumberFormat="1" applyFont="1" applyBorder="1" applyAlignment="1">
      <alignment horizontal="left"/>
    </xf>
    <xf numFmtId="164" fontId="13" fillId="0" borderId="8" xfId="0" applyNumberFormat="1" applyFont="1" applyBorder="1" applyAlignment="1">
      <alignment horizontal="center"/>
    </xf>
    <xf numFmtId="14" fontId="16" fillId="0" borderId="9" xfId="0" applyNumberFormat="1" applyFont="1" applyBorder="1" applyAlignment="1">
      <alignment horizontal="left"/>
    </xf>
    <xf numFmtId="14" fontId="16" fillId="0" borderId="7" xfId="0" applyNumberFormat="1" applyFont="1" applyBorder="1" applyAlignment="1">
      <alignment horizontal="left"/>
    </xf>
    <xf numFmtId="14" fontId="16" fillId="0" borderId="8" xfId="0" applyNumberFormat="1" applyFont="1" applyBorder="1" applyAlignment="1">
      <alignment horizontal="left"/>
    </xf>
    <xf numFmtId="0" fontId="0" fillId="0" borderId="4" xfId="0" applyBorder="1"/>
    <xf numFmtId="14" fontId="13" fillId="0" borderId="7" xfId="0" applyNumberFormat="1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2" fillId="7" borderId="7" xfId="0" applyFont="1" applyFill="1" applyBorder="1" applyAlignment="1">
      <alignment horizontal="center"/>
    </xf>
    <xf numFmtId="164" fontId="12" fillId="5" borderId="6" xfId="0" applyNumberFormat="1" applyFont="1" applyFill="1" applyBorder="1" applyAlignment="1">
      <alignment horizontal="center"/>
    </xf>
    <xf numFmtId="164" fontId="17" fillId="5" borderId="6" xfId="0" applyNumberFormat="1" applyFont="1" applyFill="1" applyBorder="1" applyAlignment="1">
      <alignment horizontal="center"/>
    </xf>
    <xf numFmtId="164" fontId="12" fillId="5" borderId="7" xfId="0" applyNumberFormat="1" applyFont="1" applyFill="1" applyBorder="1" applyAlignment="1">
      <alignment horizontal="center"/>
    </xf>
    <xf numFmtId="164" fontId="12" fillId="5" borderId="8" xfId="0" applyNumberFormat="1" applyFont="1" applyFill="1" applyBorder="1" applyAlignment="1">
      <alignment horizontal="center"/>
    </xf>
    <xf numFmtId="0" fontId="12" fillId="5" borderId="0" xfId="0" applyFont="1" applyFill="1"/>
    <xf numFmtId="164" fontId="20" fillId="5" borderId="7" xfId="0" applyNumberFormat="1" applyFont="1" applyFill="1" applyBorder="1" applyAlignment="1">
      <alignment horizontal="center"/>
    </xf>
    <xf numFmtId="164" fontId="20" fillId="5" borderId="9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12" xfId="0" applyFont="1" applyBorder="1" applyAlignment="1">
      <alignment horizontal="left"/>
    </xf>
    <xf numFmtId="164" fontId="12" fillId="0" borderId="12" xfId="0" applyNumberFormat="1" applyFont="1" applyBorder="1" applyAlignment="1">
      <alignment horizontal="center"/>
    </xf>
    <xf numFmtId="0" fontId="12" fillId="0" borderId="11" xfId="0" applyFont="1" applyBorder="1" applyAlignment="1">
      <alignment horizontal="left"/>
    </xf>
    <xf numFmtId="164" fontId="12" fillId="0" borderId="11" xfId="0" applyNumberFormat="1" applyFont="1" applyBorder="1" applyAlignment="1">
      <alignment horizontal="center"/>
    </xf>
    <xf numFmtId="0" fontId="11" fillId="0" borderId="6" xfId="0" applyFont="1" applyBorder="1"/>
    <xf numFmtId="0" fontId="11" fillId="0" borderId="6" xfId="0" applyFont="1" applyBorder="1" applyAlignment="1">
      <alignment horizontal="center"/>
    </xf>
    <xf numFmtId="14" fontId="12" fillId="0" borderId="0" xfId="0" applyNumberFormat="1" applyFont="1" applyAlignment="1">
      <alignment horizontal="center" vertical="center"/>
    </xf>
    <xf numFmtId="0" fontId="19" fillId="0" borderId="6" xfId="0" applyFont="1" applyBorder="1"/>
    <xf numFmtId="0" fontId="19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/>
    <xf numFmtId="0" fontId="19" fillId="0" borderId="0" xfId="0" applyFont="1"/>
    <xf numFmtId="0" fontId="17" fillId="0" borderId="8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5" borderId="0" xfId="0" quotePrefix="1" applyNumberFormat="1" applyFill="1" applyAlignment="1">
      <alignment horizontal="center"/>
    </xf>
    <xf numFmtId="167" fontId="3" fillId="0" borderId="0" xfId="0" applyNumberFormat="1" applyFont="1"/>
    <xf numFmtId="167" fontId="2" fillId="2" borderId="1" xfId="0" applyNumberFormat="1" applyFont="1" applyFill="1" applyBorder="1" applyAlignment="1">
      <alignment horizontal="center" vertical="center" wrapText="1"/>
    </xf>
    <xf numFmtId="167" fontId="0" fillId="5" borderId="0" xfId="0" applyNumberFormat="1" applyFill="1"/>
    <xf numFmtId="167" fontId="0" fillId="0" borderId="0" xfId="0" applyNumberFormat="1"/>
    <xf numFmtId="0" fontId="0" fillId="0" borderId="0" xfId="0" applyAlignment="1">
      <alignment horizontal="center" vertical="center" wrapText="1"/>
    </xf>
    <xf numFmtId="0" fontId="18" fillId="5" borderId="0" xfId="0" applyFont="1" applyFill="1" applyAlignment="1">
      <alignment horizontal="center"/>
    </xf>
    <xf numFmtId="0" fontId="18" fillId="5" borderId="0" xfId="0" applyFont="1" applyFill="1"/>
    <xf numFmtId="0" fontId="18" fillId="5" borderId="0" xfId="1" applyNumberFormat="1" applyFont="1" applyFill="1" applyAlignment="1">
      <alignment horizontal="center" vertical="center"/>
    </xf>
    <xf numFmtId="44" fontId="18" fillId="5" borderId="0" xfId="1" applyFont="1" applyFill="1"/>
    <xf numFmtId="164" fontId="18" fillId="5" borderId="0" xfId="0" applyNumberFormat="1" applyFont="1" applyFill="1"/>
    <xf numFmtId="14" fontId="18" fillId="5" borderId="0" xfId="0" applyNumberFormat="1" applyFont="1" applyFill="1" applyAlignment="1">
      <alignment horizontal="center"/>
    </xf>
    <xf numFmtId="0" fontId="18" fillId="5" borderId="0" xfId="0" quotePrefix="1" applyFont="1" applyFill="1" applyAlignment="1">
      <alignment horizontal="center"/>
    </xf>
    <xf numFmtId="14" fontId="18" fillId="5" borderId="0" xfId="0" applyNumberFormat="1" applyFont="1" applyFill="1"/>
    <xf numFmtId="0" fontId="18" fillId="0" borderId="0" xfId="0" applyFont="1"/>
    <xf numFmtId="0" fontId="22" fillId="5" borderId="0" xfId="0" applyFont="1" applyFill="1" applyAlignment="1">
      <alignment horizontal="center"/>
    </xf>
    <xf numFmtId="0" fontId="22" fillId="5" borderId="0" xfId="0" applyFont="1" applyFill="1"/>
    <xf numFmtId="0" fontId="22" fillId="5" borderId="0" xfId="1" applyNumberFormat="1" applyFont="1" applyFill="1" applyAlignment="1">
      <alignment horizontal="center" vertical="center"/>
    </xf>
    <xf numFmtId="44" fontId="22" fillId="5" borderId="0" xfId="1" applyFont="1" applyFill="1"/>
    <xf numFmtId="164" fontId="22" fillId="5" borderId="0" xfId="0" applyNumberFormat="1" applyFont="1" applyFill="1"/>
    <xf numFmtId="14" fontId="22" fillId="5" borderId="0" xfId="0" applyNumberFormat="1" applyFont="1" applyFill="1" applyAlignment="1">
      <alignment horizontal="center"/>
    </xf>
    <xf numFmtId="0" fontId="22" fillId="5" borderId="0" xfId="0" quotePrefix="1" applyFont="1" applyFill="1" applyAlignment="1">
      <alignment horizontal="center"/>
    </xf>
    <xf numFmtId="14" fontId="22" fillId="5" borderId="0" xfId="0" applyNumberFormat="1" applyFont="1" applyFill="1"/>
    <xf numFmtId="14" fontId="22" fillId="5" borderId="0" xfId="0" applyNumberFormat="1" applyFont="1" applyFill="1" applyAlignment="1">
      <alignment horizontal="right"/>
    </xf>
    <xf numFmtId="0" fontId="22" fillId="0" borderId="0" xfId="0" applyFont="1"/>
    <xf numFmtId="0" fontId="23" fillId="5" borderId="0" xfId="0" applyFont="1" applyFill="1" applyAlignment="1">
      <alignment horizontal="center"/>
    </xf>
    <xf numFmtId="0" fontId="23" fillId="5" borderId="0" xfId="0" applyFont="1" applyFill="1"/>
    <xf numFmtId="0" fontId="23" fillId="5" borderId="0" xfId="1" applyNumberFormat="1" applyFont="1" applyFill="1" applyAlignment="1">
      <alignment horizontal="center" vertical="center"/>
    </xf>
    <xf numFmtId="44" fontId="23" fillId="5" borderId="0" xfId="1" applyFont="1" applyFill="1"/>
    <xf numFmtId="164" fontId="23" fillId="5" borderId="0" xfId="0" applyNumberFormat="1" applyFont="1" applyFill="1"/>
    <xf numFmtId="14" fontId="23" fillId="5" borderId="0" xfId="0" applyNumberFormat="1" applyFont="1" applyFill="1" applyAlignment="1">
      <alignment horizontal="center"/>
    </xf>
    <xf numFmtId="0" fontId="23" fillId="5" borderId="0" xfId="0" quotePrefix="1" applyFont="1" applyFill="1" applyAlignment="1">
      <alignment horizontal="center"/>
    </xf>
    <xf numFmtId="14" fontId="23" fillId="5" borderId="0" xfId="0" applyNumberFormat="1" applyFont="1" applyFill="1"/>
    <xf numFmtId="14" fontId="23" fillId="5" borderId="0" xfId="0" applyNumberFormat="1" applyFont="1" applyFill="1" applyAlignment="1">
      <alignment horizontal="right"/>
    </xf>
    <xf numFmtId="0" fontId="23" fillId="0" borderId="0" xfId="0" applyFont="1"/>
    <xf numFmtId="0" fontId="23" fillId="5" borderId="0" xfId="0" applyFont="1" applyFill="1" applyAlignment="1">
      <alignment horizontal="center" vertical="center"/>
    </xf>
    <xf numFmtId="44" fontId="23" fillId="5" borderId="0" xfId="1" applyFont="1" applyFill="1" applyAlignment="1">
      <alignment vertical="center"/>
    </xf>
    <xf numFmtId="164" fontId="23" fillId="5" borderId="0" xfId="0" applyNumberFormat="1" applyFont="1" applyFill="1" applyAlignment="1">
      <alignment vertical="center"/>
    </xf>
    <xf numFmtId="0" fontId="23" fillId="5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44" fontId="8" fillId="0" borderId="0" xfId="2" applyNumberFormat="1" applyFont="1" applyBorder="1" applyAlignment="1">
      <alignment horizontal="center" vertical="center"/>
    </xf>
    <xf numFmtId="9" fontId="0" fillId="5" borderId="0" xfId="2" applyFont="1" applyFill="1"/>
    <xf numFmtId="44" fontId="24" fillId="0" borderId="0" xfId="1" applyFont="1" applyAlignment="1">
      <alignment horizontal="center" vertical="center"/>
    </xf>
    <xf numFmtId="44" fontId="24" fillId="0" borderId="5" xfId="1" applyFont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10" fontId="0" fillId="5" borderId="0" xfId="2" applyNumberFormat="1" applyFont="1" applyFill="1" applyAlignment="1">
      <alignment horizontal="center"/>
    </xf>
    <xf numFmtId="16" fontId="0" fillId="5" borderId="0" xfId="0" applyNumberFormat="1" applyFill="1" applyAlignment="1">
      <alignment horizontal="right"/>
    </xf>
    <xf numFmtId="10" fontId="23" fillId="5" borderId="0" xfId="2" applyNumberFormat="1" applyFont="1" applyFill="1" applyAlignment="1">
      <alignment horizontal="center"/>
    </xf>
    <xf numFmtId="44" fontId="23" fillId="5" borderId="0" xfId="0" applyNumberFormat="1" applyFont="1" applyFill="1"/>
    <xf numFmtId="16" fontId="23" fillId="5" borderId="0" xfId="0" applyNumberFormat="1" applyFont="1" applyFill="1"/>
    <xf numFmtId="44" fontId="10" fillId="5" borderId="0" xfId="0" applyNumberFormat="1" applyFont="1" applyFill="1" applyAlignment="1">
      <alignment horizontal="center"/>
    </xf>
    <xf numFmtId="44" fontId="25" fillId="5" borderId="0" xfId="0" applyNumberFormat="1" applyFont="1" applyFill="1" applyAlignment="1">
      <alignment horizontal="center"/>
    </xf>
    <xf numFmtId="14" fontId="23" fillId="5" borderId="0" xfId="0" quotePrefix="1" applyNumberFormat="1" applyFont="1" applyFill="1" applyAlignment="1">
      <alignment horizontal="center"/>
    </xf>
    <xf numFmtId="14" fontId="18" fillId="5" borderId="0" xfId="0" quotePrefix="1" applyNumberFormat="1" applyFont="1" applyFill="1" applyAlignment="1">
      <alignment horizontal="center"/>
    </xf>
    <xf numFmtId="14" fontId="22" fillId="5" borderId="0" xfId="0" quotePrefix="1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9" borderId="0" xfId="0" applyFont="1" applyFill="1" applyAlignment="1">
      <alignment horizontal="left"/>
    </xf>
    <xf numFmtId="0" fontId="21" fillId="10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4" fontId="12" fillId="0" borderId="10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14" fontId="12" fillId="0" borderId="8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4" fontId="12" fillId="0" borderId="10" xfId="0" applyNumberFormat="1" applyFont="1" applyBorder="1" applyAlignment="1">
      <alignment vertical="center"/>
    </xf>
    <xf numFmtId="14" fontId="12" fillId="0" borderId="8" xfId="0" applyNumberFormat="1" applyFont="1" applyBorder="1" applyAlignment="1">
      <alignment vertical="center"/>
    </xf>
    <xf numFmtId="14" fontId="12" fillId="0" borderId="7" xfId="0" applyNumberFormat="1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6" borderId="6" xfId="0" applyFont="1" applyFill="1" applyBorder="1" applyAlignment="1">
      <alignment horizontal="center"/>
    </xf>
    <xf numFmtId="164" fontId="13" fillId="0" borderId="7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14" fontId="12" fillId="0" borderId="7" xfId="0" applyNumberFormat="1" applyFont="1" applyBorder="1" applyAlignment="1">
      <alignment horizontal="left" vertical="center"/>
    </xf>
    <xf numFmtId="14" fontId="12" fillId="0" borderId="11" xfId="0" applyNumberFormat="1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left" vertical="center"/>
    </xf>
    <xf numFmtId="14" fontId="12" fillId="0" borderId="8" xfId="0" applyNumberFormat="1" applyFont="1" applyBorder="1" applyAlignment="1">
      <alignment horizontal="left" vertical="center"/>
    </xf>
    <xf numFmtId="0" fontId="14" fillId="7" borderId="6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4" fontId="12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4" fontId="12" fillId="0" borderId="11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164" fontId="12" fillId="0" borderId="9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/>
    </xf>
    <xf numFmtId="0" fontId="14" fillId="8" borderId="6" xfId="0" applyFont="1" applyFill="1" applyBorder="1" applyAlignment="1">
      <alignment horizontal="center"/>
    </xf>
    <xf numFmtId="14" fontId="12" fillId="0" borderId="6" xfId="0" applyNumberFormat="1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44" fontId="12" fillId="0" borderId="10" xfId="1" applyFont="1" applyBorder="1" applyAlignment="1">
      <alignment horizontal="center" vertical="center"/>
    </xf>
    <xf numFmtId="44" fontId="12" fillId="0" borderId="1" xfId="1" applyFont="1" applyBorder="1" applyAlignment="1">
      <alignment horizontal="center" vertical="center"/>
    </xf>
    <xf numFmtId="44" fontId="12" fillId="0" borderId="8" xfId="1" applyFont="1" applyBorder="1" applyAlignment="1">
      <alignment horizontal="center" vertical="center"/>
    </xf>
    <xf numFmtId="14" fontId="12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11">
    <dxf>
      <numFmt numFmtId="34" formatCode="_-&quot;S/&quot;\ * #,##0.00_-;\-&quot;S/&quot;\ * #,##0.00_-;_-&quot;S/&quot;\ * &quot;-&quot;??_-;_-@_-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4" formatCode="_-&quot;S/&quot;\ * #,##0.00_-;\-&quot;S/&quot;\ * #,##0.00_-;_-&quot;S/&quot;\ * &quot;-&quot;??_-;_-@_-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ill>
        <patternFill patternType="solid">
          <bgColor rgb="FFFFFF00"/>
        </patternFill>
      </fill>
    </dxf>
    <dxf>
      <numFmt numFmtId="34" formatCode="_-&quot;S/&quot;\ * #,##0.00_-;\-&quot;S/&quot;\ * #,##0.00_-;_-&quot;S/&quot;\ * &quot;-&quot;??_-;_-@_-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2" formatCode="0.00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2" formatCode="0.00"/>
    </dxf>
    <dxf>
      <alignment wrapText="1"/>
    </dxf>
    <dxf>
      <alignment vertical="center"/>
    </dxf>
    <dxf>
      <alignment horizontal="center"/>
    </dxf>
    <dxf>
      <numFmt numFmtId="167" formatCode="General\ &quot;días&quot;"/>
      <fill>
        <patternFill>
          <fgColor indexed="64"/>
          <bgColor theme="0"/>
        </patternFill>
      </fill>
    </dxf>
    <dxf>
      <numFmt numFmtId="167" formatCode="General\ &quot;días&quot;"/>
      <fill>
        <patternFill>
          <fgColor indexed="64"/>
          <bgColor theme="0"/>
        </patternFill>
      </fill>
    </dxf>
    <dxf>
      <numFmt numFmtId="167" formatCode="General\ &quot;días&quot;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4" formatCode="_-&quot;S/&quot;\ * #,##0.00_-;\-&quot;S/&quot;\ * #,##0.00_-;_-&quot;S/&quot;\ * &quot;-&quot;??_-;_-@_-"/>
      <fill>
        <patternFill>
          <fgColor indexed="64"/>
          <bgColor theme="0"/>
        </patternFill>
      </fill>
    </dxf>
    <dxf>
      <numFmt numFmtId="164" formatCode="_-[$S/-280A]\ * #,##0.00_-;\-[$S/-280A]\ * #,##0.00_-;_-[$S/-280A]\ * &quot;-&quot;??_-;_-@_-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numFmt numFmtId="168" formatCode="dd/mm/yyyy"/>
      <fill>
        <patternFill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_-[$S/-280A]\ * #,##0.00_-;\-[$S/-280A]\ * #,##0.00_-;_-[$S/-280A]\ * &quot;-&quot;??_-;_-@_-"/>
      <fill>
        <patternFill>
          <fgColor indexed="64"/>
          <bgColor theme="0"/>
        </patternFill>
      </fill>
    </dxf>
    <dxf>
      <numFmt numFmtId="164" formatCode="_-[$S/-280A]\ * #,##0.00_-;\-[$S/-280A]\ * #,##0.00_-;_-[$S/-280A]\ * &quot;-&quot;??_-;_-@_-"/>
      <fill>
        <patternFill>
          <fgColor indexed="64"/>
          <bgColor theme="0"/>
        </patternFill>
      </fill>
    </dxf>
    <dxf>
      <numFmt numFmtId="168" formatCode="dd/mm/yyyy"/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numFmt numFmtId="168" formatCode="dd/mm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5" formatCode="_-[$USD]\ * #,##0.00_-;\-[$USD]\ * #,##0.00_-;_-[$USD]\ * &quot;-&quot;??_-;_-@_-"/>
      <fill>
        <patternFill>
          <fgColor indexed="64"/>
          <bgColor theme="0"/>
        </patternFill>
      </fill>
    </dxf>
    <dxf>
      <numFmt numFmtId="164" formatCode="_-[$S/-280A]\ * #,##0.00_-;\-[$S/-280A]\ * #,##0.00_-;_-[$S/-280A]\ * &quot;-&quot;??_-;_-@_-"/>
      <fill>
        <patternFill>
          <fgColor indexed="64"/>
          <bgColor theme="0"/>
        </patternFill>
      </fill>
    </dxf>
    <dxf>
      <numFmt numFmtId="164" formatCode="_-[$S/-280A]\ * #,##0.00_-;\-[$S/-280A]\ * #,##0.00_-;_-[$S/-280A]\ * &quot;-&quot;??_-;_-@_-"/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S/&quot;\ * #,##0.00_-;\-&quot;S/&quot;\ * #,##0.00_-;_-&quot;S/&quot;\ * &quot;-&quot;??_-;_-@_-"/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0.00\ &quot;m2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0.00\ &quot;m2&quot;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numFmt numFmtId="166" formatCode="00.00\ &quot;m2&quot;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numFmt numFmtId="0" formatCode="General"/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numFmt numFmtId="168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8" formatCode="dd/mm/yyyy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</dxf>
    <dxf>
      <numFmt numFmtId="21" formatCode="d\-mmm"/>
      <fill>
        <patternFill>
          <fgColor indexed="64"/>
          <bgColor theme="0"/>
        </patternFill>
      </fill>
    </dxf>
    <dxf>
      <fill>
        <patternFill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numFmt numFmtId="34" formatCode="_-&quot;S/&quot;\ * #,##0.00_-;\-&quot;S/&quot;\ * #,##0.00_-;_-&quot;S/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34" formatCode="_-&quot;S/&quot;\ * #,##0.00_-;\-&quot;S/&quot;\ * #,##0.00_-;_-&quot;S/&quot;\ * &quot;-&quot;??_-;_-@_-"/>
    </dxf>
    <dxf>
      <fill>
        <patternFill patternType="solid">
          <bgColor rgb="FFFFFF00"/>
        </patternFill>
      </fill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numFmt numFmtId="34" formatCode="_-&quot;S/&quot;\ * #,##0.00_-;\-&quot;S/&quot;\ * #,##0.00_-;_-&quot;S/&quot;\ * &quot;-&quot;??_-;_-@_-"/>
    </dxf>
    <dxf>
      <alignment horizontal="center"/>
    </dxf>
    <dxf>
      <alignment vertical="center"/>
    </dxf>
    <dxf>
      <alignment wrapText="1"/>
    </dxf>
    <dxf>
      <numFmt numFmtId="2" formatCode="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2" formatCode="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vertical="center"/>
    </dxf>
    <dxf>
      <alignment horizontal="center"/>
    </dxf>
    <dxf>
      <numFmt numFmtId="167" formatCode="General\ &quot;días&quot;"/>
      <fill>
        <patternFill>
          <fgColor indexed="64"/>
          <bgColor theme="0"/>
        </patternFill>
      </fill>
    </dxf>
    <dxf>
      <numFmt numFmtId="167" formatCode="General\ &quot;días&quot;"/>
      <fill>
        <patternFill>
          <fgColor indexed="64"/>
          <bgColor theme="0"/>
        </patternFill>
      </fill>
    </dxf>
    <dxf>
      <numFmt numFmtId="167" formatCode="General\ &quot;días&quot;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4" formatCode="_-&quot;S/&quot;\ * #,##0.00_-;\-&quot;S/&quot;\ * #,##0.00_-;_-&quot;S/&quot;\ * &quot;-&quot;??_-;_-@_-"/>
      <fill>
        <patternFill>
          <fgColor indexed="64"/>
          <bgColor theme="0"/>
        </patternFill>
      </fill>
    </dxf>
    <dxf>
      <numFmt numFmtId="164" formatCode="_-[$S/-280A]\ * #,##0.00_-;\-[$S/-280A]\ * #,##0.00_-;_-[$S/-280A]\ * &quot;-&quot;??_-;_-@_-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numFmt numFmtId="168" formatCode="dd/mm/yyyy"/>
      <fill>
        <patternFill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68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_-[$S/-280A]\ * #,##0.00_-;\-[$S/-280A]\ * #,##0.00_-;_-[$S/-280A]\ * &quot;-&quot;??_-;_-@_-"/>
      <fill>
        <patternFill>
          <fgColor indexed="64"/>
          <bgColor theme="0"/>
        </patternFill>
      </fill>
    </dxf>
    <dxf>
      <numFmt numFmtId="164" formatCode="_-[$S/-280A]\ * #,##0.00_-;\-[$S/-280A]\ * #,##0.00_-;_-[$S/-280A]\ * &quot;-&quot;??_-;_-@_-"/>
      <fill>
        <patternFill>
          <fgColor indexed="64"/>
          <bgColor theme="0"/>
        </patternFill>
      </fill>
    </dxf>
    <dxf>
      <numFmt numFmtId="168" formatCode="dd/mm/yyyy"/>
      <fill>
        <patternFill>
          <fgColor indexed="64"/>
          <bgColor theme="0"/>
        </patternFill>
      </fill>
    </dxf>
    <dxf>
      <numFmt numFmtId="16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numFmt numFmtId="168" formatCode="dd/mm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5" formatCode="_-[$USD]\ * #,##0.00_-;\-[$USD]\ * #,##0.00_-;_-[$USD]\ * &quot;-&quot;??_-;_-@_-"/>
      <fill>
        <patternFill>
          <fgColor indexed="64"/>
          <bgColor theme="0"/>
        </patternFill>
      </fill>
    </dxf>
    <dxf>
      <numFmt numFmtId="164" formatCode="_-[$S/-280A]\ * #,##0.00_-;\-[$S/-280A]\ * #,##0.00_-;_-[$S/-280A]\ * &quot;-&quot;??_-;_-@_-"/>
      <fill>
        <patternFill>
          <fgColor indexed="64"/>
          <bgColor theme="0"/>
        </patternFill>
      </fill>
    </dxf>
    <dxf>
      <numFmt numFmtId="164" formatCode="_-[$S/-280A]\ * #,##0.00_-;\-[$S/-280A]\ * #,##0.00_-;_-[$S/-280A]\ * &quot;-&quot;??_-;_-@_-"/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S/&quot;\ * #,##0.00_-;\-&quot;S/&quot;\ * #,##0.00_-;_-&quot;S/&quot;\ * &quot;-&quot;??_-;_-@_-"/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0.00\ &quot;m2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0.00\ &quot;m2&quot;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numFmt numFmtId="166" formatCode="00.00\ &quot;m2&quot;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numFmt numFmtId="0" formatCode="General"/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numFmt numFmtId="168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8" formatCode="dd/mm/yyyy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</dxf>
    <dxf>
      <numFmt numFmtId="21" formatCode="d\-mmm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E2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Proyecto Prada</a:t>
            </a:r>
          </a:p>
        </c:rich>
      </c:tx>
      <c:layout>
        <c:manualLayout>
          <c:xMode val="edge"/>
          <c:yMode val="edge"/>
          <c:x val="3.7200212145319524E-2"/>
          <c:y val="3.1385923289837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23842402545743835"/>
          <c:y val="1.2170571372083834E-2"/>
          <c:w val="0.52988769557146642"/>
          <c:h val="0.98764655001977064"/>
        </c:manualLayout>
      </c:layout>
      <c:pieChart>
        <c:varyColors val="1"/>
        <c:ser>
          <c:idx val="0"/>
          <c:order val="0"/>
          <c:tx>
            <c:strRef>
              <c:f>Resumen!$D$33</c:f>
              <c:strCache>
                <c:ptCount val="1"/>
                <c:pt idx="0">
                  <c:v>Dptos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A1-48FB-ACDA-658CF2A69214}"/>
              </c:ext>
            </c:extLst>
          </c:dPt>
          <c:dPt>
            <c:idx val="1"/>
            <c:bubble3D val="0"/>
            <c:spPr>
              <a:solidFill>
                <a:srgbClr val="FFE28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A1-48FB-ACDA-658CF2A69214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A1-48FB-ACDA-658CF2A692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Resumen!$E$32:$G$32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Resumen!$E$33:$G$33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A1-48FB-ACDA-658CF2A69214}"/>
            </c:ext>
          </c:extLst>
        </c:ser>
        <c:ser>
          <c:idx val="1"/>
          <c:order val="1"/>
          <c:tx>
            <c:strRef>
              <c:f>Resumen!$D$34</c:f>
              <c:strCache>
                <c:ptCount val="1"/>
                <c:pt idx="0">
                  <c:v>Estacionamientos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BA1-48FB-ACDA-658CF2A692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ABA1-48FB-ACDA-658CF2A692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BA1-48FB-ACDA-658CF2A692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Resumen!$E$32:$G$32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Resumen!$E$34:$G$34</c:f>
              <c:numCache>
                <c:formatCode>General</c:formatCode>
                <c:ptCount val="3"/>
                <c:pt idx="0">
                  <c:v>27</c:v>
                </c:pt>
                <c:pt idx="1">
                  <c:v>1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A1-48FB-ACDA-658CF2A692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9943781490321"/>
          <c:y val="5.5675662317121372E-2"/>
          <c:w val="0.13996645452134712"/>
          <c:h val="0.14712188612099641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Proyecto Beyond</a:t>
            </a:r>
          </a:p>
        </c:rich>
      </c:tx>
      <c:layout>
        <c:manualLayout>
          <c:xMode val="edge"/>
          <c:yMode val="edge"/>
          <c:x val="3.7200212145319524E-2"/>
          <c:y val="3.1385923289837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23842402545743835"/>
          <c:y val="1.2170571372083834E-2"/>
          <c:w val="0.52988769557146642"/>
          <c:h val="0.98764655001977064"/>
        </c:manualLayout>
      </c:layout>
      <c:pieChart>
        <c:varyColors val="1"/>
        <c:ser>
          <c:idx val="0"/>
          <c:order val="0"/>
          <c:tx>
            <c:strRef>
              <c:f>Resumen!$D$40</c:f>
              <c:strCache>
                <c:ptCount val="1"/>
                <c:pt idx="0">
                  <c:v>Dptos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DE-46F3-89D5-58488E40FCDA}"/>
              </c:ext>
            </c:extLst>
          </c:dPt>
          <c:dPt>
            <c:idx val="1"/>
            <c:bubble3D val="0"/>
            <c:spPr>
              <a:solidFill>
                <a:srgbClr val="FFE28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DE-46F3-89D5-58488E40FCDA}"/>
              </c:ext>
            </c:extLst>
          </c:dPt>
          <c:dPt>
            <c:idx val="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DE-46F3-89D5-58488E40FC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Resumen!$E$32:$G$32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Resumen!$E$40:$G$40</c:f>
              <c:numCache>
                <c:formatCode>General</c:formatCode>
                <c:ptCount val="3"/>
                <c:pt idx="0">
                  <c:v>64</c:v>
                </c:pt>
                <c:pt idx="1">
                  <c:v>1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DE-46F3-89D5-58488E40FCDA}"/>
            </c:ext>
          </c:extLst>
        </c:ser>
        <c:ser>
          <c:idx val="1"/>
          <c:order val="1"/>
          <c:tx>
            <c:strRef>
              <c:f>Resumen!$D$41</c:f>
              <c:strCache>
                <c:ptCount val="1"/>
                <c:pt idx="0">
                  <c:v>Estacionamientos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2DE-46F3-89D5-58488E40FC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2DE-46F3-89D5-58488E40FC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32DE-46F3-89D5-58488E40FC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Resumen!$E$32:$G$32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Resumen!$E$41:$G$41</c:f>
              <c:numCache>
                <c:formatCode>General</c:formatCode>
                <c:ptCount val="3"/>
                <c:pt idx="0">
                  <c:v>50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2DE-46F3-89D5-58488E40FC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9943781490321"/>
          <c:y val="5.5675662317121372E-2"/>
          <c:w val="0.13996645452134712"/>
          <c:h val="0.14712188612099641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Proyecto Venecia</a:t>
            </a:r>
          </a:p>
        </c:rich>
      </c:tx>
      <c:layout>
        <c:manualLayout>
          <c:xMode val="edge"/>
          <c:yMode val="edge"/>
          <c:x val="3.7200212145319524E-2"/>
          <c:y val="3.1385923289837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23842402545743835"/>
          <c:y val="1.2170571372083834E-2"/>
          <c:w val="0.52988769557146642"/>
          <c:h val="0.98764655001977064"/>
        </c:manualLayout>
      </c:layout>
      <c:pieChart>
        <c:varyColors val="1"/>
        <c:ser>
          <c:idx val="0"/>
          <c:order val="0"/>
          <c:tx>
            <c:strRef>
              <c:f>Resumen!$D$47</c:f>
              <c:strCache>
                <c:ptCount val="1"/>
                <c:pt idx="0">
                  <c:v>Dptos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38-4D89-A689-0B7277A64B79}"/>
              </c:ext>
            </c:extLst>
          </c:dPt>
          <c:dPt>
            <c:idx val="1"/>
            <c:bubble3D val="0"/>
            <c:spPr>
              <a:solidFill>
                <a:srgbClr val="FFE28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38-4D89-A689-0B7277A64B79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38-4D89-A689-0B7277A64B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Resumen!$E$32:$G$32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Resumen!$E$47:$G$47</c:f>
              <c:numCache>
                <c:formatCode>General</c:formatCode>
                <c:ptCount val="3"/>
                <c:pt idx="0">
                  <c:v>34</c:v>
                </c:pt>
                <c:pt idx="1">
                  <c:v>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38-4D89-A689-0B7277A64B79}"/>
            </c:ext>
          </c:extLst>
        </c:ser>
        <c:ser>
          <c:idx val="1"/>
          <c:order val="1"/>
          <c:tx>
            <c:strRef>
              <c:f>Resumen!$D$48</c:f>
              <c:strCache>
                <c:ptCount val="1"/>
                <c:pt idx="0">
                  <c:v>Estacionamientos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538-4D89-A689-0B7277A64B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9538-4D89-A689-0B7277A64B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538-4D89-A689-0B7277A64B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Resumen!$E$32:$G$32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Resumen!$E$48:$G$48</c:f>
              <c:numCache>
                <c:formatCode>General</c:formatCode>
                <c:ptCount val="3"/>
                <c:pt idx="0">
                  <c:v>22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538-4D89-A689-0B7277A64B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9943781490321"/>
          <c:y val="5.5675662317121372E-2"/>
          <c:w val="0.13996645452134712"/>
          <c:h val="0.14712188612099641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 Proyeccion de Ventas - Maxx_v2.01 (1).xlsx]Resumen!Vendido_Medio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Medios de Captación</a:t>
            </a:r>
          </a:p>
        </c:rich>
      </c:tx>
      <c:layout>
        <c:manualLayout>
          <c:xMode val="edge"/>
          <c:yMode val="edge"/>
          <c:x val="0.36675336780635964"/>
          <c:y val="2.0591675722389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E28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FFE285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FFE285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FFE285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FFE285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rgbClr val="FFE285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rgbClr val="FFE285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FFE285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379909212056773"/>
          <c:y val="0.13710669404972262"/>
          <c:w val="0.44650469066626586"/>
          <c:h val="0.83364027207709435"/>
        </c:manualLayout>
      </c:layout>
      <c:pieChart>
        <c:varyColors val="1"/>
        <c:ser>
          <c:idx val="0"/>
          <c:order val="0"/>
          <c:tx>
            <c:strRef>
              <c:f>Resumen!$E$10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B8-45B3-A6BA-6BD4403ECF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B8-45B3-A6BA-6BD4403ECF48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B8-45B3-A6BA-6BD4403ECF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B8-45B3-A6BA-6BD4403ECF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B8-45B3-A6BA-6BD4403ECF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B8-45B3-A6BA-6BD4403ECF4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B8-45B3-A6BA-6BD4403ECF4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EB8-45B3-A6BA-6BD4403ECF4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EB8-45B3-A6BA-6BD4403ECF4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FF2-4F4A-93EE-19393D01B0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Resumen!$D$11:$D$16</c:f>
              <c:strCache>
                <c:ptCount val="5"/>
                <c:pt idx="0">
                  <c:v>Caseta de Venta</c:v>
                </c:pt>
                <c:pt idx="1">
                  <c:v>Contato Web</c:v>
                </c:pt>
                <c:pt idx="2">
                  <c:v>Facebook Leads</c:v>
                </c:pt>
                <c:pt idx="3">
                  <c:v>Urbania</c:v>
                </c:pt>
                <c:pt idx="4">
                  <c:v>Web Maxx</c:v>
                </c:pt>
              </c:strCache>
            </c:strRef>
          </c:cat>
          <c:val>
            <c:numRef>
              <c:f>Resumen!$E$11:$E$16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EB8-45B3-A6BA-6BD4403ECF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 Proyeccion de Ventas - Maxx_v2.01 (1).xlsx]Resumen!Finanaciamiento_Separacion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Medios de Captación - Separaciones</a:t>
            </a:r>
          </a:p>
        </c:rich>
      </c:tx>
      <c:layout>
        <c:manualLayout>
          <c:xMode val="edge"/>
          <c:yMode val="edge"/>
          <c:x val="0.28753299023489048"/>
          <c:y val="2.6839506172839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5456360517286886"/>
          <c:y val="8.496172839506172E-2"/>
          <c:w val="0.47059976247030877"/>
          <c:h val="0.88054444444444446"/>
        </c:manualLayout>
      </c:layout>
      <c:pieChart>
        <c:varyColors val="1"/>
        <c:ser>
          <c:idx val="0"/>
          <c:order val="0"/>
          <c:tx>
            <c:strRef>
              <c:f>Resumen!$E$66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DD-4F34-AEF8-994E837A19F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DD-4F34-AEF8-994E837A19F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DD-4F34-AEF8-994E837A19F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DD-4F34-AEF8-994E837A19F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DD-4F34-AEF8-994E837A19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Resumen!$D$67:$D$70</c:f>
              <c:strCache>
                <c:ptCount val="3"/>
                <c:pt idx="0">
                  <c:v>CD</c:v>
                </c:pt>
                <c:pt idx="1">
                  <c:v>CH</c:v>
                </c:pt>
                <c:pt idx="2">
                  <c:v>PA</c:v>
                </c:pt>
              </c:strCache>
            </c:strRef>
          </c:cat>
          <c:val>
            <c:numRef>
              <c:f>Resumen!$E$67:$E$70</c:f>
              <c:numCache>
                <c:formatCode>General</c:formatCode>
                <c:ptCount val="3"/>
                <c:pt idx="0">
                  <c:v>20</c:v>
                </c:pt>
                <c:pt idx="1">
                  <c:v>59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DD-4F34-AEF8-994E837A19F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 Proyeccion de Ventas - Maxx_v2.01 (1).xlsx]Resumen!Financiamiento_Vendidos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</a:t>
            </a:r>
            <a:r>
              <a:rPr lang="en-US" baseline="0"/>
              <a:t> de Financiamiento - Vendidos</a:t>
            </a:r>
            <a:endParaRPr lang="en-US"/>
          </a:p>
        </c:rich>
      </c:tx>
      <c:layout>
        <c:manualLayout>
          <c:xMode val="edge"/>
          <c:yMode val="edge"/>
          <c:x val="0.33860833333333334"/>
          <c:y val="1.7432098765432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</c:pivotFmt>
      <c:pivotFmt>
        <c:idx val="5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</c:pivotFmt>
      <c:pivotFmt>
        <c:idx val="6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997433862433864"/>
          <c:y val="8.8410617283950624E-2"/>
          <c:w val="0.48835145502645511"/>
          <c:h val="0.9115893827160495"/>
        </c:manualLayout>
      </c:layout>
      <c:pieChart>
        <c:varyColors val="1"/>
        <c:ser>
          <c:idx val="0"/>
          <c:order val="0"/>
          <c:tx>
            <c:strRef>
              <c:f>Resumen!$E$55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B5-49BC-8D38-B9B5C730292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B5-49BC-8D38-B9B5C730292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B5-49BC-8D38-B9B5C730292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B5-49BC-8D38-B9B5C73029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Resumen!$D$56:$D$59</c:f>
              <c:strCache>
                <c:ptCount val="3"/>
                <c:pt idx="0">
                  <c:v>CD</c:v>
                </c:pt>
                <c:pt idx="1">
                  <c:v>CH</c:v>
                </c:pt>
                <c:pt idx="2">
                  <c:v>PA</c:v>
                </c:pt>
              </c:strCache>
            </c:strRef>
          </c:cat>
          <c:val>
            <c:numRef>
              <c:f>Resumen!$E$56:$E$59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B5-49BC-8D38-B9B5C73029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</a:rPr>
              <a:t>Prada</a:t>
            </a:r>
            <a:r>
              <a:rPr lang="es-PE" b="1" baseline="0">
                <a:solidFill>
                  <a:sysClr val="windowText" lastClr="000000"/>
                </a:solidFill>
              </a:rPr>
              <a:t> Stock de Unidades</a:t>
            </a:r>
            <a:endParaRPr lang="es-PE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'Historial Venta Prada '!$I$4</c:f>
              <c:strCache>
                <c:ptCount val="1"/>
                <c:pt idx="0">
                  <c:v>Dptos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14A-42EB-8151-D78F0C0DC410}"/>
              </c:ext>
            </c:extLst>
          </c:dPt>
          <c:dPt>
            <c:idx val="1"/>
            <c:bubble3D val="0"/>
            <c:spPr>
              <a:solidFill>
                <a:srgbClr val="FFE28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4A-42EB-8151-D78F0C0DC410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4A-42EB-8151-D78F0C0DC4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Prada '!$J$3:$L$3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'Historial Venta Prada '!$J$4:$L$4</c:f>
              <c:numCache>
                <c:formatCode>General</c:formatCode>
                <c:ptCount val="3"/>
                <c:pt idx="0">
                  <c:v>19</c:v>
                </c:pt>
                <c:pt idx="1">
                  <c:v>2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A-42EB-8151-D78F0C0DC410}"/>
            </c:ext>
          </c:extLst>
        </c:ser>
        <c:ser>
          <c:idx val="1"/>
          <c:order val="1"/>
          <c:tx>
            <c:strRef>
              <c:f>'Historial Venta Prada '!$I$5</c:f>
              <c:strCache>
                <c:ptCount val="1"/>
                <c:pt idx="0">
                  <c:v>Estacionamientos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4B-4163-B25E-3DFB89C14B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4B-4163-B25E-3DFB89C14B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4B-4163-B25E-3DFB89C14B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Prada '!$J$3:$L$3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'Historial Venta Prada '!$J$5:$L$5</c:f>
              <c:numCache>
                <c:formatCode>General</c:formatCode>
                <c:ptCount val="3"/>
                <c:pt idx="0">
                  <c:v>27</c:v>
                </c:pt>
                <c:pt idx="1">
                  <c:v>1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A-42EB-8151-D78F0C0DC410}"/>
            </c:ext>
          </c:extLst>
        </c:ser>
        <c:ser>
          <c:idx val="2"/>
          <c:order val="2"/>
          <c:tx>
            <c:strRef>
              <c:f>'Historial Venta Prada '!$I$6</c:f>
              <c:strCache>
                <c:ptCount val="1"/>
                <c:pt idx="0">
                  <c:v>Depostisos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E4B-4163-B25E-3DFB89C14B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E4B-4163-B25E-3DFB89C14B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E4B-4163-B25E-3DFB89C14B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Prada '!$J$3:$L$3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'Historial Venta Prada '!$J$6:$L$6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A-42EB-8151-D78F0C0DC41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</a:rPr>
              <a:t>Medio de Captacion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0E-462D-A7E6-73EAA966A64B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0E-462D-A7E6-73EAA966A6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B4-4A30-AEDF-F7774A917AE4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0E-462D-A7E6-73EAA966A6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B4-4A30-AEDF-F7774A917A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8B4-4A30-AEDF-F7774A917AE4}"/>
              </c:ext>
            </c:extLst>
          </c:dPt>
          <c:dPt>
            <c:idx val="6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90E-462D-A7E6-73EAA966A64B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90E-462D-A7E6-73EAA966A6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Prada '!$P$21:$P$28</c:f>
              <c:strCache>
                <c:ptCount val="8"/>
                <c:pt idx="0">
                  <c:v>Nexo Inmobiliario</c:v>
                </c:pt>
                <c:pt idx="1">
                  <c:v>Facebook Leads</c:v>
                </c:pt>
                <c:pt idx="2">
                  <c:v>Contacto Web</c:v>
                </c:pt>
                <c:pt idx="3">
                  <c:v>Feria Inmobiliaria </c:v>
                </c:pt>
                <c:pt idx="4">
                  <c:v>Referido </c:v>
                </c:pt>
                <c:pt idx="5">
                  <c:v>Urbania </c:v>
                </c:pt>
                <c:pt idx="6">
                  <c:v>Instagram </c:v>
                </c:pt>
                <c:pt idx="7">
                  <c:v>Caseta de Ventas</c:v>
                </c:pt>
              </c:strCache>
            </c:strRef>
          </c:cat>
          <c:val>
            <c:numRef>
              <c:f>'Historial Venta Prada '!$Q$21:$Q$28</c:f>
              <c:numCache>
                <c:formatCode>General</c:formatCode>
                <c:ptCount val="8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E-462D-A7E6-73EAA966A64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Beyond Stock Unidades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'Historial Venta Beyond'!$I$4</c:f>
              <c:strCache>
                <c:ptCount val="1"/>
                <c:pt idx="0">
                  <c:v>Dptos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C6-4E89-80FF-062BB3704B76}"/>
              </c:ext>
            </c:extLst>
          </c:dPt>
          <c:dPt>
            <c:idx val="1"/>
            <c:bubble3D val="0"/>
            <c:spPr>
              <a:solidFill>
                <a:srgbClr val="FFE28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0C6-4E89-80FF-062BB3704B76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C6-4E89-80FF-062BB3704B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Beyond'!$J$3:$L$3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'Historial Venta Beyond'!$J$4:$L$4</c:f>
              <c:numCache>
                <c:formatCode>General</c:formatCode>
                <c:ptCount val="3"/>
                <c:pt idx="0">
                  <c:v>74</c:v>
                </c:pt>
                <c:pt idx="1">
                  <c:v>8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6-4E89-80FF-062BB3704B76}"/>
            </c:ext>
          </c:extLst>
        </c:ser>
        <c:ser>
          <c:idx val="1"/>
          <c:order val="1"/>
          <c:tx>
            <c:strRef>
              <c:f>'Historial Venta Beyond'!$I$5</c:f>
              <c:strCache>
                <c:ptCount val="1"/>
                <c:pt idx="0">
                  <c:v>Estacionamientos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BE-4EE5-8518-224E36962A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BE-4EE5-8518-224E36962A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0BE-4EE5-8518-224E36962A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Beyond'!$J$3:$L$3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'Historial Venta Beyond'!$J$5:$L$5</c:f>
              <c:numCache>
                <c:formatCode>General</c:formatCode>
                <c:ptCount val="3"/>
                <c:pt idx="0">
                  <c:v>50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6-4E89-80FF-062BB3704B76}"/>
            </c:ext>
          </c:extLst>
        </c:ser>
        <c:ser>
          <c:idx val="2"/>
          <c:order val="2"/>
          <c:tx>
            <c:strRef>
              <c:f>'Historial Venta Beyond'!$I$6</c:f>
              <c:strCache>
                <c:ptCount val="1"/>
                <c:pt idx="0">
                  <c:v>Depositos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0BE-4EE5-8518-224E36962A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0BE-4EE5-8518-224E36962A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0BE-4EE5-8518-224E36962A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Beyond'!$J$3:$L$3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'Historial Venta Beyond'!$J$6:$L$6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C6-4E89-80FF-062BB3704B7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</a:rPr>
              <a:t>Medio de Captacion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09-49A7-97FC-2C62D5F6F34E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98B-4970-A016-91EDF6EA7D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09-49A7-97FC-2C62D5F6F3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09-49A7-97FC-2C62D5F6F3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09-49A7-97FC-2C62D5F6F34E}"/>
              </c:ext>
            </c:extLst>
          </c:dPt>
          <c:dPt>
            <c:idx val="5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8B-4970-A016-91EDF6EA7D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409-49A7-97FC-2C62D5F6F34E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8B-4970-A016-91EDF6EA7D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Beyond'!$P$18:$P$25</c:f>
              <c:strCache>
                <c:ptCount val="8"/>
                <c:pt idx="0">
                  <c:v>Nexo Inmobiliario</c:v>
                </c:pt>
                <c:pt idx="1">
                  <c:v>Facebook Leads</c:v>
                </c:pt>
                <c:pt idx="2">
                  <c:v>Contacto Web</c:v>
                </c:pt>
                <c:pt idx="3">
                  <c:v>Feria Inmobiliaria </c:v>
                </c:pt>
                <c:pt idx="4">
                  <c:v>Referido </c:v>
                </c:pt>
                <c:pt idx="5">
                  <c:v>Urbania </c:v>
                </c:pt>
                <c:pt idx="6">
                  <c:v>Instagram </c:v>
                </c:pt>
                <c:pt idx="7">
                  <c:v>Caseta de Ventas</c:v>
                </c:pt>
              </c:strCache>
            </c:strRef>
          </c:cat>
          <c:val>
            <c:numRef>
              <c:f>'Historial Venta Beyond'!$Q$18:$Q$25</c:f>
              <c:numCache>
                <c:formatCode>General</c:formatCode>
                <c:ptCount val="8"/>
                <c:pt idx="1">
                  <c:v>4</c:v>
                </c:pt>
                <c:pt idx="5">
                  <c:v>1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B-4970-A016-91EDF6EA7D9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</a:rPr>
              <a:t>Venecia Stock de Unidades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'Historial Venta Venecia'!$I$4</c:f>
              <c:strCache>
                <c:ptCount val="1"/>
                <c:pt idx="0">
                  <c:v>Dptos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A5-426C-A94A-FB381B79E93B}"/>
              </c:ext>
            </c:extLst>
          </c:dPt>
          <c:dPt>
            <c:idx val="1"/>
            <c:bubble3D val="0"/>
            <c:spPr>
              <a:solidFill>
                <a:srgbClr val="FFE28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A5-426C-A94A-FB381B79E93B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A5-426C-A94A-FB381B79E9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Venecia'!$J$3:$L$3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'Historial Venta Venecia'!$J$4:$L$4</c:f>
              <c:numCache>
                <c:formatCode>General</c:formatCode>
                <c:ptCount val="3"/>
                <c:pt idx="0">
                  <c:v>34</c:v>
                </c:pt>
                <c:pt idx="1">
                  <c:v>6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F-4DF9-98F0-148CD1F7A19F}"/>
            </c:ext>
          </c:extLst>
        </c:ser>
        <c:ser>
          <c:idx val="1"/>
          <c:order val="1"/>
          <c:tx>
            <c:strRef>
              <c:f>'Historial Venta Venecia'!$I$5</c:f>
              <c:strCache>
                <c:ptCount val="1"/>
                <c:pt idx="0">
                  <c:v>Estacionamientos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A5-426C-A94A-FB381B79E9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A5-426C-A94A-FB381B79E9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0A5-426C-A94A-FB381B79E9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Venecia'!$J$3:$L$3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'Historial Venta Venecia'!$J$5:$L$5</c:f>
              <c:numCache>
                <c:formatCode>General</c:formatCode>
                <c:ptCount val="3"/>
                <c:pt idx="0">
                  <c:v>22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F-4DF9-98F0-148CD1F7A19F}"/>
            </c:ext>
          </c:extLst>
        </c:ser>
        <c:ser>
          <c:idx val="2"/>
          <c:order val="2"/>
          <c:tx>
            <c:strRef>
              <c:f>'Historial Venta Venecia'!$I$6</c:f>
              <c:strCache>
                <c:ptCount val="1"/>
                <c:pt idx="0">
                  <c:v>Depositos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0A5-426C-A94A-FB381B79E9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0A5-426C-A94A-FB381B79E9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0A5-426C-A94A-FB381B79E9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Venecia'!$J$3:$L$3</c:f>
              <c:strCache>
                <c:ptCount val="3"/>
                <c:pt idx="0">
                  <c:v>Libres </c:v>
                </c:pt>
                <c:pt idx="1">
                  <c:v>Separados</c:v>
                </c:pt>
                <c:pt idx="2">
                  <c:v>Vendidos</c:v>
                </c:pt>
              </c:strCache>
            </c:strRef>
          </c:cat>
          <c:val>
            <c:numRef>
              <c:f>'Historial Venta Venecia'!$J$6:$L$6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CF-4DF9-98F0-148CD1F7A19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</a:rPr>
              <a:t>Medio de Captacion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96-4BC9-9596-2EA240FAEEB0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896-4BC9-9596-2EA240FAEE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BA-4910-9559-D1E179F64B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BA-4910-9559-D1E179F64B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BA-4910-9559-D1E179F64B0D}"/>
              </c:ext>
            </c:extLst>
          </c:dPt>
          <c:dPt>
            <c:idx val="5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896-4BC9-9596-2EA240FAEEB0}"/>
              </c:ext>
            </c:extLst>
          </c:dPt>
          <c:dPt>
            <c:idx val="6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96-4BC9-9596-2EA240FAEEB0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96-4BC9-9596-2EA240FAEE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'Historial Venta Venecia'!$O$16:$O$23</c:f>
              <c:strCache>
                <c:ptCount val="8"/>
                <c:pt idx="0">
                  <c:v>Nexo Inmobiliario</c:v>
                </c:pt>
                <c:pt idx="1">
                  <c:v>Facebook Leads</c:v>
                </c:pt>
                <c:pt idx="2">
                  <c:v>Contacto Web</c:v>
                </c:pt>
                <c:pt idx="3">
                  <c:v>Feria Inmobiliaria </c:v>
                </c:pt>
                <c:pt idx="4">
                  <c:v>Referido </c:v>
                </c:pt>
                <c:pt idx="5">
                  <c:v>Urbania </c:v>
                </c:pt>
                <c:pt idx="6">
                  <c:v>Instagram </c:v>
                </c:pt>
                <c:pt idx="7">
                  <c:v>Caseta de Ventas</c:v>
                </c:pt>
              </c:strCache>
            </c:strRef>
          </c:cat>
          <c:val>
            <c:numRef>
              <c:f>'Historial Venta Venecia'!$P$16:$P$23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4">
                  <c:v>1</c:v>
                </c:pt>
                <c:pt idx="5">
                  <c:v>3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6-4BC9-9596-2EA240FAEEB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17318</xdr:colOff>
      <xdr:row>6</xdr:row>
      <xdr:rowOff>96982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yecto 1">
              <a:extLst>
                <a:ext uri="{FF2B5EF4-FFF2-40B4-BE49-F238E27FC236}">
                  <a16:creationId xmlns:a16="http://schemas.microsoft.com/office/drawing/2014/main" id="{3A7682DD-04E6-F40A-3425-7450B37F74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yec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527711" cy="12399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-1</xdr:colOff>
      <xdr:row>0</xdr:row>
      <xdr:rowOff>0</xdr:rowOff>
    </xdr:from>
    <xdr:to>
      <xdr:col>7</xdr:col>
      <xdr:colOff>36418</xdr:colOff>
      <xdr:row>6</xdr:row>
      <xdr:rowOff>103909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es Minuta 2">
              <a:extLst>
                <a:ext uri="{FF2B5EF4-FFF2-40B4-BE49-F238E27FC236}">
                  <a16:creationId xmlns:a16="http://schemas.microsoft.com/office/drawing/2014/main" id="{FF90A885-EDEF-43EE-A651-49DD746AF1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Minut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0785" y="0"/>
              <a:ext cx="7588383" cy="12469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34636</xdr:colOff>
      <xdr:row>6</xdr:row>
      <xdr:rowOff>103909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ño Minuta 2">
              <a:extLst>
                <a:ext uri="{FF2B5EF4-FFF2-40B4-BE49-F238E27FC236}">
                  <a16:creationId xmlns:a16="http://schemas.microsoft.com/office/drawing/2014/main" id="{65535367-BC21-4D0D-A74D-D1C94E9FF2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Minut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0393" y="0"/>
              <a:ext cx="1545029" cy="12469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7</xdr:row>
      <xdr:rowOff>0</xdr:rowOff>
    </xdr:from>
    <xdr:to>
      <xdr:col>13</xdr:col>
      <xdr:colOff>0</xdr:colOff>
      <xdr:row>28</xdr:row>
      <xdr:rowOff>49500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A18120D-6C68-4A53-9030-2A310447E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13</xdr:col>
      <xdr:colOff>0</xdr:colOff>
      <xdr:row>51</xdr:row>
      <xdr:rowOff>49500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6A5C2418-0615-4FAF-8221-663DC96B2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52</xdr:row>
      <xdr:rowOff>0</xdr:rowOff>
    </xdr:from>
    <xdr:to>
      <xdr:col>13</xdr:col>
      <xdr:colOff>0</xdr:colOff>
      <xdr:row>73</xdr:row>
      <xdr:rowOff>49500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86D31C41-FB7A-4604-BC0C-E669C98CA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7</xdr:row>
      <xdr:rowOff>0</xdr:rowOff>
    </xdr:from>
    <xdr:to>
      <xdr:col>8</xdr:col>
      <xdr:colOff>26590</xdr:colOff>
      <xdr:row>28</xdr:row>
      <xdr:rowOff>49500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2A7DFDE3-F591-49E4-84C7-CF29FE6F5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52</xdr:row>
      <xdr:rowOff>0</xdr:rowOff>
    </xdr:from>
    <xdr:to>
      <xdr:col>8</xdr:col>
      <xdr:colOff>26036</xdr:colOff>
      <xdr:row>73</xdr:row>
      <xdr:rowOff>49500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4E41C3B-9260-4E94-A2E7-2C5788613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8</xdr:col>
      <xdr:colOff>26590</xdr:colOff>
      <xdr:row>51</xdr:row>
      <xdr:rowOff>49500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B31CB6B-259A-401C-9632-6B0D63AF0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933</xdr:colOff>
      <xdr:row>4</xdr:row>
      <xdr:rowOff>9699</xdr:rowOff>
    </xdr:from>
    <xdr:to>
      <xdr:col>6</xdr:col>
      <xdr:colOff>731045</xdr:colOff>
      <xdr:row>8</xdr:row>
      <xdr:rowOff>30616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16ACDDA0-E9C9-1144-05CE-1BEF23C51256}"/>
            </a:ext>
          </a:extLst>
        </xdr:cNvPr>
        <xdr:cNvGrpSpPr/>
      </xdr:nvGrpSpPr>
      <xdr:grpSpPr>
        <a:xfrm>
          <a:off x="3643293" y="946959"/>
          <a:ext cx="3861932" cy="721821"/>
          <a:chOff x="7482909" y="369888"/>
          <a:chExt cx="4641855" cy="782917"/>
        </a:xfrm>
      </xdr:grpSpPr>
      <xdr:sp macro="" textlink="">
        <xdr:nvSpPr>
          <xdr:cNvPr id="5" name="Rectángulo: esquinas superiores cortadas 4">
            <a:extLst>
              <a:ext uri="{FF2B5EF4-FFF2-40B4-BE49-F238E27FC236}">
                <a16:creationId xmlns:a16="http://schemas.microsoft.com/office/drawing/2014/main" id="{56B77E75-F0F3-44CC-AA8C-FE67B35A6357}"/>
              </a:ext>
            </a:extLst>
          </xdr:cNvPr>
          <xdr:cNvSpPr/>
        </xdr:nvSpPr>
        <xdr:spPr>
          <a:xfrm>
            <a:off x="7951557" y="785812"/>
            <a:ext cx="3211471" cy="366993"/>
          </a:xfrm>
          <a:prstGeom prst="snip2SameRect">
            <a:avLst>
              <a:gd name="adj1" fmla="val 50000"/>
              <a:gd name="adj2" fmla="val 50000"/>
            </a:avLst>
          </a:prstGeom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2000" b="1" i="0">
                <a:solidFill>
                  <a:schemeClr val="bg1"/>
                </a:solidFill>
              </a:rPr>
              <a:t>SEPARACIONES</a:t>
            </a:r>
          </a:p>
        </xdr:txBody>
      </xdr:sp>
      <xdr:sp macro="" textlink="$D$1">
        <xdr:nvSpPr>
          <xdr:cNvPr id="6" name="Rectángulo: esquinas superiores cortadas 5">
            <a:extLst>
              <a:ext uri="{FF2B5EF4-FFF2-40B4-BE49-F238E27FC236}">
                <a16:creationId xmlns:a16="http://schemas.microsoft.com/office/drawing/2014/main" id="{8CAC27AC-36B9-44A7-A22A-65D477C73796}"/>
              </a:ext>
            </a:extLst>
          </xdr:cNvPr>
          <xdr:cNvSpPr/>
        </xdr:nvSpPr>
        <xdr:spPr>
          <a:xfrm>
            <a:off x="8856942" y="393700"/>
            <a:ext cx="3267822" cy="368300"/>
          </a:xfrm>
          <a:prstGeom prst="snip2SameRect">
            <a:avLst>
              <a:gd name="adj1" fmla="val 50000"/>
              <a:gd name="adj2" fmla="val 50000"/>
            </a:avLst>
          </a:prstGeom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E216DB0F-D30E-46B4-97BA-3483C9110C21}" type="TxLink">
              <a:rPr lang="en-US" sz="2000" b="1" i="0" u="none" strike="noStrike">
                <a:solidFill>
                  <a:srgbClr val="FFFFFF"/>
                </a:solidFill>
                <a:latin typeface="Aptos Narrow"/>
                <a:ea typeface="+mn-ea"/>
                <a:cs typeface="+mn-cs"/>
              </a:rPr>
              <a:pPr marL="0" indent="0" algn="ctr"/>
              <a:t> S/ 3,822,200.00 </a:t>
            </a:fld>
            <a:endParaRPr lang="es-PE" sz="4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$C$1">
        <xdr:nvSpPr>
          <xdr:cNvPr id="7" name="Rectángulo: esquinas superiores cortadas 6">
            <a:extLst>
              <a:ext uri="{FF2B5EF4-FFF2-40B4-BE49-F238E27FC236}">
                <a16:creationId xmlns:a16="http://schemas.microsoft.com/office/drawing/2014/main" id="{416D1AE2-CCE7-43B9-BDD7-F07C9EDA4197}"/>
              </a:ext>
            </a:extLst>
          </xdr:cNvPr>
          <xdr:cNvSpPr/>
        </xdr:nvSpPr>
        <xdr:spPr>
          <a:xfrm>
            <a:off x="7482909" y="369888"/>
            <a:ext cx="1391320" cy="401918"/>
          </a:xfrm>
          <a:prstGeom prst="snip2SameRect">
            <a:avLst>
              <a:gd name="adj1" fmla="val 50000"/>
              <a:gd name="adj2" fmla="val 50000"/>
            </a:avLst>
          </a:prstGeom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65DE4A1-8059-4D76-AEFC-6369BA54E980}" type="TxLink">
              <a:rPr lang="en-US" sz="2000" b="1" i="0" u="none" strike="noStrike">
                <a:solidFill>
                  <a:srgbClr val="FFFFFF"/>
                </a:solidFill>
                <a:latin typeface="Aptos Narrow"/>
                <a:ea typeface="+mn-ea"/>
                <a:cs typeface="+mn-cs"/>
              </a:rPr>
              <a:pPr marL="0" indent="0" algn="ctr"/>
              <a:t>7</a:t>
            </a:fld>
            <a:endParaRPr lang="es-PE" sz="4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12</xdr:col>
      <xdr:colOff>500062</xdr:colOff>
      <xdr:row>4</xdr:row>
      <xdr:rowOff>2197</xdr:rowOff>
    </xdr:from>
    <xdr:to>
      <xdr:col>16</xdr:col>
      <xdr:colOff>533399</xdr:colOff>
      <xdr:row>7</xdr:row>
      <xdr:rowOff>182879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94D2EFF4-A3C8-1021-B696-127586F5BA62}"/>
            </a:ext>
          </a:extLst>
        </xdr:cNvPr>
        <xdr:cNvGrpSpPr/>
      </xdr:nvGrpSpPr>
      <xdr:grpSpPr>
        <a:xfrm>
          <a:off x="12554902" y="939457"/>
          <a:ext cx="3645217" cy="729322"/>
          <a:chOff x="14121679" y="404916"/>
          <a:chExt cx="3760528" cy="715670"/>
        </a:xfrm>
      </xdr:grpSpPr>
      <xdr:sp macro="" textlink="">
        <xdr:nvSpPr>
          <xdr:cNvPr id="11" name="Rectángulo: esquinas superiores cortadas 10">
            <a:extLst>
              <a:ext uri="{FF2B5EF4-FFF2-40B4-BE49-F238E27FC236}">
                <a16:creationId xmlns:a16="http://schemas.microsoft.com/office/drawing/2014/main" id="{E482E134-9BF5-314F-0E55-7DC58102D6A8}"/>
              </a:ext>
            </a:extLst>
          </xdr:cNvPr>
          <xdr:cNvSpPr/>
        </xdr:nvSpPr>
        <xdr:spPr>
          <a:xfrm>
            <a:off x="14469268" y="762000"/>
            <a:ext cx="2252104" cy="358586"/>
          </a:xfrm>
          <a:prstGeom prst="snip2SameRect">
            <a:avLst>
              <a:gd name="adj1" fmla="val 50000"/>
              <a:gd name="adj2" fmla="val 50000"/>
            </a:avLst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2000" b="1" i="0">
                <a:solidFill>
                  <a:schemeClr val="bg1"/>
                </a:solidFill>
              </a:rPr>
              <a:t>VENDIDOS</a:t>
            </a:r>
          </a:p>
        </xdr:txBody>
      </xdr:sp>
      <xdr:sp macro="" textlink="$O$1">
        <xdr:nvSpPr>
          <xdr:cNvPr id="12" name="Rectángulo: esquinas superiores cortadas 11">
            <a:extLst>
              <a:ext uri="{FF2B5EF4-FFF2-40B4-BE49-F238E27FC236}">
                <a16:creationId xmlns:a16="http://schemas.microsoft.com/office/drawing/2014/main" id="{794D0E6E-CD1C-A525-93B6-F4FB940EADF8}"/>
              </a:ext>
            </a:extLst>
          </xdr:cNvPr>
          <xdr:cNvSpPr/>
        </xdr:nvSpPr>
        <xdr:spPr>
          <a:xfrm>
            <a:off x="15150213" y="404916"/>
            <a:ext cx="2731994" cy="368300"/>
          </a:xfrm>
          <a:prstGeom prst="snip2SameRect">
            <a:avLst>
              <a:gd name="adj1" fmla="val 50000"/>
              <a:gd name="adj2" fmla="val 50000"/>
            </a:avLst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DDCA4827-8B7D-49EB-B019-61325CAEB0C2}" type="TxLink">
              <a:rPr lang="en-US" sz="20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 S/ 3,692,800.00 </a:t>
            </a:fld>
            <a:endParaRPr lang="es-PE" sz="2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$N$1">
        <xdr:nvSpPr>
          <xdr:cNvPr id="13" name="Rectángulo: esquinas superiores cortadas 12">
            <a:extLst>
              <a:ext uri="{FF2B5EF4-FFF2-40B4-BE49-F238E27FC236}">
                <a16:creationId xmlns:a16="http://schemas.microsoft.com/office/drawing/2014/main" id="{C2811BC8-6F70-EED1-61F8-413B3003140E}"/>
              </a:ext>
            </a:extLst>
          </xdr:cNvPr>
          <xdr:cNvSpPr/>
        </xdr:nvSpPr>
        <xdr:spPr>
          <a:xfrm>
            <a:off x="14121679" y="427346"/>
            <a:ext cx="1041991" cy="334371"/>
          </a:xfrm>
          <a:prstGeom prst="snip2SameRect">
            <a:avLst>
              <a:gd name="adj1" fmla="val 50000"/>
              <a:gd name="adj2" fmla="val 50000"/>
            </a:avLst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7768D34C-3A96-45FA-AB6C-446C3C0CD5E8}" type="TxLink">
              <a:rPr lang="en-US" sz="20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8</a:t>
            </a:fld>
            <a:endParaRPr lang="es-PE" sz="2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1008529</xdr:colOff>
      <xdr:row>4</xdr:row>
      <xdr:rowOff>33618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es Separación">
              <a:extLst>
                <a:ext uri="{FF2B5EF4-FFF2-40B4-BE49-F238E27FC236}">
                  <a16:creationId xmlns:a16="http://schemas.microsoft.com/office/drawing/2014/main" id="{89B7BF14-3EC5-B0B4-62C5-C59E387FA0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Separ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7586382" cy="986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0</xdr:row>
      <xdr:rowOff>0</xdr:rowOff>
    </xdr:from>
    <xdr:to>
      <xdr:col>9</xdr:col>
      <xdr:colOff>1681</xdr:colOff>
      <xdr:row>4</xdr:row>
      <xdr:rowOff>44824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Año Separación">
              <a:extLst>
                <a:ext uri="{FF2B5EF4-FFF2-40B4-BE49-F238E27FC236}">
                  <a16:creationId xmlns:a16="http://schemas.microsoft.com/office/drawing/2014/main" id="{6BE19CCD-EE0A-4691-8041-AE32BBD23A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Separ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08794" y="0"/>
              <a:ext cx="1669677" cy="997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687107</xdr:colOff>
      <xdr:row>4</xdr:row>
      <xdr:rowOff>11206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Mes Minuta">
              <a:extLst>
                <a:ext uri="{FF2B5EF4-FFF2-40B4-BE49-F238E27FC236}">
                  <a16:creationId xmlns:a16="http://schemas.microsoft.com/office/drawing/2014/main" id="{A50A9B81-614E-496E-A0E7-3C506DB309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Minu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48265" y="0"/>
              <a:ext cx="8249396" cy="9637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779145</xdr:colOff>
      <xdr:row>4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Año Minuta 1">
              <a:extLst>
                <a:ext uri="{FF2B5EF4-FFF2-40B4-BE49-F238E27FC236}">
                  <a16:creationId xmlns:a16="http://schemas.microsoft.com/office/drawing/2014/main" id="{E672AAB3-561B-4FFF-8B3E-0960A21228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Minu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18206" y="0"/>
              <a:ext cx="1871382" cy="13222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500063</xdr:colOff>
      <xdr:row>6</xdr:row>
      <xdr:rowOff>2197</xdr:rowOff>
    </xdr:from>
    <xdr:to>
      <xdr:col>6</xdr:col>
      <xdr:colOff>3745</xdr:colOff>
      <xdr:row>9</xdr:row>
      <xdr:rowOff>190499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0746500-8B93-4EAC-9F58-76019C98E42E}"/>
            </a:ext>
          </a:extLst>
        </xdr:cNvPr>
        <xdr:cNvGrpSpPr/>
      </xdr:nvGrpSpPr>
      <xdr:grpSpPr>
        <a:xfrm>
          <a:off x="2961323" y="1099477"/>
          <a:ext cx="3869942" cy="729322"/>
          <a:chOff x="14121679" y="404916"/>
          <a:chExt cx="3760528" cy="715670"/>
        </a:xfrm>
      </xdr:grpSpPr>
      <xdr:sp macro="" textlink="">
        <xdr:nvSpPr>
          <xdr:cNvPr id="3" name="Rectángulo: esquinas superiores cortadas 2">
            <a:extLst>
              <a:ext uri="{FF2B5EF4-FFF2-40B4-BE49-F238E27FC236}">
                <a16:creationId xmlns:a16="http://schemas.microsoft.com/office/drawing/2014/main" id="{BC7637EB-E76A-302F-440E-B2688E9F05E2}"/>
              </a:ext>
            </a:extLst>
          </xdr:cNvPr>
          <xdr:cNvSpPr/>
        </xdr:nvSpPr>
        <xdr:spPr>
          <a:xfrm>
            <a:off x="14469268" y="762000"/>
            <a:ext cx="2252104" cy="358586"/>
          </a:xfrm>
          <a:prstGeom prst="snip2SameRect">
            <a:avLst>
              <a:gd name="adj1" fmla="val 50000"/>
              <a:gd name="adj2" fmla="val 50000"/>
            </a:avLst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2000" b="1" i="0">
                <a:solidFill>
                  <a:schemeClr val="bg1"/>
                </a:solidFill>
              </a:rPr>
              <a:t>VENDIDOS</a:t>
            </a:r>
          </a:p>
        </xdr:txBody>
      </xdr:sp>
      <xdr:sp macro="" textlink="$X$1">
        <xdr:nvSpPr>
          <xdr:cNvPr id="4" name="Rectángulo: esquinas superiores cortadas 3">
            <a:extLst>
              <a:ext uri="{FF2B5EF4-FFF2-40B4-BE49-F238E27FC236}">
                <a16:creationId xmlns:a16="http://schemas.microsoft.com/office/drawing/2014/main" id="{51CBDD3E-36DB-0AA0-3A2D-4B5CC689E75F}"/>
              </a:ext>
            </a:extLst>
          </xdr:cNvPr>
          <xdr:cNvSpPr/>
        </xdr:nvSpPr>
        <xdr:spPr>
          <a:xfrm>
            <a:off x="15150213" y="404916"/>
            <a:ext cx="2731994" cy="368300"/>
          </a:xfrm>
          <a:prstGeom prst="snip2SameRect">
            <a:avLst>
              <a:gd name="adj1" fmla="val 50000"/>
              <a:gd name="adj2" fmla="val 50000"/>
            </a:avLst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DDCA4827-8B7D-49EB-B019-61325CAEB0C2}" type="TxLink">
              <a:rPr lang="en-US" sz="20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 </a:t>
            </a:fld>
            <a:endParaRPr lang="es-PE" sz="2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$W$1">
        <xdr:nvSpPr>
          <xdr:cNvPr id="5" name="Rectángulo: esquinas superiores cortadas 4">
            <a:extLst>
              <a:ext uri="{FF2B5EF4-FFF2-40B4-BE49-F238E27FC236}">
                <a16:creationId xmlns:a16="http://schemas.microsoft.com/office/drawing/2014/main" id="{6B2893FD-A2F7-059D-A802-4146F1367C96}"/>
              </a:ext>
            </a:extLst>
          </xdr:cNvPr>
          <xdr:cNvSpPr/>
        </xdr:nvSpPr>
        <xdr:spPr>
          <a:xfrm>
            <a:off x="14121679" y="427346"/>
            <a:ext cx="1041991" cy="334371"/>
          </a:xfrm>
          <a:prstGeom prst="snip2SameRect">
            <a:avLst>
              <a:gd name="adj1" fmla="val 50000"/>
              <a:gd name="adj2" fmla="val 50000"/>
            </a:avLst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7768D34C-3A96-45FA-AB6C-446C3C0CD5E8}" type="TxLink">
              <a:rPr lang="en-US" sz="20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 </a:t>
            </a:fld>
            <a:endParaRPr lang="es-PE" sz="2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923925</xdr:colOff>
      <xdr:row>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ño Minuta">
              <a:extLst>
                <a:ext uri="{FF2B5EF4-FFF2-40B4-BE49-F238E27FC236}">
                  <a16:creationId xmlns:a16="http://schemas.microsoft.com/office/drawing/2014/main" id="{48DFC16C-C870-3DAA-7295-91BE01E4DF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Minu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933450</xdr:colOff>
      <xdr:row>0</xdr:row>
      <xdr:rowOff>0</xdr:rowOff>
    </xdr:from>
    <xdr:to>
      <xdr:col>7</xdr:col>
      <xdr:colOff>733425</xdr:colOff>
      <xdr:row>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es Minuta 1">
              <a:extLst>
                <a:ext uri="{FF2B5EF4-FFF2-40B4-BE49-F238E27FC236}">
                  <a16:creationId xmlns:a16="http://schemas.microsoft.com/office/drawing/2014/main" id="{73E7B388-4B65-28A5-773E-7691170886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Minu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8325" y="0"/>
              <a:ext cx="6553200" cy="102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7</xdr:row>
      <xdr:rowOff>19050</xdr:rowOff>
    </xdr:from>
    <xdr:to>
      <xdr:col>13</xdr:col>
      <xdr:colOff>236220</xdr:colOff>
      <xdr:row>22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7B1697-4F55-3E70-47DD-EF1CD4328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23</xdr:row>
      <xdr:rowOff>133350</xdr:rowOff>
    </xdr:from>
    <xdr:to>
      <xdr:col>13</xdr:col>
      <xdr:colOff>236220</xdr:colOff>
      <xdr:row>39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543463-2A37-7F36-4FB7-378221383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746760</xdr:colOff>
      <xdr:row>7</xdr:row>
      <xdr:rowOff>34290</xdr:rowOff>
    </xdr:from>
    <xdr:to>
      <xdr:col>13</xdr:col>
      <xdr:colOff>205740</xdr:colOff>
      <xdr:row>22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DDED87-D762-96B5-B8DC-B456F0842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1211580</xdr:colOff>
      <xdr:row>23</xdr:row>
      <xdr:rowOff>72390</xdr:rowOff>
    </xdr:from>
    <xdr:to>
      <xdr:col>14</xdr:col>
      <xdr:colOff>670560</xdr:colOff>
      <xdr:row>38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DF1878-4514-4E7C-907D-54FF29B61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57150</xdr:rowOff>
    </xdr:from>
    <xdr:to>
      <xdr:col>13</xdr:col>
      <xdr:colOff>220980</xdr:colOff>
      <xdr:row>22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964B04-B8A6-7366-4A21-A632ECF75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129540</xdr:colOff>
      <xdr:row>23</xdr:row>
      <xdr:rowOff>80010</xdr:rowOff>
    </xdr:from>
    <xdr:to>
      <xdr:col>13</xdr:col>
      <xdr:colOff>350520</xdr:colOff>
      <xdr:row>38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4AB186-D8A3-CFD7-75C0-0B90BF526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galy Guevara" id="{7A540C56-2D75-416E-8CA1-10CF62B73078}" userId="7cfa42c26aefdef8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duardo Huamani" refreshedDate="46127.684746874998" createdVersion="8" refreshedVersion="8" minRefreshableVersion="3" recordCount="104" xr:uid="{4091AB5A-A748-41A3-A853-42613907A796}">
  <cacheSource type="worksheet">
    <worksheetSource name="Registro_Ventas"/>
  </cacheSource>
  <cacheFields count="52">
    <cacheField name="Mes" numFmtId="0">
      <sharedItems/>
    </cacheField>
    <cacheField name="Fecha Captacion" numFmtId="0">
      <sharedItems containsSemiMixedTypes="0" containsDate="1" containsString="0" containsMixedTypes="1" minDate="2022-08-13T00:00:00" maxDate="2026-03-29T00:00:00"/>
    </cacheField>
    <cacheField name="Medio de Capatacion" numFmtId="0">
      <sharedItems containsBlank="1" count="16">
        <s v="Nexo Inmobiliario"/>
        <s v="Facebook Leads"/>
        <s v="Contato Web"/>
        <s v="Caseta de Venta"/>
        <s v="Urbania"/>
        <s v="Feria Urbania"/>
        <s v="Instagram"/>
        <s v="Feria Nexo"/>
        <s v="Referido"/>
        <s v="Web Maxx"/>
        <s v="Web Scotiabank"/>
        <s v="Feria Inmobiliaria"/>
        <m u="1"/>
        <s v="Contacto Web" u="1"/>
        <s v="Whatsapp" u="1"/>
        <s v="Web" u="1"/>
      </sharedItems>
    </cacheField>
    <cacheField name="Categoria" numFmtId="0">
      <sharedItems containsBlank="1" count="9">
        <s v="Vendido"/>
        <s v="Desiste"/>
        <s v="Separación"/>
        <s v="Revisar" u="1"/>
        <s v="Prospecto" u="1"/>
        <s v="Cita Agendada" u="1"/>
        <m u="1"/>
        <s v="SEPARACION" u="1"/>
        <e v="#VALUE!" u="1"/>
      </sharedItems>
    </cacheField>
    <cacheField name="Proyecto" numFmtId="0">
      <sharedItems containsBlank="1" count="7">
        <s v="Prada"/>
        <s v="Venecia"/>
        <s v="Beyond"/>
        <m u="1"/>
        <s v="Vizuale" u="1"/>
        <s v="Vizuale 2" u="1"/>
        <s v="Masias" u="1"/>
      </sharedItems>
    </cacheField>
    <cacheField name="Ejecutivo" numFmtId="0">
      <sharedItems containsBlank="1" count="26">
        <s v="Carla Michue"/>
        <s v="Kary Gutierrez"/>
        <s v="Diana Urcia"/>
        <s v="Juli Vila"/>
        <s v="Kenny Salazar"/>
        <s v="Renzo Salinas"/>
        <s v="Magaly Guevara"/>
        <s v="Vanessa Leiva"/>
        <s v="Administracion"/>
        <m u="1"/>
        <s v="Addriela Rojas" u="1"/>
        <s v="Administracio" u="1"/>
        <s v="Brio - Gloria Infante" u="1"/>
        <s v="Brio - Jose Toledo" u="1"/>
        <s v="Brio Eduardo Pasapera" u="1"/>
        <s v="Kiara Rodriguez" u="1"/>
        <s v="Eduardo Espinoza" u="1"/>
        <s v="OI" u="1"/>
        <s v="Brio - Eduardo" u="1"/>
        <s v="Brio - Ruth Fernandez" u="1"/>
        <s v="MO" u="1"/>
        <s v="Proper" u="1"/>
        <s v="Giomira Gomez" u="1"/>
        <s v="Oscar " u="1"/>
        <s v="Brio - Eduardo Pasapera" u="1"/>
        <s v="Brio Jose Toledo" u="1"/>
      </sharedItems>
    </cacheField>
    <cacheField name="T. Fina." numFmtId="0">
      <sharedItems containsBlank="1" count="6">
        <s v="CH"/>
        <s v="PA"/>
        <s v="CD"/>
        <s v="CO" u="1"/>
        <m u="1"/>
        <s v="DESISTE" u="1"/>
      </sharedItems>
    </cacheField>
    <cacheField name="N° UI Departamento" numFmtId="0">
      <sharedItems containsSemiMixedTypes="0" containsString="0" containsNumber="1" containsInteger="1" minValue="101" maxValue="1502" count="57">
        <n v="101"/>
        <n v="102"/>
        <n v="103"/>
        <n v="104"/>
        <n v="201"/>
        <n v="202"/>
        <n v="203"/>
        <n v="204"/>
        <n v="205"/>
        <n v="301"/>
        <n v="302"/>
        <n v="303"/>
        <n v="304"/>
        <n v="305"/>
        <n v="401"/>
        <n v="402"/>
        <n v="403"/>
        <n v="404"/>
        <n v="405"/>
        <n v="501"/>
        <n v="502"/>
        <n v="503"/>
        <n v="504"/>
        <n v="505"/>
        <n v="601"/>
        <n v="602"/>
        <n v="603"/>
        <n v="604"/>
        <n v="605"/>
        <n v="701"/>
        <n v="702"/>
        <n v="703"/>
        <n v="704"/>
        <n v="705"/>
        <n v="801"/>
        <n v="802"/>
        <n v="803"/>
        <n v="804"/>
        <n v="805"/>
        <n v="901"/>
        <n v="902"/>
        <n v="903"/>
        <n v="904"/>
        <n v="905"/>
        <n v="1001"/>
        <n v="1002"/>
        <n v="1003"/>
        <n v="1004"/>
        <n v="1005"/>
        <n v="1104"/>
        <n v="1105"/>
        <n v="1202"/>
        <n v="1205"/>
        <n v="1301"/>
        <n v="1306"/>
        <n v="1502"/>
        <n v="1302" u="1"/>
      </sharedItems>
    </cacheField>
    <cacheField name="Área Ocupada Departamento" numFmtId="166">
      <sharedItems containsSemiMixedTypes="0" containsString="0" containsNumber="1" minValue="40" maxValue="148"/>
    </cacheField>
    <cacheField name="Precio Venta Departamento" numFmtId="44">
      <sharedItems containsSemiMixedTypes="0" containsString="0" containsNumber="1" containsInteger="1" minValue="265000" maxValue="888000"/>
    </cacheField>
    <cacheField name="N° UI Estacionamiento" numFmtId="0">
      <sharedItems containsBlank="1"/>
    </cacheField>
    <cacheField name="Área Ocupada Estacionamiento" numFmtId="0">
      <sharedItems containsDate="1" containsString="0" containsBlank="1" containsMixedTypes="1" minDate="1899-12-31T00:41:04" maxDate="1899-12-30T00:00:00"/>
    </cacheField>
    <cacheField name="Precio Venta Estacionamiento" numFmtId="0">
      <sharedItems containsString="0" containsBlank="1" containsNumber="1" containsInteger="1" minValue="42800" maxValue="115800"/>
    </cacheField>
    <cacheField name="N° UI Depósito" numFmtId="0">
      <sharedItems containsBlank="1"/>
    </cacheField>
    <cacheField name="Área Ocupada Depósito" numFmtId="0">
      <sharedItems containsString="0" containsBlank="1" containsNumber="1" minValue="1.3" maxValue="6"/>
    </cacheField>
    <cacheField name="Precio Venta Depósito" numFmtId="0">
      <sharedItems containsString="0" containsBlank="1" containsNumber="1" containsInteger="1" minValue="15900" maxValue="21700"/>
    </cacheField>
    <cacheField name="N° Unidad(es)" numFmtId="0">
      <sharedItems containsMixedTypes="1" containsNumber="1" containsInteger="1" minValue="1602" maxValue="1602" count="82">
        <s v="101"/>
        <s v="102"/>
        <s v="103"/>
        <s v="104 / E26/D20"/>
        <s v="104"/>
        <s v="201 / E29 "/>
        <s v="201"/>
        <s v="202"/>
        <s v="202 / E15+D3"/>
        <s v="203 / E12/D09"/>
        <s v="204"/>
        <s v="204 / E14"/>
        <s v="205"/>
        <s v="205 / E20"/>
        <s v="301"/>
        <s v="301 / E17"/>
        <s v="302"/>
        <s v="303"/>
        <s v="303 / E24 / D18"/>
        <s v="304 / E28"/>
        <s v="305"/>
        <s v="401"/>
        <s v="402 / E01"/>
        <s v="402"/>
        <s v="403 / E06"/>
        <s v="403"/>
        <s v="404"/>
        <s v="404 / E4"/>
        <s v="405 / E29 - D13"/>
        <s v="501 / E14 - D2"/>
        <s v="501"/>
        <s v="502"/>
        <s v="503"/>
        <s v="504 / E7"/>
        <s v="504"/>
        <s v="505 / E5 / D5"/>
        <s v="505"/>
        <s v="601"/>
        <s v="601 / E11"/>
        <s v="601 / E28/D22"/>
        <s v="602"/>
        <s v="602 / E41 / D32"/>
        <s v="603"/>
        <s v="603 / E37 / D23"/>
        <s v="604"/>
        <s v="604 / E11 / D6"/>
        <s v="605 / E07/D05"/>
        <s v="605"/>
        <s v="701"/>
        <s v="701 / E17"/>
        <s v="702 / E10"/>
        <s v="702"/>
        <s v="702 / E50"/>
        <s v="703"/>
        <s v="703 / E06/D04"/>
        <s v="704"/>
        <s v="705"/>
        <s v="801"/>
        <s v="802"/>
        <s v="803 / E32/D24/E33/D25"/>
        <s v="804 / E45 / D34"/>
        <s v="805"/>
        <s v="803 / E28 / D18"/>
        <s v="901 / E34 / D26"/>
        <s v="902 / E43"/>
        <s v="903"/>
        <s v="904"/>
        <s v="905 / E36"/>
        <s v="805 / E18"/>
        <s v="1001"/>
        <s v="1002"/>
        <s v="1003 / E11/D08"/>
        <s v="1004"/>
        <s v="1005"/>
        <s v="1104"/>
        <s v="1105"/>
        <s v="1202"/>
        <s v="1205"/>
        <s v="1301"/>
        <s v="1306"/>
        <s v="1502 / E39"/>
        <n v="1602" u="1"/>
      </sharedItems>
    </cacheField>
    <cacheField name="Precio Venta Unidad(es)" numFmtId="0">
      <sharedItems containsSemiMixedTypes="0" containsString="0" containsNumber="1" containsInteger="1" minValue="265000" maxValue="888000"/>
    </cacheField>
    <cacheField name="Total Cobrado" numFmtId="164">
      <sharedItems containsSemiMixedTypes="0" containsString="0" containsNumber="1" minValue="3000" maxValue="711500"/>
    </cacheField>
    <cacheField name="M2 PEN" numFmtId="164">
      <sharedItems containsSemiMixedTypes="0" containsString="0" containsNumber="1" minValue="4258.1067802161806" maxValue="8482.1428571428569"/>
    </cacheField>
    <cacheField name="M2USD" numFmtId="165">
      <sharedItems containsSemiMixedTypes="0" containsString="0" containsNumber="1" minValue="1120.5544158463633" maxValue="2232.1428571428573"/>
    </cacheField>
    <cacheField name="Firma Minuta" numFmtId="14">
      <sharedItems containsNonDate="0" containsDate="1" containsString="0" containsBlank="1" minDate="2024-04-24T00:00:00" maxDate="2026-04-11T00:00:00" count="110">
        <d v="2024-11-30T00:00:00"/>
        <d v="2025-06-05T00:00:00"/>
        <d v="2025-01-06T00:00:00"/>
        <d v="2024-09-02T00:00:00"/>
        <d v="2025-11-22T00:00:00"/>
        <d v="2025-11-25T00:00:00"/>
        <d v="2024-07-15T00:00:00"/>
        <d v="2025-09-17T00:00:00"/>
        <d v="2025-09-11T00:00:00"/>
        <m/>
        <d v="2024-09-04T00:00:00"/>
        <d v="2025-11-10T00:00:00"/>
        <d v="2025-07-01T00:00:00"/>
        <d v="2025-09-18T00:00:00"/>
        <d v="2026-01-09T00:00:00"/>
        <d v="2025-02-28T00:00:00"/>
        <d v="2025-09-22T00:00:00"/>
        <d v="2025-06-25T00:00:00"/>
        <d v="2025-10-10T00:00:00"/>
        <d v="2024-07-31T00:00:00"/>
        <d v="2026-02-27T00:00:00"/>
        <d v="2026-02-04T00:00:00"/>
        <d v="2025-10-21T00:00:00"/>
        <d v="2025-10-02T00:00:00"/>
        <d v="2025-04-10T00:00:00"/>
        <d v="2026-02-18T00:00:00"/>
        <d v="2026-03-30T00:00:00"/>
        <d v="2025-12-26T00:00:00"/>
        <d v="2024-11-23T00:00:00"/>
        <d v="2025-06-10T00:00:00"/>
        <d v="2025-09-05T00:00:00"/>
        <d v="2024-09-06T00:00:00"/>
        <d v="2025-07-18T00:00:00"/>
        <d v="2026-01-27T00:00:00"/>
        <d v="2025-09-19T00:00:00"/>
        <d v="2025-03-27T00:00:00"/>
        <d v="2024-12-26T00:00:00"/>
        <d v="2026-01-07T00:00:00"/>
        <d v="2025-07-25T00:00:00"/>
        <d v="2025-06-23T00:00:00"/>
        <d v="2026-03-31T00:00:00"/>
        <d v="2025-08-29T00:00:00"/>
        <d v="2024-10-02T00:00:00"/>
        <d v="2025-04-14T00:00:00"/>
        <d v="2025-02-21T00:00:00"/>
        <d v="2025-07-30T00:00:00"/>
        <d v="2024-11-22T00:00:00"/>
        <d v="2026-01-28T00:00:00"/>
        <d v="2025-12-12T00:00:00"/>
        <d v="2026-02-23T00:00:00"/>
        <d v="2025-01-30T00:00:00"/>
        <d v="2025-08-18T00:00:00"/>
        <d v="2025-12-13T00:00:00"/>
        <d v="2026-02-28T00:00:00"/>
        <d v="2025-03-05T00:00:00"/>
        <d v="2025-08-11T00:00:00"/>
        <d v="2025-06-21T00:00:00"/>
        <d v="2025-12-17T00:00:00"/>
        <d v="2025-03-18T00:00:00"/>
        <d v="2026-01-31T00:00:00"/>
        <d v="2026-01-12T00:00:00"/>
        <d v="2026-01-17T00:00:00"/>
        <d v="2025-08-16T00:00:00"/>
        <d v="2025-12-02T00:00:00"/>
        <d v="2025-11-24T00:00:00"/>
        <d v="2025-08-09T00:00:00"/>
        <d v="2025-03-14T00:00:00"/>
        <d v="2025-08-01T00:00:00"/>
        <d v="2026-02-26T00:00:00"/>
        <d v="2026-02-02T00:00:00"/>
        <d v="2026-03-20T00:00:00"/>
        <d v="2025-09-04T00:00:00"/>
        <d v="2026-01-24T00:00:00"/>
        <d v="2026-04-10T00:00:00" u="1"/>
        <d v="2026-02-19T00:00:00" u="1"/>
        <d v="2026-01-30T00:00:00" u="1"/>
        <d v="2024-04-24T00:00:00" u="1"/>
        <d v="2024-11-13T00:00:00" u="1"/>
        <d v="2024-10-28T00:00:00" u="1"/>
        <d v="2024-11-09T00:00:00" u="1"/>
        <d v="2024-07-22T00:00:00" u="1"/>
        <d v="2024-09-23T00:00:00" u="1"/>
        <d v="2024-09-19T00:00:00" u="1"/>
        <d v="2024-09-15T00:00:00" u="1"/>
        <d v="2024-08-26T00:00:00" u="1"/>
        <d v="2024-11-28T00:00:00" u="1"/>
        <d v="2024-11-16T00:00:00" u="1"/>
        <d v="2024-08-10T00:00:00" u="1"/>
        <d v="2024-11-08T00:00:00" u="1"/>
        <d v="2024-10-19T00:00:00" u="1"/>
        <d v="2024-10-15T00:00:00" u="1"/>
        <d v="2024-09-30T00:00:00" u="1"/>
        <d v="2025-11-23T00:00:00" u="1"/>
        <d v="2024-04-30T00:00:00" u="1"/>
        <d v="2024-11-19T00:00:00" u="1"/>
        <d v="2024-10-30T00:00:00" u="1"/>
        <d v="2024-11-11T00:00:00" u="1"/>
        <d v="2024-10-26T00:00:00" u="1"/>
        <d v="2024-07-20T00:00:00" u="1"/>
        <d v="2024-09-29T00:00:00" u="1"/>
        <d v="2024-10-10T00:00:00" u="1"/>
        <d v="2024-09-09T00:00:00" u="1"/>
        <d v="2024-08-24T00:00:00" u="1"/>
        <d v="2024-11-18T00:00:00" u="1"/>
        <d v="2024-11-14T00:00:00" u="1"/>
        <d v="2024-10-29T00:00:00" u="1"/>
        <d v="2024-09-28T00:00:00" u="1"/>
        <d v="2024-09-24T00:00:00" u="1"/>
        <d v="2024-10-01T00:00:00" u="1"/>
        <d v="2024-08-31T00:00:00" u="1"/>
      </sharedItems>
    </cacheField>
    <cacheField name="Cliente" numFmtId="0">
      <sharedItems/>
    </cacheField>
    <cacheField name="Documento" numFmtId="0">
      <sharedItems containsMixedTypes="1" containsNumber="1" containsInteger="1" minValue="3495726" maxValue="458711226"/>
    </cacheField>
    <cacheField name="Fecha de Cita" numFmtId="14">
      <sharedItems containsNonDate="0" containsString="0" containsBlank="1"/>
    </cacheField>
    <cacheField name="Fecha Separacion" numFmtId="14">
      <sharedItems containsSemiMixedTypes="0" containsNonDate="0" containsDate="1" containsString="0" minDate="2023-01-31T00:00:00" maxDate="2026-03-31T00:00:00" count="148">
        <d v="2024-10-30T00:00:00"/>
        <d v="2025-05-17T00:00:00"/>
        <d v="2024-10-13T00:00:00"/>
        <d v="2024-07-21T00:00:00"/>
        <d v="2025-11-11T00:00:00"/>
        <d v="2025-11-25T00:00:00"/>
        <d v="2024-07-06T00:00:00"/>
        <d v="2025-06-29T00:00:00"/>
        <d v="2024-08-22T00:00:00"/>
        <d v="2025-07-22T00:00:00"/>
        <d v="2024-08-31T00:00:00"/>
        <d v="2025-10-24T00:00:00"/>
        <d v="2025-06-17T00:00:00"/>
        <d v="2026-01-31T00:00:00"/>
        <d v="2024-12-16T00:00:00"/>
        <d v="2025-12-18T00:00:00"/>
        <d v="2024-11-24T00:00:00"/>
        <d v="2025-09-01T00:00:00"/>
        <d v="2025-08-28T00:00:00"/>
        <d v="2025-04-07T00:00:00"/>
        <d v="2025-10-02T00:00:00"/>
        <d v="2024-06-30T00:00:00"/>
        <d v="2025-09-27T00:00:00"/>
        <d v="2026-02-17T00:00:00"/>
        <d v="2025-09-23T00:00:00"/>
        <d v="2026-02-23T00:00:00"/>
        <d v="2025-10-10T00:00:00"/>
        <d v="2026-02-19T00:00:00"/>
        <d v="2025-09-04T00:00:00"/>
        <d v="2025-04-04T00:00:00"/>
        <d v="2025-09-08T00:00:00"/>
        <d v="2026-01-19T00:00:00"/>
        <d v="2026-03-15T00:00:00"/>
        <d v="2025-12-09T00:00:00"/>
        <d v="2024-10-21T00:00:00"/>
        <d v="2025-06-02T00:00:00"/>
        <d v="2025-09-18T00:00:00"/>
        <d v="2026-03-23T00:00:00"/>
        <d v="2025-08-27T00:00:00"/>
        <d v="2025-08-30T00:00:00"/>
        <d v="2024-08-16T00:00:00"/>
        <d v="2026-01-10T00:00:00"/>
        <d v="2026-03-04T00:00:00"/>
        <d v="2025-05-28T00:00:00"/>
        <d v="2026-01-11T00:00:00"/>
        <d v="2025-12-08T00:00:00"/>
        <d v="2025-09-12T00:00:00"/>
        <d v="2025-03-17T00:00:00"/>
        <d v="2024-11-21T00:00:00"/>
        <d v="2025-10-28T00:00:00"/>
        <d v="2025-06-23T00:00:00"/>
        <d v="2025-05-27T00:00:00"/>
        <d v="2025-08-02T00:00:00"/>
        <d v="2024-07-04T00:00:00"/>
        <d v="2026-03-20T00:00:00"/>
        <d v="2025-04-09T00:00:00"/>
        <d v="2025-02-10T00:00:00"/>
        <d v="2025-07-06T00:00:00"/>
        <d v="2024-10-28T00:00:00"/>
        <d v="2026-01-17T00:00:00"/>
        <d v="2025-12-06T00:00:00"/>
        <d v="2026-01-04T00:00:00"/>
        <d v="2026-02-01T00:00:00"/>
        <d v="2026-02-06T00:00:00"/>
        <d v="2025-11-22T00:00:00"/>
        <d v="2024-12-29T00:00:00"/>
        <d v="2025-12-20T00:00:00"/>
        <d v="2025-07-23T00:00:00"/>
        <d v="2026-02-22T00:00:00"/>
        <d v="2025-06-21T00:00:00"/>
        <d v="2025-06-07T00:00:00"/>
        <d v="2025-06-05T00:00:00"/>
        <d v="2026-03-07T00:00:00"/>
        <d v="2026-03-14T00:00:00"/>
        <d v="2025-05-24T00:00:00"/>
        <d v="2025-11-24T00:00:00"/>
        <d v="2025-01-23T00:00:00"/>
        <d v="2026-01-05T00:00:00"/>
        <d v="2025-12-26T00:00:00"/>
        <d v="2025-07-29T00:00:00"/>
        <d v="2025-09-21T00:00:00"/>
        <d v="2025-06-27T00:00:00"/>
        <d v="2026-03-09T00:00:00"/>
        <d v="2025-08-09T00:00:00"/>
        <d v="2026-03-30T00:00:00"/>
        <d v="2025-02-15T00:00:00"/>
        <d v="2026-03-22T00:00:00"/>
        <d v="2025-07-17T00:00:00"/>
        <d v="2026-01-03T00:00:00"/>
        <d v="2026-02-13T00:00:00"/>
        <d v="2025-07-28T00:00:00"/>
        <d v="2026-01-14T00:00:00"/>
        <d v="2025-01-19T00:00:00" u="1"/>
        <d v="2026-01-20T00:00:00" u="1"/>
        <d v="2023-01-31T00:00:00" u="1"/>
        <d v="2025-07-31T00:00:00" u="1"/>
        <d v="2025-09-06T00:00:00" u="1"/>
        <d v="2025-01-17T00:00:00" u="1"/>
        <d v="2025-01-05T00:00:00" u="1"/>
        <d v="2025-01-04T00:00:00" u="1"/>
        <d v="2024-11-09T00:00:00" u="1"/>
        <d v="2024-04-16T00:00:00" u="1"/>
        <d v="2024-11-01T00:00:00" u="1"/>
        <d v="2024-10-12T00:00:00" u="1"/>
        <d v="2024-09-23T00:00:00" u="1"/>
        <d v="2024-09-19T00:00:00" u="1"/>
        <d v="2024-05-24T00:00:00" u="1"/>
        <d v="2024-09-07T00:00:00" u="1"/>
        <d v="2024-12-01T00:00:00" u="1"/>
        <d v="2024-08-14T00:00:00" u="1"/>
        <d v="2024-11-16T00:00:00" u="1"/>
        <d v="2024-10-31T00:00:00" u="1"/>
        <d v="2024-08-10T00:00:00" u="1"/>
        <d v="2024-11-12T00:00:00" u="1"/>
        <d v="2024-11-04T00:00:00" u="1"/>
        <d v="2024-01-09T00:00:00" u="1"/>
        <d v="2024-07-13T00:00:00" u="1"/>
        <d v="2024-09-22T00:00:00" u="1"/>
        <d v="2024-09-10T00:00:00" u="1"/>
        <d v="2024-08-25T00:00:00" u="1"/>
        <d v="2024-08-21T00:00:00" u="1"/>
        <d v="2024-11-23T00:00:00" u="1"/>
        <d v="2024-04-30T00:00:00" u="1"/>
        <d v="2024-11-15T00:00:00" u="1"/>
        <d v="2024-08-09T00:00:00" u="1"/>
        <d v="2024-10-26T00:00:00" u="1"/>
        <d v="2025-04-18T00:00:00" u="1"/>
        <d v="2024-10-22T00:00:00" u="1"/>
        <d v="2024-09-29T00:00:00" u="1"/>
        <d v="2024-07-08T00:00:00" u="1"/>
        <d v="2025-07-04T00:00:00" u="1"/>
        <d v="2024-09-21T00:00:00" u="1"/>
        <d v="2024-09-17T00:00:00" u="1"/>
        <d v="2024-11-30T00:00:00" u="1"/>
        <d v="2024-08-24T00:00:00" u="1"/>
        <d v="2025-05-18T00:00:00" u="1"/>
        <d v="2024-08-20T00:00:00" u="1"/>
        <d v="2025-08-20T00:00:00" u="1"/>
        <d v="2024-12-03T00:00:00" u="1"/>
        <d v="2024-10-29T00:00:00" u="1"/>
        <d v="2024-11-10T00:00:00" u="1"/>
        <d v="2024-10-17T00:00:00" u="1"/>
        <d v="2024-09-28T00:00:00" u="1"/>
        <d v="2025-07-07T00:00:00" u="1"/>
        <d v="2024-10-09T00:00:00" u="1"/>
        <d v="2024-09-24T00:00:00" u="1"/>
        <d v="2024-09-20T00:00:00" u="1"/>
        <d v="2024-09-12T00:00:00" u="1"/>
      </sharedItems>
    </cacheField>
    <cacheField name="Valor Separacion" numFmtId="164">
      <sharedItems containsSemiMixedTypes="0" containsString="0" containsNumber="1" containsInteger="1" minValue="200" maxValue="30000"/>
    </cacheField>
    <cacheField name="Cuota Inicial" numFmtId="164">
      <sharedItems containsString="0" containsBlank="1" containsNumber="1" minValue="1000" maxValue="708500"/>
    </cacheField>
    <cacheField name="Status Minuta " numFmtId="0">
      <sharedItems containsBlank="1"/>
    </cacheField>
    <cacheField name="Termino Ahorro Casa " numFmtId="0">
      <sharedItems containsNonDate="0" containsDate="1" containsString="0" containsBlank="1" minDate="2025-03-31T00:00:00" maxDate="2026-12-31T00:00:00"/>
    </cacheField>
    <cacheField name="Desembolsa/ Cancela" numFmtId="14">
      <sharedItems containsNonDate="0" containsDate="1" containsString="0" containsBlank="1" minDate="2024-12-31T00:00:00" maxDate="2027-07-01T00:00:00"/>
    </cacheField>
    <cacheField name="Ejecutivo " numFmtId="0">
      <sharedItems containsBlank="1"/>
    </cacheField>
    <cacheField name="Carta Fianza" numFmtId="0">
      <sharedItems containsBlank="1"/>
    </cacheField>
    <cacheField name="Desembolso/Cancelacion" numFmtId="0">
      <sharedItems containsNonDate="0" containsString="0" containsBlank="1"/>
    </cacheField>
    <cacheField name="%Comision_x000a_Ejecutivo" numFmtId="0">
      <sharedItems containsString="0" containsBlank="1" containsNumber="1" minValue="1.6100000000000001E-3" maxValue="5.0000000000000001E-3"/>
    </cacheField>
    <cacheField name="Total Comision" numFmtId="164">
      <sharedItems containsSemiMixedTypes="0" containsString="0" containsNumber="1" minValue="0" maxValue="2660.5"/>
    </cacheField>
    <cacheField name="% Comision" numFmtId="44">
      <sharedItems containsSemiMixedTypes="0" containsString="0" containsNumber="1" minValue="0" maxValue="2407.5"/>
    </cacheField>
    <cacheField name="% C. Pendiente" numFmtId="0">
      <sharedItems containsString="0" containsBlank="1" containsNumber="1" minValue="0" maxValue="2660.5"/>
    </cacheField>
    <cacheField name="Modalidad Pago" numFmtId="0">
      <sharedItems containsBlank="1"/>
    </cacheField>
    <cacheField name="Fecha Pago_x000a_Comisión " numFmtId="0">
      <sharedItems containsNonDate="0" containsDate="1" containsString="0" containsBlank="1" minDate="2025-09-30T00:00:00" maxDate="2026-03-28T00:00:00"/>
    </cacheField>
    <cacheField name="Columna1" numFmtId="0">
      <sharedItems containsNonDate="0" containsString="0" containsBlank="1"/>
    </cacheField>
    <cacheField name="Desistimiento" numFmtId="0">
      <sharedItems containsBlank="1"/>
    </cacheField>
    <cacheField name="Penalidad Desestimiento" numFmtId="0">
      <sharedItems containsBlank="1"/>
    </cacheField>
    <cacheField name="Fecha Devolucion" numFmtId="0">
      <sharedItems containsNonDate="0" containsDate="1" containsString="0" containsBlank="1" minDate="2026-01-30T00:00:00" maxDate="2026-03-13T00:00:00"/>
    </cacheField>
    <cacheField name="Notas" numFmtId="0">
      <sharedItems containsBlank="1"/>
    </cacheField>
    <cacheField name="Mes Separación" numFmtId="0">
      <sharedItems count="14">
        <s v="Octubre"/>
        <s v="Mayo"/>
        <s v="Julio"/>
        <s v="Noviembre"/>
        <s v="Junio"/>
        <s v="Agosto"/>
        <s v="Enero"/>
        <s v="Diciembre"/>
        <s v="Setiembre"/>
        <s v="Abril"/>
        <s v="Febrero"/>
        <s v="Marzo"/>
        <s v="septiembre" u="1"/>
        <s v="" u="1"/>
      </sharedItems>
    </cacheField>
    <cacheField name="Mes Minuta" numFmtId="0">
      <sharedItems containsBlank="1" count="15">
        <s v="Noviembre"/>
        <s v="Junio"/>
        <s v="Enero"/>
        <s v="Setiembre"/>
        <s v="Julio"/>
        <s v=""/>
        <s v="Febrero"/>
        <s v="Octubre"/>
        <s v="Abril"/>
        <s v="Marzo"/>
        <s v="Diciembre"/>
        <s v="Agosto"/>
        <s v="septiembre" u="1"/>
        <m u="1"/>
        <s v="25//07/2025" u="1"/>
      </sharedItems>
    </cacheField>
    <cacheField name="Año Minuta" numFmtId="0">
      <sharedItems count="4">
        <s v="2024"/>
        <s v="2025"/>
        <s v=""/>
        <s v="2026"/>
      </sharedItems>
    </cacheField>
    <cacheField name="Año Separación" numFmtId="0">
      <sharedItems count="5">
        <s v="2024"/>
        <s v="2025"/>
        <s v="2026"/>
        <s v="" u="1"/>
        <s v="2023" u="1"/>
      </sharedItems>
    </cacheField>
    <cacheField name="Lead vs Separación" numFmtId="0">
      <sharedItems containsSemiMixedTypes="0" containsString="0" containsNumber="1" containsInteger="1" minValue="0" maxValue="1018"/>
    </cacheField>
    <cacheField name="Lead vs Minuta" numFmtId="0">
      <sharedItems containsMixedTypes="1" containsNumber="1" containsInteger="1" minValue="1" maxValue="1045"/>
    </cacheField>
    <cacheField name="Separación vs Minuta" numFmtId="0">
      <sharedItems containsMixedTypes="1" containsNumber="1" containsInteger="1" minValue="0" maxValue="385"/>
    </cacheField>
  </cacheFields>
  <extLst>
    <ext xmlns:x14="http://schemas.microsoft.com/office/spreadsheetml/2009/9/main" uri="{725AE2AE-9491-48be-B2B4-4EB974FC3084}">
      <x14:pivotCacheDefinition pivotCacheId="15615042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Octubre"/>
    <d v="2024-10-20T00:00:00"/>
    <x v="0"/>
    <x v="0"/>
    <x v="0"/>
    <x v="0"/>
    <x v="0"/>
    <x v="0"/>
    <n v="118.38"/>
    <n v="637000"/>
    <m/>
    <m/>
    <m/>
    <m/>
    <m/>
    <m/>
    <x v="0"/>
    <n v="637000"/>
    <n v="637000"/>
    <n v="5380.9765163034299"/>
    <n v="1416.0464516587974"/>
    <x v="0"/>
    <s v="Elmo Calatayud Chumbes"/>
    <n v="15580131"/>
    <m/>
    <x v="0"/>
    <n v="3000"/>
    <n v="634000"/>
    <s v="Minuta Firmada "/>
    <m/>
    <d v="2025-01-31T00:00:00"/>
    <s v="Virna Manarelli"/>
    <m/>
    <m/>
    <m/>
    <n v="0"/>
    <n v="0"/>
    <m/>
    <m/>
    <m/>
    <m/>
    <m/>
    <m/>
    <m/>
    <m/>
    <x v="0"/>
    <x v="0"/>
    <x v="0"/>
    <x v="0"/>
    <n v="10"/>
    <n v="41"/>
    <n v="31"/>
  </r>
  <r>
    <s v="Mayo"/>
    <d v="2025-05-15T00:00:00"/>
    <x v="1"/>
    <x v="0"/>
    <x v="0"/>
    <x v="0"/>
    <x v="0"/>
    <x v="1"/>
    <n v="121.17"/>
    <n v="679000"/>
    <m/>
    <m/>
    <m/>
    <m/>
    <m/>
    <m/>
    <x v="1"/>
    <n v="679000"/>
    <n v="679000"/>
    <n v="5603.6972848064697"/>
    <n v="1474.6571802122289"/>
    <x v="1"/>
    <s v="Edwin Modigliani Efrain Suclla Flores"/>
    <s v="08062531"/>
    <m/>
    <x v="1"/>
    <n v="3000"/>
    <n v="676000"/>
    <s v="Minuta Firmada "/>
    <m/>
    <d v="2025-07-30T00:00:00"/>
    <s v="Virna Manarelli"/>
    <m/>
    <m/>
    <m/>
    <n v="0"/>
    <n v="0"/>
    <m/>
    <m/>
    <m/>
    <m/>
    <m/>
    <m/>
    <m/>
    <m/>
    <x v="1"/>
    <x v="1"/>
    <x v="1"/>
    <x v="1"/>
    <n v="2"/>
    <n v="21"/>
    <n v="19"/>
  </r>
  <r>
    <s v="Octubre"/>
    <d v="2024-10-12T00:00:00"/>
    <x v="2"/>
    <x v="0"/>
    <x v="0"/>
    <x v="0"/>
    <x v="0"/>
    <x v="2"/>
    <n v="122.12"/>
    <n v="520000"/>
    <m/>
    <m/>
    <m/>
    <m/>
    <m/>
    <m/>
    <x v="2"/>
    <n v="520000"/>
    <n v="520400"/>
    <n v="4258.1067802161806"/>
    <n v="1120.5544158463633"/>
    <x v="2"/>
    <s v="Ayleen Katia Messarina Rios"/>
    <n v="70512701"/>
    <m/>
    <x v="2"/>
    <n v="3000"/>
    <n v="517400"/>
    <s v="Minuta Firmada "/>
    <m/>
    <d v="2025-06-30T00:00:00"/>
    <s v="Virna Manarelli"/>
    <m/>
    <m/>
    <m/>
    <n v="0"/>
    <n v="0"/>
    <m/>
    <m/>
    <m/>
    <m/>
    <m/>
    <m/>
    <m/>
    <m/>
    <x v="0"/>
    <x v="2"/>
    <x v="1"/>
    <x v="0"/>
    <n v="1"/>
    <n v="86"/>
    <n v="85"/>
  </r>
  <r>
    <s v="Julio"/>
    <d v="2024-07-20T00:00:00"/>
    <x v="3"/>
    <x v="0"/>
    <x v="0"/>
    <x v="0"/>
    <x v="0"/>
    <x v="3"/>
    <n v="131.91999999999999"/>
    <n v="609100"/>
    <s v="E26/D20"/>
    <n v="18.5"/>
    <n v="64600"/>
    <m/>
    <m/>
    <m/>
    <x v="3"/>
    <n v="673700"/>
    <n v="673660"/>
    <n v="4478.7927137348761"/>
    <n v="1178.629661509178"/>
    <x v="3"/>
    <s v="Victoria Sampi Gonzales"/>
    <n v="43636501"/>
    <m/>
    <x v="3"/>
    <n v="3000"/>
    <n v="670660"/>
    <s v="Minuta Firmada "/>
    <m/>
    <d v="2025-07-30T00:00:00"/>
    <s v="Sandy chavez"/>
    <s v="bbva"/>
    <m/>
    <m/>
    <n v="0"/>
    <n v="0"/>
    <m/>
    <m/>
    <m/>
    <m/>
    <m/>
    <m/>
    <m/>
    <m/>
    <x v="2"/>
    <x v="3"/>
    <x v="0"/>
    <x v="0"/>
    <n v="1"/>
    <n v="44"/>
    <n v="43"/>
  </r>
  <r>
    <s v="Noviembre"/>
    <d v="2025-11-07T00:00:00"/>
    <x v="3"/>
    <x v="0"/>
    <x v="1"/>
    <x v="1"/>
    <x v="1"/>
    <x v="3"/>
    <n v="88"/>
    <n v="497000"/>
    <m/>
    <m/>
    <m/>
    <m/>
    <m/>
    <m/>
    <x v="4"/>
    <n v="497000"/>
    <n v="20000"/>
    <n v="5647.727272727273"/>
    <n v="1486.2440191387561"/>
    <x v="4"/>
    <s v="Luis Miguel Montero Monteza"/>
    <n v="45611107"/>
    <m/>
    <x v="4"/>
    <n v="3000"/>
    <n v="17000"/>
    <s v="PA - Minuta Firmada "/>
    <m/>
    <d v="2026-06-30T00:00:00"/>
    <s v="Virna Manarelli"/>
    <m/>
    <m/>
    <n v="3.5000000000000001E-3"/>
    <n v="1739.5"/>
    <n v="869.75"/>
    <n v="869.75"/>
    <s v="Planilla"/>
    <d v="2025-12-31T00:00:00"/>
    <m/>
    <m/>
    <m/>
    <m/>
    <m/>
    <x v="3"/>
    <x v="0"/>
    <x v="1"/>
    <x v="1"/>
    <n v="4"/>
    <n v="15"/>
    <n v="11"/>
  </r>
  <r>
    <s v="Junio"/>
    <d v="2025-06-04T00:00:00"/>
    <x v="3"/>
    <x v="0"/>
    <x v="2"/>
    <x v="1"/>
    <x v="2"/>
    <x v="4"/>
    <n v="70"/>
    <n v="469500"/>
    <s v="E29 "/>
    <n v="12.5"/>
    <n v="47500"/>
    <m/>
    <m/>
    <m/>
    <x v="5"/>
    <n v="517000"/>
    <n v="20000"/>
    <n v="6266.666666666667"/>
    <n v="1649.1228070175441"/>
    <x v="5"/>
    <s v="Marco Antonio Cordova Oropeza"/>
    <n v="22079563"/>
    <m/>
    <x v="5"/>
    <n v="3000"/>
    <n v="17000"/>
    <s v="Minuta Firmada "/>
    <m/>
    <d v="2027-04-28T00:00:00"/>
    <m/>
    <m/>
    <m/>
    <n v="3.5000000000000001E-3"/>
    <n v="1809.5"/>
    <n v="0"/>
    <n v="1809.5"/>
    <s v="rxh"/>
    <m/>
    <m/>
    <m/>
    <m/>
    <m/>
    <m/>
    <x v="3"/>
    <x v="0"/>
    <x v="1"/>
    <x v="1"/>
    <n v="174"/>
    <n v="174"/>
    <n v="0"/>
  </r>
  <r>
    <s v="Enero"/>
    <d v="2023-01-08T00:00:00"/>
    <x v="0"/>
    <x v="0"/>
    <x v="0"/>
    <x v="0"/>
    <x v="0"/>
    <x v="4"/>
    <n v="84"/>
    <n v="622500"/>
    <m/>
    <m/>
    <m/>
    <m/>
    <m/>
    <m/>
    <x v="6"/>
    <n v="622500"/>
    <n v="622500"/>
    <n v="7410.7142857142853"/>
    <n v="1950.187969924812"/>
    <x v="6"/>
    <s v="Jose luis Gaspar Zapata Flores"/>
    <n v="46730672"/>
    <m/>
    <x v="6"/>
    <n v="3000"/>
    <n v="619500"/>
    <s v="Minuta Firmada "/>
    <m/>
    <m/>
    <m/>
    <m/>
    <m/>
    <m/>
    <n v="0"/>
    <n v="0"/>
    <m/>
    <m/>
    <m/>
    <m/>
    <m/>
    <m/>
    <m/>
    <m/>
    <x v="2"/>
    <x v="4"/>
    <x v="0"/>
    <x v="0"/>
    <n v="545"/>
    <n v="554"/>
    <n v="9"/>
  </r>
  <r>
    <s v="Junio"/>
    <d v="2025-06-01T00:00:00"/>
    <x v="3"/>
    <x v="0"/>
    <x v="2"/>
    <x v="0"/>
    <x v="0"/>
    <x v="5"/>
    <n v="57"/>
    <n v="430000"/>
    <m/>
    <m/>
    <m/>
    <m/>
    <m/>
    <m/>
    <x v="7"/>
    <n v="430000"/>
    <n v="23000"/>
    <n v="7543.8596491228072"/>
    <n v="1985.2262234533705"/>
    <x v="7"/>
    <s v="Margarita Lujan Pardes"/>
    <s v="06772294"/>
    <m/>
    <x v="7"/>
    <n v="3000"/>
    <n v="20000"/>
    <s v="CA - Minuta Firmada "/>
    <m/>
    <d v="2026-04-30T00:00:00"/>
    <s v="Julio Barrientos"/>
    <m/>
    <m/>
    <m/>
    <n v="0"/>
    <n v="0"/>
    <m/>
    <m/>
    <m/>
    <m/>
    <m/>
    <m/>
    <m/>
    <m/>
    <x v="4"/>
    <x v="3"/>
    <x v="1"/>
    <x v="1"/>
    <n v="28"/>
    <n v="108"/>
    <n v="80"/>
  </r>
  <r>
    <s v="Agosto"/>
    <d v="2024-08-19T00:00:00"/>
    <x v="3"/>
    <x v="0"/>
    <x v="0"/>
    <x v="0"/>
    <x v="0"/>
    <x v="5"/>
    <n v="56"/>
    <n v="446900"/>
    <m/>
    <m/>
    <m/>
    <m/>
    <m/>
    <m/>
    <x v="7"/>
    <n v="446900"/>
    <n v="446900"/>
    <n v="7980.3571428571431"/>
    <n v="2100.093984962406"/>
    <x v="8"/>
    <s v="Maria Cristina Collazos Romero"/>
    <n v="31676885"/>
    <m/>
    <x v="8"/>
    <n v="3000"/>
    <n v="443900"/>
    <s v="Minuta Firmada "/>
    <m/>
    <d v="2025-12-30T00:00:00"/>
    <s v="Frank  SBK"/>
    <m/>
    <m/>
    <m/>
    <n v="0"/>
    <n v="0"/>
    <m/>
    <m/>
    <m/>
    <m/>
    <m/>
    <m/>
    <m/>
    <m/>
    <x v="5"/>
    <x v="3"/>
    <x v="1"/>
    <x v="0"/>
    <n v="3"/>
    <n v="388"/>
    <n v="385"/>
  </r>
  <r>
    <s v="Julio"/>
    <d v="2025-07-22T00:00:00"/>
    <x v="3"/>
    <x v="1"/>
    <x v="1"/>
    <x v="2"/>
    <x v="0"/>
    <x v="5"/>
    <n v="83.42"/>
    <n v="578000"/>
    <s v="E15+D3"/>
    <n v="14.5"/>
    <n v="43000"/>
    <m/>
    <m/>
    <m/>
    <x v="8"/>
    <n v="621000"/>
    <n v="3000"/>
    <n v="6341.911764705882"/>
    <n v="1668.9241486068111"/>
    <x v="9"/>
    <s v="Nicolas Pauccar Calcina"/>
    <n v="42983295"/>
    <m/>
    <x v="9"/>
    <n v="3000"/>
    <m/>
    <s v="envio los documentos asu ejectuvio "/>
    <m/>
    <m/>
    <m/>
    <m/>
    <m/>
    <m/>
    <n v="0"/>
    <n v="0"/>
    <m/>
    <m/>
    <m/>
    <m/>
    <s v="cliente no envia documentos para calificacion "/>
    <m/>
    <m/>
    <m/>
    <x v="2"/>
    <x v="5"/>
    <x v="2"/>
    <x v="1"/>
    <n v="0"/>
    <s v=""/>
    <s v=""/>
  </r>
  <r>
    <s v="Agosto"/>
    <d v="2024-08-25T00:00:00"/>
    <x v="3"/>
    <x v="0"/>
    <x v="0"/>
    <x v="0"/>
    <x v="2"/>
    <x v="6"/>
    <n v="88"/>
    <n v="654000"/>
    <s v="E12/D09"/>
    <n v="16.899999999999999"/>
    <n v="56300"/>
    <m/>
    <m/>
    <m/>
    <x v="9"/>
    <n v="710300"/>
    <n v="710300"/>
    <n v="6771.2106768350804"/>
    <n v="1781.8975465355475"/>
    <x v="10"/>
    <s v="Gilberto Videla Flores"/>
    <s v="06571347"/>
    <m/>
    <x v="10"/>
    <n v="3000"/>
    <n v="707300"/>
    <s v="Minuta Firmada "/>
    <m/>
    <d v="2025-08-30T00:00:00"/>
    <m/>
    <m/>
    <m/>
    <m/>
    <n v="0"/>
    <n v="0"/>
    <m/>
    <m/>
    <m/>
    <m/>
    <m/>
    <m/>
    <m/>
    <m/>
    <x v="5"/>
    <x v="3"/>
    <x v="0"/>
    <x v="0"/>
    <n v="6"/>
    <n v="10"/>
    <n v="4"/>
  </r>
  <r>
    <s v="Julio"/>
    <d v="2025-07-10T00:00:00"/>
    <x v="4"/>
    <x v="0"/>
    <x v="2"/>
    <x v="0"/>
    <x v="0"/>
    <x v="7"/>
    <n v="67"/>
    <n v="450000"/>
    <m/>
    <m/>
    <m/>
    <m/>
    <m/>
    <m/>
    <x v="10"/>
    <n v="450000"/>
    <n v="30000"/>
    <n v="6716.4179104477616"/>
    <n v="1767.4783974862532"/>
    <x v="11"/>
    <s v="Jhoully Kattherine Moreno Saavedra"/>
    <n v="73600966"/>
    <m/>
    <x v="11"/>
    <n v="3000"/>
    <n v="27000"/>
    <s v="CA - Minuta Firmada "/>
    <m/>
    <d v="2026-04-30T00:00:00"/>
    <s v="Marisol Paucar "/>
    <m/>
    <m/>
    <n v="5.0000000000000001E-3"/>
    <n v="2250"/>
    <n v="0"/>
    <n v="2250"/>
    <s v="desembolso"/>
    <m/>
    <m/>
    <m/>
    <m/>
    <m/>
    <m/>
    <x v="0"/>
    <x v="0"/>
    <x v="1"/>
    <x v="1"/>
    <n v="106"/>
    <n v="123"/>
    <n v="17"/>
  </r>
  <r>
    <s v="Mayo"/>
    <d v="2025-05-16T00:00:00"/>
    <x v="5"/>
    <x v="0"/>
    <x v="1"/>
    <x v="3"/>
    <x v="2"/>
    <x v="7"/>
    <n v="67"/>
    <n v="443000"/>
    <s v="E14"/>
    <n v="14.5"/>
    <n v="42800"/>
    <m/>
    <m/>
    <m/>
    <x v="11"/>
    <n v="485800"/>
    <n v="347180"/>
    <n v="5960.7361963190187"/>
    <n v="1568.614788505005"/>
    <x v="12"/>
    <s v="Carlos La Cruz Crespo"/>
    <s v="09022488"/>
    <m/>
    <x v="12"/>
    <n v="3000"/>
    <n v="344180"/>
    <s v="Minuta Firmada "/>
    <m/>
    <m/>
    <m/>
    <m/>
    <m/>
    <m/>
    <n v="0"/>
    <n v="0"/>
    <m/>
    <m/>
    <m/>
    <m/>
    <m/>
    <m/>
    <m/>
    <m/>
    <x v="4"/>
    <x v="4"/>
    <x v="1"/>
    <x v="1"/>
    <n v="32"/>
    <n v="46"/>
    <n v="14"/>
  </r>
  <r>
    <s v="Enero"/>
    <d v="2026-01-28T00:00:00"/>
    <x v="2"/>
    <x v="1"/>
    <x v="0"/>
    <x v="4"/>
    <x v="1"/>
    <x v="7"/>
    <n v="61"/>
    <n v="417700"/>
    <m/>
    <m/>
    <m/>
    <m/>
    <m/>
    <m/>
    <x v="10"/>
    <n v="417700"/>
    <n v="3000"/>
    <n v="6847.5409836065573"/>
    <n v="1801.9844693701468"/>
    <x v="9"/>
    <s v="Yober Rimac Poma"/>
    <n v="45904354"/>
    <m/>
    <x v="13"/>
    <n v="3000"/>
    <m/>
    <m/>
    <m/>
    <m/>
    <m/>
    <m/>
    <m/>
    <m/>
    <n v="0"/>
    <n v="0"/>
    <m/>
    <m/>
    <m/>
    <m/>
    <s v="por temas laborales - menor sueldo"/>
    <s v="No"/>
    <d v="2026-03-12T00:00:00"/>
    <m/>
    <x v="6"/>
    <x v="5"/>
    <x v="2"/>
    <x v="2"/>
    <n v="3"/>
    <s v=""/>
    <s v=""/>
  </r>
  <r>
    <s v="Diciembre"/>
    <d v="2024-12-16T00:00:00"/>
    <x v="1"/>
    <x v="0"/>
    <x v="2"/>
    <x v="0"/>
    <x v="1"/>
    <x v="8"/>
    <n v="72"/>
    <n v="577000"/>
    <m/>
    <m/>
    <m/>
    <m/>
    <m/>
    <m/>
    <x v="12"/>
    <n v="577000"/>
    <n v="92400"/>
    <n v="8013.8888888888887"/>
    <n v="2108.9181286549706"/>
    <x v="13"/>
    <s v="Tania Milagros Cotrina Vara"/>
    <n v="10140034"/>
    <m/>
    <x v="14"/>
    <n v="3000"/>
    <n v="89400"/>
    <s v="PA - Minuta Firmada "/>
    <d v="2026-02-28T00:00:00"/>
    <d v="2026-04-30T00:00:00"/>
    <s v="Julio Barrientos"/>
    <m/>
    <m/>
    <m/>
    <n v="0"/>
    <n v="0"/>
    <m/>
    <m/>
    <m/>
    <m/>
    <m/>
    <m/>
    <m/>
    <m/>
    <x v="7"/>
    <x v="3"/>
    <x v="1"/>
    <x v="0"/>
    <n v="0"/>
    <n v="276"/>
    <n v="276"/>
  </r>
  <r>
    <s v="Enero"/>
    <d v="2025-01-29T00:00:00"/>
    <x v="1"/>
    <x v="0"/>
    <x v="1"/>
    <x v="5"/>
    <x v="1"/>
    <x v="8"/>
    <n v="61"/>
    <n v="386000"/>
    <s v="E20"/>
    <n v="13.5"/>
    <n v="46800"/>
    <m/>
    <m/>
    <m/>
    <x v="13"/>
    <n v="432800"/>
    <n v="21640"/>
    <n v="5809.3959731543628"/>
    <n v="1528.7884139879902"/>
    <x v="14"/>
    <s v="Mariela Gabriela Zapata Santivañez"/>
    <n v="47172559"/>
    <m/>
    <x v="15"/>
    <n v="3000"/>
    <n v="18640"/>
    <s v="PA - Minuta Firmada "/>
    <m/>
    <d v="2026-05-30T00:00:00"/>
    <s v="Julio Barrientos"/>
    <s v="BCP"/>
    <m/>
    <n v="4.4999999999999997E-3"/>
    <n v="1947.6"/>
    <n v="584.28"/>
    <n v="584.28"/>
    <s v="Planilla"/>
    <d v="2026-02-15T00:00:00"/>
    <m/>
    <m/>
    <m/>
    <m/>
    <m/>
    <x v="7"/>
    <x v="2"/>
    <x v="3"/>
    <x v="1"/>
    <n v="323"/>
    <n v="345"/>
    <n v="22"/>
  </r>
  <r>
    <s v="Noviembre"/>
    <d v="2024-11-24T00:00:00"/>
    <x v="3"/>
    <x v="0"/>
    <x v="0"/>
    <x v="0"/>
    <x v="0"/>
    <x v="8"/>
    <n v="69"/>
    <n v="490000"/>
    <m/>
    <m/>
    <m/>
    <m/>
    <m/>
    <m/>
    <x v="12"/>
    <n v="490000"/>
    <n v="490000"/>
    <n v="7101.449275362319"/>
    <n v="1868.802440884821"/>
    <x v="15"/>
    <s v="Elizabeth Rocio Urbina ñañez"/>
    <s v="71404863"/>
    <m/>
    <x v="16"/>
    <n v="2000"/>
    <n v="488000"/>
    <s v="Minuta Firmada "/>
    <m/>
    <d v="2025-08-30T00:00:00"/>
    <s v="Maria "/>
    <s v="Banbif"/>
    <m/>
    <m/>
    <n v="0"/>
    <n v="0"/>
    <m/>
    <m/>
    <m/>
    <m/>
    <m/>
    <m/>
    <m/>
    <m/>
    <x v="3"/>
    <x v="6"/>
    <x v="1"/>
    <x v="0"/>
    <n v="0"/>
    <n v="96"/>
    <n v="96"/>
  </r>
  <r>
    <s v="Agosto"/>
    <d v="2025-08-28T00:00:00"/>
    <x v="3"/>
    <x v="2"/>
    <x v="2"/>
    <x v="0"/>
    <x v="0"/>
    <x v="9"/>
    <n v="70"/>
    <n v="475000"/>
    <m/>
    <m/>
    <m/>
    <m/>
    <m/>
    <m/>
    <x v="14"/>
    <n v="475000"/>
    <n v="3000"/>
    <n v="6785.7142857142853"/>
    <n v="1785.7142857142858"/>
    <x v="9"/>
    <s v="Victor Hugo Quispe Cupe"/>
    <s v="09848317"/>
    <m/>
    <x v="17"/>
    <n v="3000"/>
    <m/>
    <s v="Gestion de CA "/>
    <m/>
    <m/>
    <s v="Jose Pezo"/>
    <m/>
    <m/>
    <m/>
    <n v="0"/>
    <n v="0"/>
    <m/>
    <m/>
    <m/>
    <m/>
    <m/>
    <m/>
    <m/>
    <m/>
    <x v="8"/>
    <x v="5"/>
    <x v="2"/>
    <x v="1"/>
    <n v="4"/>
    <s v=""/>
    <s v=""/>
  </r>
  <r>
    <s v="Agosto"/>
    <d v="2025-08-14T00:00:00"/>
    <x v="0"/>
    <x v="0"/>
    <x v="1"/>
    <x v="2"/>
    <x v="0"/>
    <x v="9"/>
    <n v="70"/>
    <n v="534000"/>
    <s v="E17"/>
    <n v="12"/>
    <n v="43000"/>
    <m/>
    <m/>
    <m/>
    <x v="15"/>
    <n v="577000"/>
    <n v="28850"/>
    <n v="7036.5853658536589"/>
    <n v="1851.7329910141209"/>
    <x v="16"/>
    <s v="Leidy Pilar Espinoza Mariño"/>
    <n v="46546054"/>
    <m/>
    <x v="18"/>
    <n v="3000"/>
    <n v="25850"/>
    <s v="CA - Minuta Firmada "/>
    <m/>
    <m/>
    <m/>
    <m/>
    <m/>
    <m/>
    <n v="0"/>
    <n v="0"/>
    <m/>
    <m/>
    <m/>
    <m/>
    <m/>
    <m/>
    <m/>
    <m/>
    <x v="5"/>
    <x v="3"/>
    <x v="1"/>
    <x v="1"/>
    <n v="14"/>
    <n v="39"/>
    <n v="25"/>
  </r>
  <r>
    <s v="Enero"/>
    <d v="2025-01-20T00:00:00"/>
    <x v="3"/>
    <x v="0"/>
    <x v="0"/>
    <x v="0"/>
    <x v="0"/>
    <x v="9"/>
    <n v="84"/>
    <n v="630000"/>
    <m/>
    <m/>
    <m/>
    <m/>
    <m/>
    <m/>
    <x v="14"/>
    <n v="630000"/>
    <n v="630000"/>
    <n v="7500"/>
    <n v="1973.6842105263158"/>
    <x v="17"/>
    <s v="Alejandro Jose Navarrete Maldonado"/>
    <n v="46304395"/>
    <m/>
    <x v="19"/>
    <n v="3000"/>
    <n v="627000"/>
    <s v="Minuta Firmada "/>
    <m/>
    <d v="2025-07-15T00:00:00"/>
    <s v="Virna Manarelli"/>
    <m/>
    <m/>
    <m/>
    <n v="0"/>
    <n v="0"/>
    <m/>
    <m/>
    <m/>
    <m/>
    <m/>
    <m/>
    <m/>
    <m/>
    <x v="9"/>
    <x v="1"/>
    <x v="1"/>
    <x v="1"/>
    <n v="77"/>
    <n v="156"/>
    <n v="79"/>
  </r>
  <r>
    <s v="Octubre"/>
    <d v="2025-10-01T00:00:00"/>
    <x v="3"/>
    <x v="0"/>
    <x v="2"/>
    <x v="1"/>
    <x v="0"/>
    <x v="10"/>
    <n v="57"/>
    <n v="381000"/>
    <m/>
    <m/>
    <m/>
    <m/>
    <m/>
    <m/>
    <x v="16"/>
    <n v="381000"/>
    <n v="20000"/>
    <n v="6684.2105263157891"/>
    <n v="1759.0027700831024"/>
    <x v="18"/>
    <s v="Danixa Thalia Manosalva Ameri"/>
    <n v="48569476"/>
    <m/>
    <x v="20"/>
    <n v="3000"/>
    <n v="17000"/>
    <s v="PA - Minuta Firmada "/>
    <d v="2026-04-30T00:00:00"/>
    <d v="2026-05-30T00:00:00"/>
    <s v="Julio Barrientos"/>
    <m/>
    <m/>
    <n v="3.5000000000000001E-3"/>
    <n v="1333.5"/>
    <n v="666.75"/>
    <n v="666.75"/>
    <s v="Planilla"/>
    <d v="2025-12-31T00:00:00"/>
    <m/>
    <m/>
    <m/>
    <m/>
    <m/>
    <x v="0"/>
    <x v="7"/>
    <x v="1"/>
    <x v="1"/>
    <n v="1"/>
    <n v="9"/>
    <n v="8"/>
  </r>
  <r>
    <s v="Junio"/>
    <d v="2024-06-24T00:00:00"/>
    <x v="3"/>
    <x v="0"/>
    <x v="0"/>
    <x v="0"/>
    <x v="0"/>
    <x v="10"/>
    <n v="56"/>
    <n v="435500"/>
    <m/>
    <m/>
    <m/>
    <m/>
    <m/>
    <m/>
    <x v="16"/>
    <n v="435500"/>
    <n v="435500"/>
    <n v="7776.7857142857147"/>
    <n v="2046.5225563909776"/>
    <x v="19"/>
    <s v="Cristhiam Ortiz Angeles"/>
    <n v="45110882"/>
    <m/>
    <x v="21"/>
    <n v="3000"/>
    <n v="432500"/>
    <s v="Minuta Firmada "/>
    <m/>
    <d v="2025-01-31T00:00:00"/>
    <s v="Virna Manarelli"/>
    <m/>
    <m/>
    <m/>
    <n v="0"/>
    <n v="0"/>
    <m/>
    <m/>
    <m/>
    <m/>
    <m/>
    <m/>
    <m/>
    <m/>
    <x v="4"/>
    <x v="4"/>
    <x v="0"/>
    <x v="0"/>
    <n v="6"/>
    <n v="37"/>
    <n v="31"/>
  </r>
  <r>
    <s v="Mayo"/>
    <d v="2025-05-21T00:00:00"/>
    <x v="1"/>
    <x v="1"/>
    <x v="1"/>
    <x v="2"/>
    <x v="0"/>
    <x v="10"/>
    <n v="83.42"/>
    <n v="578000"/>
    <m/>
    <m/>
    <m/>
    <m/>
    <m/>
    <m/>
    <x v="16"/>
    <n v="578000"/>
    <n v="3000"/>
    <n v="6928.7940541836488"/>
    <n v="1823.3668563641181"/>
    <x v="9"/>
    <s v="Dolly Rios Ugarte"/>
    <s v="01115641"/>
    <m/>
    <x v="22"/>
    <n v="3000"/>
    <m/>
    <m/>
    <m/>
    <m/>
    <m/>
    <m/>
    <m/>
    <m/>
    <n v="0"/>
    <n v="0"/>
    <m/>
    <m/>
    <m/>
    <m/>
    <s v="Temas Personales "/>
    <s v="Si"/>
    <m/>
    <m/>
    <x v="8"/>
    <x v="5"/>
    <x v="2"/>
    <x v="1"/>
    <n v="129"/>
    <s v=""/>
    <s v=""/>
  </r>
  <r>
    <s v="Setiembre"/>
    <d v="2025-09-07T00:00:00"/>
    <x v="3"/>
    <x v="0"/>
    <x v="1"/>
    <x v="6"/>
    <x v="1"/>
    <x v="10"/>
    <n v="83"/>
    <n v="600000"/>
    <m/>
    <m/>
    <m/>
    <m/>
    <m/>
    <m/>
    <x v="16"/>
    <n v="600000"/>
    <n v="13000"/>
    <n v="7228.9156626506028"/>
    <n v="1902.3462270133166"/>
    <x v="20"/>
    <s v="Patricia Salazar Aparcana"/>
    <n v="10142891"/>
    <m/>
    <x v="23"/>
    <n v="3000"/>
    <n v="10000"/>
    <s v="PA - Minuta Firmada "/>
    <d v="2026-08-30T00:00:00"/>
    <d v="2027-01-30T00:00:00"/>
    <s v="Virna Manarelli"/>
    <m/>
    <m/>
    <n v="1.6666611000000001E-3"/>
    <n v="999.99666000000002"/>
    <n v="499.99833000000001"/>
    <n v="499.99833000000001"/>
    <s v="Planilla"/>
    <d v="2026-03-27T00:00:00"/>
    <m/>
    <m/>
    <m/>
    <m/>
    <s v="Cita Addriela "/>
    <x v="10"/>
    <x v="6"/>
    <x v="3"/>
    <x v="2"/>
    <n v="163"/>
    <n v="173"/>
    <n v="10"/>
  </r>
  <r>
    <s v="Setiembre"/>
    <d v="2025-09-21T00:00:00"/>
    <x v="3"/>
    <x v="0"/>
    <x v="2"/>
    <x v="0"/>
    <x v="1"/>
    <x v="11"/>
    <n v="68"/>
    <n v="458000"/>
    <m/>
    <m/>
    <m/>
    <m/>
    <m/>
    <m/>
    <x v="17"/>
    <n v="458000"/>
    <n v="22900"/>
    <n v="6735.2941176470586"/>
    <n v="1772.4458204334364"/>
    <x v="21"/>
    <s v="Leidy Lucero Espiritu Zabarburu"/>
    <n v="76936857"/>
    <m/>
    <x v="24"/>
    <n v="3000"/>
    <n v="19900"/>
    <s v="PA - Minuta Firmada "/>
    <d v="2026-07-30T00:00:00"/>
    <d v="2026-09-30T00:00:00"/>
    <s v="Julio Barrientos"/>
    <m/>
    <m/>
    <n v="5.0000000000000001E-3"/>
    <n v="2290"/>
    <n v="0"/>
    <n v="2290"/>
    <s v="desembolso"/>
    <m/>
    <m/>
    <m/>
    <m/>
    <m/>
    <m/>
    <x v="8"/>
    <x v="6"/>
    <x v="3"/>
    <x v="1"/>
    <n v="2"/>
    <n v="136"/>
    <n v="134"/>
  </r>
  <r>
    <s v="Octubre"/>
    <d v="2025-10-04T00:00:00"/>
    <x v="4"/>
    <x v="1"/>
    <x v="0"/>
    <x v="7"/>
    <x v="0"/>
    <x v="11"/>
    <n v="88"/>
    <n v="716000"/>
    <s v="E24"/>
    <n v="12.5"/>
    <n v="62500"/>
    <s v="D18"/>
    <n v="5.3"/>
    <m/>
    <x v="18"/>
    <n v="778500"/>
    <n v="3000"/>
    <n v="7358.2230623818532"/>
    <n v="1936.3744901004877"/>
    <x v="9"/>
    <s v="Jose Luis Peralta Gamboa"/>
    <n v="45522680"/>
    <m/>
    <x v="25"/>
    <n v="3000"/>
    <m/>
    <s v="Gestion de CA "/>
    <m/>
    <m/>
    <s v="Virna Manarelli"/>
    <m/>
    <m/>
    <m/>
    <n v="0"/>
    <n v="0"/>
    <m/>
    <m/>
    <m/>
    <m/>
    <s v="cliente desiste por condiciones bancarias"/>
    <m/>
    <m/>
    <m/>
    <x v="10"/>
    <x v="5"/>
    <x v="2"/>
    <x v="2"/>
    <n v="142"/>
    <s v=""/>
    <s v=""/>
  </r>
  <r>
    <s v="Octubre"/>
    <d v="2025-10-08T00:00:00"/>
    <x v="4"/>
    <x v="0"/>
    <x v="1"/>
    <x v="2"/>
    <x v="0"/>
    <x v="12"/>
    <n v="67"/>
    <n v="438000"/>
    <s v="E28"/>
    <n v="14.5"/>
    <n v="43000"/>
    <m/>
    <m/>
    <m/>
    <x v="19"/>
    <n v="481000"/>
    <n v="129000"/>
    <n v="5901.8404907975464"/>
    <n v="1553.1159186309333"/>
    <x v="22"/>
    <s v="Giovani Chumioque Garcia"/>
    <n v="46074285"/>
    <m/>
    <x v="26"/>
    <n v="3000"/>
    <n v="126000"/>
    <s v="CA - Minuta Firmada "/>
    <m/>
    <m/>
    <m/>
    <m/>
    <m/>
    <m/>
    <n v="0"/>
    <n v="0"/>
    <m/>
    <m/>
    <m/>
    <m/>
    <m/>
    <m/>
    <m/>
    <m/>
    <x v="0"/>
    <x v="7"/>
    <x v="1"/>
    <x v="1"/>
    <n v="2"/>
    <n v="13"/>
    <n v="11"/>
  </r>
  <r>
    <s v="Febrero"/>
    <d v="2026-02-11T00:00:00"/>
    <x v="1"/>
    <x v="1"/>
    <x v="0"/>
    <x v="4"/>
    <x v="0"/>
    <x v="13"/>
    <n v="69"/>
    <n v="470500"/>
    <m/>
    <m/>
    <m/>
    <m/>
    <m/>
    <m/>
    <x v="20"/>
    <n v="470500"/>
    <n v="3000"/>
    <n v="6818.840579710145"/>
    <n v="1794.4317315026699"/>
    <x v="9"/>
    <s v="Pedro Jose Quiliche Aguirre"/>
    <n v="46660014"/>
    <m/>
    <x v="27"/>
    <n v="3000"/>
    <m/>
    <m/>
    <m/>
    <m/>
    <s v="Virna Manarelli"/>
    <m/>
    <m/>
    <m/>
    <n v="0"/>
    <n v="0"/>
    <m/>
    <m/>
    <m/>
    <m/>
    <s v="No califica CH mal reporte de Infocord "/>
    <m/>
    <m/>
    <m/>
    <x v="10"/>
    <x v="5"/>
    <x v="2"/>
    <x v="2"/>
    <n v="8"/>
    <s v=""/>
    <s v=""/>
  </r>
  <r>
    <s v="Julio"/>
    <d v="2025-07-22T00:00:00"/>
    <x v="1"/>
    <x v="0"/>
    <x v="2"/>
    <x v="0"/>
    <x v="2"/>
    <x v="14"/>
    <n v="70"/>
    <n v="470000"/>
    <m/>
    <m/>
    <m/>
    <m/>
    <m/>
    <m/>
    <x v="21"/>
    <n v="470000"/>
    <n v="141000"/>
    <n v="6714.2857142857147"/>
    <n v="1766.917293233083"/>
    <x v="23"/>
    <s v="Olga Ysabel Bellon Silva"/>
    <s v="06656631"/>
    <m/>
    <x v="28"/>
    <n v="3000"/>
    <n v="138000"/>
    <s v="Minuta Firmada "/>
    <m/>
    <d v="2027-06-30T00:00:00"/>
    <m/>
    <m/>
    <m/>
    <m/>
    <n v="0"/>
    <n v="0"/>
    <m/>
    <m/>
    <m/>
    <m/>
    <m/>
    <m/>
    <m/>
    <m/>
    <x v="8"/>
    <x v="7"/>
    <x v="1"/>
    <x v="1"/>
    <n v="44"/>
    <n v="72"/>
    <n v="28"/>
  </r>
  <r>
    <s v="Junio"/>
    <d v="2024-06-21T00:00:00"/>
    <x v="3"/>
    <x v="0"/>
    <x v="0"/>
    <x v="0"/>
    <x v="2"/>
    <x v="14"/>
    <n v="84"/>
    <n v="630000"/>
    <m/>
    <m/>
    <m/>
    <m/>
    <m/>
    <m/>
    <x v="21"/>
    <n v="630000"/>
    <n v="495000"/>
    <n v="7500"/>
    <n v="1973.6842105263158"/>
    <x v="24"/>
    <s v="Gladys Marta Moreano Bellido"/>
    <n v="23951642"/>
    <m/>
    <x v="29"/>
    <n v="3000"/>
    <n v="492000"/>
    <s v="Minuta Firmada "/>
    <m/>
    <d v="2026-04-26T00:00:00"/>
    <m/>
    <m/>
    <m/>
    <m/>
    <n v="0"/>
    <n v="0"/>
    <m/>
    <m/>
    <m/>
    <m/>
    <m/>
    <m/>
    <m/>
    <m/>
    <x v="9"/>
    <x v="8"/>
    <x v="1"/>
    <x v="1"/>
    <n v="287"/>
    <n v="293"/>
    <n v="6"/>
  </r>
  <r>
    <s v="Junio"/>
    <d v="2025-06-22T00:00:00"/>
    <x v="1"/>
    <x v="1"/>
    <x v="0"/>
    <x v="1"/>
    <x v="0"/>
    <x v="15"/>
    <n v="56"/>
    <n v="415000"/>
    <s v="E01"/>
    <n v="13"/>
    <n v="46500"/>
    <m/>
    <m/>
    <m/>
    <x v="22"/>
    <n v="461500"/>
    <n v="3000"/>
    <n v="6688.405797101449"/>
    <n v="1760.1067887109077"/>
    <x v="9"/>
    <s v="Jose Antonio Castillo Tavara"/>
    <s v="03883412"/>
    <m/>
    <x v="30"/>
    <n v="3000"/>
    <m/>
    <s v="Gestion de CA "/>
    <m/>
    <m/>
    <s v="Virna Manarelli"/>
    <m/>
    <m/>
    <m/>
    <n v="0"/>
    <n v="0"/>
    <m/>
    <m/>
    <m/>
    <m/>
    <s v="No Salio su carta de aprobacion y vencio el plazo "/>
    <m/>
    <m/>
    <m/>
    <x v="8"/>
    <x v="5"/>
    <x v="2"/>
    <x v="1"/>
    <n v="78"/>
    <s v=""/>
    <s v=""/>
  </r>
  <r>
    <s v="Enero"/>
    <d v="2026-01-19T00:00:00"/>
    <x v="6"/>
    <x v="0"/>
    <x v="1"/>
    <x v="6"/>
    <x v="0"/>
    <x v="15"/>
    <n v="83"/>
    <n v="623000"/>
    <m/>
    <m/>
    <m/>
    <m/>
    <m/>
    <m/>
    <x v="23"/>
    <n v="623000"/>
    <n v="10000"/>
    <n v="7506.0240963855422"/>
    <n v="1975.2694990488269"/>
    <x v="25"/>
    <s v="Ubaldo Yovera Puruguay"/>
    <n v="44369489"/>
    <m/>
    <x v="31"/>
    <n v="3000"/>
    <n v="7000"/>
    <s v="PA / Minuta Firmada"/>
    <d v="2026-08-30T00:00:00"/>
    <d v="2026-09-30T00:00:00"/>
    <s v="Virna Manarelli"/>
    <m/>
    <m/>
    <n v="1.6100000000000001E-3"/>
    <n v="1000"/>
    <n v="500"/>
    <n v="500"/>
    <s v="Planilla"/>
    <d v="2026-03-27T00:00:00"/>
    <m/>
    <m/>
    <m/>
    <m/>
    <s v="Cita Addriela "/>
    <x v="6"/>
    <x v="6"/>
    <x v="3"/>
    <x v="2"/>
    <n v="0"/>
    <n v="30"/>
    <n v="30"/>
  </r>
  <r>
    <s v="Marzo"/>
    <d v="2026-03-15T00:00:00"/>
    <x v="7"/>
    <x v="0"/>
    <x v="2"/>
    <x v="0"/>
    <x v="1"/>
    <x v="15"/>
    <n v="57"/>
    <n v="400000"/>
    <m/>
    <m/>
    <m/>
    <m/>
    <m/>
    <m/>
    <x v="23"/>
    <n v="400000"/>
    <n v="23000"/>
    <n v="7017.5438596491231"/>
    <n v="1846.7220683287167"/>
    <x v="26"/>
    <s v="Gina Victoria Saenz Pasco"/>
    <s v="0436237"/>
    <m/>
    <x v="32"/>
    <n v="3000"/>
    <n v="20000"/>
    <s v="PA - PFM"/>
    <d v="2026-03-30T00:00:00"/>
    <d v="2026-09-30T00:00:00"/>
    <s v="Julio Barrientos"/>
    <m/>
    <m/>
    <m/>
    <n v="0"/>
    <n v="0"/>
    <m/>
    <m/>
    <m/>
    <m/>
    <m/>
    <m/>
    <m/>
    <m/>
    <x v="11"/>
    <x v="9"/>
    <x v="3"/>
    <x v="2"/>
    <n v="0"/>
    <n v="15"/>
    <n v="15"/>
  </r>
  <r>
    <s v="Diciembre"/>
    <n v="45999"/>
    <x v="3"/>
    <x v="0"/>
    <x v="2"/>
    <x v="0"/>
    <x v="1"/>
    <x v="16"/>
    <n v="68"/>
    <n v="454700"/>
    <s v="E06"/>
    <d v="1900-01-11T00:00:00"/>
    <n v="50000"/>
    <m/>
    <m/>
    <m/>
    <x v="24"/>
    <n v="504700"/>
    <n v="13000"/>
    <n v="6308.75"/>
    <n v="1660.1973684210527"/>
    <x v="27"/>
    <s v="Liseth Carguavilva Perez"/>
    <n v="40642153"/>
    <m/>
    <x v="33"/>
    <n v="3000"/>
    <n v="10000"/>
    <s v="PA - Minuta Firmada "/>
    <d v="2026-06-30T00:00:00"/>
    <d v="2026-08-30T00:00:00"/>
    <s v="Julio Barrientos"/>
    <m/>
    <m/>
    <n v="5.0000000000000001E-3"/>
    <n v="2523.5"/>
    <n v="0"/>
    <n v="2523.5"/>
    <s v="desembolso"/>
    <m/>
    <m/>
    <m/>
    <m/>
    <m/>
    <m/>
    <x v="7"/>
    <x v="10"/>
    <x v="1"/>
    <x v="1"/>
    <n v="1"/>
    <n v="18"/>
    <n v="17"/>
  </r>
  <r>
    <s v="Octubre"/>
    <d v="2024-10-12T00:00:00"/>
    <x v="3"/>
    <x v="0"/>
    <x v="0"/>
    <x v="0"/>
    <x v="0"/>
    <x v="16"/>
    <n v="88"/>
    <n v="654000"/>
    <m/>
    <m/>
    <m/>
    <m/>
    <m/>
    <m/>
    <x v="25"/>
    <n v="654000"/>
    <n v="654000"/>
    <n v="7431.818181818182"/>
    <n v="1955.7416267942585"/>
    <x v="28"/>
    <s v="Liliana Lucila Luciano Claros"/>
    <n v="15764694"/>
    <m/>
    <x v="34"/>
    <n v="3000"/>
    <n v="651000"/>
    <s v="Minuta Firmada "/>
    <m/>
    <d v="2024-12-31T00:00:00"/>
    <m/>
    <m/>
    <m/>
    <m/>
    <n v="0"/>
    <n v="0"/>
    <m/>
    <m/>
    <m/>
    <m/>
    <m/>
    <m/>
    <m/>
    <m/>
    <x v="0"/>
    <x v="0"/>
    <x v="0"/>
    <x v="0"/>
    <n v="9"/>
    <n v="42"/>
    <n v="33"/>
  </r>
  <r>
    <s v="Mayo"/>
    <d v="2025-05-29T00:00:00"/>
    <x v="4"/>
    <x v="0"/>
    <x v="2"/>
    <x v="0"/>
    <x v="1"/>
    <x v="17"/>
    <n v="67"/>
    <n v="460000"/>
    <m/>
    <m/>
    <m/>
    <m/>
    <m/>
    <m/>
    <x v="26"/>
    <n v="460000"/>
    <n v="23000"/>
    <n v="6865.6716417910447"/>
    <n v="1806.7556952081698"/>
    <x v="29"/>
    <s v="Juana Mercedes Moran Peralta"/>
    <n v="3495726"/>
    <m/>
    <x v="35"/>
    <n v="3000"/>
    <n v="20000"/>
    <s v="PA - Minuta Firmada "/>
    <d v="2026-12-30T00:00:00"/>
    <d v="2026-01-30T00:00:00"/>
    <s v="Patricia Valverde"/>
    <m/>
    <m/>
    <m/>
    <n v="0"/>
    <n v="0"/>
    <m/>
    <m/>
    <m/>
    <m/>
    <m/>
    <m/>
    <m/>
    <m/>
    <x v="4"/>
    <x v="1"/>
    <x v="1"/>
    <x v="1"/>
    <n v="4"/>
    <n v="12"/>
    <n v="8"/>
  </r>
  <r>
    <s v="Setiembre"/>
    <d v="2025-09-08T00:00:00"/>
    <x v="4"/>
    <x v="0"/>
    <x v="1"/>
    <x v="2"/>
    <x v="0"/>
    <x v="17"/>
    <n v="67"/>
    <n v="430000"/>
    <s v="E4"/>
    <n v="13.63"/>
    <n v="48500"/>
    <m/>
    <m/>
    <m/>
    <x v="27"/>
    <n v="478500"/>
    <n v="43000"/>
    <n v="5934.5156889495229"/>
    <n v="1561.7146549867166"/>
    <x v="23"/>
    <s v="Evelyn Leon Estela"/>
    <n v="70313948"/>
    <m/>
    <x v="36"/>
    <n v="3000"/>
    <n v="40000"/>
    <s v="CA - Minuta Firmada "/>
    <m/>
    <m/>
    <m/>
    <m/>
    <m/>
    <m/>
    <n v="0"/>
    <n v="0"/>
    <m/>
    <m/>
    <m/>
    <m/>
    <m/>
    <m/>
    <m/>
    <m/>
    <x v="8"/>
    <x v="7"/>
    <x v="1"/>
    <x v="1"/>
    <n v="10"/>
    <n v="24"/>
    <n v="14"/>
  </r>
  <r>
    <s v="Febrero"/>
    <d v="2026-02-05T00:00:00"/>
    <x v="3"/>
    <x v="2"/>
    <x v="0"/>
    <x v="0"/>
    <x v="0"/>
    <x v="17"/>
    <n v="61"/>
    <n v="418000"/>
    <m/>
    <m/>
    <m/>
    <m/>
    <m/>
    <m/>
    <x v="26"/>
    <n v="418000"/>
    <n v="3000"/>
    <n v="6852.4590163934427"/>
    <n v="1803.2786885245903"/>
    <x v="9"/>
    <s v="Luis Felipe Asmat Cuno"/>
    <n v="70861891"/>
    <m/>
    <x v="37"/>
    <n v="3000"/>
    <m/>
    <s v="Gestion de CA "/>
    <m/>
    <m/>
    <s v="Virna Manarelli"/>
    <m/>
    <m/>
    <m/>
    <n v="0"/>
    <n v="0"/>
    <m/>
    <m/>
    <m/>
    <m/>
    <m/>
    <m/>
    <m/>
    <m/>
    <x v="11"/>
    <x v="5"/>
    <x v="2"/>
    <x v="2"/>
    <n v="46"/>
    <s v=""/>
    <s v=""/>
  </r>
  <r>
    <s v="Agosto"/>
    <d v="2025-08-25T00:00:00"/>
    <x v="3"/>
    <x v="0"/>
    <x v="1"/>
    <x v="2"/>
    <x v="2"/>
    <x v="18"/>
    <n v="61"/>
    <n v="392000"/>
    <s v="E29 - D13"/>
    <n v="14.5"/>
    <n v="43000"/>
    <m/>
    <m/>
    <m/>
    <x v="28"/>
    <n v="435000"/>
    <n v="220500"/>
    <n v="5761.5894039735103"/>
    <n v="1516.2077378877659"/>
    <x v="30"/>
    <s v="Petronila Tisnado Meneses "/>
    <s v="01207150"/>
    <m/>
    <x v="38"/>
    <n v="3000"/>
    <n v="217500"/>
    <s v="Minuta Firmada "/>
    <m/>
    <m/>
    <m/>
    <m/>
    <m/>
    <m/>
    <n v="0"/>
    <n v="0"/>
    <m/>
    <m/>
    <m/>
    <m/>
    <m/>
    <m/>
    <m/>
    <m/>
    <x v="5"/>
    <x v="3"/>
    <x v="1"/>
    <x v="1"/>
    <n v="2"/>
    <n v="11"/>
    <n v="9"/>
  </r>
  <r>
    <s v="Julio"/>
    <d v="2025-07-26T00:00:00"/>
    <x v="3"/>
    <x v="0"/>
    <x v="2"/>
    <x v="0"/>
    <x v="1"/>
    <x v="19"/>
    <n v="70"/>
    <n v="469500"/>
    <s v="E14 - D2"/>
    <n v="15.25"/>
    <n v="55000"/>
    <m/>
    <m/>
    <m/>
    <x v="29"/>
    <n v="524500"/>
    <n v="53950"/>
    <n v="6152.4926686217004"/>
    <n v="1619.0770180583422"/>
    <x v="8"/>
    <s v="Francesca Giuliana Ramos Ortiz"/>
    <n v="29412010"/>
    <m/>
    <x v="39"/>
    <n v="3000"/>
    <n v="50950"/>
    <s v="PA - Minuta Firmada "/>
    <d v="2026-05-31T00:00:00"/>
    <d v="2026-06-30T00:00:00"/>
    <s v=" Julio Barrientos"/>
    <m/>
    <m/>
    <m/>
    <n v="0"/>
    <n v="0"/>
    <m/>
    <m/>
    <m/>
    <m/>
    <m/>
    <m/>
    <m/>
    <m/>
    <x v="5"/>
    <x v="3"/>
    <x v="1"/>
    <x v="1"/>
    <n v="35"/>
    <n v="47"/>
    <n v="12"/>
  </r>
  <r>
    <s v="Agosto"/>
    <d v="2024-08-06T00:00:00"/>
    <x v="8"/>
    <x v="0"/>
    <x v="0"/>
    <x v="0"/>
    <x v="0"/>
    <x v="19"/>
    <n v="82.58"/>
    <n v="612000"/>
    <m/>
    <m/>
    <m/>
    <m/>
    <m/>
    <m/>
    <x v="30"/>
    <n v="612000"/>
    <n v="612000"/>
    <n v="7410.9953984015501"/>
    <n v="1950.2619469477766"/>
    <x v="31"/>
    <s v="Juan Carlos ángeles Milla"/>
    <n v="32403305"/>
    <m/>
    <x v="40"/>
    <n v="3000"/>
    <n v="609000"/>
    <s v="Minuta Firmada "/>
    <m/>
    <d v="2025-01-31T00:00:00"/>
    <s v="Virna Manarelli"/>
    <m/>
    <m/>
    <m/>
    <n v="0"/>
    <n v="0"/>
    <m/>
    <m/>
    <m/>
    <m/>
    <m/>
    <m/>
    <m/>
    <m/>
    <x v="5"/>
    <x v="3"/>
    <x v="0"/>
    <x v="0"/>
    <n v="10"/>
    <n v="31"/>
    <n v="21"/>
  </r>
  <r>
    <s v="Noviembre"/>
    <d v="2024-11-17T00:00:00"/>
    <x v="0"/>
    <x v="1"/>
    <x v="2"/>
    <x v="0"/>
    <x v="0"/>
    <x v="20"/>
    <n v="57"/>
    <n v="385000"/>
    <m/>
    <m/>
    <m/>
    <m/>
    <m/>
    <m/>
    <x v="31"/>
    <n v="385000"/>
    <n v="3000"/>
    <n v="6754.3859649122805"/>
    <n v="1777.4699907663896"/>
    <x v="9"/>
    <s v="Rosario Maria Miguel Zacarias"/>
    <s v="07496540"/>
    <m/>
    <x v="41"/>
    <n v="3000"/>
    <m/>
    <s v="envio documentos al banco"/>
    <m/>
    <m/>
    <s v="Julio Barrientos"/>
    <m/>
    <m/>
    <m/>
    <n v="0"/>
    <n v="0"/>
    <m/>
    <m/>
    <m/>
    <m/>
    <s v="Por temas de Salud de Mamá"/>
    <m/>
    <m/>
    <m/>
    <x v="6"/>
    <x v="5"/>
    <x v="2"/>
    <x v="2"/>
    <n v="419"/>
    <s v=""/>
    <s v=""/>
  </r>
  <r>
    <s v="Marzo"/>
    <d v="2026-03-04T00:00:00"/>
    <x v="3"/>
    <x v="2"/>
    <x v="0"/>
    <x v="4"/>
    <x v="0"/>
    <x v="20"/>
    <n v="57"/>
    <n v="457000"/>
    <m/>
    <m/>
    <m/>
    <m/>
    <m/>
    <m/>
    <x v="31"/>
    <n v="457000"/>
    <n v="3000"/>
    <n v="8017.5438596491231"/>
    <n v="2109.879963065559"/>
    <x v="9"/>
    <s v="Juan Gonzales Atahualpa "/>
    <s v="09518829"/>
    <m/>
    <x v="42"/>
    <n v="3000"/>
    <m/>
    <s v="Gestion de CA "/>
    <m/>
    <m/>
    <s v="Virna Manarelli"/>
    <m/>
    <m/>
    <m/>
    <n v="0"/>
    <n v="0"/>
    <m/>
    <m/>
    <m/>
    <m/>
    <m/>
    <m/>
    <m/>
    <m/>
    <x v="11"/>
    <x v="5"/>
    <x v="2"/>
    <x v="2"/>
    <n v="0"/>
    <s v=""/>
    <s v=""/>
  </r>
  <r>
    <s v="Mayo"/>
    <d v="2025-05-26T00:00:00"/>
    <x v="1"/>
    <x v="0"/>
    <x v="0"/>
    <x v="0"/>
    <x v="2"/>
    <x v="21"/>
    <n v="88"/>
    <n v="660000"/>
    <m/>
    <m/>
    <m/>
    <m/>
    <m/>
    <m/>
    <x v="32"/>
    <n v="660000"/>
    <n v="500000"/>
    <n v="7500"/>
    <n v="1973.6842105263158"/>
    <x v="32"/>
    <s v=" Patrocinio Huamani Cuevas"/>
    <n v="28965506"/>
    <m/>
    <x v="43"/>
    <n v="3000"/>
    <n v="497000"/>
    <s v="Minuta Firmada "/>
    <m/>
    <d v="2026-06-30T00:00:00"/>
    <m/>
    <m/>
    <m/>
    <m/>
    <n v="0"/>
    <n v="0"/>
    <m/>
    <m/>
    <m/>
    <m/>
    <m/>
    <m/>
    <m/>
    <m/>
    <x v="1"/>
    <x v="4"/>
    <x v="1"/>
    <x v="1"/>
    <n v="2"/>
    <n v="53"/>
    <n v="51"/>
  </r>
  <r>
    <s v="Enero"/>
    <d v="2026-01-02T00:00:00"/>
    <x v="9"/>
    <x v="0"/>
    <x v="2"/>
    <x v="0"/>
    <x v="0"/>
    <x v="21"/>
    <n v="68"/>
    <n v="470000"/>
    <m/>
    <m/>
    <m/>
    <m/>
    <m/>
    <m/>
    <x v="32"/>
    <n v="470000"/>
    <n v="68500"/>
    <n v="6911.7647058823532"/>
    <n v="1818.8854489164089"/>
    <x v="33"/>
    <s v="Erick Raul Bedoya Baca"/>
    <n v="47551103"/>
    <m/>
    <x v="44"/>
    <n v="3000"/>
    <n v="65500"/>
    <s v="CA - Minuta Firmada "/>
    <m/>
    <d v="2026-03-30T00:00:00"/>
    <s v="Julio Barrientos"/>
    <m/>
    <m/>
    <n v="5.0000000000000001E-3"/>
    <n v="2350"/>
    <n v="0"/>
    <n v="2350"/>
    <s v="desembolso"/>
    <m/>
    <m/>
    <m/>
    <m/>
    <m/>
    <m/>
    <x v="6"/>
    <x v="2"/>
    <x v="3"/>
    <x v="2"/>
    <n v="9"/>
    <n v="25"/>
    <n v="16"/>
  </r>
  <r>
    <s v="Diciembre"/>
    <d v="2025-12-08T00:00:00"/>
    <x v="3"/>
    <x v="0"/>
    <x v="2"/>
    <x v="0"/>
    <x v="1"/>
    <x v="22"/>
    <n v="67"/>
    <n v="460000"/>
    <s v="E7"/>
    <n v="12"/>
    <n v="50000"/>
    <m/>
    <m/>
    <m/>
    <x v="33"/>
    <n v="510000"/>
    <n v="52500"/>
    <n v="6455.6962025316452"/>
    <n v="1698.8674217188541"/>
    <x v="25"/>
    <s v="Ronal Jose Claudio Ramirez"/>
    <n v="41129584"/>
    <m/>
    <x v="45"/>
    <n v="3000"/>
    <n v="49500"/>
    <s v="PA / PFM"/>
    <d v="2026-07-31T00:00:00"/>
    <d v="2026-09-30T00:00:00"/>
    <s v="Julio Barrientos"/>
    <m/>
    <m/>
    <n v="5.0000000000000001E-3"/>
    <n v="2550"/>
    <n v="0"/>
    <n v="2550"/>
    <s v="desembolso"/>
    <m/>
    <m/>
    <m/>
    <m/>
    <m/>
    <m/>
    <x v="7"/>
    <x v="6"/>
    <x v="3"/>
    <x v="1"/>
    <n v="0"/>
    <n v="72"/>
    <n v="72"/>
  </r>
  <r>
    <s v="Setiembre"/>
    <d v="2025-09-05T00:00:00"/>
    <x v="10"/>
    <x v="0"/>
    <x v="0"/>
    <x v="1"/>
    <x v="1"/>
    <x v="22"/>
    <n v="61"/>
    <n v="417700"/>
    <m/>
    <m/>
    <m/>
    <m/>
    <m/>
    <m/>
    <x v="34"/>
    <n v="417700"/>
    <n v="13000"/>
    <n v="6847.5409836065573"/>
    <n v="1801.9844693701468"/>
    <x v="34"/>
    <s v="Alvaro Geanfranco Mendoza Jump"/>
    <n v="72112648"/>
    <m/>
    <x v="46"/>
    <n v="3000"/>
    <n v="10000"/>
    <s v="PA - Minuta Firmada "/>
    <m/>
    <d v="2026-04-30T00:00:00"/>
    <s v="Virna Manarelli"/>
    <m/>
    <m/>
    <n v="3.5000000000000001E-3"/>
    <n v="1461.95"/>
    <n v="730.97500000000002"/>
    <n v="730.97500000000002"/>
    <s v="Planilla"/>
    <d v="2025-10-31T00:00:00"/>
    <m/>
    <m/>
    <m/>
    <m/>
    <m/>
    <x v="8"/>
    <x v="3"/>
    <x v="1"/>
    <x v="1"/>
    <n v="7"/>
    <n v="14"/>
    <n v="7"/>
  </r>
  <r>
    <s v="Agosto"/>
    <d v="2025-08-24T00:00:00"/>
    <x v="3"/>
    <x v="0"/>
    <x v="1"/>
    <x v="5"/>
    <x v="0"/>
    <x v="22"/>
    <n v="67"/>
    <n v="428000"/>
    <m/>
    <m/>
    <m/>
    <m/>
    <m/>
    <m/>
    <x v="34"/>
    <n v="428000"/>
    <n v="21680"/>
    <n v="6388.059701492537"/>
    <n v="1681.0683424980361"/>
    <x v="33"/>
    <s v="José Edgardo Cespedes Camacho"/>
    <n v="16631860"/>
    <m/>
    <x v="15"/>
    <n v="3000"/>
    <n v="18680"/>
    <s v="CA - Minuta Firmada "/>
    <m/>
    <m/>
    <s v="Sbk"/>
    <m/>
    <m/>
    <n v="4.4999999999999997E-3"/>
    <n v="1925.9999999999998"/>
    <n v="577.79999999999995"/>
    <n v="577.79999999999995"/>
    <s v="Planilla"/>
    <d v="2026-02-15T00:00:00"/>
    <m/>
    <m/>
    <m/>
    <m/>
    <m/>
    <x v="7"/>
    <x v="2"/>
    <x v="3"/>
    <x v="1"/>
    <n v="116"/>
    <n v="156"/>
    <n v="40"/>
  </r>
  <r>
    <s v="Marzo"/>
    <d v="2025-03-14T00:00:00"/>
    <x v="3"/>
    <x v="0"/>
    <x v="2"/>
    <x v="8"/>
    <x v="2"/>
    <x v="23"/>
    <n v="72"/>
    <n v="561500"/>
    <s v="E5"/>
    <n v="12"/>
    <n v="45600"/>
    <s v="D5"/>
    <n v="4.4000000000000004"/>
    <n v="15900"/>
    <x v="35"/>
    <n v="623000"/>
    <n v="262722.5"/>
    <n v="7047.5113122171942"/>
    <n v="1854.6082400571565"/>
    <x v="35"/>
    <s v="Dante Enrique Segura Florian"/>
    <n v="45587286"/>
    <m/>
    <x v="47"/>
    <n v="3000"/>
    <n v="259722.5"/>
    <s v="Minuta Firmada "/>
    <m/>
    <d v="2026-07-30T00:00:00"/>
    <m/>
    <m/>
    <m/>
    <m/>
    <n v="0"/>
    <n v="0"/>
    <m/>
    <m/>
    <m/>
    <m/>
    <m/>
    <m/>
    <m/>
    <m/>
    <x v="11"/>
    <x v="9"/>
    <x v="1"/>
    <x v="1"/>
    <n v="3"/>
    <n v="13"/>
    <n v="10"/>
  </r>
  <r>
    <s v="Setiembre"/>
    <d v="2024-09-30T00:00:00"/>
    <x v="11"/>
    <x v="0"/>
    <x v="0"/>
    <x v="0"/>
    <x v="0"/>
    <x v="23"/>
    <n v="69"/>
    <n v="490000"/>
    <m/>
    <m/>
    <m/>
    <m/>
    <m/>
    <m/>
    <x v="36"/>
    <n v="490000"/>
    <n v="490000"/>
    <n v="7101.449275362319"/>
    <n v="1868.802440884821"/>
    <x v="36"/>
    <s v="Marina Francisca Vasquez Samaniego"/>
    <n v="19907001"/>
    <m/>
    <x v="48"/>
    <n v="3000"/>
    <n v="487000"/>
    <s v="Minuta Firmada "/>
    <m/>
    <d v="2025-08-30T00:00:00"/>
    <s v="Virna Manarelli"/>
    <m/>
    <m/>
    <m/>
    <n v="0"/>
    <n v="0"/>
    <m/>
    <m/>
    <m/>
    <m/>
    <m/>
    <m/>
    <m/>
    <m/>
    <x v="3"/>
    <x v="10"/>
    <x v="0"/>
    <x v="0"/>
    <n v="52"/>
    <n v="87"/>
    <n v="35"/>
  </r>
  <r>
    <s v="Octubre"/>
    <d v="2025-10-23T00:00:00"/>
    <x v="3"/>
    <x v="0"/>
    <x v="2"/>
    <x v="0"/>
    <x v="0"/>
    <x v="24"/>
    <n v="70"/>
    <n v="504700"/>
    <m/>
    <m/>
    <m/>
    <m/>
    <m/>
    <m/>
    <x v="37"/>
    <n v="504700"/>
    <n v="3000"/>
    <n v="7210"/>
    <n v="1897.3684210526317"/>
    <x v="37"/>
    <s v="Jimmy Luis Andrade Morveli"/>
    <n v="40071918"/>
    <m/>
    <x v="49"/>
    <n v="2000"/>
    <n v="1000"/>
    <s v="CA - Minuta Firmada "/>
    <m/>
    <d v="2026-03-30T00:00:00"/>
    <s v="Melissa Loli "/>
    <m/>
    <m/>
    <n v="5.0000000000000001E-3"/>
    <n v="2523.5"/>
    <n v="0"/>
    <n v="2523.5"/>
    <s v="desembolso"/>
    <m/>
    <m/>
    <m/>
    <m/>
    <m/>
    <m/>
    <x v="0"/>
    <x v="2"/>
    <x v="3"/>
    <x v="1"/>
    <n v="5"/>
    <n v="76"/>
    <n v="71"/>
  </r>
  <r>
    <s v="Junio"/>
    <d v="2025-06-07T00:00:00"/>
    <x v="3"/>
    <x v="0"/>
    <x v="1"/>
    <x v="3"/>
    <x v="2"/>
    <x v="24"/>
    <n v="77.86"/>
    <n v="545000"/>
    <s v="E11"/>
    <n v="14.25"/>
    <n v="50800"/>
    <m/>
    <m/>
    <m/>
    <x v="38"/>
    <n v="595800"/>
    <n v="246800"/>
    <n v="6468.3530561285424"/>
    <n v="1702.198172665406"/>
    <x v="38"/>
    <s v="Norma Tello"/>
    <s v="04063971"/>
    <m/>
    <x v="50"/>
    <n v="3000"/>
    <n v="243800"/>
    <s v="Minuta Firmada "/>
    <m/>
    <m/>
    <m/>
    <m/>
    <m/>
    <m/>
    <n v="0"/>
    <n v="0"/>
    <m/>
    <m/>
    <m/>
    <m/>
    <m/>
    <m/>
    <m/>
    <m/>
    <x v="4"/>
    <x v="4"/>
    <x v="1"/>
    <x v="1"/>
    <n v="16"/>
    <n v="48"/>
    <n v="32"/>
  </r>
  <r>
    <s v="Agosto"/>
    <d v="2022-08-13T00:00:00"/>
    <x v="0"/>
    <x v="0"/>
    <x v="0"/>
    <x v="0"/>
    <x v="0"/>
    <x v="24"/>
    <n v="84"/>
    <n v="630000"/>
    <s v="E28/D22"/>
    <n v="16.899999999999999"/>
    <n v="60000"/>
    <m/>
    <m/>
    <m/>
    <x v="39"/>
    <n v="690000"/>
    <n v="690000"/>
    <n v="6838.4539147670957"/>
    <n v="1799.5931354650252"/>
    <x v="39"/>
    <s v="Chistopher Omar Peña Camargo"/>
    <n v="44062837"/>
    <m/>
    <x v="51"/>
    <n v="3000"/>
    <n v="687000"/>
    <s v="Minuta Firmada "/>
    <m/>
    <d v="2026-08-30T00:00:00"/>
    <s v="Virna Manarelli"/>
    <m/>
    <m/>
    <m/>
    <n v="0"/>
    <n v="0"/>
    <m/>
    <m/>
    <m/>
    <m/>
    <m/>
    <m/>
    <m/>
    <m/>
    <x v="1"/>
    <x v="1"/>
    <x v="1"/>
    <x v="1"/>
    <n v="1018"/>
    <n v="1045"/>
    <n v="27"/>
  </r>
  <r>
    <s v="Marzo"/>
    <d v="2026-03-15T00:00:00"/>
    <x v="7"/>
    <x v="0"/>
    <x v="0"/>
    <x v="4"/>
    <x v="2"/>
    <x v="25"/>
    <n v="56"/>
    <n v="475000"/>
    <m/>
    <m/>
    <m/>
    <m/>
    <m/>
    <m/>
    <x v="40"/>
    <n v="475000"/>
    <n v="237000"/>
    <n v="8482.1428571428569"/>
    <n v="2232.1428571428573"/>
    <x v="40"/>
    <s v="Edwin Victor Ashtu Acosta"/>
    <n v="40910651"/>
    <m/>
    <x v="32"/>
    <n v="3000"/>
    <n v="234000"/>
    <s v="Minuta Firmada"/>
    <m/>
    <m/>
    <m/>
    <m/>
    <m/>
    <m/>
    <n v="0"/>
    <n v="0"/>
    <m/>
    <m/>
    <m/>
    <m/>
    <m/>
    <m/>
    <m/>
    <m/>
    <x v="11"/>
    <x v="9"/>
    <x v="3"/>
    <x v="2"/>
    <n v="0"/>
    <n v="16"/>
    <n v="16"/>
  </r>
  <r>
    <s v="Julio"/>
    <d v="2025-07-20T00:00:00"/>
    <x v="3"/>
    <x v="0"/>
    <x v="1"/>
    <x v="2"/>
    <x v="0"/>
    <x v="25"/>
    <n v="83.42"/>
    <n v="573000"/>
    <m/>
    <m/>
    <m/>
    <m/>
    <m/>
    <m/>
    <x v="40"/>
    <n v="573000"/>
    <n v="57300"/>
    <n v="6868.8563893550709"/>
    <n v="1807.5937866723871"/>
    <x v="41"/>
    <s v="Rocio Chuquimango Valencia"/>
    <n v="26707781"/>
    <m/>
    <x v="52"/>
    <n v="3000"/>
    <n v="54300"/>
    <s v="Minuta Firmada "/>
    <m/>
    <m/>
    <m/>
    <m/>
    <m/>
    <m/>
    <n v="0"/>
    <n v="0"/>
    <m/>
    <m/>
    <m/>
    <m/>
    <m/>
    <m/>
    <m/>
    <m/>
    <x v="5"/>
    <x v="11"/>
    <x v="1"/>
    <x v="1"/>
    <n v="13"/>
    <n v="40"/>
    <n v="27"/>
  </r>
  <r>
    <s v="Febrero"/>
    <d v="2026-02-20T00:00:00"/>
    <x v="1"/>
    <x v="1"/>
    <x v="0"/>
    <x v="4"/>
    <x v="0"/>
    <x v="25"/>
    <n v="57"/>
    <n v="467000"/>
    <s v="E41"/>
    <n v="15.86"/>
    <n v="55800"/>
    <s v="D32"/>
    <m/>
    <m/>
    <x v="41"/>
    <n v="522800"/>
    <n v="3000"/>
    <n v="7175.4048860828989"/>
    <n v="1888.2644437060262"/>
    <x v="9"/>
    <s v="Teresa Aguilar Sánchez"/>
    <s v="06040106"/>
    <m/>
    <x v="42"/>
    <n v="3000"/>
    <m/>
    <s v="Gestion de CA "/>
    <m/>
    <m/>
    <s v="Virna Manarelli"/>
    <m/>
    <m/>
    <m/>
    <n v="0"/>
    <n v="0"/>
    <m/>
    <m/>
    <m/>
    <m/>
    <s v="cliente desiste por temas familiares (mama en uci)"/>
    <m/>
    <m/>
    <s v="Cita Addriela "/>
    <x v="11"/>
    <x v="5"/>
    <x v="2"/>
    <x v="2"/>
    <n v="12"/>
    <s v=""/>
    <s v=""/>
  </r>
  <r>
    <s v="Junio"/>
    <d v="2024-06-24T00:00:00"/>
    <x v="0"/>
    <x v="0"/>
    <x v="0"/>
    <x v="0"/>
    <x v="0"/>
    <x v="26"/>
    <n v="88.27"/>
    <n v="654000"/>
    <m/>
    <m/>
    <m/>
    <m/>
    <m/>
    <m/>
    <x v="42"/>
    <n v="654000"/>
    <n v="654000"/>
    <n v="7409.0857596012238"/>
    <n v="1949.7594104213747"/>
    <x v="42"/>
    <s v="Luis Alberto Ovalle Huamanguilla"/>
    <n v="43953371"/>
    <m/>
    <x v="53"/>
    <n v="3000"/>
    <n v="651000"/>
    <s v="Minuta Firmada "/>
    <m/>
    <d v="2025-03-30T00:00:00"/>
    <m/>
    <m/>
    <m/>
    <m/>
    <n v="0"/>
    <n v="0"/>
    <m/>
    <m/>
    <m/>
    <m/>
    <m/>
    <m/>
    <m/>
    <m/>
    <x v="2"/>
    <x v="7"/>
    <x v="0"/>
    <x v="0"/>
    <n v="10"/>
    <n v="100"/>
    <n v="90"/>
  </r>
  <r>
    <s v="Marzo"/>
    <d v="2026-03-05T00:00:00"/>
    <x v="4"/>
    <x v="0"/>
    <x v="2"/>
    <x v="0"/>
    <x v="1"/>
    <x v="25"/>
    <n v="57"/>
    <n v="400000"/>
    <m/>
    <m/>
    <m/>
    <m/>
    <m/>
    <m/>
    <x v="40"/>
    <n v="400000"/>
    <n v="23000"/>
    <n v="7017.5438596491231"/>
    <n v="1846.7220683287167"/>
    <x v="40"/>
    <s v="Luisa Liliana Esther Erazo Medina"/>
    <n v="74477120"/>
    <m/>
    <x v="54"/>
    <n v="3000"/>
    <n v="20000"/>
    <s v="PA - Minuta Firmada "/>
    <m/>
    <m/>
    <m/>
    <m/>
    <m/>
    <m/>
    <n v="0"/>
    <n v="0"/>
    <m/>
    <m/>
    <m/>
    <m/>
    <m/>
    <m/>
    <m/>
    <m/>
    <x v="11"/>
    <x v="9"/>
    <x v="3"/>
    <x v="2"/>
    <n v="15"/>
    <n v="26"/>
    <n v="11"/>
  </r>
  <r>
    <s v="Marzo"/>
    <d v="2026-03-15T00:00:00"/>
    <x v="7"/>
    <x v="0"/>
    <x v="2"/>
    <x v="0"/>
    <x v="2"/>
    <x v="26"/>
    <n v="68"/>
    <n v="478000"/>
    <s v="E37"/>
    <n v="12.5"/>
    <n v="50000"/>
    <s v="D23"/>
    <n v="2.78"/>
    <m/>
    <x v="43"/>
    <n v="528000"/>
    <n v="103000"/>
    <n v="6340.0576368876082"/>
    <n v="1668.4362202335813"/>
    <x v="40"/>
    <s v="Vivina Pasco Blas Vda. De Saenz"/>
    <s v="08494885"/>
    <m/>
    <x v="32"/>
    <n v="3000"/>
    <n v="100000"/>
    <m/>
    <m/>
    <m/>
    <m/>
    <m/>
    <m/>
    <m/>
    <n v="0"/>
    <n v="0"/>
    <m/>
    <m/>
    <m/>
    <m/>
    <m/>
    <m/>
    <m/>
    <m/>
    <x v="11"/>
    <x v="9"/>
    <x v="3"/>
    <x v="2"/>
    <n v="0"/>
    <n v="16"/>
    <n v="16"/>
  </r>
  <r>
    <s v="Marzo"/>
    <d v="2026-03-15T00:00:00"/>
    <x v="7"/>
    <x v="2"/>
    <x v="0"/>
    <x v="4"/>
    <x v="0"/>
    <x v="27"/>
    <n v="61"/>
    <n v="423000"/>
    <m/>
    <m/>
    <m/>
    <m/>
    <m/>
    <m/>
    <x v="44"/>
    <n v="423000"/>
    <n v="3000"/>
    <n v="6934.4262295081971"/>
    <n v="1824.849007765315"/>
    <x v="9"/>
    <s v="Judith Medina alvarez "/>
    <n v="45149889"/>
    <m/>
    <x v="32"/>
    <n v="3000"/>
    <m/>
    <s v="Gestion de CA "/>
    <m/>
    <m/>
    <s v="Virna Manarelli"/>
    <m/>
    <m/>
    <m/>
    <n v="0"/>
    <n v="0"/>
    <m/>
    <m/>
    <m/>
    <m/>
    <m/>
    <m/>
    <m/>
    <m/>
    <x v="11"/>
    <x v="5"/>
    <x v="2"/>
    <x v="2"/>
    <n v="0"/>
    <s v=""/>
    <s v=""/>
  </r>
  <r>
    <s v="Marzo"/>
    <d v="2025-03-05T00:00:00"/>
    <x v="3"/>
    <x v="0"/>
    <x v="2"/>
    <x v="8"/>
    <x v="2"/>
    <x v="27"/>
    <n v="67"/>
    <n v="460000"/>
    <s v="E11"/>
    <n v="12.5"/>
    <n v="47500"/>
    <s v="D6"/>
    <n v="6"/>
    <n v="21700"/>
    <x v="45"/>
    <n v="529200"/>
    <n v="338688"/>
    <n v="6189.4736842105267"/>
    <n v="1628.8088642659282"/>
    <x v="43"/>
    <s v="Pablo Jaime Cornejo Pereda"/>
    <s v="07763504"/>
    <m/>
    <x v="55"/>
    <n v="3000"/>
    <n v="335688"/>
    <s v="Minuta Firmada "/>
    <m/>
    <d v="2026-08-30T00:00:00"/>
    <m/>
    <m/>
    <m/>
    <m/>
    <n v="0"/>
    <n v="0"/>
    <m/>
    <m/>
    <m/>
    <m/>
    <m/>
    <m/>
    <m/>
    <m/>
    <x v="9"/>
    <x v="8"/>
    <x v="1"/>
    <x v="1"/>
    <n v="35"/>
    <n v="40"/>
    <n v="5"/>
  </r>
  <r>
    <s v="Febrero"/>
    <d v="2025-02-09T00:00:00"/>
    <x v="3"/>
    <x v="0"/>
    <x v="0"/>
    <x v="0"/>
    <x v="0"/>
    <x v="28"/>
    <n v="69"/>
    <n v="501000"/>
    <s v="E07/D05"/>
    <n v="17.53"/>
    <n v="57300"/>
    <m/>
    <m/>
    <m/>
    <x v="46"/>
    <n v="558300"/>
    <n v="558300"/>
    <n v="6452.0975384259791"/>
    <n v="1697.9204048489419"/>
    <x v="44"/>
    <s v="Jose Humberto Pehovaz Diez"/>
    <n v="49073756"/>
    <m/>
    <x v="56"/>
    <n v="3000"/>
    <n v="555300"/>
    <s v="Minuta Firmada "/>
    <m/>
    <d v="2025-04-30T00:00:00"/>
    <m/>
    <m/>
    <m/>
    <m/>
    <n v="0"/>
    <n v="0"/>
    <m/>
    <m/>
    <m/>
    <m/>
    <m/>
    <m/>
    <m/>
    <m/>
    <x v="10"/>
    <x v="6"/>
    <x v="1"/>
    <x v="1"/>
    <n v="1"/>
    <n v="12"/>
    <n v="11"/>
  </r>
  <r>
    <s v="Julio"/>
    <d v="2025-07-05T00:00:00"/>
    <x v="3"/>
    <x v="0"/>
    <x v="2"/>
    <x v="0"/>
    <x v="1"/>
    <x v="28"/>
    <n v="72"/>
    <n v="495000"/>
    <m/>
    <m/>
    <m/>
    <m/>
    <m/>
    <m/>
    <x v="47"/>
    <n v="495000"/>
    <n v="53000"/>
    <n v="6875"/>
    <n v="1809.2105263157896"/>
    <x v="45"/>
    <s v="Mayra Andrea Montenegro"/>
    <n v="73214647"/>
    <m/>
    <x v="57"/>
    <n v="3000"/>
    <n v="50000"/>
    <s v="PA - Minuta Firmada "/>
    <d v="2026-02-28T00:00:00"/>
    <d v="2026-04-30T00:00:00"/>
    <s v="Julio Barrientos"/>
    <m/>
    <m/>
    <m/>
    <n v="0"/>
    <n v="0"/>
    <m/>
    <m/>
    <m/>
    <m/>
    <m/>
    <m/>
    <m/>
    <m/>
    <x v="2"/>
    <x v="4"/>
    <x v="1"/>
    <x v="1"/>
    <n v="1"/>
    <n v="25"/>
    <n v="24"/>
  </r>
  <r>
    <s v="Octubre"/>
    <d v="2024-10-27T00:00:00"/>
    <x v="8"/>
    <x v="0"/>
    <x v="0"/>
    <x v="0"/>
    <x v="0"/>
    <x v="29"/>
    <n v="84"/>
    <n v="592500"/>
    <m/>
    <m/>
    <m/>
    <m/>
    <m/>
    <m/>
    <x v="48"/>
    <n v="592500"/>
    <n v="592500"/>
    <n v="7053.5714285714284"/>
    <n v="1856.203007518797"/>
    <x v="46"/>
    <s v="Richard Humberto Lima Garcia"/>
    <n v="10606793"/>
    <m/>
    <x v="58"/>
    <n v="3000"/>
    <n v="589500"/>
    <s v="Minuta Firmada "/>
    <m/>
    <d v="2024-12-31T00:00:00"/>
    <m/>
    <m/>
    <m/>
    <m/>
    <n v="0"/>
    <n v="0"/>
    <m/>
    <m/>
    <m/>
    <m/>
    <m/>
    <m/>
    <m/>
    <m/>
    <x v="0"/>
    <x v="0"/>
    <x v="0"/>
    <x v="0"/>
    <n v="1"/>
    <n v="26"/>
    <n v="25"/>
  </r>
  <r>
    <s v="Enero"/>
    <d v="2025-01-31T00:00:00"/>
    <x v="1"/>
    <x v="0"/>
    <x v="1"/>
    <x v="5"/>
    <x v="1"/>
    <x v="29"/>
    <n v="78"/>
    <n v="561000"/>
    <m/>
    <m/>
    <m/>
    <m/>
    <m/>
    <m/>
    <x v="48"/>
    <n v="561000"/>
    <n v="21900"/>
    <n v="7192.3076923076924"/>
    <n v="1892.7125506072875"/>
    <x v="47"/>
    <s v="Irma Paulina Palomino Huaman"/>
    <n v="76840101"/>
    <m/>
    <x v="59"/>
    <n v="3000"/>
    <n v="18900"/>
    <s v="PA - Minuta Firmada "/>
    <m/>
    <m/>
    <s v="Virna Manarelli"/>
    <m/>
    <m/>
    <n v="4.4999999999999997E-3"/>
    <n v="2524.5"/>
    <n v="757.35"/>
    <n v="757.35"/>
    <s v="Planilla"/>
    <d v="2026-02-15T00:00:00"/>
    <m/>
    <m/>
    <m/>
    <m/>
    <m/>
    <x v="6"/>
    <x v="2"/>
    <x v="3"/>
    <x v="2"/>
    <n v="351"/>
    <n v="362"/>
    <n v="11"/>
  </r>
  <r>
    <s v="Diciembre"/>
    <d v="2025-12-06T00:00:00"/>
    <x v="3"/>
    <x v="0"/>
    <x v="2"/>
    <x v="0"/>
    <x v="1"/>
    <x v="29"/>
    <n v="70"/>
    <n v="475000"/>
    <s v="E17"/>
    <n v="12.5"/>
    <n v="46800"/>
    <m/>
    <m/>
    <m/>
    <x v="49"/>
    <n v="521800"/>
    <n v="89440"/>
    <n v="6324.848484848485"/>
    <n v="1664.4338118022329"/>
    <x v="48"/>
    <s v="Dolores Lissett Castillo Diaz"/>
    <n v="43780263"/>
    <m/>
    <x v="60"/>
    <n v="3000"/>
    <n v="86440"/>
    <s v="PA - Minuta Firmada "/>
    <d v="2026-04-30T00:00:00"/>
    <d v="2026-06-30T00:00:00"/>
    <s v=" Julio Barrientos"/>
    <m/>
    <m/>
    <n v="5.0000000000000001E-3"/>
    <n v="2609"/>
    <n v="0"/>
    <n v="2609"/>
    <s v="desembolso"/>
    <m/>
    <m/>
    <m/>
    <m/>
    <m/>
    <m/>
    <x v="7"/>
    <x v="10"/>
    <x v="1"/>
    <x v="1"/>
    <n v="0"/>
    <n v="6"/>
    <n v="6"/>
  </r>
  <r>
    <s v="Julio"/>
    <d v="2025-07-02T00:00:00"/>
    <x v="3"/>
    <x v="1"/>
    <x v="1"/>
    <x v="5"/>
    <x v="2"/>
    <x v="30"/>
    <n v="83"/>
    <n v="585000"/>
    <s v="E10"/>
    <n v="15.4"/>
    <n v="54000"/>
    <m/>
    <m/>
    <m/>
    <x v="50"/>
    <n v="639000"/>
    <n v="3000"/>
    <n v="6493.9024390243894"/>
    <n v="1708.9216944801026"/>
    <x v="9"/>
    <s v="Eloisa Farfan Bautista De Justo"/>
    <s v="07616475"/>
    <m/>
    <x v="61"/>
    <n v="3000"/>
    <m/>
    <s v="Abonara Inicial 28/01"/>
    <m/>
    <m/>
    <m/>
    <m/>
    <m/>
    <m/>
    <n v="0"/>
    <n v="0"/>
    <m/>
    <m/>
    <m/>
    <m/>
    <s v="No esta de acuerdo con el contrato"/>
    <m/>
    <m/>
    <m/>
    <x v="6"/>
    <x v="5"/>
    <x v="2"/>
    <x v="2"/>
    <n v="186"/>
    <s v=""/>
    <s v=""/>
  </r>
  <r>
    <s v="Febrero"/>
    <d v="2026-02-01T00:00:00"/>
    <x v="3"/>
    <x v="1"/>
    <x v="1"/>
    <x v="5"/>
    <x v="0"/>
    <x v="30"/>
    <n v="83"/>
    <n v="623000"/>
    <m/>
    <m/>
    <m/>
    <m/>
    <m/>
    <m/>
    <x v="51"/>
    <n v="623000"/>
    <n v="3000"/>
    <n v="7506.0240963855422"/>
    <n v="1975.2694990488269"/>
    <x v="9"/>
    <s v="Elva Melinda Leiva Gracian"/>
    <n v="45408840"/>
    <m/>
    <x v="62"/>
    <n v="3000"/>
    <m/>
    <s v="envo os documentos al banco"/>
    <m/>
    <m/>
    <m/>
    <m/>
    <m/>
    <m/>
    <n v="0"/>
    <n v="0"/>
    <m/>
    <m/>
    <m/>
    <m/>
    <s v="Infocorp"/>
    <s v="No"/>
    <m/>
    <m/>
    <x v="10"/>
    <x v="5"/>
    <x v="2"/>
    <x v="2"/>
    <n v="0"/>
    <s v=""/>
    <s v=""/>
  </r>
  <r>
    <s v="Enero"/>
    <d v="2026-01-28T00:00:00"/>
    <x v="1"/>
    <x v="0"/>
    <x v="0"/>
    <x v="4"/>
    <x v="0"/>
    <x v="30"/>
    <n v="55"/>
    <n v="454000"/>
    <s v="E50"/>
    <n v="12.5"/>
    <n v="46000"/>
    <m/>
    <m/>
    <m/>
    <x v="52"/>
    <n v="500000"/>
    <n v="100000"/>
    <n v="7407.4074074074078"/>
    <n v="1949.3177387914232"/>
    <x v="49"/>
    <s v="Francescoli Del Aguila Bär"/>
    <n v="45957413"/>
    <m/>
    <x v="63"/>
    <n v="3000"/>
    <n v="97000"/>
    <s v="CA - Minuta Firmada "/>
    <m/>
    <d v="2026-03-30T00:00:00"/>
    <s v="Virna Manarelli"/>
    <m/>
    <m/>
    <n v="3.5000000000000001E-3"/>
    <n v="1750"/>
    <n v="875"/>
    <n v="875"/>
    <s v="Planilla"/>
    <d v="2026-03-27T00:00:00"/>
    <m/>
    <m/>
    <m/>
    <m/>
    <s v="Cita Addriela "/>
    <x v="10"/>
    <x v="6"/>
    <x v="3"/>
    <x v="2"/>
    <n v="9"/>
    <n v="26"/>
    <n v="17"/>
  </r>
  <r>
    <s v="Noviembre"/>
    <d v="2025-11-19T00:00:00"/>
    <x v="1"/>
    <x v="1"/>
    <x v="1"/>
    <x v="1"/>
    <x v="0"/>
    <x v="31"/>
    <n v="63"/>
    <n v="403000"/>
    <m/>
    <m/>
    <m/>
    <m/>
    <m/>
    <m/>
    <x v="53"/>
    <n v="403000"/>
    <n v="3000"/>
    <n v="6396.8253968253966"/>
    <n v="1683.375104427736"/>
    <x v="9"/>
    <s v="Pedro Jose Capcha Pacherrez"/>
    <n v="75067358"/>
    <m/>
    <x v="64"/>
    <n v="3000"/>
    <m/>
    <s v="envio documentos al banco"/>
    <m/>
    <m/>
    <m/>
    <m/>
    <m/>
    <m/>
    <n v="0"/>
    <n v="0"/>
    <m/>
    <m/>
    <m/>
    <m/>
    <s v="Temas Bancarios "/>
    <s v="No"/>
    <d v="2026-01-30T00:00:00"/>
    <m/>
    <x v="3"/>
    <x v="5"/>
    <x v="2"/>
    <x v="1"/>
    <n v="3"/>
    <s v=""/>
    <s v=""/>
  </r>
  <r>
    <s v="Diciembre"/>
    <d v="2024-12-28T00:00:00"/>
    <x v="3"/>
    <x v="0"/>
    <x v="0"/>
    <x v="0"/>
    <x v="2"/>
    <x v="31"/>
    <n v="88"/>
    <n v="654000"/>
    <s v="E06/D04"/>
    <n v="18.2"/>
    <n v="57500"/>
    <m/>
    <m/>
    <m/>
    <x v="54"/>
    <n v="711500"/>
    <n v="711500"/>
    <n v="6699.623352165725"/>
    <n v="1763.0587768857172"/>
    <x v="50"/>
    <s v="David Edgar Valencia Cordova"/>
    <n v="41844906"/>
    <m/>
    <x v="65"/>
    <n v="3000"/>
    <n v="708500"/>
    <s v="Minuta Firmada "/>
    <m/>
    <d v="2026-01-28T00:00:00"/>
    <m/>
    <m/>
    <m/>
    <m/>
    <n v="0"/>
    <n v="0"/>
    <m/>
    <m/>
    <m/>
    <m/>
    <m/>
    <m/>
    <m/>
    <m/>
    <x v="7"/>
    <x v="2"/>
    <x v="1"/>
    <x v="0"/>
    <n v="1"/>
    <n v="33"/>
    <n v="32"/>
  </r>
  <r>
    <s v="Diciembre"/>
    <d v="2025-12-09T00:00:00"/>
    <x v="3"/>
    <x v="0"/>
    <x v="2"/>
    <x v="0"/>
    <x v="0"/>
    <x v="30"/>
    <n v="57"/>
    <n v="382000"/>
    <m/>
    <m/>
    <m/>
    <m/>
    <m/>
    <m/>
    <x v="51"/>
    <n v="382000"/>
    <n v="38200"/>
    <n v="6701.7543859649122"/>
    <n v="1763.6195752539243"/>
    <x v="14"/>
    <s v="Víctor Daniel Chuquihuaccha Hernandez"/>
    <n v="73229140"/>
    <m/>
    <x v="66"/>
    <n v="3000"/>
    <n v="35200"/>
    <s v="CA - Minuta Firmada "/>
    <m/>
    <d v="2026-04-30T00:00:00"/>
    <s v="Cesar Albino"/>
    <m/>
    <m/>
    <n v="5.0000000000000001E-3"/>
    <n v="1910"/>
    <n v="0"/>
    <n v="1910"/>
    <s v="desembolso"/>
    <m/>
    <m/>
    <m/>
    <m/>
    <m/>
    <m/>
    <x v="7"/>
    <x v="2"/>
    <x v="3"/>
    <x v="1"/>
    <n v="11"/>
    <n v="31"/>
    <n v="20"/>
  </r>
  <r>
    <s v="Julio"/>
    <d v="2025-07-20T00:00:00"/>
    <x v="6"/>
    <x v="0"/>
    <x v="0"/>
    <x v="1"/>
    <x v="0"/>
    <x v="32"/>
    <n v="61"/>
    <n v="417700"/>
    <m/>
    <m/>
    <m/>
    <m/>
    <m/>
    <m/>
    <x v="55"/>
    <n v="417700"/>
    <n v="417700"/>
    <n v="6847.5409836065573"/>
    <n v="1801.9844693701468"/>
    <x v="51"/>
    <s v="Wendy Carolina Junes Gonzáles"/>
    <n v="458711226"/>
    <m/>
    <x v="67"/>
    <n v="3000"/>
    <n v="414700"/>
    <s v="Minuta Firmada "/>
    <m/>
    <d v="2025-08-30T00:00:00"/>
    <s v="Virna Manarelli"/>
    <m/>
    <m/>
    <n v="3.5000000000000001E-3"/>
    <n v="1461.95"/>
    <n v="0"/>
    <n v="1461.95"/>
    <s v="Planilla"/>
    <d v="2025-09-30T00:00:00"/>
    <m/>
    <m/>
    <m/>
    <m/>
    <m/>
    <x v="2"/>
    <x v="11"/>
    <x v="1"/>
    <x v="1"/>
    <n v="3"/>
    <n v="29"/>
    <n v="26"/>
  </r>
  <r>
    <s v="Noviembre"/>
    <d v="2025-11-07T00:00:00"/>
    <x v="8"/>
    <x v="0"/>
    <x v="1"/>
    <x v="6"/>
    <x v="0"/>
    <x v="32"/>
    <n v="67"/>
    <n v="438000"/>
    <m/>
    <m/>
    <m/>
    <m/>
    <m/>
    <m/>
    <x v="55"/>
    <n v="438000"/>
    <n v="23000"/>
    <n v="6537.313432835821"/>
    <n v="1720.3456402199529"/>
    <x v="52"/>
    <s v="Yul Frank Rodriquez Valeriano"/>
    <n v="41469279"/>
    <m/>
    <x v="4"/>
    <n v="3000"/>
    <n v="20000"/>
    <s v="Minuta Firmada "/>
    <m/>
    <m/>
    <s v="Virna Manarelli"/>
    <m/>
    <m/>
    <m/>
    <n v="0"/>
    <n v="0"/>
    <m/>
    <m/>
    <m/>
    <m/>
    <m/>
    <m/>
    <m/>
    <m/>
    <x v="3"/>
    <x v="10"/>
    <x v="1"/>
    <x v="1"/>
    <n v="4"/>
    <n v="36"/>
    <n v="32"/>
  </r>
  <r>
    <s v="Febrero"/>
    <d v="2026-02-14T00:00:00"/>
    <x v="1"/>
    <x v="0"/>
    <x v="2"/>
    <x v="4"/>
    <x v="0"/>
    <x v="31"/>
    <n v="68"/>
    <n v="474700"/>
    <m/>
    <m/>
    <m/>
    <m/>
    <m/>
    <m/>
    <x v="53"/>
    <n v="474700"/>
    <n v="23567.5"/>
    <n v="6980.8823529411766"/>
    <n v="1837.0743034055729"/>
    <x v="53"/>
    <s v="Ronal Ticona Arones"/>
    <n v="41639626"/>
    <m/>
    <x v="68"/>
    <n v="2500"/>
    <n v="21067.5"/>
    <s v="CA - Minuta Firmada "/>
    <m/>
    <d v="2026-04-30T00:00:00"/>
    <s v="Julio Barrientos"/>
    <m/>
    <m/>
    <n v="3.5000000000000001E-3"/>
    <n v="1661.45"/>
    <n v="830.72500000000002"/>
    <n v="830.72500000000002"/>
    <s v="Planilla"/>
    <d v="2026-03-27T00:00:00"/>
    <m/>
    <m/>
    <m/>
    <m/>
    <m/>
    <x v="10"/>
    <x v="6"/>
    <x v="3"/>
    <x v="2"/>
    <n v="8"/>
    <n v="14"/>
    <n v="6"/>
  </r>
  <r>
    <s v="Octubre"/>
    <d v="2024-10-17T00:00:00"/>
    <x v="3"/>
    <x v="0"/>
    <x v="0"/>
    <x v="0"/>
    <x v="1"/>
    <x v="33"/>
    <n v="69"/>
    <n v="496000"/>
    <m/>
    <m/>
    <m/>
    <m/>
    <m/>
    <m/>
    <x v="56"/>
    <n v="496000"/>
    <n v="496000"/>
    <n v="7188.405797101449"/>
    <n v="1891.6857360793288"/>
    <x v="54"/>
    <s v="Sthefany Carolina Rodriguez Huamán"/>
    <n v="70270427"/>
    <m/>
    <x v="34"/>
    <n v="200"/>
    <n v="495800"/>
    <s v="Minuta Firmada "/>
    <m/>
    <d v="2025-07-31T00:00:00"/>
    <m/>
    <m/>
    <m/>
    <m/>
    <n v="0"/>
    <n v="0"/>
    <m/>
    <m/>
    <m/>
    <m/>
    <m/>
    <m/>
    <m/>
    <m/>
    <x v="0"/>
    <x v="9"/>
    <x v="1"/>
    <x v="0"/>
    <n v="4"/>
    <n v="139"/>
    <n v="135"/>
  </r>
  <r>
    <s v="Junio"/>
    <d v="2025-06-07T00:00:00"/>
    <x v="3"/>
    <x v="0"/>
    <x v="0"/>
    <x v="0"/>
    <x v="1"/>
    <x v="34"/>
    <n v="84"/>
    <n v="630000"/>
    <m/>
    <m/>
    <m/>
    <m/>
    <m/>
    <m/>
    <x v="57"/>
    <n v="630000"/>
    <n v="630000"/>
    <n v="7500"/>
    <n v="1973.6842105263158"/>
    <x v="55"/>
    <s v="Denisse Estela Linares Suarez"/>
    <n v="44457800"/>
    <m/>
    <x v="69"/>
    <n v="3000"/>
    <n v="627000"/>
    <s v="Minuta Firmada "/>
    <m/>
    <d v="2025-12-30T00:00:00"/>
    <m/>
    <m/>
    <m/>
    <m/>
    <n v="0"/>
    <n v="0"/>
    <m/>
    <m/>
    <m/>
    <m/>
    <m/>
    <m/>
    <m/>
    <m/>
    <x v="4"/>
    <x v="11"/>
    <x v="1"/>
    <x v="1"/>
    <n v="14"/>
    <n v="65"/>
    <n v="51"/>
  </r>
  <r>
    <s v="Mayo"/>
    <d v="2025-05-10T00:00:00"/>
    <x v="3"/>
    <x v="0"/>
    <x v="0"/>
    <x v="0"/>
    <x v="1"/>
    <x v="35"/>
    <n v="56"/>
    <n v="420000"/>
    <m/>
    <m/>
    <m/>
    <m/>
    <m/>
    <m/>
    <x v="58"/>
    <n v="420000"/>
    <n v="12400"/>
    <n v="7500"/>
    <n v="1973.6842105263158"/>
    <x v="39"/>
    <s v="Gersom Gonzales Alfaro"/>
    <n v="42539680"/>
    <m/>
    <x v="70"/>
    <n v="3000"/>
    <n v="9400"/>
    <s v="Minuta Firmada "/>
    <m/>
    <d v="2025-12-30T00:00:00"/>
    <s v="Virna Manarelli"/>
    <m/>
    <m/>
    <m/>
    <n v="0"/>
    <n v="0"/>
    <m/>
    <m/>
    <m/>
    <m/>
    <m/>
    <m/>
    <m/>
    <m/>
    <x v="4"/>
    <x v="1"/>
    <x v="1"/>
    <x v="1"/>
    <n v="28"/>
    <n v="44"/>
    <n v="16"/>
  </r>
  <r>
    <s v="Junio"/>
    <d v="2025-06-04T00:00:00"/>
    <x v="3"/>
    <x v="0"/>
    <x v="0"/>
    <x v="3"/>
    <x v="2"/>
    <x v="36"/>
    <n v="88"/>
    <n v="654000"/>
    <s v="E32/D24/E33/D25"/>
    <n v="34.799999999999997"/>
    <n v="115800"/>
    <m/>
    <m/>
    <m/>
    <x v="59"/>
    <n v="769800"/>
    <n v="637834.29999999993"/>
    <n v="6268.7296416938116"/>
    <n v="1649.6656951825821"/>
    <x v="38"/>
    <s v=" Marco Antonio Cordova Oropeza"/>
    <n v="22079563"/>
    <m/>
    <x v="71"/>
    <n v="3000"/>
    <n v="634834.29999999993"/>
    <s v="Minuta Firmada "/>
    <m/>
    <d v="2026-03-15T00:00:00"/>
    <m/>
    <m/>
    <m/>
    <m/>
    <n v="0"/>
    <n v="0"/>
    <m/>
    <m/>
    <m/>
    <m/>
    <m/>
    <m/>
    <m/>
    <m/>
    <x v="4"/>
    <x v="4"/>
    <x v="1"/>
    <x v="1"/>
    <n v="1"/>
    <n v="51"/>
    <n v="50"/>
  </r>
  <r>
    <s v="Febrero"/>
    <d v="2026-02-14T00:00:00"/>
    <x v="1"/>
    <x v="0"/>
    <x v="2"/>
    <x v="4"/>
    <x v="0"/>
    <x v="32"/>
    <n v="67"/>
    <n v="468000"/>
    <m/>
    <m/>
    <m/>
    <m/>
    <m/>
    <m/>
    <x v="55"/>
    <n v="468000"/>
    <n v="23567.5"/>
    <n v="6985.0746268656712"/>
    <n v="1838.1775333857031"/>
    <x v="53"/>
    <s v="Ronal Ticona Arones"/>
    <n v="41639626"/>
    <m/>
    <x v="68"/>
    <n v="2500"/>
    <n v="21067.5"/>
    <s v="CA - Minuta Firmada "/>
    <m/>
    <d v="2026-04-30T00:00:00"/>
    <s v="Julio Barrientos"/>
    <m/>
    <m/>
    <n v="3.5000000000000001E-3"/>
    <n v="1638"/>
    <n v="819"/>
    <n v="819"/>
    <s v="Planilla"/>
    <d v="2026-03-27T00:00:00"/>
    <m/>
    <m/>
    <m/>
    <m/>
    <m/>
    <x v="10"/>
    <x v="6"/>
    <x v="3"/>
    <x v="2"/>
    <n v="8"/>
    <n v="14"/>
    <n v="6"/>
  </r>
  <r>
    <s v="Febrero"/>
    <d v="2026-02-26T00:00:00"/>
    <x v="4"/>
    <x v="1"/>
    <x v="0"/>
    <x v="4"/>
    <x v="2"/>
    <x v="37"/>
    <n v="61"/>
    <n v="430200"/>
    <s v="E45"/>
    <n v="12.5"/>
    <n v="48500"/>
    <s v="D34"/>
    <n v="1.3"/>
    <m/>
    <x v="60"/>
    <n v="478700"/>
    <n v="3000"/>
    <n v="6399.7326203208559"/>
    <n v="1684.1401632423306"/>
    <x v="9"/>
    <s v="Jose Antonio Madrid Rodriguez"/>
    <n v="49052986"/>
    <m/>
    <x v="72"/>
    <n v="3000"/>
    <m/>
    <m/>
    <m/>
    <m/>
    <m/>
    <m/>
    <m/>
    <m/>
    <n v="0"/>
    <n v="0"/>
    <m/>
    <m/>
    <m/>
    <m/>
    <s v="Disiste por temasa familiares"/>
    <m/>
    <m/>
    <m/>
    <x v="11"/>
    <x v="5"/>
    <x v="2"/>
    <x v="2"/>
    <n v="9"/>
    <s v=""/>
    <s v=""/>
  </r>
  <r>
    <s v="Junio"/>
    <d v="2025-06-07T00:00:00"/>
    <x v="3"/>
    <x v="0"/>
    <x v="0"/>
    <x v="0"/>
    <x v="1"/>
    <x v="38"/>
    <n v="69"/>
    <n v="470500"/>
    <m/>
    <m/>
    <m/>
    <m/>
    <m/>
    <m/>
    <x v="61"/>
    <n v="470500"/>
    <n v="42000"/>
    <n v="6818.840579710145"/>
    <n v="1794.4317315026699"/>
    <x v="56"/>
    <s v="Sussan Yassmine Rubin Domínguez"/>
    <n v="46963168"/>
    <m/>
    <x v="70"/>
    <n v="3000"/>
    <n v="39000"/>
    <s v="Minuta Firmada "/>
    <m/>
    <d v="2026-01-31T00:00:00"/>
    <s v="Virna Manarelli"/>
    <m/>
    <m/>
    <m/>
    <n v="0"/>
    <n v="0"/>
    <m/>
    <m/>
    <m/>
    <m/>
    <m/>
    <m/>
    <m/>
    <m/>
    <x v="4"/>
    <x v="1"/>
    <x v="1"/>
    <x v="1"/>
    <n v="0"/>
    <n v="14"/>
    <n v="14"/>
  </r>
  <r>
    <s v="Marzo"/>
    <d v="2026-03-14T00:00:00"/>
    <x v="7"/>
    <x v="0"/>
    <x v="2"/>
    <x v="0"/>
    <x v="2"/>
    <x v="36"/>
    <n v="68"/>
    <n v="476700"/>
    <s v="E28"/>
    <n v="12.5"/>
    <n v="48600"/>
    <s v="D18"/>
    <n v="1.72"/>
    <m/>
    <x v="62"/>
    <n v="525300"/>
    <n v="157590"/>
    <n v="6388.9564582826561"/>
    <n v="1681.3043311270148"/>
    <x v="26"/>
    <s v="Jorge Luis Montoya Mendoza"/>
    <n v="21458250"/>
    <m/>
    <x v="73"/>
    <n v="3000"/>
    <n v="154590"/>
    <s v="Minuta Firmada "/>
    <m/>
    <m/>
    <m/>
    <m/>
    <m/>
    <m/>
    <n v="0"/>
    <n v="0"/>
    <m/>
    <m/>
    <m/>
    <m/>
    <m/>
    <m/>
    <m/>
    <m/>
    <x v="11"/>
    <x v="9"/>
    <x v="3"/>
    <x v="2"/>
    <n v="0"/>
    <n v="16"/>
    <n v="16"/>
  </r>
  <r>
    <s v="Mayo"/>
    <d v="2025-05-22T00:00:00"/>
    <x v="3"/>
    <x v="2"/>
    <x v="0"/>
    <x v="0"/>
    <x v="0"/>
    <x v="39"/>
    <n v="84"/>
    <n v="680500"/>
    <s v="E34"/>
    <n v="15.89"/>
    <n v="63000"/>
    <s v="D26"/>
    <n v="2.31"/>
    <m/>
    <x v="63"/>
    <n v="743500"/>
    <n v="3000"/>
    <n v="7274.9510763209391"/>
    <n v="1914.460809558142"/>
    <x v="9"/>
    <s v="Evelin Ugarte Cama"/>
    <n v="70332143"/>
    <m/>
    <x v="74"/>
    <n v="3000"/>
    <m/>
    <s v="Gestion de CA "/>
    <m/>
    <m/>
    <s v="Virna Manarelli"/>
    <m/>
    <m/>
    <m/>
    <n v="0"/>
    <n v="0"/>
    <m/>
    <m/>
    <m/>
    <m/>
    <m/>
    <m/>
    <m/>
    <m/>
    <x v="1"/>
    <x v="5"/>
    <x v="2"/>
    <x v="1"/>
    <n v="2"/>
    <s v=""/>
    <s v=""/>
  </r>
  <r>
    <s v="Noviembre"/>
    <d v="2025-11-19T00:00:00"/>
    <x v="0"/>
    <x v="0"/>
    <x v="0"/>
    <x v="1"/>
    <x v="0"/>
    <x v="40"/>
    <n v="56"/>
    <n v="433500"/>
    <s v="E43"/>
    <n v="13.27"/>
    <n v="50500"/>
    <m/>
    <m/>
    <m/>
    <x v="64"/>
    <n v="484000"/>
    <n v="484000"/>
    <n v="6987.1517251335363"/>
    <n v="1838.724138193036"/>
    <x v="57"/>
    <s v="Daniel Alejandro Aguayo Vera"/>
    <n v="76121899"/>
    <m/>
    <x v="75"/>
    <n v="3000"/>
    <n v="481000"/>
    <s v="CA - Minuta Firmada "/>
    <m/>
    <d v="2026-01-30T00:00:00"/>
    <s v="Virna Manarelli"/>
    <m/>
    <m/>
    <n v="3.5000000000000001E-3"/>
    <n v="1694"/>
    <n v="0"/>
    <n v="1694"/>
    <s v="rxh"/>
    <d v="2026-03-20T00:00:00"/>
    <m/>
    <m/>
    <m/>
    <m/>
    <m/>
    <x v="3"/>
    <x v="10"/>
    <x v="1"/>
    <x v="1"/>
    <n v="5"/>
    <n v="28"/>
    <n v="23"/>
  </r>
  <r>
    <s v="Enero"/>
    <d v="2025-01-19T00:00:00"/>
    <x v="3"/>
    <x v="0"/>
    <x v="0"/>
    <x v="0"/>
    <x v="0"/>
    <x v="41"/>
    <n v="88"/>
    <n v="692000"/>
    <m/>
    <m/>
    <m/>
    <m/>
    <m/>
    <m/>
    <x v="65"/>
    <n v="692000"/>
    <n v="692000"/>
    <n v="7863.636363636364"/>
    <n v="2069.377990430622"/>
    <x v="58"/>
    <s v="Karina Cabanillas Correa"/>
    <n v="40065933"/>
    <m/>
    <x v="76"/>
    <n v="3000"/>
    <n v="689000"/>
    <s v="Minuta Firmada "/>
    <m/>
    <d v="2025-06-25T00:00:00"/>
    <m/>
    <m/>
    <m/>
    <m/>
    <n v="0"/>
    <n v="0"/>
    <m/>
    <m/>
    <m/>
    <m/>
    <m/>
    <m/>
    <m/>
    <m/>
    <x v="6"/>
    <x v="9"/>
    <x v="1"/>
    <x v="1"/>
    <n v="4"/>
    <n v="58"/>
    <n v="54"/>
  </r>
  <r>
    <s v="Diciembre"/>
    <d v="2025-12-09T00:00:00"/>
    <x v="1"/>
    <x v="0"/>
    <x v="0"/>
    <x v="6"/>
    <x v="1"/>
    <x v="42"/>
    <n v="61"/>
    <n v="417500"/>
    <m/>
    <m/>
    <m/>
    <m/>
    <m/>
    <m/>
    <x v="66"/>
    <n v="417500"/>
    <n v="60000"/>
    <n v="6844.2622950819668"/>
    <n v="1801.1216566005178"/>
    <x v="59"/>
    <s v="Lizet Lopez Paucar"/>
    <n v="42459734"/>
    <m/>
    <x v="77"/>
    <n v="30000"/>
    <n v="30000"/>
    <s v="PA - Minuta Firmada "/>
    <m/>
    <d v="2026-05-30T00:00:00"/>
    <s v="Virna Manarelli"/>
    <m/>
    <m/>
    <n v="2.3999999999999998E-3"/>
    <n v="1001.9999999999999"/>
    <n v="500.99999999999994"/>
    <n v="500.99999999999994"/>
    <s v="Planilla"/>
    <d v="2026-02-27T00:00:00"/>
    <m/>
    <m/>
    <m/>
    <m/>
    <m/>
    <x v="6"/>
    <x v="2"/>
    <x v="3"/>
    <x v="2"/>
    <n v="27"/>
    <n v="53"/>
    <n v="26"/>
  </r>
  <r>
    <s v="Enero"/>
    <d v="2026-01-04T00:00:00"/>
    <x v="3"/>
    <x v="0"/>
    <x v="0"/>
    <x v="5"/>
    <x v="0"/>
    <x v="43"/>
    <n v="69"/>
    <n v="489000"/>
    <s v="E36"/>
    <n v="12.51"/>
    <n v="46000"/>
    <m/>
    <m/>
    <m/>
    <x v="67"/>
    <n v="535000"/>
    <n v="535000"/>
    <n v="6563.6118267697211"/>
    <n v="1727.2662702025582"/>
    <x v="60"/>
    <s v="Walther Antonio Espinoza Gomez "/>
    <s v="08657121"/>
    <m/>
    <x v="61"/>
    <n v="3000"/>
    <n v="532000"/>
    <s v="CA - Minuta Firmada "/>
    <m/>
    <d v="2026-01-30T00:00:00"/>
    <s v="Sbk"/>
    <m/>
    <m/>
    <n v="4.4999999999999997E-3"/>
    <n v="2407.5"/>
    <n v="2407.5"/>
    <n v="0"/>
    <s v="Planilla"/>
    <d v="2026-02-15T00:00:00"/>
    <m/>
    <m/>
    <m/>
    <m/>
    <m/>
    <x v="6"/>
    <x v="2"/>
    <x v="3"/>
    <x v="2"/>
    <n v="0"/>
    <n v="8"/>
    <n v="8"/>
  </r>
  <r>
    <s v="Diciembre"/>
    <d v="2025-12-16T00:00:00"/>
    <x v="1"/>
    <x v="0"/>
    <x v="2"/>
    <x v="0"/>
    <x v="0"/>
    <x v="38"/>
    <n v="72"/>
    <n v="485300"/>
    <s v="E18"/>
    <n v="12.5"/>
    <n v="46800"/>
    <m/>
    <m/>
    <m/>
    <x v="68"/>
    <n v="532100"/>
    <n v="53210"/>
    <n v="6297.041420118343"/>
    <n v="1657.1161631890377"/>
    <x v="61"/>
    <s v="Harry Anderson Yance Ruiz"/>
    <n v="40870103"/>
    <m/>
    <x v="78"/>
    <n v="3000"/>
    <n v="50210"/>
    <s v="CA - Minuta Firmada "/>
    <m/>
    <d v="2026-03-30T00:00:00"/>
    <s v="Maria Cortez "/>
    <m/>
    <m/>
    <n v="5.0000000000000001E-3"/>
    <n v="2660.5"/>
    <n v="0"/>
    <n v="2660.5"/>
    <s v="desembolso"/>
    <m/>
    <m/>
    <m/>
    <m/>
    <m/>
    <m/>
    <x v="7"/>
    <x v="2"/>
    <x v="3"/>
    <x v="1"/>
    <n v="10"/>
    <n v="32"/>
    <n v="22"/>
  </r>
  <r>
    <s v="Abril"/>
    <d v="2025-04-20T00:00:00"/>
    <x v="1"/>
    <x v="0"/>
    <x v="0"/>
    <x v="1"/>
    <x v="1"/>
    <x v="44"/>
    <n v="83"/>
    <n v="615000"/>
    <m/>
    <m/>
    <m/>
    <m/>
    <m/>
    <m/>
    <x v="69"/>
    <n v="615000"/>
    <n v="97000"/>
    <n v="7409.6385542168673"/>
    <n v="1949.9048826886494"/>
    <x v="62"/>
    <s v="Danny Romel Ore Gerreros"/>
    <n v="47474967"/>
    <m/>
    <x v="79"/>
    <n v="3000"/>
    <n v="94000"/>
    <s v="PA  - Minuta Firmada "/>
    <m/>
    <d v="2026-02-28T00:00:00"/>
    <s v="Virna Manarelli"/>
    <m/>
    <m/>
    <n v="3.5000000000000001E-3"/>
    <n v="2152.5"/>
    <n v="1076.25"/>
    <n v="1076.25"/>
    <s v="rxh"/>
    <d v="2026-03-20T00:00:00"/>
    <m/>
    <m/>
    <m/>
    <m/>
    <m/>
    <x v="2"/>
    <x v="11"/>
    <x v="1"/>
    <x v="1"/>
    <n v="100"/>
    <n v="118"/>
    <n v="18"/>
  </r>
  <r>
    <s v="Marzo"/>
    <d v="2026-03-15T00:00:00"/>
    <x v="7"/>
    <x v="2"/>
    <x v="1"/>
    <x v="0"/>
    <x v="0"/>
    <x v="44"/>
    <n v="148"/>
    <n v="888000"/>
    <m/>
    <m/>
    <m/>
    <m/>
    <m/>
    <m/>
    <x v="69"/>
    <n v="888000"/>
    <n v="3000"/>
    <n v="6000"/>
    <n v="1578.9473684210527"/>
    <x v="9"/>
    <s v="Rosa Maria Mantilla Guardamino"/>
    <s v="09568981"/>
    <m/>
    <x v="32"/>
    <n v="3000"/>
    <m/>
    <m/>
    <m/>
    <m/>
    <m/>
    <m/>
    <m/>
    <m/>
    <n v="0"/>
    <n v="0"/>
    <m/>
    <m/>
    <m/>
    <m/>
    <m/>
    <m/>
    <m/>
    <m/>
    <x v="11"/>
    <x v="5"/>
    <x v="2"/>
    <x v="2"/>
    <n v="0"/>
    <s v=""/>
    <s v=""/>
  </r>
  <r>
    <s v="Agosto"/>
    <d v="2025-08-02T00:00:00"/>
    <x v="0"/>
    <x v="0"/>
    <x v="0"/>
    <x v="1"/>
    <x v="0"/>
    <x v="45"/>
    <n v="56"/>
    <n v="415000"/>
    <m/>
    <m/>
    <m/>
    <m/>
    <m/>
    <m/>
    <x v="70"/>
    <n v="415000"/>
    <n v="41500"/>
    <n v="7410.7142857142853"/>
    <n v="1950.187969924812"/>
    <x v="63"/>
    <s v="Maria De Los Angeles Ibañez Mogrovejo"/>
    <n v="72190258"/>
    <m/>
    <x v="80"/>
    <n v="3000"/>
    <n v="38500"/>
    <s v="PA - Minuta Firmada "/>
    <m/>
    <d v="2026-03-30T00:00:00"/>
    <s v="Virna Manarelli"/>
    <m/>
    <m/>
    <n v="3.5000000000000001E-3"/>
    <n v="1452.5"/>
    <n v="0"/>
    <n v="1452.5"/>
    <s v="rxh"/>
    <m/>
    <m/>
    <m/>
    <m/>
    <m/>
    <m/>
    <x v="8"/>
    <x v="10"/>
    <x v="1"/>
    <x v="1"/>
    <n v="50"/>
    <n v="122"/>
    <n v="72"/>
  </r>
  <r>
    <s v="Febrero"/>
    <d v="2025-02-16T00:00:00"/>
    <x v="3"/>
    <x v="0"/>
    <x v="0"/>
    <x v="6"/>
    <x v="0"/>
    <x v="46"/>
    <n v="88"/>
    <n v="675000"/>
    <s v="E11/D08"/>
    <n v="16.3"/>
    <n v="60400"/>
    <m/>
    <m/>
    <m/>
    <x v="71"/>
    <n v="735400"/>
    <n v="471171.42000000004"/>
    <n v="7050.8149568552253"/>
    <n v="1855.4776202250594"/>
    <x v="64"/>
    <s v="Judith Condori Yucra"/>
    <s v="01345064"/>
    <m/>
    <x v="81"/>
    <n v="3000"/>
    <n v="468171.42000000004"/>
    <s v="Minuta Firmada "/>
    <m/>
    <d v="2026-06-30T00:00:00"/>
    <m/>
    <m/>
    <m/>
    <m/>
    <n v="0"/>
    <n v="0"/>
    <m/>
    <m/>
    <m/>
    <m/>
    <m/>
    <m/>
    <m/>
    <m/>
    <x v="4"/>
    <x v="0"/>
    <x v="1"/>
    <x v="1"/>
    <n v="131"/>
    <n v="281"/>
    <n v="150"/>
  </r>
  <r>
    <s v="Febrero"/>
    <d v="2026-02-09T00:00:00"/>
    <x v="3"/>
    <x v="2"/>
    <x v="0"/>
    <x v="0"/>
    <x v="0"/>
    <x v="47"/>
    <n v="61"/>
    <n v="417700"/>
    <m/>
    <m/>
    <m/>
    <m/>
    <m/>
    <m/>
    <x v="72"/>
    <n v="417700"/>
    <n v="3000"/>
    <n v="6847.5409836065573"/>
    <n v="1801.9844693701468"/>
    <x v="9"/>
    <s v="Marita Angeles Milla"/>
    <s v="09096071"/>
    <m/>
    <x v="82"/>
    <n v="3000"/>
    <m/>
    <s v="Gestion de CA "/>
    <m/>
    <m/>
    <s v="Virna Manarelli"/>
    <m/>
    <m/>
    <m/>
    <n v="0"/>
    <n v="0"/>
    <m/>
    <m/>
    <m/>
    <m/>
    <m/>
    <m/>
    <m/>
    <m/>
    <x v="11"/>
    <x v="5"/>
    <x v="2"/>
    <x v="2"/>
    <n v="28"/>
    <s v=""/>
    <s v=""/>
  </r>
  <r>
    <s v="Agosto"/>
    <d v="2025-08-08T00:00:00"/>
    <x v="1"/>
    <x v="0"/>
    <x v="1"/>
    <x v="2"/>
    <x v="1"/>
    <x v="48"/>
    <n v="68"/>
    <n v="372000"/>
    <m/>
    <m/>
    <m/>
    <m/>
    <m/>
    <m/>
    <x v="73"/>
    <n v="372000"/>
    <n v="18600"/>
    <n v="5470.588235294118"/>
    <n v="1439.6284829721365"/>
    <x v="65"/>
    <s v="Rennie Sven Flores Humareda"/>
    <n v="46120415"/>
    <m/>
    <x v="83"/>
    <n v="3000"/>
    <n v="15600"/>
    <s v="CA - Minuta Firmada "/>
    <m/>
    <m/>
    <m/>
    <m/>
    <m/>
    <m/>
    <n v="0"/>
    <n v="0"/>
    <m/>
    <m/>
    <m/>
    <m/>
    <m/>
    <m/>
    <m/>
    <m/>
    <x v="5"/>
    <x v="11"/>
    <x v="1"/>
    <x v="1"/>
    <n v="1"/>
    <n v="1"/>
    <n v="0"/>
  </r>
  <r>
    <s v="Marzo"/>
    <d v="2026-03-28T00:00:00"/>
    <x v="3"/>
    <x v="0"/>
    <x v="0"/>
    <x v="4"/>
    <x v="1"/>
    <x v="48"/>
    <n v="69"/>
    <n v="480000"/>
    <m/>
    <m/>
    <m/>
    <m/>
    <m/>
    <m/>
    <x v="73"/>
    <n v="480000"/>
    <n v="13000"/>
    <n v="6956.521739130435"/>
    <n v="1830.6636155606409"/>
    <x v="40"/>
    <s v="Stephanie Lizeth Aquino Herrera"/>
    <n v="70292339"/>
    <m/>
    <x v="84"/>
    <n v="3000"/>
    <n v="10000"/>
    <s v="PA  - PFM"/>
    <d v="2025-03-31T00:00:00"/>
    <d v="2026-06-30T00:00:00"/>
    <s v="Virna Manarelli"/>
    <m/>
    <m/>
    <m/>
    <n v="0"/>
    <n v="0"/>
    <m/>
    <m/>
    <m/>
    <m/>
    <m/>
    <m/>
    <m/>
    <m/>
    <x v="11"/>
    <x v="9"/>
    <x v="3"/>
    <x v="2"/>
    <n v="2"/>
    <n v="3"/>
    <n v="1"/>
  </r>
  <r>
    <s v="Febrero"/>
    <d v="2025-02-09T00:00:00"/>
    <x v="3"/>
    <x v="0"/>
    <x v="0"/>
    <x v="0"/>
    <x v="0"/>
    <x v="49"/>
    <n v="61"/>
    <n v="397000"/>
    <m/>
    <m/>
    <m/>
    <m/>
    <m/>
    <m/>
    <x v="74"/>
    <n v="397000"/>
    <n v="397000"/>
    <n v="6508.1967213114758"/>
    <n v="1712.6833477135463"/>
    <x v="66"/>
    <s v="Ana Fabiola Alvarez Elias"/>
    <s v="06789211"/>
    <m/>
    <x v="85"/>
    <n v="3000"/>
    <n v="394000"/>
    <s v="Minuta Firmada "/>
    <m/>
    <d v="2025-03-31T00:00:00"/>
    <m/>
    <m/>
    <m/>
    <m/>
    <n v="0"/>
    <n v="0"/>
    <m/>
    <m/>
    <m/>
    <m/>
    <m/>
    <m/>
    <m/>
    <m/>
    <x v="10"/>
    <x v="9"/>
    <x v="1"/>
    <x v="1"/>
    <n v="6"/>
    <n v="33"/>
    <n v="27"/>
  </r>
  <r>
    <s v="Marzo"/>
    <d v="2026-03-20T00:00:00"/>
    <x v="3"/>
    <x v="0"/>
    <x v="0"/>
    <x v="4"/>
    <x v="0"/>
    <x v="50"/>
    <n v="62"/>
    <n v="429000"/>
    <m/>
    <m/>
    <m/>
    <m/>
    <m/>
    <m/>
    <x v="75"/>
    <n v="429000"/>
    <n v="42900"/>
    <n v="6919.3548387096771"/>
    <n v="1820.8828522920203"/>
    <x v="40"/>
    <s v="Carlos Enrique Morante Arroyo"/>
    <n v="74307522"/>
    <m/>
    <x v="86"/>
    <n v="3000"/>
    <n v="39900"/>
    <s v="CA - PFM"/>
    <m/>
    <m/>
    <s v="Virna Manarelli"/>
    <m/>
    <m/>
    <m/>
    <n v="0"/>
    <n v="0"/>
    <m/>
    <m/>
    <m/>
    <m/>
    <m/>
    <m/>
    <m/>
    <m/>
    <x v="11"/>
    <x v="9"/>
    <x v="3"/>
    <x v="2"/>
    <n v="2"/>
    <n v="11"/>
    <n v="9"/>
  </r>
  <r>
    <s v="Junio"/>
    <d v="2025-06-21T00:00:00"/>
    <x v="1"/>
    <x v="0"/>
    <x v="2"/>
    <x v="0"/>
    <x v="0"/>
    <x v="44"/>
    <n v="70"/>
    <n v="518500"/>
    <m/>
    <m/>
    <m/>
    <m/>
    <m/>
    <m/>
    <x v="69"/>
    <n v="518500"/>
    <n v="39725"/>
    <n v="7407.1428571428569"/>
    <n v="1949.2481203007519"/>
    <x v="67"/>
    <s v="Tania Valladares Timana"/>
    <n v="43216992"/>
    <m/>
    <x v="87"/>
    <n v="3000"/>
    <n v="36725"/>
    <s v="CA - Minuta Firmada "/>
    <d v="2025-12-30T00:00:00"/>
    <d v="2026-01-30T00:00:00"/>
    <s v=" Romina Alarcon "/>
    <m/>
    <m/>
    <m/>
    <n v="0"/>
    <n v="0"/>
    <m/>
    <m/>
    <m/>
    <m/>
    <m/>
    <m/>
    <m/>
    <m/>
    <x v="2"/>
    <x v="11"/>
    <x v="1"/>
    <x v="1"/>
    <n v="26"/>
    <n v="41"/>
    <n v="15"/>
  </r>
  <r>
    <s v="Enero"/>
    <d v="2025-01-30T00:00:00"/>
    <x v="3"/>
    <x v="0"/>
    <x v="2"/>
    <x v="0"/>
    <x v="2"/>
    <x v="51"/>
    <n v="57"/>
    <n v="370000"/>
    <m/>
    <m/>
    <m/>
    <m/>
    <m/>
    <m/>
    <x v="76"/>
    <n v="370000"/>
    <n v="10000"/>
    <n v="6491.2280701754389"/>
    <n v="1708.2179132040631"/>
    <x v="68"/>
    <s v="Diana Carolina Asmat Cuno"/>
    <n v="47198881"/>
    <m/>
    <x v="88"/>
    <n v="5000"/>
    <n v="5000"/>
    <s v="Minuta Firmada digital "/>
    <m/>
    <m/>
    <m/>
    <m/>
    <m/>
    <n v="5.0000000000000001E-3"/>
    <n v="1850"/>
    <n v="0"/>
    <n v="1850"/>
    <s v="desembolso"/>
    <m/>
    <m/>
    <m/>
    <m/>
    <m/>
    <s v="Cita Addriela "/>
    <x v="6"/>
    <x v="6"/>
    <x v="3"/>
    <x v="2"/>
    <n v="338"/>
    <n v="392"/>
    <n v="54"/>
  </r>
  <r>
    <s v="Diciembre"/>
    <d v="2025-12-10T00:00:00"/>
    <x v="0"/>
    <x v="0"/>
    <x v="2"/>
    <x v="6"/>
    <x v="2"/>
    <x v="52"/>
    <n v="72"/>
    <n v="467100"/>
    <m/>
    <m/>
    <m/>
    <m/>
    <m/>
    <m/>
    <x v="77"/>
    <n v="467100"/>
    <n v="49470"/>
    <n v="6487.5"/>
    <n v="1707.2368421052633"/>
    <x v="69"/>
    <s v="Fabiola Maria Lecca Vargas"/>
    <s v="08034254"/>
    <m/>
    <x v="41"/>
    <n v="3000"/>
    <n v="46470"/>
    <s v="Minuta Firmada "/>
    <m/>
    <m/>
    <m/>
    <m/>
    <m/>
    <n v="2.1410000000000001E-3"/>
    <n v="1000"/>
    <n v="1000"/>
    <n v="0"/>
    <s v="Planilla"/>
    <d v="2026-03-27T00:00:00"/>
    <m/>
    <m/>
    <m/>
    <m/>
    <m/>
    <x v="6"/>
    <x v="6"/>
    <x v="3"/>
    <x v="2"/>
    <n v="31"/>
    <n v="54"/>
    <n v="23"/>
  </r>
  <r>
    <s v="Noviembre"/>
    <d v="2025-11-25T00:00:00"/>
    <x v="1"/>
    <x v="0"/>
    <x v="2"/>
    <x v="4"/>
    <x v="1"/>
    <x v="53"/>
    <n v="70"/>
    <n v="455500"/>
    <m/>
    <m/>
    <m/>
    <m/>
    <m/>
    <m/>
    <x v="78"/>
    <n v="455500"/>
    <n v="13888"/>
    <n v="6507.1428571428569"/>
    <n v="1712.406015037594"/>
    <x v="70"/>
    <s v="Elizabeth Mindy Delgado Pereyra"/>
    <n v="44350777"/>
    <m/>
    <x v="89"/>
    <n v="5000"/>
    <n v="8888"/>
    <s v="PA - PFM"/>
    <m/>
    <m/>
    <s v="Julio Barrientos"/>
    <m/>
    <m/>
    <m/>
    <n v="0"/>
    <n v="0"/>
    <m/>
    <m/>
    <m/>
    <m/>
    <m/>
    <m/>
    <m/>
    <m/>
    <x v="10"/>
    <x v="9"/>
    <x v="3"/>
    <x v="2"/>
    <n v="80"/>
    <n v="115"/>
    <n v="35"/>
  </r>
  <r>
    <s v="Julio"/>
    <d v="2025-07-06T00:00:00"/>
    <x v="3"/>
    <x v="0"/>
    <x v="2"/>
    <x v="0"/>
    <x v="0"/>
    <x v="54"/>
    <n v="40"/>
    <n v="265000"/>
    <m/>
    <m/>
    <m/>
    <m/>
    <m/>
    <m/>
    <x v="79"/>
    <n v="265000"/>
    <n v="68600"/>
    <n v="6625"/>
    <n v="1743.421052631579"/>
    <x v="71"/>
    <s v="Darwin Martin Peralta Conchucos"/>
    <n v="43608980"/>
    <m/>
    <x v="90"/>
    <n v="3000"/>
    <n v="65600"/>
    <s v="CA - Minuta Firmada "/>
    <m/>
    <d v="2026-03-30T00:00:00"/>
    <s v=" Julio Barrientos"/>
    <m/>
    <m/>
    <m/>
    <n v="0"/>
    <n v="0"/>
    <m/>
    <m/>
    <m/>
    <m/>
    <m/>
    <m/>
    <m/>
    <m/>
    <x v="2"/>
    <x v="3"/>
    <x v="1"/>
    <x v="1"/>
    <n v="22"/>
    <n v="60"/>
    <n v="38"/>
  </r>
  <r>
    <s v="Enero"/>
    <d v="2026-01-13T00:00:00"/>
    <x v="4"/>
    <x v="0"/>
    <x v="2"/>
    <x v="0"/>
    <x v="2"/>
    <x v="55"/>
    <n v="57"/>
    <n v="422000"/>
    <s v="E39"/>
    <n v="12.5"/>
    <n v="43200"/>
    <m/>
    <m/>
    <m/>
    <x v="80"/>
    <n v="465200"/>
    <n v="33000"/>
    <n v="6693.5251798561148"/>
    <n v="1761.4539946989776"/>
    <x v="72"/>
    <s v="Christian Blas Acosta"/>
    <n v="47824606"/>
    <m/>
    <x v="91"/>
    <n v="3000"/>
    <n v="30000"/>
    <s v="CD - Minuta Firmada "/>
    <m/>
    <m/>
    <m/>
    <m/>
    <m/>
    <n v="5.0000000000000001E-3"/>
    <n v="2326"/>
    <n v="0"/>
    <n v="2326"/>
    <s v="desembolso"/>
    <m/>
    <m/>
    <m/>
    <m/>
    <m/>
    <s v="Cita Addriela "/>
    <x v="6"/>
    <x v="2"/>
    <x v="3"/>
    <x v="2"/>
    <n v="1"/>
    <n v="1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CC180-2684-4450-9B94-21A161A3E49F}" name="Ratios" cacheId="16" applyNumberFormats="0" applyBorderFormats="0" applyFontFormats="0" applyPatternFormats="0" applyAlignmentFormats="0" applyWidthHeightFormats="1" dataCaption="Valores" errorCaption="0" showError="1" updatedVersion="8" minRefreshableVersion="3" itemPrintTitles="1" createdVersion="8" indent="0" outline="1" outlineData="1" multipleFieldFilters="0" rowHeaderCaption="Ejecutivo">
  <location ref="N9:Q19" firstHeaderRow="0" firstDataRow="1" firstDataCol="1"/>
  <pivotFields count="52">
    <pivotField showAll="0"/>
    <pivotField showAll="0"/>
    <pivotField showAll="0"/>
    <pivotField multipleItemSelectionAllowed="1" showAll="0"/>
    <pivotField showAll="0">
      <items count="8">
        <item x="2"/>
        <item m="1" x="6"/>
        <item x="0"/>
        <item x="1"/>
        <item m="1" x="4"/>
        <item m="1" x="5"/>
        <item m="1" x="3"/>
        <item t="default"/>
      </items>
    </pivotField>
    <pivotField axis="axisRow" showAll="0">
      <items count="27">
        <item m="1" x="10"/>
        <item m="1" x="11"/>
        <item x="8"/>
        <item m="1" x="18"/>
        <item m="1" x="24"/>
        <item m="1" x="12"/>
        <item m="1" x="13"/>
        <item m="1" x="19"/>
        <item m="1" x="14"/>
        <item m="1" x="25"/>
        <item x="0"/>
        <item x="2"/>
        <item m="1" x="16"/>
        <item m="1" x="22"/>
        <item x="3"/>
        <item x="1"/>
        <item m="1" x="15"/>
        <item x="6"/>
        <item m="1" x="20"/>
        <item m="1" x="17"/>
        <item m="1" x="23"/>
        <item m="1" x="21"/>
        <item x="5"/>
        <item m="1" x="9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showAll="0"/>
    <pivotField dataField="1" showAll="0"/>
    <pivotField dataField="1" showAll="0"/>
    <pivotField dataField="1" showAll="0"/>
  </pivotFields>
  <rowFields count="1">
    <field x="5"/>
  </rowFields>
  <rowItems count="10">
    <i>
      <x v="2"/>
    </i>
    <i>
      <x v="10"/>
    </i>
    <i>
      <x v="11"/>
    </i>
    <i>
      <x v="14"/>
    </i>
    <i>
      <x v="15"/>
    </i>
    <i>
      <x v="17"/>
    </i>
    <i>
      <x v="22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eads vs Separación" fld="49" subtotal="average" baseField="5" baseItem="11"/>
    <dataField name="Leads vs Minuta" fld="50" subtotal="average" baseField="5" baseItem="11"/>
    <dataField name="Separación vs Minutas" fld="51" subtotal="average" baseField="5" baseItem="11"/>
  </dataFields>
  <formats count="6">
    <format dxfId="238">
      <pivotArea outline="0" collapsedLevelsAreSubtotals="1" fieldPosition="0"/>
    </format>
    <format dxfId="237">
      <pivotArea outline="0" collapsedLevelsAreSubtotals="1" fieldPosition="0"/>
    </format>
    <format dxfId="236">
      <pivotArea outline="0" collapsedLevelsAreSubtotals="1" fieldPosition="0"/>
    </format>
    <format dxfId="2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0377A-06FD-4D65-90FA-1105F066DA9D}" name="Vendido_Histórico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 rowHeaderCaption="Año / Mes">
  <location ref="A10:B21" firstHeaderRow="1" firstDataRow="1" firstDataCol="1" rowPageCount="1" colPageCount="1"/>
  <pivotFields count="52">
    <pivotField showAll="0"/>
    <pivotField showAll="0"/>
    <pivotField axis="axisRow" showAll="0">
      <items count="17">
        <item x="3"/>
        <item m="1" x="13"/>
        <item x="1"/>
        <item x="11"/>
        <item x="5"/>
        <item x="6"/>
        <item x="0"/>
        <item x="8"/>
        <item x="4"/>
        <item m="1" x="15"/>
        <item x="9"/>
        <item x="10"/>
        <item m="1" x="14"/>
        <item m="1" x="12"/>
        <item x="2"/>
        <item x="7"/>
        <item t="default"/>
      </items>
    </pivotField>
    <pivotField axis="axisPage" multipleItemSelectionAllowed="1" showAll="0">
      <items count="10">
        <item h="1" x="1"/>
        <item h="1" m="1" x="4"/>
        <item m="1" x="7"/>
        <item h="1" x="2"/>
        <item x="0"/>
        <item m="1" x="8"/>
        <item h="1" m="1" x="6"/>
        <item h="1" m="1" x="5"/>
        <item h="1" m="1" x="3"/>
        <item t="default"/>
      </items>
    </pivotField>
    <pivotField showAll="0">
      <items count="8">
        <item x="2"/>
        <item m="1" x="6"/>
        <item x="0"/>
        <item x="1"/>
        <item m="1" x="4"/>
        <item m="1" x="5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2"/>
        <item h="1" x="6"/>
        <item h="1" x="9"/>
        <item h="1" x="8"/>
        <item h="1" x="1"/>
        <item h="1" x="4"/>
        <item h="1" x="11"/>
        <item h="1" m="1" x="12"/>
        <item h="1" x="7"/>
        <item h="1" x="0"/>
        <item h="1" x="10"/>
        <item h="1" x="5"/>
        <item h="1" m="1" x="14"/>
        <item h="1" x="3"/>
        <item h="1" m="1" x="13"/>
        <item t="default"/>
      </items>
    </pivotField>
    <pivotField axis="axisRow" showAll="0" sortType="ascending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</pivotFields>
  <rowFields count="3">
    <field x="47"/>
    <field x="46"/>
    <field x="2"/>
  </rowFields>
  <rowItems count="11">
    <i>
      <x v="2"/>
    </i>
    <i r="1">
      <x/>
    </i>
    <i r="2">
      <x/>
    </i>
    <i r="2">
      <x v="14"/>
    </i>
    <i>
      <x v="3"/>
    </i>
    <i r="1">
      <x/>
    </i>
    <i r="2">
      <x/>
    </i>
    <i r="2">
      <x v="2"/>
    </i>
    <i r="2">
      <x v="8"/>
    </i>
    <i r="2">
      <x v="10"/>
    </i>
    <i t="grand">
      <x/>
    </i>
  </rowItems>
  <colItems count="1">
    <i/>
  </colItems>
  <pageFields count="1">
    <pageField fld="3" hier="-1"/>
  </pageFields>
  <dataFields count="1">
    <dataField name="Cuenta de N° Unidad(es)" fld="16" subtotal="count" baseField="0" baseItem="0"/>
  </dataFields>
  <formats count="2">
    <format dxfId="240">
      <pivotArea outline="0" collapsedLevelsAreSubtotals="1" fieldPosition="0"/>
    </format>
    <format dxfId="2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61219-E910-424C-8140-10A0FB4F93F6}" name="Finanaciamiento_Separacion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1" rowHeaderCaption="Detalle">
  <location ref="D66:E70" firstHeaderRow="1" firstDataRow="1" firstDataCol="1"/>
  <pivotFields count="52">
    <pivotField showAll="0"/>
    <pivotField showAll="0"/>
    <pivotField showAll="0"/>
    <pivotField multipleItemSelectionAllowed="1" showAll="0"/>
    <pivotField showAll="0">
      <items count="8">
        <item x="2"/>
        <item m="1" x="6"/>
        <item x="0"/>
        <item x="1"/>
        <item m="1" x="4"/>
        <item m="1" x="5"/>
        <item m="1" x="3"/>
        <item t="default"/>
      </items>
    </pivotField>
    <pivotField showAll="0"/>
    <pivotField axis="axisRow" showAll="0">
      <items count="7">
        <item x="2"/>
        <item x="0"/>
        <item m="1" x="3"/>
        <item m="1" x="5"/>
        <item x="1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4"/>
    </i>
    <i t="grand">
      <x/>
    </i>
  </rowItems>
  <colItems count="1">
    <i/>
  </colItems>
  <dataFields count="1">
    <dataField name="N° Unidad" fld="16" subtotal="count" baseField="0" baseItem="0"/>
  </dataFields>
  <formats count="4">
    <format dxfId="244">
      <pivotArea outline="0" collapsedLevelsAreSubtotals="1" fieldPosition="0"/>
    </format>
    <format dxfId="2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2">
      <pivotArea outline="0" collapsedLevelsAreSubtotals="1" fieldPosition="0"/>
    </format>
    <format dxfId="24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8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FE148-C5EA-4BD0-AD6F-486693EE9DB1}" name="Vendido_Medio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5" rowHeaderCaption="Año / Mes">
  <location ref="D10:E16" firstHeaderRow="1" firstDataRow="1" firstDataCol="1" rowPageCount="1" colPageCount="1"/>
  <pivotFields count="52">
    <pivotField showAll="0"/>
    <pivotField showAll="0"/>
    <pivotField axis="axisRow" showAll="0" sortType="ascending">
      <items count="17">
        <item x="3"/>
        <item m="1" x="13"/>
        <item x="2"/>
        <item x="1"/>
        <item x="11"/>
        <item x="7"/>
        <item x="5"/>
        <item x="6"/>
        <item x="0"/>
        <item x="8"/>
        <item x="4"/>
        <item m="1" x="15"/>
        <item x="9"/>
        <item x="10"/>
        <item m="1" x="14"/>
        <item m="1" x="12"/>
        <item t="default"/>
      </items>
    </pivotField>
    <pivotField axis="axisPage" multipleItemSelectionAllowed="1" showAll="0">
      <items count="10">
        <item h="1" x="1"/>
        <item h="1" m="1" x="4"/>
        <item m="1" x="7"/>
        <item h="1" x="2"/>
        <item x="0"/>
        <item m="1" x="8"/>
        <item h="1" m="1" x="6"/>
        <item h="1" m="1" x="5"/>
        <item h="1" m="1" x="3"/>
        <item t="default"/>
      </items>
    </pivotField>
    <pivotField showAll="0">
      <items count="8">
        <item x="2"/>
        <item m="1" x="6"/>
        <item x="0"/>
        <item x="1"/>
        <item m="1" x="4"/>
        <item m="1" x="5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6">
        <item x="2"/>
        <item h="1" x="6"/>
        <item h="1" x="9"/>
        <item h="1" x="8"/>
        <item h="1" x="1"/>
        <item h="1" x="4"/>
        <item h="1" x="11"/>
        <item h="1" x="3"/>
        <item h="1" x="7"/>
        <item h="1" x="0"/>
        <item h="1" x="10"/>
        <item h="1" x="5"/>
        <item h="1" m="1" x="14"/>
        <item h="1" m="1" x="12"/>
        <item h="1" m="1" x="13"/>
        <item t="default"/>
      </items>
    </pivotField>
    <pivotField showAll="0" sortType="ascending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2"/>
    </i>
    <i>
      <x v="3"/>
    </i>
    <i>
      <x v="10"/>
    </i>
    <i>
      <x v="12"/>
    </i>
    <i t="grand">
      <x/>
    </i>
  </rowItems>
  <colItems count="1">
    <i/>
  </colItems>
  <pageFields count="1">
    <pageField fld="3" hier="-1"/>
  </pageFields>
  <dataFields count="1">
    <dataField name="Cuenta de N° Unidad(es)" fld="16" subtotal="count" baseField="0" baseItem="0"/>
  </dataFields>
  <formats count="2">
    <format dxfId="246">
      <pivotArea outline="0" collapsedLevelsAreSubtotals="1" fieldPosition="0"/>
    </format>
    <format dxfId="245">
      <pivotArea outline="0" collapsedLevelsAreSubtotals="1" fieldPosition="0"/>
    </format>
  </formats>
  <chartFormats count="13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3" format="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3" format="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3" format="13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3" format="13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3" format="135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3" format="1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3" format="1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20F51-D835-47CE-AEAD-80598B860BD2}" name="TablaDinámica4" cacheId="16" applyNumberFormats="0" applyBorderFormats="0" applyFontFormats="0" applyPatternFormats="0" applyAlignmentFormats="0" applyWidthHeightFormats="1" dataCaption="Valores" errorCaption="0" showError="1" updatedVersion="8" minRefreshableVersion="3" itemPrintTitles="1" createdVersion="8" indent="0" outline="1" outlineData="1" multipleFieldFilters="0" rowHeaderCaption="Proyecto">
  <location ref="N21:O25" firstHeaderRow="1" firstDataRow="1" firstDataCol="1"/>
  <pivotFields count="52">
    <pivotField showAll="0"/>
    <pivotField showAll="0"/>
    <pivotField showAll="0"/>
    <pivotField multipleItemSelectionAllowed="1" showAll="0"/>
    <pivotField axis="axisRow" showAll="0">
      <items count="8">
        <item x="2"/>
        <item m="1" x="6"/>
        <item x="0"/>
        <item x="1"/>
        <item m="1" x="4"/>
        <item m="1" x="5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itas Programadas" fld="24" subtotal="count" baseField="0" baseItem="0"/>
  </dataFields>
  <formats count="3">
    <format dxfId="249">
      <pivotArea outline="0" collapsedLevelsAreSubtotals="1" fieldPosition="0"/>
    </format>
    <format dxfId="248">
      <pivotArea outline="0" collapsedLevelsAreSubtotals="1" fieldPosition="0"/>
    </format>
    <format dxfId="2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1726B-87EB-457C-B1E9-E48E5D63ACE7}" name="Financiamiento_Vendidos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2" rowHeaderCaption="Año / Mes">
  <location ref="D55:E59" firstHeaderRow="1" firstDataRow="1" firstDataCol="1" rowPageCount="1" colPageCount="1"/>
  <pivotFields count="52">
    <pivotField showAll="0"/>
    <pivotField showAll="0"/>
    <pivotField showAll="0" sortType="ascending"/>
    <pivotField axis="axisPage" multipleItemSelectionAllowed="1" showAll="0">
      <items count="10">
        <item h="1" x="1"/>
        <item h="1" m="1" x="4"/>
        <item m="1" x="7"/>
        <item h="1" x="2"/>
        <item x="0"/>
        <item m="1" x="8"/>
        <item h="1" m="1" x="6"/>
        <item h="1" m="1" x="5"/>
        <item h="1" m="1" x="3"/>
        <item t="default"/>
      </items>
    </pivotField>
    <pivotField showAll="0">
      <items count="8">
        <item x="2"/>
        <item m="1" x="6"/>
        <item x="0"/>
        <item x="1"/>
        <item m="1" x="4"/>
        <item m="1" x="5"/>
        <item m="1" x="3"/>
        <item t="default"/>
      </items>
    </pivotField>
    <pivotField showAll="0"/>
    <pivotField axis="axisRow" showAll="0">
      <items count="7">
        <item x="2"/>
        <item x="0"/>
        <item m="1" x="3"/>
        <item m="1" x="5"/>
        <item x="1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6">
        <item x="2"/>
        <item h="1" x="6"/>
        <item h="1" x="9"/>
        <item h="1" x="8"/>
        <item h="1" x="1"/>
        <item h="1" x="4"/>
        <item h="1" x="11"/>
        <item h="1" x="3"/>
        <item h="1" x="7"/>
        <item h="1" x="0"/>
        <item h="1" x="10"/>
        <item h="1" x="5"/>
        <item h="1" m="1" x="14"/>
        <item h="1" m="1" x="12"/>
        <item h="1" m="1" x="13"/>
        <item t="default"/>
      </items>
    </pivotField>
    <pivotField showAll="0" sortType="ascending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4"/>
    </i>
    <i t="grand">
      <x/>
    </i>
  </rowItems>
  <colItems count="1">
    <i/>
  </colItems>
  <pageFields count="1">
    <pageField fld="3" hier="-1"/>
  </pageFields>
  <dataFields count="1">
    <dataField name="Cuenta de N° Unidad(es)" fld="16" subtotal="count" baseField="0" baseItem="0"/>
  </dataFields>
  <formats count="2">
    <format dxfId="251">
      <pivotArea outline="0" collapsedLevelsAreSubtotals="1" fieldPosition="0"/>
    </format>
    <format dxfId="250">
      <pivotArea outline="0" collapsedLevelsAreSubtotals="1" fieldPosition="0"/>
    </format>
  </formats>
  <chartFormats count="38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8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8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2" format="9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9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2" format="9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4" format="10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0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4" format="1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4" format="1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4" format="11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6" format="1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2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6" format="13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6" format="13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6" format="13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8" format="1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3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8" format="14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8" format="14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8" format="14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9" format="1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4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9" format="15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9" format="15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9" format="15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8" format="1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5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8" format="16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8" format="16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8" format="16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9" format="1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6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9" format="17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9" format="17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9" format="17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5AC26-E6CB-4BA9-81EA-049CB1EC6F20}" name="TablaDinámica5" cacheId="16" applyNumberFormats="0" applyBorderFormats="0" applyFontFormats="0" applyPatternFormats="0" applyAlignmentFormats="0" applyWidthHeightFormats="1" dataCaption="Valores" errorCaption="0" showError="1" updatedVersion="8" minRefreshableVersion="3" itemPrintTitles="1" createdVersion="8" indent="0" outline="1" outlineData="1" multipleFieldFilters="0" rowHeaderCaption="Proyecto">
  <location ref="N31:R36" firstHeaderRow="1" firstDataRow="2" firstDataCol="1"/>
  <pivotFields count="52">
    <pivotField showAll="0"/>
    <pivotField showAll="0"/>
    <pivotField showAll="0"/>
    <pivotField axis="axisRow" dataField="1" multipleItemSelectionAllowed="1" showAll="0">
      <items count="10">
        <item m="1" x="5"/>
        <item x="1"/>
        <item m="1" x="4"/>
        <item m="1" x="7"/>
        <item x="2"/>
        <item x="0"/>
        <item m="1" x="8"/>
        <item m="1" x="6"/>
        <item m="1" x="3"/>
        <item t="default"/>
      </items>
    </pivotField>
    <pivotField axis="axisCol" showAll="0">
      <items count="8">
        <item x="2"/>
        <item m="1" x="6"/>
        <item x="0"/>
        <item x="1"/>
        <item m="1" x="4"/>
        <item m="1" x="5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showAll="0"/>
    <pivotField showAll="0"/>
  </pivotFields>
  <rowFields count="1">
    <field x="3"/>
  </rowFields>
  <rowItems count="4">
    <i>
      <x v="1"/>
    </i>
    <i>
      <x v="4"/>
    </i>
    <i>
      <x v="5"/>
    </i>
    <i t="grand">
      <x/>
    </i>
  </rowItems>
  <colFields count="1">
    <field x="4"/>
  </colFields>
  <colItems count="4">
    <i>
      <x/>
    </i>
    <i>
      <x v="2"/>
    </i>
    <i>
      <x v="3"/>
    </i>
    <i t="grand">
      <x/>
    </i>
  </colItems>
  <dataFields count="1">
    <dataField name="Cuenta de Categoria" fld="3" subtotal="count" baseField="0" baseItem="0"/>
  </dataFields>
  <formats count="5">
    <format dxfId="256">
      <pivotArea outline="0" collapsedLevelsAreSubtotals="1" fieldPosition="0"/>
    </format>
    <format dxfId="255">
      <pivotArea outline="0" collapsedLevelsAreSubtotals="1" fieldPosition="0"/>
    </format>
    <format dxfId="254">
      <pivotArea outline="0" collapsedLevelsAreSubtotals="1" fieldPosition="0"/>
    </format>
    <format dxfId="253">
      <pivotArea collapsedLevelsAreSubtotals="1" fieldPosition="0">
        <references count="2">
          <reference field="3" count="0"/>
          <reference field="4" count="0" selected="0"/>
        </references>
      </pivotArea>
    </format>
    <format dxfId="252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7F11F-5116-46F0-BEAE-72686420D933}" name="Separaciones" cacheId="16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A12:I20" firstHeaderRow="0" firstDataRow="1" firstDataCol="6" rowPageCount="2" colPageCount="1"/>
  <pivotFields count="52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6">
        <item x="3"/>
        <item m="1" x="13"/>
        <item x="1"/>
        <item x="11"/>
        <item x="5"/>
        <item x="0"/>
        <item x="8"/>
        <item x="4"/>
        <item m="1" x="15"/>
        <item m="1" x="14"/>
        <item x="6"/>
        <item m="1" x="12"/>
        <item x="10"/>
        <item x="9"/>
        <item x="2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9">
        <item h="1" m="1" x="4"/>
        <item m="1" x="7"/>
        <item h="1" x="0"/>
        <item h="1" x="1"/>
        <item h="1" m="1" x="8"/>
        <item x="2"/>
        <item h="1" m="1" x="6"/>
        <item h="1" m="1" x="5"/>
        <item h="1"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m="1" x="6"/>
        <item m="1" x="4"/>
        <item m="1" x="3"/>
        <item m="1" x="5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">
        <item m="1" x="18"/>
        <item m="1" x="24"/>
        <item m="1" x="13"/>
        <item m="1" x="14"/>
        <item m="1" x="25"/>
        <item m="1" x="16"/>
        <item m="1" x="22"/>
        <item m="1" x="15"/>
        <item m="1" x="23"/>
        <item m="1" x="21"/>
        <item m="1" x="9"/>
        <item m="1" x="12"/>
        <item m="1" x="17"/>
        <item m="1" x="19"/>
        <item m="1" x="20"/>
        <item x="0"/>
        <item x="3"/>
        <item x="6"/>
        <item m="1" x="11"/>
        <item x="2"/>
        <item x="1"/>
        <item x="5"/>
        <item x="8"/>
        <item m="1" x="10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x="0"/>
        <item x="1"/>
        <item m="1" x="4"/>
        <item m="1" x="5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5"/>
        <item x="46"/>
        <item x="48"/>
        <item x="49"/>
        <item x="51"/>
        <item x="52"/>
        <item x="54"/>
        <item x="55"/>
        <item m="1" x="56"/>
        <item x="13"/>
        <item x="37"/>
        <item x="47"/>
        <item x="53"/>
        <item x="3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N° UI" axis="axisRow" compact="0" outline="0" showAll="0" defaultSubtotal="0">
      <items count="82">
        <item m="1" x="81"/>
        <item x="7"/>
        <item x="26"/>
        <item x="35"/>
        <item x="45"/>
        <item x="0"/>
        <item x="1"/>
        <item x="2"/>
        <item x="3"/>
        <item x="6"/>
        <item x="9"/>
        <item x="12"/>
        <item x="14"/>
        <item x="16"/>
        <item x="21"/>
        <item x="25"/>
        <item x="30"/>
        <item x="31"/>
        <item x="32"/>
        <item x="36"/>
        <item x="39"/>
        <item x="42"/>
        <item x="46"/>
        <item x="48"/>
        <item x="54"/>
        <item x="56"/>
        <item x="57"/>
        <item x="58"/>
        <item x="59"/>
        <item x="65"/>
        <item x="71"/>
        <item x="74"/>
        <item x="47"/>
        <item x="11"/>
        <item x="55"/>
        <item x="69"/>
        <item x="8"/>
        <item x="79"/>
        <item x="40"/>
        <item x="73"/>
        <item x="29"/>
        <item x="28"/>
        <item x="15"/>
        <item x="38"/>
        <item x="22"/>
        <item x="34"/>
        <item x="27"/>
        <item x="70"/>
        <item x="17"/>
        <item x="19"/>
        <item x="10"/>
        <item x="37"/>
        <item x="4"/>
        <item x="53"/>
        <item x="5"/>
        <item x="64"/>
        <item x="49"/>
        <item x="33"/>
        <item x="13"/>
        <item x="51"/>
        <item x="50"/>
        <item x="67"/>
        <item x="76"/>
        <item x="66"/>
        <item x="77"/>
        <item x="68"/>
        <item x="80"/>
        <item x="23"/>
        <item x="24"/>
        <item x="52"/>
        <item x="20"/>
        <item x="18"/>
        <item x="41"/>
        <item x="60"/>
        <item x="72"/>
        <item x="44"/>
        <item x="62"/>
        <item x="43"/>
        <item x="78"/>
        <item x="61"/>
        <item x="63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8">
        <item m="1" x="112"/>
        <item m="1" x="124"/>
        <item m="1" x="109"/>
        <item m="1" x="136"/>
        <item m="1" x="120"/>
        <item m="1" x="134"/>
        <item m="1" x="119"/>
        <item m="1" x="107"/>
        <item m="1" x="118"/>
        <item m="1" x="147"/>
        <item m="1" x="132"/>
        <item m="1" x="117"/>
        <item m="1" x="146"/>
        <item m="1" x="105"/>
        <item m="1" x="131"/>
        <item m="1" x="129"/>
        <item m="1" x="145"/>
        <item m="1" x="104"/>
        <item m="1" x="142"/>
        <item m="1" x="116"/>
        <item sd="0" m="1" x="144"/>
        <item m="1" x="103"/>
        <item m="1" x="141"/>
        <item m="1" x="127"/>
        <item m="1" x="125"/>
        <item m="1" x="128"/>
        <item m="1" x="111"/>
        <item m="1" x="139"/>
        <item m="1" x="114"/>
        <item m="1" x="122"/>
        <item m="1" x="101"/>
        <item m="1" x="115"/>
        <item m="1" x="100"/>
        <item m="1" x="140"/>
        <item m="1" x="113"/>
        <item m="1" x="123"/>
        <item m="1" x="110"/>
        <item m="1" x="121"/>
        <item x="16"/>
        <item m="1" x="133"/>
        <item m="1" x="108"/>
        <item m="1" x="102"/>
        <item m="1" x="138"/>
        <item x="7"/>
        <item m="1" x="126"/>
        <item x="35"/>
        <item x="47"/>
        <item x="55"/>
        <item x="0"/>
        <item x="1"/>
        <item x="2"/>
        <item x="3"/>
        <item x="6"/>
        <item x="8"/>
        <item x="10"/>
        <item x="19"/>
        <item x="21"/>
        <item m="1" x="106"/>
        <item x="29"/>
        <item x="34"/>
        <item m="1" x="135"/>
        <item x="40"/>
        <item x="70"/>
        <item x="43"/>
        <item x="48"/>
        <item x="51"/>
        <item x="53"/>
        <item x="56"/>
        <item x="58"/>
        <item x="65"/>
        <item x="69"/>
        <item x="71"/>
        <item x="76"/>
        <item x="81"/>
        <item x="85"/>
        <item x="50"/>
        <item x="12"/>
        <item x="57"/>
        <item m="1" x="143"/>
        <item x="67"/>
        <item x="87"/>
        <item x="9"/>
        <item x="74"/>
        <item x="79"/>
        <item x="90"/>
        <item x="52"/>
        <item x="83"/>
        <item x="14"/>
        <item m="1" x="137"/>
        <item x="39"/>
        <item x="38"/>
        <item x="18"/>
        <item x="17"/>
        <item m="1" x="96"/>
        <item m="1" x="130"/>
        <item x="30"/>
        <item x="46"/>
        <item x="36"/>
        <item x="28"/>
        <item x="80"/>
        <item x="22"/>
        <item x="24"/>
        <item x="26"/>
        <item x="20"/>
        <item x="11"/>
        <item x="49"/>
        <item x="4"/>
        <item x="64"/>
        <item x="75"/>
        <item x="5"/>
        <item x="60"/>
        <item x="33"/>
        <item x="45"/>
        <item x="15"/>
        <item x="66"/>
        <item x="78"/>
        <item m="1" x="99"/>
        <item x="61"/>
        <item x="88"/>
        <item x="41"/>
        <item x="44"/>
        <item m="1" x="98"/>
        <item x="77"/>
        <item x="91"/>
        <item m="1" x="95"/>
        <item m="1" x="97"/>
        <item x="59"/>
        <item m="1" x="93"/>
        <item m="1" x="94"/>
        <item x="13"/>
        <item x="62"/>
        <item m="1" x="92"/>
        <item x="63"/>
        <item x="89"/>
        <item x="23"/>
        <item x="31"/>
        <item x="27"/>
        <item x="68"/>
        <item x="25"/>
        <item x="42"/>
        <item x="72"/>
        <item x="82"/>
        <item x="73"/>
        <item x="32"/>
        <item x="37"/>
        <item x="86"/>
        <item x="84"/>
        <item x="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6"/>
        <item x="10"/>
        <item x="11"/>
        <item x="9"/>
        <item x="1"/>
        <item x="4"/>
        <item x="2"/>
        <item x="5"/>
        <item x="8"/>
        <item x="0"/>
        <item x="3"/>
        <item x="7"/>
        <item m="1" x="13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5">
        <item h="1" m="1" x="3"/>
        <item h="1" m="1" x="4"/>
        <item h="1"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4"/>
    <field x="2"/>
    <field x="5"/>
    <field x="25"/>
    <field x="6"/>
    <field x="16"/>
  </rowFields>
  <rowItems count="8">
    <i>
      <x v="4"/>
      <x/>
      <x v="15"/>
      <x v="92"/>
      <x v="1"/>
      <x v="12"/>
    </i>
    <i>
      <x v="5"/>
      <x/>
      <x v="15"/>
      <x v="82"/>
      <x v="1"/>
      <x v="80"/>
    </i>
    <i r="3">
      <x v="141"/>
      <x v="1"/>
      <x v="74"/>
    </i>
    <i r="3">
      <x v="144"/>
      <x v="1"/>
      <x v="2"/>
    </i>
    <i r="2">
      <x v="24"/>
      <x v="139"/>
      <x v="1"/>
      <x v="17"/>
    </i>
    <i r="1">
      <x v="15"/>
      <x v="24"/>
      <x v="143"/>
      <x v="1"/>
      <x v="75"/>
    </i>
    <i>
      <x v="6"/>
      <x v="15"/>
      <x v="15"/>
      <x v="143"/>
      <x v="1"/>
      <x v="3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7" hier="-1"/>
  </pageFields>
  <dataFields count="3">
    <dataField name="Precio Venta" fld="17" baseField="0" baseItem="0"/>
    <dataField name="Cobrado" fld="18" baseField="0" baseItem="0"/>
    <dataField name="Costo M2" fld="19" subtotal="average" baseField="15" baseItem="20"/>
  </dataFields>
  <formats count="49">
    <format dxfId="216">
      <pivotArea outline="0" collapsedLevelsAreSubtotals="1" fieldPosition="0"/>
    </format>
    <format dxfId="215">
      <pivotArea dataOnly="0" labelOnly="1" outline="0" fieldPosition="0">
        <references count="2">
          <reference field="4" count="1" selected="0">
            <x v="0"/>
          </reference>
          <reference field="25" count="0"/>
        </references>
      </pivotArea>
    </format>
    <format dxfId="214">
      <pivotArea dataOnly="0" labelOnly="1" outline="0" fieldPosition="0">
        <references count="2">
          <reference field="4" count="1" selected="0">
            <x v="0"/>
          </reference>
          <reference field="25" count="0"/>
        </references>
      </pivotArea>
    </format>
    <format dxfId="213">
      <pivotArea dataOnly="0" labelOnly="1" outline="0" fieldPosition="0">
        <references count="1">
          <reference field="3" count="0"/>
        </references>
      </pivotArea>
    </format>
    <format dxfId="212">
      <pivotArea dataOnly="0" labelOnly="1" outline="0" fieldPosition="0">
        <references count="1">
          <reference field="3" count="0"/>
        </references>
      </pivotArea>
    </format>
    <format dxfId="211">
      <pivotArea dataOnly="0" labelOnly="1" outline="0" fieldPosition="0">
        <references count="1">
          <reference field="4" count="0"/>
        </references>
      </pivotArea>
    </format>
    <format dxfId="210">
      <pivotArea dataOnly="0" labelOnly="1" outline="0" fieldPosition="0">
        <references count="2">
          <reference field="4" count="1" selected="0">
            <x v="0"/>
          </reference>
          <reference field="25" count="5">
            <x v="4"/>
            <x v="7"/>
            <x v="8"/>
            <x v="9"/>
            <x v="10"/>
          </reference>
        </references>
      </pivotArea>
    </format>
    <format dxfId="209">
      <pivotArea dataOnly="0" labelOnly="1" outline="0" fieldPosition="0">
        <references count="2">
          <reference field="4" count="1" selected="0">
            <x v="1"/>
          </reference>
          <reference field="25" count="1">
            <x v="8"/>
          </reference>
        </references>
      </pivotArea>
    </format>
    <format dxfId="208">
      <pivotArea field="4" type="button" dataOnly="0" labelOnly="1" outline="0" axis="axisRow" fieldPosition="0"/>
    </format>
    <format dxfId="207">
      <pivotArea field="5" type="button" dataOnly="0" labelOnly="1" outline="0" axis="axisRow" fieldPosition="2"/>
    </format>
    <format dxfId="206">
      <pivotArea field="25" type="button" dataOnly="0" labelOnly="1" outline="0" axis="axisRow" fieldPosition="3"/>
    </format>
    <format dxfId="205">
      <pivotArea field="6" type="button" dataOnly="0" labelOnly="1" outline="0" axis="axisRow" fieldPosition="4"/>
    </format>
    <format dxfId="204">
      <pivotArea field="16" type="button" dataOnly="0" labelOnly="1" outline="0" axis="axisRow" fieldPosition="5"/>
    </format>
    <format dxfId="203">
      <pivotArea field="4" type="button" dataOnly="0" labelOnly="1" outline="0" axis="axisRow" fieldPosition="0"/>
    </format>
    <format dxfId="202">
      <pivotArea field="5" type="button" dataOnly="0" labelOnly="1" outline="0" axis="axisRow" fieldPosition="2"/>
    </format>
    <format dxfId="201">
      <pivotArea field="25" type="button" dataOnly="0" labelOnly="1" outline="0" axis="axisRow" fieldPosition="3"/>
    </format>
    <format dxfId="200">
      <pivotArea field="6" type="button" dataOnly="0" labelOnly="1" outline="0" axis="axisRow" fieldPosition="4"/>
    </format>
    <format dxfId="199">
      <pivotArea field="16" type="button" dataOnly="0" labelOnly="1" outline="0" axis="axisRow" fieldPosition="5"/>
    </format>
    <format dxfId="198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97">
      <pivotArea dataOnly="0" labelOnly="1" outline="0" fieldPosition="0">
        <references count="1">
          <reference field="6" count="0"/>
        </references>
      </pivotArea>
    </format>
    <format dxfId="196">
      <pivotArea dataOnly="0" labelOnly="1" outline="0" fieldPosition="0">
        <references count="1">
          <reference field="6" count="0"/>
        </references>
      </pivotArea>
    </format>
    <format dxfId="195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25" count="1">
            <x v="4"/>
          </reference>
        </references>
      </pivotArea>
    </format>
    <format dxfId="194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2"/>
          </reference>
          <reference field="25" count="2">
            <x v="8"/>
            <x v="11"/>
          </reference>
        </references>
      </pivotArea>
    </format>
    <format dxfId="193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9"/>
          </reference>
          <reference field="25" count="2">
            <x v="7"/>
            <x v="10"/>
          </reference>
        </references>
      </pivotArea>
    </format>
    <format dxfId="19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1"/>
          </reference>
          <reference field="25" count="3">
            <x v="12"/>
            <x v="13"/>
            <x v="14"/>
          </reference>
        </references>
      </pivotArea>
    </format>
    <format dxfId="19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6"/>
          </reference>
          <reference field="25" count="1">
            <x v="11"/>
          </reference>
        </references>
      </pivotArea>
    </format>
    <format dxfId="190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"/>
          </reference>
          <reference field="25" count="1">
            <x v="8"/>
          </reference>
        </references>
      </pivotArea>
    </format>
    <format dxfId="189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8"/>
          </reference>
          <reference field="25" count="1">
            <x v="8"/>
          </reference>
        </references>
      </pivotArea>
    </format>
    <format dxfId="188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7"/>
          </reference>
          <reference field="25" count="1">
            <x v="20"/>
          </reference>
        </references>
      </pivotArea>
    </format>
    <format dxfId="187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9"/>
          </reference>
          <reference field="25" count="1">
            <x v="24"/>
          </reference>
        </references>
      </pivotArea>
    </format>
    <format dxfId="18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1"/>
          </reference>
          <reference field="25" count="2">
            <x v="28"/>
            <x v="34"/>
          </reference>
        </references>
      </pivotArea>
    </format>
    <format dxfId="185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5"/>
          </reference>
          <reference field="25" count="2">
            <x v="33"/>
            <x v="36"/>
          </reference>
        </references>
      </pivotArea>
    </format>
    <format dxfId="184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6"/>
          </reference>
          <reference field="25" count="3">
            <x v="26"/>
            <x v="35"/>
            <x v="36"/>
          </reference>
        </references>
      </pivotArea>
    </format>
    <format dxfId="183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1"/>
          </reference>
          <reference field="25" count="2">
            <x v="28"/>
            <x v="34"/>
          </reference>
        </references>
      </pivotArea>
    </format>
    <format dxfId="182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5"/>
          </reference>
          <reference field="25" count="2">
            <x v="33"/>
            <x v="36"/>
          </reference>
        </references>
      </pivotArea>
    </format>
    <format dxfId="181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6"/>
          </reference>
          <reference field="25" count="3">
            <x v="26"/>
            <x v="35"/>
            <x v="36"/>
          </reference>
        </references>
      </pivotArea>
    </format>
    <format dxfId="180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6"/>
          </reference>
          <reference field="25" count="3">
            <x v="26"/>
            <x v="35"/>
            <x v="36"/>
          </reference>
        </references>
      </pivotArea>
    </format>
    <format dxfId="179">
      <pivotArea dataOnly="0" outline="0" fieldPosition="0">
        <references count="4">
          <reference field="5" count="2">
            <x v="5"/>
            <x v="6"/>
          </reference>
          <reference field="6" count="0" defaultSubtotal="1" sumSubtotal="1" countASubtotal="1" avgSubtotal="1" maxSubtotal="1" minSubtotal="1" productSubtotal="1" countSubtotal="1" stdDevSubtotal="1" stdDevPSubtotal="1" varSubtotal="1" varPSubtotal="1"/>
          <reference field="16" count="0" defaultSubtotal="1" sumSubtotal="1" countASubtotal="1" avgSubtotal="1" maxSubtotal="1" minSubtotal="1" productSubtotal="1" countSubtotal="1" stdDevSubtotal="1" stdDevPSubtotal="1" varSubtotal="1" varPSubtotal="1"/>
          <reference field="25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78">
      <pivotArea dataOnly="0" labelOnly="1" outline="0" fieldPosition="0">
        <references count="2">
          <reference field="4" count="1" selected="0">
            <x v="3"/>
          </reference>
          <reference field="5" count="2">
            <x v="5"/>
            <x v="6"/>
          </reference>
        </references>
      </pivotArea>
    </format>
    <format dxfId="177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5"/>
          </reference>
          <reference field="25" count="2">
            <x v="33"/>
            <x v="37"/>
          </reference>
        </references>
      </pivotArea>
    </format>
    <format dxfId="176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6"/>
          </reference>
          <reference field="25" count="3">
            <x v="26"/>
            <x v="36"/>
            <x v="38"/>
          </reference>
        </references>
      </pivotArea>
    </format>
    <format dxfId="175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2"/>
          </reference>
          <reference field="25" count="1">
            <x v="38"/>
          </reference>
        </references>
      </pivotArea>
    </format>
    <format dxfId="174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5"/>
          </reference>
          <reference field="25" count="2">
            <x v="33"/>
            <x v="37"/>
          </reference>
        </references>
      </pivotArea>
    </format>
    <format dxfId="173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6"/>
          </reference>
          <reference field="25" count="3">
            <x v="26"/>
            <x v="36"/>
            <x v="38"/>
          </reference>
        </references>
      </pivotArea>
    </format>
    <format dxfId="172">
      <pivotArea dataOnly="0" labelOnly="1" outline="0" fieldPosition="0">
        <references count="1">
          <reference field="6" count="0"/>
        </references>
      </pivotArea>
    </format>
    <format dxfId="171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6"/>
          </reference>
          <reference field="25" count="1">
            <x v="39"/>
          </reference>
        </references>
      </pivotArea>
    </format>
    <format dxfId="170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5"/>
          </reference>
          <reference field="25" count="1">
            <x v="39"/>
          </reference>
        </references>
      </pivotArea>
    </format>
    <format dxfId="169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6"/>
          </reference>
          <reference field="25" count="1">
            <x v="41"/>
          </reference>
        </references>
      </pivotArea>
    </format>
    <format dxfId="1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F3CB4-AF02-44F1-BD44-F508E55C1F80}" name="Vendidos" cacheId="16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K12:S21" firstHeaderRow="0" firstDataRow="1" firstDataCol="6" rowPageCount="2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m="1" x="13"/>
        <item x="1"/>
        <item x="11"/>
        <item x="5"/>
        <item x="0"/>
        <item x="8"/>
        <item x="4"/>
        <item m="1" x="15"/>
        <item m="1" x="14"/>
        <item x="6"/>
        <item m="1" x="12"/>
        <item x="10"/>
        <item x="9"/>
        <item x="2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9">
        <item h="1" m="1" x="4"/>
        <item h="1" m="1" x="7"/>
        <item x="0"/>
        <item h="1" x="1"/>
        <item h="1" m="1" x="8"/>
        <item h="1" x="2"/>
        <item h="1" m="1" x="6"/>
        <item h="1" m="1" x="5"/>
        <item h="1"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m="1" x="6"/>
        <item m="1" x="4"/>
        <item m="1" x="3"/>
        <item m="1" x="5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">
        <item m="1" x="18"/>
        <item m="1" x="24"/>
        <item m="1" x="13"/>
        <item m="1" x="14"/>
        <item m="1" x="25"/>
        <item m="1" x="16"/>
        <item m="1" x="22"/>
        <item m="1" x="15"/>
        <item m="1" x="23"/>
        <item m="1" x="21"/>
        <item m="1" x="9"/>
        <item m="1" x="12"/>
        <item m="1" x="17"/>
        <item m="1" x="19"/>
        <item m="1" x="20"/>
        <item x="0"/>
        <item x="3"/>
        <item x="6"/>
        <item m="1" x="11"/>
        <item x="2"/>
        <item x="1"/>
        <item x="5"/>
        <item x="8"/>
        <item m="1" x="10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x="0"/>
        <item x="1"/>
        <item m="1" x="4"/>
        <item m="1" x="5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5"/>
        <item x="46"/>
        <item x="48"/>
        <item x="49"/>
        <item x="51"/>
        <item x="52"/>
        <item x="54"/>
        <item x="55"/>
        <item m="1" x="56"/>
        <item x="13"/>
        <item x="37"/>
        <item x="47"/>
        <item x="53"/>
        <item x="3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N° UI" axis="axisRow" compact="0" outline="0" showAll="0" defaultSubtotal="0">
      <items count="82">
        <item m="1" x="81"/>
        <item x="7"/>
        <item x="26"/>
        <item x="35"/>
        <item x="45"/>
        <item x="0"/>
        <item x="1"/>
        <item x="2"/>
        <item x="3"/>
        <item x="6"/>
        <item x="9"/>
        <item x="12"/>
        <item x="14"/>
        <item x="16"/>
        <item x="21"/>
        <item x="25"/>
        <item x="30"/>
        <item x="31"/>
        <item x="32"/>
        <item x="36"/>
        <item x="39"/>
        <item x="42"/>
        <item x="46"/>
        <item x="48"/>
        <item x="54"/>
        <item x="56"/>
        <item x="57"/>
        <item x="58"/>
        <item x="59"/>
        <item x="65"/>
        <item x="71"/>
        <item x="74"/>
        <item x="47"/>
        <item x="11"/>
        <item x="55"/>
        <item x="69"/>
        <item x="8"/>
        <item x="79"/>
        <item x="40"/>
        <item x="73"/>
        <item x="29"/>
        <item x="28"/>
        <item x="15"/>
        <item x="38"/>
        <item x="22"/>
        <item x="34"/>
        <item x="27"/>
        <item x="70"/>
        <item x="17"/>
        <item x="19"/>
        <item x="10"/>
        <item x="37"/>
        <item x="4"/>
        <item x="53"/>
        <item x="5"/>
        <item x="64"/>
        <item x="49"/>
        <item x="33"/>
        <item x="13"/>
        <item x="51"/>
        <item x="50"/>
        <item x="67"/>
        <item x="76"/>
        <item x="66"/>
        <item x="77"/>
        <item x="68"/>
        <item x="80"/>
        <item x="23"/>
        <item x="24"/>
        <item x="52"/>
        <item x="20"/>
        <item x="18"/>
        <item x="41"/>
        <item x="60"/>
        <item x="72"/>
        <item x="44"/>
        <item x="62"/>
        <item x="43"/>
        <item x="78"/>
        <item x="61"/>
        <item x="63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10">
        <item x="9"/>
        <item m="1" x="73"/>
        <item x="40"/>
        <item x="26"/>
        <item x="70"/>
        <item x="53"/>
        <item x="20"/>
        <item x="68"/>
        <item x="49"/>
        <item m="1" x="74"/>
        <item x="25"/>
        <item x="21"/>
        <item x="69"/>
        <item x="59"/>
        <item m="1" x="75"/>
        <item x="47"/>
        <item x="33"/>
        <item x="72"/>
        <item x="61"/>
        <item x="60"/>
        <item x="14"/>
        <item x="37"/>
        <item x="27"/>
        <item x="57"/>
        <item x="52"/>
        <item x="48"/>
        <item x="63"/>
        <item x="5"/>
        <item x="64"/>
        <item m="1" x="92"/>
        <item x="4"/>
        <item x="11"/>
        <item x="22"/>
        <item x="18"/>
        <item x="23"/>
        <item x="16"/>
        <item x="34"/>
        <item sd="0" x="13"/>
        <item x="7"/>
        <item x="8"/>
        <item x="30"/>
        <item x="71"/>
        <item x="41"/>
        <item x="51"/>
        <item x="62"/>
        <item x="55"/>
        <item x="65"/>
        <item x="67"/>
        <item x="45"/>
        <item x="38"/>
        <item x="32"/>
        <item x="12"/>
        <item x="17"/>
        <item x="39"/>
        <item x="56"/>
        <item x="29"/>
        <item x="1"/>
        <item x="43"/>
        <item x="24"/>
        <item x="35"/>
        <item x="58"/>
        <item x="66"/>
        <item x="54"/>
        <item x="15"/>
        <item x="44"/>
        <item x="50"/>
        <item x="2"/>
        <item x="36"/>
        <item x="0"/>
        <item m="1" x="85"/>
        <item x="28"/>
        <item x="46"/>
        <item m="1" x="94"/>
        <item m="1" x="103"/>
        <item m="1" x="86"/>
        <item m="1" x="104"/>
        <item m="1" x="77"/>
        <item m="1" x="96"/>
        <item m="1" x="79"/>
        <item m="1" x="88"/>
        <item m="1" x="95"/>
        <item m="1" x="105"/>
        <item m="1" x="78"/>
        <item m="1" x="97"/>
        <item m="1" x="89"/>
        <item m="1" x="90"/>
        <item m="1" x="100"/>
        <item x="42"/>
        <item m="1" x="108"/>
        <item m="1" x="91"/>
        <item m="1" x="99"/>
        <item m="1" x="106"/>
        <item m="1" x="107"/>
        <item m="1" x="81"/>
        <item m="1" x="82"/>
        <item m="1" x="83"/>
        <item m="1" x="101"/>
        <item x="31"/>
        <item x="10"/>
        <item x="3"/>
        <item m="1" x="109"/>
        <item m="1" x="84"/>
        <item m="1" x="102"/>
        <item m="1" x="87"/>
        <item x="19"/>
        <item m="1" x="80"/>
        <item m="1" x="98"/>
        <item x="6"/>
        <item m="1" x="93"/>
        <item m="1" x="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echa Desembolso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5">
        <item h="1" x="2"/>
        <item h="1" x="6"/>
        <item x="9"/>
        <item h="1" x="8"/>
        <item h="1" x="1"/>
        <item h="1" x="4"/>
        <item h="1" x="11"/>
        <item h="1" x="3"/>
        <item h="1" x="7"/>
        <item h="1" x="0"/>
        <item h="1" x="10"/>
        <item h="1" x="5"/>
        <item h="1" m="1" x="14"/>
        <item h="1" m="1" x="12"/>
        <item h="1" m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h="1" x="2"/>
        <item h="1" x="0"/>
        <item h="1"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4"/>
    <field x="2"/>
    <field x="5"/>
    <field x="21"/>
    <field x="6"/>
    <field x="16"/>
  </rowFields>
  <rowItems count="9">
    <i>
      <x v="4"/>
      <x v="2"/>
      <x v="24"/>
      <x v="4"/>
      <x v="2"/>
      <x v="78"/>
    </i>
    <i r="1">
      <x v="7"/>
      <x v="15"/>
      <x v="2"/>
      <x v="2"/>
      <x v="38"/>
    </i>
    <i r="1">
      <x v="15"/>
      <x v="15"/>
      <x v="2"/>
      <x/>
      <x v="77"/>
    </i>
    <i r="3">
      <x v="3"/>
      <x/>
      <x v="76"/>
    </i>
    <i r="4">
      <x v="2"/>
      <x v="67"/>
    </i>
    <i>
      <x v="5"/>
      <x/>
      <x v="24"/>
      <x v="2"/>
      <x v="1"/>
      <x v="81"/>
    </i>
    <i r="4">
      <x v="2"/>
      <x v="39"/>
    </i>
    <i r="1">
      <x v="15"/>
      <x v="24"/>
      <x v="2"/>
      <x/>
      <x v="3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7" hier="-1"/>
  </pageFields>
  <dataFields count="3">
    <dataField name="Precio Venta" fld="17" baseField="0" baseItem="0"/>
    <dataField name="Cobrado" fld="18" baseField="0" baseItem="0"/>
    <dataField name="Costo M2" fld="19" subtotal="average" baseField="3" baseItem="0"/>
  </dataFields>
  <formats count="16">
    <format dxfId="232">
      <pivotArea outline="0" collapsedLevelsAreSubtotals="1" fieldPosition="0"/>
    </format>
    <format dxfId="231">
      <pivotArea dataOnly="0" labelOnly="1" outline="0" fieldPosition="0">
        <references count="1">
          <reference field="3" count="0"/>
        </references>
      </pivotArea>
    </format>
    <format dxfId="230">
      <pivotArea dataOnly="0" labelOnly="1" outline="0" fieldPosition="0">
        <references count="1">
          <reference field="3" count="0"/>
        </references>
      </pivotArea>
    </format>
    <format dxfId="229">
      <pivotArea field="4" type="button" dataOnly="0" labelOnly="1" outline="0" axis="axisRow" fieldPosition="0"/>
    </format>
    <format dxfId="228">
      <pivotArea field="21" type="button" dataOnly="0" labelOnly="1" outline="0" axis="axisRow" fieldPosition="3"/>
    </format>
    <format dxfId="227">
      <pivotArea field="6" type="button" dataOnly="0" labelOnly="1" outline="0" axis="axisRow" fieldPosition="4"/>
    </format>
    <format dxfId="226">
      <pivotArea field="16" type="button" dataOnly="0" labelOnly="1" outline="0" axis="axisRow" fieldPosition="5"/>
    </format>
    <format dxfId="225">
      <pivotArea field="4" type="button" dataOnly="0" labelOnly="1" outline="0" axis="axisRow" fieldPosition="0"/>
    </format>
    <format dxfId="224">
      <pivotArea field="21" type="button" dataOnly="0" labelOnly="1" outline="0" axis="axisRow" fieldPosition="3"/>
    </format>
    <format dxfId="223">
      <pivotArea field="6" type="button" dataOnly="0" labelOnly="1" outline="0" axis="axisRow" fieldPosition="4"/>
    </format>
    <format dxfId="222">
      <pivotArea field="16" type="button" dataOnly="0" labelOnly="1" outline="0" axis="axisRow" fieldPosition="5"/>
    </format>
    <format dxfId="221">
      <pivotArea dataOnly="0" labelOnly="1" outline="0" fieldPosition="0">
        <references count="1">
          <reference field="16" count="0"/>
        </references>
      </pivotArea>
    </format>
    <format dxfId="220">
      <pivotArea dataOnly="0" labelOnly="1" outline="0" fieldPosition="0">
        <references count="1">
          <reference field="16" count="0"/>
        </references>
      </pivotArea>
    </format>
    <format dxfId="2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7">
      <pivotArea dataOnly="0" labelOnly="1" outline="0" fieldPosition="0">
        <references count="6">
          <reference field="2" count="1" selected="0">
            <x v="2"/>
          </reference>
          <reference field="4" count="1" selected="0">
            <x v="6"/>
          </reference>
          <reference field="5" count="1" selected="0">
            <x v="21"/>
          </reference>
          <reference field="6" count="1" selected="0">
            <x v="2"/>
          </reference>
          <reference field="16" count="1">
            <x v="23"/>
          </reference>
          <reference field="21" count="1" selected="0">
            <x v="17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64551-8619-4D37-965B-92E660B0C1B4}" name="TablaDinámica3" cacheId="16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A14:G91" firstHeaderRow="0" firstDataRow="1" firstDataCol="5" rowPageCount="1" colPageCount="1"/>
  <pivotFields count="5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m="1" x="13"/>
        <item x="1"/>
        <item x="11"/>
        <item x="5"/>
        <item x="0"/>
        <item x="8"/>
        <item x="4"/>
        <item m="1" x="15"/>
        <item m="1" x="14"/>
        <item x="6"/>
        <item m="1" x="12"/>
        <item x="10"/>
        <item x="9"/>
        <item x="2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9">
        <item m="1" x="4"/>
        <item h="1" m="1" x="7"/>
        <item x="0"/>
        <item x="1"/>
        <item h="1" m="1" x="8"/>
        <item h="1" x="2"/>
        <item h="1" m="1" x="6"/>
        <item h="1" m="1" x="5"/>
        <item h="1"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m="1" x="6"/>
        <item m="1" x="4"/>
        <item m="1" x="3"/>
        <item m="1" x="5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">
        <item m="1" x="18"/>
        <item m="1" x="24"/>
        <item m="1" x="13"/>
        <item m="1" x="14"/>
        <item m="1" x="25"/>
        <item m="1" x="16"/>
        <item m="1" x="22"/>
        <item m="1" x="15"/>
        <item m="1" x="23"/>
        <item m="1" x="21"/>
        <item m="1" x="9"/>
        <item m="1" x="12"/>
        <item m="1" x="17"/>
        <item m="1" x="19"/>
        <item m="1" x="20"/>
        <item x="0"/>
        <item x="3"/>
        <item x="6"/>
        <item m="1" x="11"/>
        <item x="2"/>
        <item x="1"/>
        <item x="5"/>
        <item x="8"/>
        <item m="1" x="10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2"/>
        <item x="0"/>
        <item x="1"/>
        <item m="1" x="4"/>
        <item m="1" x="5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N° UI" compact="0" outline="0" showAll="0" defaultSubtotal="0">
      <items count="82">
        <item m="1" x="81"/>
        <item x="7"/>
        <item x="26"/>
        <item x="35"/>
        <item x="45"/>
        <item x="0"/>
        <item x="1"/>
        <item x="2"/>
        <item x="3"/>
        <item x="6"/>
        <item x="9"/>
        <item x="12"/>
        <item x="14"/>
        <item x="16"/>
        <item x="21"/>
        <item x="25"/>
        <item x="30"/>
        <item x="31"/>
        <item x="32"/>
        <item x="36"/>
        <item x="39"/>
        <item x="42"/>
        <item x="46"/>
        <item x="48"/>
        <item x="54"/>
        <item x="56"/>
        <item x="57"/>
        <item x="58"/>
        <item x="59"/>
        <item x="65"/>
        <item x="71"/>
        <item x="74"/>
        <item x="47"/>
        <item x="11"/>
        <item x="55"/>
        <item x="69"/>
        <item x="8"/>
        <item x="79"/>
        <item x="40"/>
        <item x="73"/>
        <item x="29"/>
        <item x="28"/>
        <item x="15"/>
        <item x="38"/>
        <item x="22"/>
        <item x="34"/>
        <item x="27"/>
        <item x="70"/>
        <item x="17"/>
        <item x="19"/>
        <item x="10"/>
        <item x="37"/>
        <item x="4"/>
        <item x="53"/>
        <item x="5"/>
        <item x="64"/>
        <item x="49"/>
        <item x="33"/>
        <item x="13"/>
        <item x="51"/>
        <item x="50"/>
        <item x="67"/>
        <item x="76"/>
        <item x="66"/>
        <item x="77"/>
        <item x="68"/>
        <item x="80"/>
        <item x="23"/>
        <item x="24"/>
        <item x="52"/>
        <item x="20"/>
        <item x="18"/>
        <item x="41"/>
        <item x="60"/>
        <item x="72"/>
        <item x="44"/>
        <item x="62"/>
        <item x="43"/>
        <item x="78"/>
        <item x="61"/>
        <item x="63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110">
        <item x="9"/>
        <item m="1" x="73"/>
        <item x="40"/>
        <item x="26"/>
        <item x="70"/>
        <item x="53"/>
        <item x="20"/>
        <item x="68"/>
        <item x="49"/>
        <item m="1" x="74"/>
        <item x="25"/>
        <item x="21"/>
        <item x="69"/>
        <item x="59"/>
        <item m="1" x="75"/>
        <item x="47"/>
        <item x="33"/>
        <item x="72"/>
        <item x="61"/>
        <item x="60"/>
        <item x="14"/>
        <item x="37"/>
        <item x="27"/>
        <item x="57"/>
        <item x="52"/>
        <item x="48"/>
        <item x="63"/>
        <item x="5"/>
        <item x="64"/>
        <item m="1" x="92"/>
        <item x="4"/>
        <item x="11"/>
        <item x="22"/>
        <item x="18"/>
        <item x="23"/>
        <item x="16"/>
        <item x="34"/>
        <item sd="0" x="13"/>
        <item x="7"/>
        <item x="8"/>
        <item x="30"/>
        <item x="71"/>
        <item x="41"/>
        <item x="51"/>
        <item x="62"/>
        <item x="55"/>
        <item x="65"/>
        <item x="67"/>
        <item x="45"/>
        <item x="38"/>
        <item x="32"/>
        <item x="12"/>
        <item x="17"/>
        <item x="39"/>
        <item x="56"/>
        <item x="29"/>
        <item x="1"/>
        <item x="43"/>
        <item x="24"/>
        <item x="35"/>
        <item x="58"/>
        <item x="66"/>
        <item x="54"/>
        <item x="15"/>
        <item x="44"/>
        <item x="50"/>
        <item x="2"/>
        <item x="36"/>
        <item x="0"/>
        <item m="1" x="85"/>
        <item x="28"/>
        <item x="46"/>
        <item m="1" x="94"/>
        <item m="1" x="103"/>
        <item m="1" x="86"/>
        <item m="1" x="104"/>
        <item m="1" x="77"/>
        <item m="1" x="96"/>
        <item m="1" x="79"/>
        <item m="1" x="88"/>
        <item m="1" x="95"/>
        <item m="1" x="105"/>
        <item m="1" x="78"/>
        <item m="1" x="97"/>
        <item m="1" x="89"/>
        <item m="1" x="90"/>
        <item m="1" x="100"/>
        <item x="42"/>
        <item m="1" x="108"/>
        <item m="1" x="91"/>
        <item m="1" x="99"/>
        <item m="1" x="106"/>
        <item m="1" x="107"/>
        <item m="1" x="81"/>
        <item m="1" x="82"/>
        <item m="1" x="83"/>
        <item m="1" x="101"/>
        <item x="31"/>
        <item x="10"/>
        <item x="3"/>
        <item m="1" x="109"/>
        <item m="1" x="84"/>
        <item m="1" x="102"/>
        <item m="1" x="87"/>
        <item x="19"/>
        <item m="1" x="80"/>
        <item m="1" x="98"/>
        <item x="6"/>
        <item m="1" x="93"/>
        <item m="1" x="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echa Desembolso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2"/>
        <item x="6"/>
        <item x="9"/>
        <item x="8"/>
        <item x="1"/>
        <item x="4"/>
        <item x="11"/>
        <item x="3"/>
        <item x="7"/>
        <item x="0"/>
        <item x="10"/>
        <item x="5"/>
        <item m="1" x="14"/>
        <item m="1" x="12"/>
        <item m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4"/>
    <field x="2"/>
    <field x="5"/>
    <field x="47"/>
    <field x="46"/>
  </rowFields>
  <rowItems count="77">
    <i>
      <x v="4"/>
      <x/>
      <x v="15"/>
      <x v="2"/>
      <x v="5"/>
    </i>
    <i r="4">
      <x v="7"/>
    </i>
    <i r="4">
      <x v="10"/>
    </i>
    <i r="3">
      <x v="3"/>
      <x/>
    </i>
    <i r="4">
      <x v="1"/>
    </i>
    <i r="2">
      <x v="20"/>
      <x v="2"/>
      <x v="8"/>
    </i>
    <i r="4">
      <x v="9"/>
    </i>
    <i r="2">
      <x v="22"/>
      <x v="2"/>
      <x v="2"/>
    </i>
    <i r="4">
      <x v="3"/>
    </i>
    <i r="1">
      <x v="2"/>
      <x v="15"/>
      <x v="2"/>
      <x v="6"/>
    </i>
    <i r="4">
      <x v="7"/>
    </i>
    <i r="4">
      <x v="8"/>
    </i>
    <i r="3">
      <x v="3"/>
      <x/>
    </i>
    <i r="2">
      <x v="24"/>
      <x v="3"/>
      <x v="1"/>
    </i>
    <i r="4">
      <x v="2"/>
    </i>
    <i r="1">
      <x v="5"/>
      <x v="15"/>
      <x/>
      <x v="11"/>
    </i>
    <i r="2">
      <x v="17"/>
      <x v="3"/>
      <x v="1"/>
    </i>
    <i r="1">
      <x v="7"/>
      <x v="15"/>
      <x v="2"/>
      <x v="4"/>
    </i>
    <i r="4">
      <x v="9"/>
    </i>
    <i r="3">
      <x v="3"/>
      <x/>
    </i>
    <i r="4">
      <x v="2"/>
    </i>
    <i r="1">
      <x v="13"/>
      <x v="15"/>
      <x v="3"/>
      <x/>
    </i>
    <i r="1">
      <x v="15"/>
      <x v="15"/>
      <x v="3"/>
      <x v="2"/>
    </i>
    <i>
      <x v="5"/>
      <x/>
      <x v="15"/>
      <x v="1"/>
      <x v="5"/>
    </i>
    <i r="4">
      <x v="7"/>
    </i>
    <i r="4">
      <x v="9"/>
    </i>
    <i r="3">
      <x v="2"/>
      <x/>
    </i>
    <i r="4">
      <x v="1"/>
    </i>
    <i r="4">
      <x v="2"/>
    </i>
    <i r="4">
      <x v="3"/>
    </i>
    <i r="4">
      <x v="4"/>
    </i>
    <i r="4">
      <x v="6"/>
    </i>
    <i r="4">
      <x v="7"/>
    </i>
    <i r="2">
      <x v="16"/>
      <x v="2"/>
      <x v="5"/>
    </i>
    <i r="2">
      <x v="17"/>
      <x v="2"/>
      <x v="9"/>
    </i>
    <i r="2">
      <x v="21"/>
      <x v="3"/>
      <x/>
    </i>
    <i r="2">
      <x v="24"/>
      <x v="3"/>
      <x v="2"/>
    </i>
    <i r="1">
      <x v="2"/>
      <x v="15"/>
      <x v="2"/>
      <x v="4"/>
    </i>
    <i r="4">
      <x v="5"/>
    </i>
    <i r="2">
      <x v="17"/>
      <x v="3"/>
      <x/>
    </i>
    <i r="2">
      <x v="20"/>
      <x/>
      <x v="11"/>
    </i>
    <i r="3">
      <x v="2"/>
      <x v="6"/>
    </i>
    <i r="2">
      <x v="24"/>
      <x/>
      <x v="11"/>
    </i>
    <i r="3">
      <x v="3"/>
      <x v="1"/>
    </i>
    <i r="1">
      <x v="3"/>
      <x v="15"/>
      <x v="1"/>
      <x v="10"/>
    </i>
    <i r="1">
      <x v="5"/>
      <x v="15"/>
      <x v="1"/>
      <x v="5"/>
    </i>
    <i r="4">
      <x v="8"/>
    </i>
    <i r="4">
      <x v="9"/>
    </i>
    <i r="3">
      <x v="2"/>
      <x v="4"/>
    </i>
    <i r="2">
      <x v="20"/>
      <x v="2"/>
      <x v="10"/>
    </i>
    <i r="1">
      <x v="6"/>
      <x v="15"/>
      <x v="1"/>
      <x v="7"/>
    </i>
    <i r="4">
      <x v="9"/>
    </i>
    <i r="1">
      <x v="7"/>
      <x v="24"/>
      <x/>
      <x v="11"/>
    </i>
    <i r="2">
      <x v="25"/>
      <x/>
      <x v="11"/>
    </i>
    <i r="1">
      <x v="10"/>
      <x v="20"/>
      <x v="2"/>
      <x v="6"/>
    </i>
    <i r="1">
      <x v="12"/>
      <x v="20"/>
      <x v="2"/>
      <x v="7"/>
    </i>
    <i r="1">
      <x v="14"/>
      <x v="15"/>
      <x v="2"/>
      <x/>
    </i>
    <i r="2">
      <x v="24"/>
      <x/>
      <x v="11"/>
    </i>
    <i r="1">
      <x v="15"/>
      <x v="24"/>
      <x v="3"/>
      <x v="2"/>
    </i>
    <i>
      <x v="6"/>
      <x/>
      <x v="16"/>
      <x v="2"/>
      <x v="5"/>
    </i>
    <i r="2">
      <x v="17"/>
      <x v="3"/>
      <x v="1"/>
    </i>
    <i r="2">
      <x v="19"/>
      <x/>
      <x v="11"/>
    </i>
    <i r="3">
      <x v="2"/>
      <x v="6"/>
    </i>
    <i r="4">
      <x v="7"/>
    </i>
    <i r="2">
      <x v="20"/>
      <x v="2"/>
      <x v="9"/>
    </i>
    <i r="2">
      <x v="21"/>
      <x/>
      <x v="11"/>
    </i>
    <i r="3">
      <x v="3"/>
      <x/>
    </i>
    <i r="1">
      <x v="2"/>
      <x v="19"/>
      <x/>
      <x v="11"/>
    </i>
    <i r="3">
      <x v="2"/>
      <x v="6"/>
    </i>
    <i r="2">
      <x v="20"/>
      <x/>
      <x v="11"/>
    </i>
    <i r="2">
      <x v="21"/>
      <x v="3"/>
      <x/>
    </i>
    <i r="1">
      <x v="4"/>
      <x v="16"/>
      <x v="2"/>
      <x v="5"/>
    </i>
    <i r="1">
      <x v="5"/>
      <x v="19"/>
      <x v="2"/>
      <x v="7"/>
    </i>
    <i r="1">
      <x v="6"/>
      <x v="17"/>
      <x v="2"/>
      <x v="10"/>
    </i>
    <i r="1">
      <x v="7"/>
      <x v="19"/>
      <x v="2"/>
      <x v="8"/>
    </i>
    <i r="1">
      <x v="10"/>
      <x v="17"/>
      <x v="3"/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brado" fld="18" baseField="0" baseItem="0"/>
    <dataField name="Costo M2" fld="19" subtotal="average" baseField="3" baseItem="0"/>
  </dataFields>
  <formats count="13">
    <format dxfId="167">
      <pivotArea outline="0" collapsedLevelsAreSubtotals="1" fieldPosition="0"/>
    </format>
    <format dxfId="166">
      <pivotArea dataOnly="0" labelOnly="1" outline="0" fieldPosition="0">
        <references count="1">
          <reference field="3" count="0"/>
        </references>
      </pivotArea>
    </format>
    <format dxfId="165">
      <pivotArea dataOnly="0" labelOnly="1" outline="0" fieldPosition="0">
        <references count="1">
          <reference field="3" count="0"/>
        </references>
      </pivotArea>
    </format>
    <format dxfId="164">
      <pivotArea field="4" type="button" dataOnly="0" labelOnly="1" outline="0" axis="axisRow" fieldPosition="0"/>
    </format>
    <format dxfId="163">
      <pivotArea field="21" type="button" dataOnly="0" labelOnly="1" outline="0"/>
    </format>
    <format dxfId="162">
      <pivotArea field="6" type="button" dataOnly="0" labelOnly="1" outline="0"/>
    </format>
    <format dxfId="161">
      <pivotArea field="16" type="button" dataOnly="0" labelOnly="1" outline="0"/>
    </format>
    <format dxfId="1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9">
      <pivotArea field="4" type="button" dataOnly="0" labelOnly="1" outline="0" axis="axisRow" fieldPosition="0"/>
    </format>
    <format dxfId="158">
      <pivotArea field="21" type="button" dataOnly="0" labelOnly="1" outline="0"/>
    </format>
    <format dxfId="157">
      <pivotArea field="6" type="button" dataOnly="0" labelOnly="1" outline="0"/>
    </format>
    <format dxfId="156">
      <pivotArea field="16" type="button" dataOnly="0" labelOnly="1" outline="0"/>
    </format>
    <format dxfId="1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Minuta" xr10:uid="{77DE35A5-C057-4B8B-8C54-4E477FC1DAA9}" sourceName="Año Minuta">
  <pivotTables>
    <pivotTable tabId="6" name="TablaDinámica3"/>
  </pivotTables>
  <data>
    <tabular pivotCacheId="1561504283">
      <items count="4">
        <i x="2" s="1"/>
        <i x="0" s="1"/>
        <i x="1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Minuta1" xr10:uid="{7E751E82-E7B5-4625-B9EA-B6906B39DAD2}" sourceName="Mes Minuta">
  <pivotTables>
    <pivotTable tabId="6" name="TablaDinámica3"/>
  </pivotTables>
  <data>
    <tabular pivotCacheId="1561504283">
      <items count="15">
        <i x="2" s="1"/>
        <i x="6" s="1"/>
        <i x="9" s="1"/>
        <i x="8" s="1"/>
        <i x="1" s="1"/>
        <i x="4" s="1"/>
        <i x="11" s="1"/>
        <i x="3" s="1"/>
        <i x="7" s="1"/>
        <i x="0" s="1"/>
        <i x="10" s="1"/>
        <i x="5" s="1"/>
        <i x="14" s="1" nd="1"/>
        <i x="12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yecto" xr10:uid="{CDBD26F9-DB90-4585-BD54-537AE183A068}" sourceName="Proyecto">
  <pivotTables>
    <pivotTable tabId="11" name="Vendido_Histórico"/>
    <pivotTable tabId="11" name="Ratios"/>
    <pivotTable tabId="11" name="Vendido_Medio"/>
    <pivotTable tabId="11" name="Financiamiento_Vendidos"/>
    <pivotTable tabId="11" name="Finanaciamiento_Separacion"/>
    <pivotTable tabId="11" name="TablaDinámica4"/>
    <pivotTable tabId="11" name="TablaDinámica5"/>
  </pivotTables>
  <data>
    <tabular pivotCacheId="1561504283">
      <items count="7">
        <i x="2" s="1"/>
        <i x="0" s="1"/>
        <i x="1" s="1"/>
        <i x="6" s="1" nd="1"/>
        <i x="4" s="1" nd="1"/>
        <i x="5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Separación" xr10:uid="{5C39111A-71AC-4304-A7F1-61DD618E86EA}" sourceName="Mes Separación">
  <pivotTables>
    <pivotTable tabId="2" name="Separaciones"/>
  </pivotTables>
  <data>
    <tabular pivotCacheId="1561504283">
      <items count="14">
        <i x="11" s="1"/>
        <i x="1" s="1"/>
        <i x="8" s="1"/>
        <i x="6" s="1" nd="1"/>
        <i x="10" s="1" nd="1"/>
        <i x="9" s="1" nd="1"/>
        <i x="4" s="1" nd="1"/>
        <i x="2" s="1" nd="1"/>
        <i x="5" s="1" nd="1"/>
        <i x="0" s="1" nd="1"/>
        <i x="3" s="1" nd="1"/>
        <i x="7" s="1" nd="1"/>
        <i x="13" s="1" nd="1"/>
        <i x="1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Minuta2" xr10:uid="{6C185000-2BD4-4D34-BE94-27C80AE84C67}" sourceName="Mes Minuta">
  <pivotTables>
    <pivotTable tabId="11" name="Vendido_Histórico"/>
    <pivotTable tabId="11" name="Vendido_Medio"/>
    <pivotTable tabId="11" name="Financiamiento_Vendidos"/>
  </pivotTables>
  <data>
    <tabular pivotCacheId="1561504283">
      <items count="15">
        <i x="2" s="1"/>
        <i x="6"/>
        <i x="9"/>
        <i x="8"/>
        <i x="1"/>
        <i x="4"/>
        <i x="11"/>
        <i x="3"/>
        <i x="7"/>
        <i x="0"/>
        <i x="10"/>
        <i x="5" nd="1"/>
        <i x="14" nd="1"/>
        <i x="12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Minuta2" xr10:uid="{DD0740FF-6709-4797-AF3F-E9D86F94EB97}" sourceName="Año Minuta">
  <pivotTables>
    <pivotTable tabId="11" name="Vendido_Histórico"/>
    <pivotTable tabId="11" name="Vendido_Medio"/>
    <pivotTable tabId="11" name="Financiamiento_Vendidos"/>
  </pivotTables>
  <data>
    <tabular pivotCacheId="1561504283">
      <items count="4">
        <i x="1" s="1"/>
        <i x="3" s="1"/>
        <i x="2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Separación" xr10:uid="{F08E2F0A-0ED6-4DEA-BC6F-CC9A14A778AD}" sourceName="Año Separación">
  <pivotTables>
    <pivotTable tabId="2" name="Separaciones"/>
  </pivotTables>
  <data>
    <tabular pivotCacheId="1561504283">
      <items count="5">
        <i x="1" s="1"/>
        <i x="2" s="1"/>
        <i x="3" nd="1"/>
        <i x="4" nd="1"/>
        <i x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Minuta" xr10:uid="{52CCA520-4F84-40FB-8B91-AEBE6A6181BE}" sourceName="Mes Minuta">
  <pivotTables>
    <pivotTable tabId="2" name="Vendidos"/>
  </pivotTables>
  <data>
    <tabular pivotCacheId="1561504283">
      <items count="15">
        <i x="2"/>
        <i x="6"/>
        <i x="9" s="1"/>
        <i x="8" nd="1"/>
        <i x="1" nd="1"/>
        <i x="4" nd="1"/>
        <i x="11" nd="1"/>
        <i x="3" nd="1"/>
        <i x="7" nd="1"/>
        <i x="0" nd="1"/>
        <i x="10" nd="1"/>
        <i x="5" nd="1"/>
        <i x="14" nd="1"/>
        <i x="12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Minuta1" xr10:uid="{F8F45DC8-380A-43BB-992A-97A4ADEBB865}" sourceName="Año Minuta">
  <pivotTables>
    <pivotTable tabId="2" name="Vendidos"/>
  </pivotTables>
  <data>
    <tabular pivotCacheId="1561504283">
      <items count="4">
        <i x="1"/>
        <i x="3" s="1"/>
        <i x="2" nd="1"/>
        <i x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yecto 1" xr10:uid="{71405F82-DBFA-4A4D-9388-7DB1A2CB7CB1}" cache="SegmentaciónDeDatos_Proyecto" caption="Proyecto" rowHeight="257175"/>
  <slicer name="Mes Minuta 2" xr10:uid="{069B0D46-EA42-43F8-95AA-ED8EC5EAEBF3}" cache="SegmentaciónDeDatos_Mes_Minuta2" caption="Mes Minuta" columnCount="6" rowHeight="257175"/>
  <slicer name="Año Minuta 2" xr10:uid="{E2F5D599-BD2F-4199-9CCE-71FAC8EF546D}" cache="SegmentaciónDeDatos_Año_Minuta2" caption="Año Minuta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Separación" xr10:uid="{119621F7-150F-4464-96B6-3BAE1D76090D}" cache="SegmentaciónDeDatos_Mes_Separación" caption="Mes Separación" columnCount="6" rowHeight="257175"/>
  <slicer name="Año Separación" xr10:uid="{57659E06-B9D8-4C95-B8C4-951F5D63FD5D}" cache="SegmentaciónDeDatos_Año_Separación" caption="Año Separación" rowHeight="257175"/>
  <slicer name="Mes Minuta" xr10:uid="{C2FB69BC-8A11-4161-BA40-8410BB7ACDC5}" cache="SegmentaciónDeDatos_Mes_Minuta" caption="Mes Minuta" columnCount="6" rowHeight="257175"/>
  <slicer name="Año Minuta 1" xr10:uid="{D2661143-9A60-41FD-BF13-55C8611A4648}" cache="SegmentaciónDeDatos_Año_Minuta1" caption="Año Minuta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Minuta" xr10:uid="{B8A10CA8-1091-4E02-AEEB-66C447063F23}" cache="SegmentaciónDeDatos_Año_Minuta" caption="Año Minuta" rowHeight="257175"/>
  <slicer name="Mes Minuta 1" xr10:uid="{B5556303-8B7B-4F91-80F0-7265089EDEBD}" cache="SegmentaciónDeDatos_Mes_Minuta1" caption="Mes Minuta" columnCount="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011D21-A4BE-4921-B135-F408400B4170}" name="Registro_Ventas" displayName="Registro_Ventas" ref="A2:AZ106" totalsRowShown="0" headerRowDxfId="310" dataDxfId="309">
  <autoFilter ref="A2:AZ106" xr:uid="{E5011D21-A4BE-4921-B135-F408400B4170}"/>
  <tableColumns count="52">
    <tableColumn id="37" xr3:uid="{602E5394-1B10-47D7-AFA1-E73671E924C9}" name="Mes" dataDxfId="308">
      <calculatedColumnFormula>TEXT(Registro_Ventas[[#This Row],[Fecha Captacion]],"Mmmm")</calculatedColumnFormula>
    </tableColumn>
    <tableColumn id="1" xr3:uid="{64D18274-A7F4-409D-8008-6AD03710E44F}" name="Fecha Captacion" dataDxfId="307"/>
    <tableColumn id="45" xr3:uid="{6932E633-CFE6-4510-9A2C-8CA88F4BF131}" name="Medio de Capatacion" dataDxfId="306"/>
    <tableColumn id="2" xr3:uid="{BBF44569-907D-4619-97EE-27F543B46383}" name="Categoria" dataDxfId="305">
      <calculatedColumnFormula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calculatedColumnFormula>
    </tableColumn>
    <tableColumn id="4" xr3:uid="{E37E0FC5-CCFE-4013-962D-22F143EE70A2}" name="Proyecto" dataDxfId="304"/>
    <tableColumn id="5" xr3:uid="{D1D5767E-B9EA-4DE5-A9F6-D0E545369F38}" name="Ejecutivo" dataDxfId="303"/>
    <tableColumn id="17" xr3:uid="{28175065-F154-4738-B386-2EDFE13C2F7E}" name="T. Fina." dataDxfId="302"/>
    <tableColumn id="6" xr3:uid="{B07BF315-260E-46E7-9D4B-46DBA944357D}" name="N° UI Departamento" dataDxfId="301"/>
    <tableColumn id="7" xr3:uid="{A04A0CE9-280C-435C-AE8F-4989A32575EB}" name="Área Ocupada Departamento" dataDxfId="300"/>
    <tableColumn id="8" xr3:uid="{1424F5BD-2680-4C8F-A2F3-FAA16F2490CA}" name="Precio Venta Departamento" dataDxfId="299" dataCellStyle="Moneda"/>
    <tableColumn id="24" xr3:uid="{76DAE8C8-560E-4FD1-A07B-3F4BBEAA86A5}" name="N° UI Estacionamiento" dataDxfId="298" dataCellStyle="Moneda"/>
    <tableColumn id="23" xr3:uid="{7827CAC2-B215-47A6-A4AF-F311A541A3D3}" name="Área Ocupada Estacionamiento" dataDxfId="297" dataCellStyle="Moneda"/>
    <tableColumn id="22" xr3:uid="{CB0B759E-9516-44FC-A71B-AD96E3810974}" name="Precio Venta Estacionamiento" dataDxfId="296" dataCellStyle="Moneda"/>
    <tableColumn id="19" xr3:uid="{F6B073ED-E812-4BE6-A111-CD9F721A62DC}" name="N° UI Depósito" dataDxfId="295" dataCellStyle="Moneda"/>
    <tableColumn id="18" xr3:uid="{1E217F26-A8E6-4E6D-9458-50357960C17D}" name="Área Ocupada Depósito" dataDxfId="294" dataCellStyle="Moneda"/>
    <tableColumn id="3" xr3:uid="{BF1B2DE6-1630-4DA4-AFB1-DBE3C2FB7249}" name="Precio Venta Depósito" dataDxfId="293" dataCellStyle="Moneda"/>
    <tableColumn id="26" xr3:uid="{2F4FC0ED-05AD-4A12-8674-8974C20E60D6}" name="N° Unidad(es)" dataDxfId="292" dataCellStyle="Moneda">
      <calculatedColumnFormula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calculatedColumnFormula>
    </tableColumn>
    <tableColumn id="25" xr3:uid="{8A640EC3-18CC-48EA-A69E-62A7C16C5E25}" name="Precio Venta Unidad(es)" dataDxfId="291" dataCellStyle="Moneda">
      <calculatedColumnFormula>Registro_Ventas[[#This Row],[Precio Venta Departamento]]+Registro_Ventas[[#This Row],[Precio Venta Estacionamiento]]+Registro_Ventas[[#This Row],[Precio Venta Depósito]]</calculatedColumnFormula>
    </tableColumn>
    <tableColumn id="9" xr3:uid="{A21D92A0-5410-4311-AD35-5E754ED1CD60}" name="Total Cobrado" dataDxfId="290">
      <calculatedColumnFormula>AA3+AB3</calculatedColumnFormula>
    </tableColumn>
    <tableColumn id="10" xr3:uid="{CB200C55-929C-43F6-807D-B95B3E30989A}" name="M2 PEN" dataDxfId="289">
      <calculatedColumnFormula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calculatedColumnFormula>
    </tableColumn>
    <tableColumn id="11" xr3:uid="{EE9F7334-256A-4861-B54D-A002A6CEBEF8}" name="M2USD" dataDxfId="288">
      <calculatedColumnFormula>IF(Registro_Ventas[[#This Row],[Categoria]]="Cita Agendada","",Registro_Ventas[[#This Row],[M2 PEN]]/3.8)</calculatedColumnFormula>
    </tableColumn>
    <tableColumn id="12" xr3:uid="{D0BAA0A6-E180-4D7E-8B7C-A41B437FF96B}" name="Firma Minuta" dataDxfId="287"/>
    <tableColumn id="13" xr3:uid="{DC4834AA-537B-47BE-8E1B-B60EC9C31382}" name="Cliente" dataDxfId="286"/>
    <tableColumn id="14" xr3:uid="{E44918AD-EE26-4BBA-BB72-F2F449B116B5}" name="Documento" dataDxfId="285"/>
    <tableColumn id="48" xr3:uid="{39C5BE2E-6E18-4D92-B2A1-E658BE3FB526}" name="Fecha de Cita" dataDxfId="284">
      <calculatedColumnFormula>100000+134000</calculatedColumnFormula>
    </tableColumn>
    <tableColumn id="35" xr3:uid="{38A24DD2-D92A-4D8C-BE8A-8C788A33AE5A}" name="Fecha Separacion" dataDxfId="283"/>
    <tableColumn id="15" xr3:uid="{CDABF902-A4ED-4B8B-89BE-D2CE1775ED41}" name="Valor Separacion" dataDxfId="282"/>
    <tableColumn id="16" xr3:uid="{CB05F969-236C-41A5-88FE-E4E7856156DD}" name="Cuota Inicial" dataDxfId="281"/>
    <tableColumn id="20" xr3:uid="{6F9A69BF-1F51-46EC-9AA0-A7DD7D643288}" name="Status Minuta " dataDxfId="280"/>
    <tableColumn id="47" xr3:uid="{363B344F-559F-421B-ABFF-3D4DBD10D975}" name="Termino Ahorro Casa " dataDxfId="279"/>
    <tableColumn id="21" xr3:uid="{98189B9A-7EA2-4068-96AB-80D3117E1943}" name="Desembolsa/ Cancela" dataDxfId="278"/>
    <tableColumn id="39" xr3:uid="{526A4C5C-E6D6-408B-9A2D-741D376E9134}" name="Ejecutivo " dataDxfId="277"/>
    <tableColumn id="40" xr3:uid="{A654F1B1-2E54-45F6-9D0B-DCC236FA9245}" name="Carta Fianza" dataDxfId="276"/>
    <tableColumn id="36" xr3:uid="{8DBF05C3-62AF-4948-AAF3-B086A0D276FB}" name="Desembolso/Cancelacion" dataDxfId="275"/>
    <tableColumn id="28" xr3:uid="{4A51F897-518D-48FA-98FE-899C691A8EFD}" name="%Comision_x000a_Ejecutivo" dataDxfId="274" dataCellStyle="Porcentaje"/>
    <tableColumn id="29" xr3:uid="{56B8A29D-E376-408C-B5A2-04F6407F70FD}" name="Total Comision" dataDxfId="273">
      <calculatedColumnFormula>Registro_Ventas[[#This Row],[Precio Venta Unidad(es)]]*Registro_Ventas[[#This Row],[%Comision
Ejecutivo]]</calculatedColumnFormula>
    </tableColumn>
    <tableColumn id="30" xr3:uid="{BD1A19B6-0729-4F3F-B199-D8D25A87C6F8}" name="% Comision" dataDxfId="272">
      <calculatedColumnFormula>Registro_Ventas[[#This Row],[Total Comision]]*30%</calculatedColumnFormula>
    </tableColumn>
    <tableColumn id="31" xr3:uid="{191AE1BE-EBAB-491E-AFBF-F5264BC59CDE}" name="% C. Pendiente" dataDxfId="271"/>
    <tableColumn id="32" xr3:uid="{755B3F95-2CBD-4B39-A40E-9BAF927A2808}" name="Modalidad Pago" dataDxfId="270"/>
    <tableColumn id="33" xr3:uid="{EF9B4551-12CD-492F-9370-5CD4148CE318}" name="Fecha Pago_x000a_Comisión " dataDxfId="269"/>
    <tableColumn id="34" xr3:uid="{E6D23123-60AF-44BE-9E8B-13EF6541896D}" name="Columna1" dataDxfId="268"/>
    <tableColumn id="41" xr3:uid="{BF50C644-993E-4321-8D0D-11BCFA0CEB06}" name="Desistimiento" dataDxfId="267"/>
    <tableColumn id="42" xr3:uid="{799A8EB1-EF24-48E9-AC89-90BD78010C3F}" name="Penalidad Desestimiento" dataDxfId="266"/>
    <tableColumn id="38" xr3:uid="{E9D553B6-7F4B-4823-A9D3-481D3750034B}" name="Fecha Devolucion" dataDxfId="265"/>
    <tableColumn id="27" xr3:uid="{CD7E7B4A-A0B7-4163-830E-AFE9CB7726DC}" name="Notas" dataDxfId="264"/>
    <tableColumn id="43" xr3:uid="{0DAB14BA-08AC-42EB-B495-A641651242DC}" name="Mes Separación" dataDxfId="263">
      <calculatedColumnFormula>IF(Registro_Ventas[[#This Row],[Fecha Separacion]]&lt;&gt;"",TEXT(Registro_Ventas[[#This Row],[Fecha Separacion]],"mmmm"),"")</calculatedColumnFormula>
    </tableColumn>
    <tableColumn id="44" xr3:uid="{D0194582-B75B-4192-ACC9-833A8A106A92}" name="Mes Minuta" dataDxfId="262">
      <calculatedColumnFormula>IF(Registro_Ventas[[#This Row],[Firma Minuta]]&lt;&gt;"",TEXT(Registro_Ventas[[#This Row],[Firma Minuta]],"mmmm"),"")</calculatedColumnFormula>
    </tableColumn>
    <tableColumn id="46" xr3:uid="{A61873AC-F9DD-4BA4-893A-7B926B627393}" name="Año Minuta" dataDxfId="261">
      <calculatedColumnFormula>IF(Registro_Ventas[[#This Row],[Firma Minuta]]&lt;&gt;"",TEXT(Registro_Ventas[[#This Row],[Firma Minuta]],"yyyy"),"")</calculatedColumnFormula>
    </tableColumn>
    <tableColumn id="49" xr3:uid="{18C105A5-EFF1-4CAE-83AA-2FEEACCE0B77}" name="Año Separación" dataDxfId="260">
      <calculatedColumnFormula>IF(Registro_Ventas[[#This Row],[Fecha Separacion]]&lt;&gt;"",TEXT(Registro_Ventas[[#This Row],[Fecha Separacion]],"yyyy"),"")</calculatedColumnFormula>
    </tableColumn>
    <tableColumn id="50" xr3:uid="{C7B8A180-F0FA-49C1-8DA4-12EFE43E4445}" name="Lead vs Separación" dataDxfId="259">
      <calculatedColumnFormula>IF(Registro_Ventas[[#This Row],[Fecha Separacion]]="","",Registro_Ventas[[#This Row],[Fecha Separacion]]-Registro_Ventas[[#This Row],[Fecha Captacion]])</calculatedColumnFormula>
    </tableColumn>
    <tableColumn id="51" xr3:uid="{D2468AD3-99A2-4F40-AD8D-20BEC2009E27}" name="Lead vs Minuta" dataDxfId="258">
      <calculatedColumnFormula>+IF(Registro_Ventas[[#This Row],[Firma Minuta]]="","",Registro_Ventas[[#This Row],[Firma Minuta]]-Registro_Ventas[[#This Row],[Fecha Captacion]])</calculatedColumnFormula>
    </tableColumn>
    <tableColumn id="52" xr3:uid="{1B2C0243-6FD6-47F5-A940-15350C848241}" name="Separación vs Minuta" dataDxfId="257">
      <calculatedColumnFormula>+IF(Registro_Ventas[[#This Row],[Firma Minuta]]="","",Registro_Ventas[[#This Row],[Firma Minuta]]-Registro_Ventas[[#This Row],[Fecha Separacion]])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4634A-03DC-465F-AE1F-7294B1BE57DA}" name="Registro_Ventas2" displayName="Registro_Ventas2" ref="A2:AY5" totalsRowShown="0" headerRowDxfId="154" dataDxfId="153">
  <autoFilter ref="A2:AY5" xr:uid="{E5011D21-A4BE-4921-B135-F408400B4170}"/>
  <tableColumns count="51">
    <tableColumn id="37" xr3:uid="{3D03F5EC-5B80-4F02-8324-4427B8D096D1}" name="Mes" dataDxfId="152">
      <calculatedColumnFormula>TEXT(Registro_Ventas2[[#This Row],[Fecha Captacion]],"Mmmm")</calculatedColumnFormula>
    </tableColumn>
    <tableColumn id="1" xr3:uid="{95EC1BE4-5F21-4068-8E60-2A8DAE63B7A0}" name="Fecha Captacion" dataDxfId="151"/>
    <tableColumn id="45" xr3:uid="{7404BC3C-AAE5-4BB7-9CA8-E3F16FEF956D}" name="Medio de Capatacion" dataDxfId="150"/>
    <tableColumn id="2" xr3:uid="{001D63AE-F751-4C42-8ACA-914E24368493}" name="Categoria" dataDxfId="149">
      <calculatedColumnFormula xml:space="preserve">
IF(Registro_Ventas2[[#This Row],[Desistimiento]]="",
IF(AND(Registro_Ventas2[[#This Row],[Firma Minuta]]&lt;&gt;"",Registro_Ventas2[[#This Row],[Cuota Inicial]]&gt;0),"Vendido",
IF(AND(Registro_Ventas2[[#This Row],[Fecha Separacion]]&lt;&gt;"",Registro_Ventas2[[#This Row],[Valor Separacion]]&lt;&gt;""),"Separación",
IF(AND(Registro_Ventas2[[#This Row],[Fecha de Cita]]&lt;&gt;""),"Cita Agendada",
IF(AND(Registro_Ventas2[[#This Row],[Cliente]]&lt;&gt;"",Registro_Ventas2[[#This Row],[Documento]]&lt;&gt;""),"Prospecto","Revisar")))),"Desiste")</calculatedColumnFormula>
    </tableColumn>
    <tableColumn id="4" xr3:uid="{CBAAD38D-61DE-4DA7-89BC-9A7C007A75C8}" name="Proyecto" dataDxfId="148"/>
    <tableColumn id="5" xr3:uid="{68F5440D-5FA0-4085-8021-983D4D317D40}" name="Ejecutivo" dataDxfId="147"/>
    <tableColumn id="17" xr3:uid="{79DAC075-E783-496A-B558-BBFC46F6C938}" name="T. Fina." dataDxfId="146"/>
    <tableColumn id="6" xr3:uid="{F443F800-39F0-4DAA-A8E8-E6372FD1444A}" name="N° UI Departamento" dataDxfId="145"/>
    <tableColumn id="7" xr3:uid="{C733DB97-20E9-4920-95B1-5669DF871E99}" name="Área Ocupada Departamento" dataDxfId="144"/>
    <tableColumn id="8" xr3:uid="{301B9F77-8FA1-475C-837A-A6768154099D}" name="Precio Venta Departamento" dataDxfId="143" dataCellStyle="Moneda"/>
    <tableColumn id="24" xr3:uid="{D902D26A-E5B8-4B82-92D6-629A09DD5C08}" name="N° UI Estacionamiento" dataDxfId="142" dataCellStyle="Moneda"/>
    <tableColumn id="23" xr3:uid="{71DFF486-0349-4F0A-B836-60342198F3C5}" name="Área Ocupada Estacionamiento" dataDxfId="141" dataCellStyle="Moneda"/>
    <tableColumn id="22" xr3:uid="{D9B8F98F-29BD-4F8D-BAB9-D555BDEF3990}" name="Precio Venta Estacionamiento" dataDxfId="140" dataCellStyle="Moneda"/>
    <tableColumn id="19" xr3:uid="{F961997E-DA16-4046-BEF5-0A88FD7523EE}" name="N° UI Depósito" dataDxfId="139" dataCellStyle="Moneda"/>
    <tableColumn id="18" xr3:uid="{763D873F-4BFC-40A3-99D7-12FF991F8658}" name="Área Ocupada Depósito" dataDxfId="138" dataCellStyle="Moneda"/>
    <tableColumn id="3" xr3:uid="{CA6E9A63-86AE-4886-9674-352C0497084D}" name="Precio Venta Depósito" dataDxfId="137" dataCellStyle="Moneda"/>
    <tableColumn id="26" xr3:uid="{7A4FB30A-20BB-40F2-8B4E-AE57F16A426A}" name="N° Unidad(es)" dataDxfId="136" dataCellStyle="Moneda">
      <calculatedColumnFormula>Registro_Ventas2[[#This Row],[N° UI Departamento]]&amp;IF(Registro_Ventas2[[#This Row],[N° UI Estacionamiento]]&lt;&gt;""," / "&amp;Registro_Ventas2[[#This Row],[N° UI Estacionamiento]],"")&amp;IF(Registro_Ventas2[[#This Row],[N° UI Depósito]]&lt;&gt;""," / "&amp;Registro_Ventas2[[#This Row],[N° UI Depósito]],"")</calculatedColumnFormula>
    </tableColumn>
    <tableColumn id="25" xr3:uid="{54B4F113-81CB-4FCD-828A-65392C0FC0F3}" name="Precio Venta Unidad(es)" dataDxfId="135" dataCellStyle="Moneda">
      <calculatedColumnFormula>Registro_Ventas2[[#This Row],[Precio Venta Departamento]]+Registro_Ventas2[[#This Row],[Precio Venta Estacionamiento]]+Registro_Ventas2[[#This Row],[Precio Venta Depósito]]</calculatedColumnFormula>
    </tableColumn>
    <tableColumn id="9" xr3:uid="{3746FE75-FF13-4FFD-BD33-770818380C92}" name="Total Cobrado" dataDxfId="134">
      <calculatedColumnFormula>AA3+AB3</calculatedColumnFormula>
    </tableColumn>
    <tableColumn id="10" xr3:uid="{E3F0E64F-D142-4F3D-98AD-A460F68BDD82}" name="M2 PEN" dataDxfId="133">
      <calculatedColumnFormula>IF(Registro_Ventas2[[#This Row],[Categoria]]="Cita Agendada","",SUM(Registro_Ventas2[[#This Row],[Precio Venta Departamento]],Registro_Ventas2[[#This Row],[Precio Venta Estacionamiento]],Registro_Ventas2[[#This Row],[Precio Venta Depósito]])/
SUM(Registro_Ventas2[[#This Row],[Área Ocupada Departamento]],Registro_Ventas2[[#This Row],[Área Ocupada Estacionamiento]],Registro_Ventas2[[#This Row],[Área Ocupada Depósito]]))</calculatedColumnFormula>
    </tableColumn>
    <tableColumn id="11" xr3:uid="{B6F929AF-C7E3-4899-AF19-6A662D86B9BD}" name="M2USD" dataDxfId="132">
      <calculatedColumnFormula>IF(Registro_Ventas2[[#This Row],[Categoria]]="Cita Agendada","",Registro_Ventas2[[#This Row],[M2 PEN]]/3.8)</calculatedColumnFormula>
    </tableColumn>
    <tableColumn id="12" xr3:uid="{84DE7BCC-C373-46ED-B1B6-1AF66A92C580}" name="Firma Minuta" dataDxfId="131"/>
    <tableColumn id="13" xr3:uid="{27F71201-9FA0-4E20-918B-E82BFEFBFCB1}" name="Cliente" dataDxfId="130"/>
    <tableColumn id="14" xr3:uid="{E0D18975-7BCB-4ACD-A6DE-62EFA5677CD8}" name="Documento" dataDxfId="129"/>
    <tableColumn id="48" xr3:uid="{9EACAF0A-16DC-4FE1-952B-B87B906E7DF6}" name="Fecha de Cita" dataDxfId="128"/>
    <tableColumn id="35" xr3:uid="{6763BACB-BEA7-4CE5-B04A-8ED18F8A7B52}" name="Fecha Separacion" dataDxfId="127"/>
    <tableColumn id="15" xr3:uid="{C31A9C77-D658-4892-9EEC-FFEFB463BDA6}" name="Valor Separacion" dataDxfId="126"/>
    <tableColumn id="16" xr3:uid="{FC9F89DA-51E8-4703-A126-AF171096A7E5}" name="Cuota Inicial" dataDxfId="125"/>
    <tableColumn id="20" xr3:uid="{FCEF0DE4-7167-4413-8B7D-86DDBF842D74}" name="Status Minuta " dataDxfId="124"/>
    <tableColumn id="21" xr3:uid="{AC9DB97A-D8CC-4B04-8FC2-56CDB199B18C}" name="Desembolsa/ Cancela" dataDxfId="123"/>
    <tableColumn id="39" xr3:uid="{3B8C0BCB-8AB3-4C86-B3EF-E1B97B847D7C}" name="Ejecutivo " dataDxfId="122"/>
    <tableColumn id="40" xr3:uid="{DDF2B4FD-35BE-4209-A9A2-2940CE9DDDCB}" name="Carta Fianza" dataDxfId="121"/>
    <tableColumn id="36" xr3:uid="{6BC1CDD5-A758-4ED5-BB75-6FA4FA888177}" name="Desembolso/Cancelacion" dataDxfId="120"/>
    <tableColumn id="28" xr3:uid="{7028B8D3-3CE2-4289-983B-98481CD0D668}" name="%Comision_x000a_Ejecutivo" dataDxfId="119" dataCellStyle="Porcentaje"/>
    <tableColumn id="29" xr3:uid="{58ABA29D-8A4D-4436-9466-9631FF2A8495}" name="Total Comision" dataDxfId="118">
      <calculatedColumnFormula>Registro_Ventas2[[#This Row],[Precio Venta Unidad(es)]]*Registro_Ventas2[[#This Row],[%Comision
Ejecutivo]]</calculatedColumnFormula>
    </tableColumn>
    <tableColumn id="30" xr3:uid="{1518B10E-856F-4872-BA1B-CDA4727FC1F3}" name="% Comision" dataDxfId="117">
      <calculatedColumnFormula>Registro_Ventas2[[#This Row],[Total Comision]]*30%</calculatedColumnFormula>
    </tableColumn>
    <tableColumn id="31" xr3:uid="{544EAE53-285D-45D2-8A99-E448C6D8AD7A}" name="% C. Pendiente" dataDxfId="116"/>
    <tableColumn id="32" xr3:uid="{6D0E48AD-6650-481A-BDC5-520F03CCF7C6}" name="Modalidad Pago" dataDxfId="115"/>
    <tableColumn id="33" xr3:uid="{1ACA31CC-B20C-4B48-B209-7ED97A93A977}" name="Fecha Pago_x000a_Comisión " dataDxfId="114"/>
    <tableColumn id="34" xr3:uid="{2B513C6E-B2C0-4BB5-BE07-A76870A6E99A}" name="Columna1" dataDxfId="113"/>
    <tableColumn id="41" xr3:uid="{8D8A847C-40DE-4DAB-B8EB-DD40F2D2C460}" name="Desistimiento" dataDxfId="112"/>
    <tableColumn id="42" xr3:uid="{9BF0BDF4-091E-48C1-AA94-B0146CAE7B0D}" name="Penalidad Desestimiento" dataDxfId="111"/>
    <tableColumn id="38" xr3:uid="{6554FBF9-35E1-4AE8-A66E-25CCE308FDFC}" name="Fecha Devolucion" dataDxfId="110"/>
    <tableColumn id="27" xr3:uid="{478E37B5-D587-4537-82C8-20DA13B4730B}" name="Notas" dataDxfId="109"/>
    <tableColumn id="43" xr3:uid="{758B44F0-6039-4DFD-B7F8-2CFBF6B633B3}" name="Mes Separación" dataDxfId="108">
      <calculatedColumnFormula>IF(Registro_Ventas2[[#This Row],[Fecha Separacion]]&lt;&gt;"",TEXT(Registro_Ventas2[[#This Row],[Fecha Separacion]],"mmmm"),"")</calculatedColumnFormula>
    </tableColumn>
    <tableColumn id="44" xr3:uid="{57534DC9-814E-4E65-9FD3-CACEFA511FE4}" name="Mes Minuta" dataDxfId="107">
      <calculatedColumnFormula>IF(Registro_Ventas2[[#This Row],[Firma Minuta]]&lt;&gt;"",TEXT(Registro_Ventas2[[#This Row],[Firma Minuta]],"mmmm"),"")</calculatedColumnFormula>
    </tableColumn>
    <tableColumn id="46" xr3:uid="{3B735B45-89A4-4C8E-9575-CB5075110EBB}" name="Año Minuta" dataDxfId="106">
      <calculatedColumnFormula>IF(Registro_Ventas2[[#This Row],[Firma Minuta]]&lt;&gt;"",TEXT(Registro_Ventas2[[#This Row],[Firma Minuta]],"yyyy"),"")</calculatedColumnFormula>
    </tableColumn>
    <tableColumn id="49" xr3:uid="{28F1BCC6-86F7-468B-BDA6-8200D19EF24F}" name="Año Separación" dataDxfId="105">
      <calculatedColumnFormula>IF(Registro_Ventas2[[#This Row],[Fecha Separacion]]&lt;&gt;"",TEXT(Registro_Ventas2[[#This Row],[Fecha Separacion]],"yyyy"),"")</calculatedColumnFormula>
    </tableColumn>
    <tableColumn id="50" xr3:uid="{66265D40-9B31-46DE-A9C2-1A1DBAD81771}" name="Lead vs Separación" dataDxfId="104">
      <calculatedColumnFormula>IF(Registro_Ventas2[[#This Row],[Fecha Separacion]]="","",Registro_Ventas2[[#This Row],[Fecha Separacion]]-Registro_Ventas2[[#This Row],[Fecha Captacion]])</calculatedColumnFormula>
    </tableColumn>
    <tableColumn id="51" xr3:uid="{7549EDF0-9B5A-46D5-9820-236157EB1A9F}" name="Lead vs Minuta" dataDxfId="103">
      <calculatedColumnFormula>+IF(Registro_Ventas2[[#This Row],[Firma Minuta]]="","",Registro_Ventas2[[#This Row],[Firma Minuta]]-Registro_Ventas2[[#This Row],[Fecha Captacion]])</calculatedColumnFormula>
    </tableColumn>
    <tableColumn id="52" xr3:uid="{B0E1C8F5-778A-427D-97D6-050C7FAAF9EC}" name="Separación vs Minuta" dataDxfId="102">
      <calculatedColumnFormula>+IF(Registro_Ventas2[[#This Row],[Firma Minuta]]="","",Registro_Ventas2[[#This Row],[Firma Minuta]]-Registro_Ventas2[[#This Row],[Fecha Separacion]])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14" dT="2026-01-14T16:46:43.43" personId="{7A540C56-2D75-416E-8CA1-10CF62B73078}" id="{ED9FE7F8-3B33-43FA-A0B8-0F586710A6A5}">
    <text xml:space="preserve">marisolpaucarc@bcp.com.pe
</text>
    <extLst>
      <x:ext xmlns:xltc2="http://schemas.microsoft.com/office/spreadsheetml/2020/threadedcomments2" uri="{F7C98A9C-CBB3-438F-8F68-D28B6AF4A901}">
        <xltc2:checksum>765133380</xltc2:checksum>
        <xltc2:hyperlink startIndex="0" length="25" url="mailto:marisolpaucarc@bcp.com.pe"/>
      </x:ext>
    </extLst>
  </threadedComment>
  <threadedComment ref="AF20" dT="2026-01-14T16:48:00.79" personId="{7A540C56-2D75-416E-8CA1-10CF62B73078}" id="{7C0733C6-BF08-468A-8575-5B678E3D0E62}">
    <text xml:space="preserve">jpezo@bcp.com.pe
</text>
    <extLst>
      <x:ext xmlns:xltc2="http://schemas.microsoft.com/office/spreadsheetml/2020/threadedcomments2" uri="{F7C98A9C-CBB3-438F-8F68-D28B6AF4A901}">
        <xltc2:checksum>758185907</xltc2:checksum>
        <xltc2:hyperlink startIndex="0" length="16" url="mailto:jpezo@bcp.com.pe"/>
      </x:ext>
    </extLst>
  </threadedComment>
  <threadedComment ref="AF53" dT="2026-01-14T16:57:27.35" personId="{7A540C56-2D75-416E-8CA1-10CF62B73078}" id="{A6FD2F06-830C-4128-8D58-C9E918C9E501}">
    <text xml:space="preserve">mlolit@bcp.com.pe
</text>
    <extLst>
      <x:ext xmlns:xltc2="http://schemas.microsoft.com/office/spreadsheetml/2020/threadedcomments2" uri="{F7C98A9C-CBB3-438F-8F68-D28B6AF4A901}">
        <xltc2:checksum>3411166101</xltc2:checksum>
        <xltc2:hyperlink startIndex="0" length="17" url="mailto:mlolit@bcp.com.pe"/>
      </x:ext>
    </extLst>
  </threadedComment>
  <threadedComment ref="AF74" dT="2026-01-14T16:58:50.18" personId="{7A540C56-2D75-416E-8CA1-10CF62B73078}" id="{14D4D3E0-6C57-4292-8D0B-B0946E7FA476}">
    <text xml:space="preserve">calbino@bcp.com.pe
</text>
    <extLst>
      <x:ext xmlns:xltc2="http://schemas.microsoft.com/office/spreadsheetml/2020/threadedcomments2" uri="{F7C98A9C-CBB3-438F-8F68-D28B6AF4A901}">
        <xltc2:checksum>1845997061</xltc2:checksum>
        <xltc2:hyperlink startIndex="0" length="18" url="mailto:calbino@bcp.com.pe"/>
      </x:ext>
    </extLst>
  </threadedComment>
  <threadedComment ref="AF91" dT="2026-01-14T16:59:42.58" personId="{7A540C56-2D75-416E-8CA1-10CF62B73078}" id="{6C0256ED-180F-4996-8925-4ACE4CFF3747}">
    <text xml:space="preserve">mariacortezd@bcp.com.pe
</text>
    <extLst>
      <x:ext xmlns:xltc2="http://schemas.microsoft.com/office/spreadsheetml/2020/threadedcomments2" uri="{F7C98A9C-CBB3-438F-8F68-D28B6AF4A901}">
        <xltc2:checksum>2257858264</xltc2:checksum>
        <xltc2:hyperlink startIndex="0" length="23" url="mailto:mariacortezd@bcp.com.pe"/>
      </x:ext>
    </extLst>
  </threadedComment>
  <threadedComment ref="AF101" dT="2026-01-14T17:00:25.19" personId="{7A540C56-2D75-416E-8CA1-10CF62B73078}" id="{147A4591-04F4-4486-8D05-2987CD7CC3C7}">
    <text xml:space="preserve">rominaalarcone@bcp.com.pe
</text>
    <extLst>
      <x:ext xmlns:xltc2="http://schemas.microsoft.com/office/spreadsheetml/2020/threadedcomments2" uri="{F7C98A9C-CBB3-438F-8F68-D28B6AF4A901}">
        <xltc2:checksum>3454691939</xltc2:checksum>
        <xltc2:hyperlink startIndex="0" length="25" url="mailto:rominaalarcone@bcp.com.pe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1FB7-EBFF-454F-9DBC-57C35E6E5387}">
  <dimension ref="A8:R70"/>
  <sheetViews>
    <sheetView showGridLines="0" zoomScale="55" zoomScaleNormal="55" workbookViewId="0">
      <selection activeCell="X22" sqref="X22"/>
    </sheetView>
  </sheetViews>
  <sheetFormatPr baseColWidth="10" defaultColWidth="11.44140625" defaultRowHeight="14.4" x14ac:dyDescent="0.3"/>
  <cols>
    <col min="1" max="1" width="22.6640625" customWidth="1"/>
    <col min="2" max="3" width="22.6640625" style="2" customWidth="1"/>
    <col min="4" max="14" width="22.6640625" customWidth="1"/>
    <col min="15" max="15" width="27.33203125" bestFit="1" customWidth="1"/>
    <col min="16" max="16" width="22" bestFit="1" customWidth="1"/>
    <col min="17" max="17" width="29.88671875" bestFit="1" customWidth="1"/>
    <col min="18" max="18" width="19.88671875" bestFit="1" customWidth="1"/>
  </cols>
  <sheetData>
    <row r="8" spans="1:17" x14ac:dyDescent="0.3">
      <c r="A8" s="7" t="s">
        <v>0</v>
      </c>
      <c r="B8" t="s">
        <v>1</v>
      </c>
      <c r="D8" s="7" t="s">
        <v>0</v>
      </c>
      <c r="E8" t="s">
        <v>1</v>
      </c>
      <c r="F8" s="2"/>
      <c r="N8" s="185" t="s">
        <v>2</v>
      </c>
      <c r="O8" s="186"/>
      <c r="P8" s="186"/>
      <c r="Q8" s="186"/>
    </row>
    <row r="9" spans="1:17" x14ac:dyDescent="0.3">
      <c r="E9" s="2"/>
      <c r="F9" s="2"/>
      <c r="N9" s="7" t="s">
        <v>3</v>
      </c>
      <c r="O9" s="133" t="s">
        <v>4</v>
      </c>
      <c r="P9" s="133" t="s">
        <v>5</v>
      </c>
      <c r="Q9" s="133" t="s">
        <v>6</v>
      </c>
    </row>
    <row r="10" spans="1:17" x14ac:dyDescent="0.3">
      <c r="A10" s="7" t="s">
        <v>7</v>
      </c>
      <c r="B10" t="s">
        <v>8</v>
      </c>
      <c r="C10"/>
      <c r="D10" s="7" t="s">
        <v>7</v>
      </c>
      <c r="E10" t="s">
        <v>8</v>
      </c>
      <c r="N10" s="125" t="s">
        <v>9</v>
      </c>
      <c r="O10" s="84">
        <v>19</v>
      </c>
      <c r="P10" s="84">
        <v>26.5</v>
      </c>
      <c r="Q10" s="84">
        <v>7.5</v>
      </c>
    </row>
    <row r="11" spans="1:17" x14ac:dyDescent="0.3">
      <c r="A11" s="125" t="s">
        <v>10</v>
      </c>
      <c r="B11" s="237">
        <v>2</v>
      </c>
      <c r="C11"/>
      <c r="D11" s="125" t="s">
        <v>11</v>
      </c>
      <c r="E11" s="237">
        <v>5</v>
      </c>
      <c r="N11" s="125" t="s">
        <v>12</v>
      </c>
      <c r="O11" s="84">
        <v>59.18181818181818</v>
      </c>
      <c r="P11" s="84">
        <v>104.9795918367347</v>
      </c>
      <c r="Q11" s="84">
        <v>48.734693877551024</v>
      </c>
    </row>
    <row r="12" spans="1:17" x14ac:dyDescent="0.3">
      <c r="A12" s="126" t="s">
        <v>13</v>
      </c>
      <c r="B12" s="237">
        <v>2</v>
      </c>
      <c r="C12"/>
      <c r="D12" s="125" t="s">
        <v>14</v>
      </c>
      <c r="E12" s="237">
        <v>1</v>
      </c>
      <c r="N12" s="125" t="s">
        <v>15</v>
      </c>
      <c r="O12" s="84">
        <v>21.375</v>
      </c>
      <c r="P12" s="84">
        <v>21.333333333333332</v>
      </c>
      <c r="Q12" s="84">
        <v>14.333333333333334</v>
      </c>
    </row>
    <row r="13" spans="1:17" x14ac:dyDescent="0.3">
      <c r="A13" s="127" t="s">
        <v>11</v>
      </c>
      <c r="B13" s="237">
        <v>1</v>
      </c>
      <c r="C13"/>
      <c r="D13" s="125" t="s">
        <v>16</v>
      </c>
      <c r="E13" s="237">
        <v>4</v>
      </c>
      <c r="N13" s="125" t="s">
        <v>17</v>
      </c>
      <c r="O13" s="84">
        <v>16.333333333333332</v>
      </c>
      <c r="P13" s="84">
        <v>48.333333333333336</v>
      </c>
      <c r="Q13" s="84">
        <v>32</v>
      </c>
    </row>
    <row r="14" spans="1:17" x14ac:dyDescent="0.3">
      <c r="A14" s="127" t="s">
        <v>14</v>
      </c>
      <c r="B14" s="237">
        <v>1</v>
      </c>
      <c r="C14"/>
      <c r="D14" s="125" t="s">
        <v>18</v>
      </c>
      <c r="E14" s="237">
        <v>1</v>
      </c>
      <c r="N14" s="125" t="s">
        <v>19</v>
      </c>
      <c r="O14" s="84">
        <v>42.5</v>
      </c>
      <c r="P14" s="84">
        <v>63.625</v>
      </c>
      <c r="Q14" s="84">
        <v>20.625</v>
      </c>
    </row>
    <row r="15" spans="1:17" x14ac:dyDescent="0.3">
      <c r="A15" s="125" t="s">
        <v>20</v>
      </c>
      <c r="B15" s="237">
        <v>10</v>
      </c>
      <c r="C15"/>
      <c r="D15" s="125" t="s">
        <v>21</v>
      </c>
      <c r="E15" s="237">
        <v>1</v>
      </c>
      <c r="N15" s="125" t="s">
        <v>22</v>
      </c>
      <c r="O15" s="84">
        <v>59.333333333333336</v>
      </c>
      <c r="P15" s="84">
        <v>104.5</v>
      </c>
      <c r="Q15" s="84">
        <v>45.166666666666664</v>
      </c>
    </row>
    <row r="16" spans="1:17" x14ac:dyDescent="0.3">
      <c r="A16" s="126" t="s">
        <v>13</v>
      </c>
      <c r="B16" s="237">
        <v>10</v>
      </c>
      <c r="C16"/>
      <c r="D16" s="125" t="s">
        <v>23</v>
      </c>
      <c r="E16" s="237">
        <v>12</v>
      </c>
      <c r="N16" s="125" t="s">
        <v>24</v>
      </c>
      <c r="O16" s="84">
        <v>162.66666666666666</v>
      </c>
      <c r="P16" s="84">
        <v>217.75</v>
      </c>
      <c r="Q16" s="84">
        <v>20.25</v>
      </c>
    </row>
    <row r="17" spans="1:18" x14ac:dyDescent="0.3">
      <c r="A17" s="127" t="s">
        <v>11</v>
      </c>
      <c r="B17" s="237">
        <v>4</v>
      </c>
      <c r="C17"/>
      <c r="N17" s="125" t="s">
        <v>25</v>
      </c>
      <c r="O17" s="84">
        <v>10.846153846153847</v>
      </c>
      <c r="P17" s="84">
        <v>28.428571428571427</v>
      </c>
      <c r="Q17" s="84">
        <v>12.857142857142858</v>
      </c>
    </row>
    <row r="18" spans="1:18" x14ac:dyDescent="0.3">
      <c r="A18" s="127" t="s">
        <v>16</v>
      </c>
      <c r="B18" s="237">
        <v>4</v>
      </c>
      <c r="C18"/>
      <c r="N18" s="125" t="s">
        <v>26</v>
      </c>
      <c r="O18" s="84">
        <v>142</v>
      </c>
      <c r="P18" s="84">
        <v>0</v>
      </c>
      <c r="Q18" s="84">
        <v>0</v>
      </c>
    </row>
    <row r="19" spans="1:18" x14ac:dyDescent="0.3">
      <c r="A19" s="127" t="s">
        <v>18</v>
      </c>
      <c r="B19" s="237">
        <v>1</v>
      </c>
      <c r="C19"/>
      <c r="N19" s="125" t="s">
        <v>23</v>
      </c>
      <c r="O19" s="84">
        <v>53.394230769230766</v>
      </c>
      <c r="P19" s="84">
        <v>90.305882352941182</v>
      </c>
      <c r="Q19" s="84">
        <v>37.55294117647059</v>
      </c>
    </row>
    <row r="20" spans="1:18" x14ac:dyDescent="0.3">
      <c r="A20" s="127" t="s">
        <v>21</v>
      </c>
      <c r="B20" s="237">
        <v>1</v>
      </c>
      <c r="C20"/>
      <c r="N20" s="186" t="s">
        <v>27</v>
      </c>
      <c r="O20" s="186"/>
      <c r="P20" s="186"/>
      <c r="Q20" s="186"/>
    </row>
    <row r="21" spans="1:18" x14ac:dyDescent="0.3">
      <c r="A21" s="125" t="s">
        <v>23</v>
      </c>
      <c r="B21" s="237">
        <v>12</v>
      </c>
      <c r="N21" s="7" t="s">
        <v>28</v>
      </c>
      <c r="O21" t="s">
        <v>29</v>
      </c>
    </row>
    <row r="22" spans="1:18" x14ac:dyDescent="0.3">
      <c r="N22" s="125" t="s">
        <v>30</v>
      </c>
      <c r="O22" s="84"/>
    </row>
    <row r="23" spans="1:18" x14ac:dyDescent="0.3">
      <c r="N23" s="125" t="s">
        <v>31</v>
      </c>
      <c r="O23" s="84"/>
    </row>
    <row r="24" spans="1:18" x14ac:dyDescent="0.3">
      <c r="N24" s="125" t="s">
        <v>32</v>
      </c>
      <c r="O24" s="84"/>
    </row>
    <row r="25" spans="1:18" x14ac:dyDescent="0.3">
      <c r="N25" s="125" t="s">
        <v>23</v>
      </c>
      <c r="O25" s="84"/>
    </row>
    <row r="30" spans="1:18" x14ac:dyDescent="0.3">
      <c r="N30" s="186" t="s">
        <v>33</v>
      </c>
      <c r="O30" s="186"/>
      <c r="P30" s="186"/>
      <c r="Q30" s="186"/>
      <c r="R30" s="186"/>
    </row>
    <row r="31" spans="1:18" hidden="1" x14ac:dyDescent="0.3">
      <c r="D31" s="184" t="s">
        <v>31</v>
      </c>
      <c r="E31" s="184"/>
      <c r="F31" s="184"/>
      <c r="G31" s="184"/>
      <c r="H31" s="184"/>
      <c r="N31" s="7" t="s">
        <v>34</v>
      </c>
      <c r="O31" s="7" t="s">
        <v>35</v>
      </c>
    </row>
    <row r="32" spans="1:18" x14ac:dyDescent="0.3">
      <c r="D32" s="49"/>
      <c r="E32" s="119" t="s">
        <v>36</v>
      </c>
      <c r="F32" s="119" t="s">
        <v>37</v>
      </c>
      <c r="G32" s="119" t="s">
        <v>38</v>
      </c>
      <c r="H32" s="119" t="s">
        <v>39</v>
      </c>
      <c r="N32" s="7" t="s">
        <v>28</v>
      </c>
      <c r="O32" s="3" t="s">
        <v>30</v>
      </c>
      <c r="P32" s="3" t="s">
        <v>31</v>
      </c>
      <c r="Q32" s="3" t="s">
        <v>32</v>
      </c>
      <c r="R32" t="s">
        <v>23</v>
      </c>
    </row>
    <row r="33" spans="4:18" x14ac:dyDescent="0.3">
      <c r="D33" s="118" t="s">
        <v>40</v>
      </c>
      <c r="E33" s="116">
        <f>+H33-G33-F33</f>
        <v>10</v>
      </c>
      <c r="F33" s="116">
        <f>COUNTIFS(Registro_Ventas[Proyecto],D31,Registro_Ventas[Categoria],"Separación")</f>
        <v>5</v>
      </c>
      <c r="G33" s="116">
        <f>COUNTIFS(Registro_Ventas[Proyecto],D31,Registro_Ventas[Categoria],"Vendido")</f>
        <v>39</v>
      </c>
      <c r="H33" s="116">
        <v>54</v>
      </c>
      <c r="N33" s="125" t="s">
        <v>41</v>
      </c>
      <c r="O33" s="84">
        <v>1</v>
      </c>
      <c r="P33" s="84">
        <v>6</v>
      </c>
      <c r="Q33" s="84">
        <v>5</v>
      </c>
      <c r="R33" s="84">
        <v>12</v>
      </c>
    </row>
    <row r="34" spans="4:18" x14ac:dyDescent="0.3">
      <c r="D34" s="118" t="s">
        <v>42</v>
      </c>
      <c r="E34" s="116">
        <f>+H34-G34-F34</f>
        <v>27</v>
      </c>
      <c r="F34" s="116">
        <v>1</v>
      </c>
      <c r="G34" s="116">
        <v>24</v>
      </c>
      <c r="H34" s="116">
        <v>52</v>
      </c>
      <c r="N34" s="125" t="s">
        <v>43</v>
      </c>
      <c r="O34" s="84">
        <v>1</v>
      </c>
      <c r="P34" s="84">
        <v>5</v>
      </c>
      <c r="Q34" s="84">
        <v>1</v>
      </c>
      <c r="R34" s="84">
        <v>7</v>
      </c>
    </row>
    <row r="35" spans="4:18" x14ac:dyDescent="0.3">
      <c r="D35" s="118" t="s">
        <v>44</v>
      </c>
      <c r="E35" s="116">
        <f>+H35-G35-F35</f>
        <v>0</v>
      </c>
      <c r="F35" s="116">
        <v>0</v>
      </c>
      <c r="G35" s="116">
        <v>0</v>
      </c>
      <c r="H35" s="116">
        <v>0</v>
      </c>
      <c r="N35" s="125" t="s">
        <v>1</v>
      </c>
      <c r="O35" s="84">
        <v>31</v>
      </c>
      <c r="P35" s="84">
        <v>39</v>
      </c>
      <c r="Q35" s="84">
        <v>15</v>
      </c>
      <c r="R35" s="84">
        <v>85</v>
      </c>
    </row>
    <row r="36" spans="4:18" x14ac:dyDescent="0.3">
      <c r="D36" s="118" t="s">
        <v>39</v>
      </c>
      <c r="E36" s="116">
        <f>+SUM(E33:E35)</f>
        <v>37</v>
      </c>
      <c r="F36" s="116">
        <f>+SUM(F33:F35)</f>
        <v>6</v>
      </c>
      <c r="G36" s="116">
        <f>+SUM(G33:G35)</f>
        <v>63</v>
      </c>
      <c r="H36" s="116">
        <f>SUM(E36:G36)</f>
        <v>106</v>
      </c>
      <c r="N36" s="125" t="s">
        <v>23</v>
      </c>
      <c r="O36" s="84">
        <v>33</v>
      </c>
      <c r="P36" s="84">
        <v>50</v>
      </c>
      <c r="Q36" s="84">
        <v>21</v>
      </c>
      <c r="R36" s="84">
        <v>104</v>
      </c>
    </row>
    <row r="38" spans="4:18" x14ac:dyDescent="0.3">
      <c r="D38" s="184" t="s">
        <v>30</v>
      </c>
      <c r="E38" s="184"/>
      <c r="F38" s="184"/>
      <c r="G38" s="184"/>
      <c r="H38" s="184"/>
    </row>
    <row r="39" spans="4:18" x14ac:dyDescent="0.3">
      <c r="D39" s="49"/>
      <c r="E39" s="119" t="s">
        <v>36</v>
      </c>
      <c r="F39" s="119" t="s">
        <v>37</v>
      </c>
      <c r="G39" s="119" t="s">
        <v>38</v>
      </c>
      <c r="H39" s="49"/>
    </row>
    <row r="40" spans="4:18" x14ac:dyDescent="0.3">
      <c r="D40" s="118" t="s">
        <v>40</v>
      </c>
      <c r="E40" s="116">
        <f>+H40-G40-F40</f>
        <v>64</v>
      </c>
      <c r="F40" s="116">
        <f>COUNTIFS(Registro_Ventas[Proyecto],D38,Registro_Ventas[Categoria],"Separación")</f>
        <v>1</v>
      </c>
      <c r="G40" s="116">
        <f>COUNTIFS(Registro_Ventas[Proyecto],D38,Registro_Ventas[Categoria],"Vendido")</f>
        <v>31</v>
      </c>
      <c r="H40" s="116">
        <v>96</v>
      </c>
    </row>
    <row r="41" spans="4:18" x14ac:dyDescent="0.3">
      <c r="D41" s="118" t="s">
        <v>42</v>
      </c>
      <c r="E41" s="116">
        <f>+H41-G41-F41</f>
        <v>50</v>
      </c>
      <c r="F41" s="116">
        <v>3</v>
      </c>
      <c r="G41" s="116">
        <v>7</v>
      </c>
      <c r="H41" s="116">
        <v>60</v>
      </c>
    </row>
    <row r="42" spans="4:18" x14ac:dyDescent="0.3">
      <c r="D42" s="118" t="s">
        <v>45</v>
      </c>
      <c r="E42" s="116">
        <f>+H42-G42-F42</f>
        <v>7</v>
      </c>
      <c r="F42" s="116">
        <v>0</v>
      </c>
      <c r="G42" s="116">
        <v>3</v>
      </c>
      <c r="H42" s="116">
        <v>10</v>
      </c>
    </row>
    <row r="43" spans="4:18" x14ac:dyDescent="0.3">
      <c r="D43" s="118" t="s">
        <v>39</v>
      </c>
      <c r="E43" s="116">
        <f>+SUM(E40:E42)</f>
        <v>121</v>
      </c>
      <c r="F43" s="116">
        <f>+SUM(F40:F42)</f>
        <v>4</v>
      </c>
      <c r="G43" s="116">
        <f>+SUM(G40:G42)</f>
        <v>41</v>
      </c>
      <c r="H43" s="116">
        <f>SUM(E43:G43)</f>
        <v>166</v>
      </c>
    </row>
    <row r="45" spans="4:18" x14ac:dyDescent="0.3">
      <c r="D45" s="184" t="s">
        <v>32</v>
      </c>
      <c r="E45" s="184"/>
      <c r="F45" s="184"/>
      <c r="G45" s="184"/>
      <c r="H45" s="184"/>
    </row>
    <row r="46" spans="4:18" x14ac:dyDescent="0.3">
      <c r="D46" s="49"/>
      <c r="E46" s="119" t="s">
        <v>36</v>
      </c>
      <c r="F46" s="119" t="s">
        <v>37</v>
      </c>
      <c r="G46" s="119" t="s">
        <v>38</v>
      </c>
      <c r="H46" s="49"/>
    </row>
    <row r="47" spans="4:18" x14ac:dyDescent="0.3">
      <c r="D47" s="118" t="s">
        <v>40</v>
      </c>
      <c r="E47" s="116">
        <f>+H47-G47-F47</f>
        <v>34</v>
      </c>
      <c r="F47" s="116">
        <f>COUNTIFS(Registro_Ventas[Proyecto],D45,Registro_Ventas[Categoria],"Separación")</f>
        <v>1</v>
      </c>
      <c r="G47" s="116">
        <f>COUNTIFS(Registro_Ventas[Proyecto],D45,Registro_Ventas[Categoria],"Vendido")</f>
        <v>15</v>
      </c>
      <c r="H47" s="116">
        <v>50</v>
      </c>
    </row>
    <row r="48" spans="4:18" x14ac:dyDescent="0.3">
      <c r="D48" s="118" t="s">
        <v>42</v>
      </c>
      <c r="E48" s="116">
        <f>+H48-G48-F48</f>
        <v>22</v>
      </c>
      <c r="F48" s="116">
        <v>1</v>
      </c>
      <c r="G48" s="116">
        <v>8</v>
      </c>
      <c r="H48" s="116">
        <v>31</v>
      </c>
    </row>
    <row r="49" spans="4:8" x14ac:dyDescent="0.3">
      <c r="D49" s="118" t="s">
        <v>45</v>
      </c>
      <c r="E49" s="116">
        <f>+H49-G49-F49</f>
        <v>7</v>
      </c>
      <c r="F49" s="116">
        <v>0</v>
      </c>
      <c r="G49" s="116">
        <v>0</v>
      </c>
      <c r="H49" s="116">
        <v>7</v>
      </c>
    </row>
    <row r="50" spans="4:8" x14ac:dyDescent="0.3">
      <c r="D50" s="118"/>
      <c r="E50" s="116"/>
      <c r="F50" s="116"/>
      <c r="G50" s="116"/>
      <c r="H50" s="116"/>
    </row>
    <row r="51" spans="4:8" x14ac:dyDescent="0.3">
      <c r="D51" s="118" t="s">
        <v>39</v>
      </c>
      <c r="E51" s="116">
        <f>+SUM(E47:E49)</f>
        <v>63</v>
      </c>
      <c r="F51" s="116">
        <f>+SUM(F47:F49)</f>
        <v>2</v>
      </c>
      <c r="G51" s="116">
        <f>+SUM(G47:G49)</f>
        <v>23</v>
      </c>
      <c r="H51" s="116">
        <f>SUM(E51:G51)</f>
        <v>88</v>
      </c>
    </row>
    <row r="53" spans="4:8" x14ac:dyDescent="0.3">
      <c r="D53" s="7" t="s">
        <v>0</v>
      </c>
      <c r="E53" t="s">
        <v>1</v>
      </c>
      <c r="F53" s="2"/>
    </row>
    <row r="54" spans="4:8" x14ac:dyDescent="0.3">
      <c r="E54" s="2"/>
      <c r="F54" s="2"/>
    </row>
    <row r="55" spans="4:8" x14ac:dyDescent="0.3">
      <c r="D55" s="7" t="s">
        <v>7</v>
      </c>
      <c r="E55" t="s">
        <v>8</v>
      </c>
    </row>
    <row r="56" spans="4:8" x14ac:dyDescent="0.3">
      <c r="D56" s="125" t="s">
        <v>46</v>
      </c>
      <c r="E56" s="237">
        <v>2</v>
      </c>
    </row>
    <row r="57" spans="4:8" x14ac:dyDescent="0.3">
      <c r="D57" s="125" t="s">
        <v>47</v>
      </c>
      <c r="E57" s="237">
        <v>7</v>
      </c>
    </row>
    <row r="58" spans="4:8" x14ac:dyDescent="0.3">
      <c r="D58" s="125" t="s">
        <v>48</v>
      </c>
      <c r="E58" s="237">
        <v>3</v>
      </c>
    </row>
    <row r="59" spans="4:8" x14ac:dyDescent="0.3">
      <c r="D59" s="125" t="s">
        <v>23</v>
      </c>
      <c r="E59" s="237">
        <v>12</v>
      </c>
    </row>
    <row r="66" spans="4:5" x14ac:dyDescent="0.3">
      <c r="D66" s="7" t="s">
        <v>49</v>
      </c>
      <c r="E66" t="s">
        <v>50</v>
      </c>
    </row>
    <row r="67" spans="4:5" x14ac:dyDescent="0.3">
      <c r="D67" s="125" t="s">
        <v>46</v>
      </c>
      <c r="E67" s="237">
        <v>20</v>
      </c>
    </row>
    <row r="68" spans="4:5" x14ac:dyDescent="0.3">
      <c r="D68" s="125" t="s">
        <v>47</v>
      </c>
      <c r="E68" s="237">
        <v>59</v>
      </c>
    </row>
    <row r="69" spans="4:5" x14ac:dyDescent="0.3">
      <c r="D69" s="125" t="s">
        <v>48</v>
      </c>
      <c r="E69" s="237">
        <v>25</v>
      </c>
    </row>
    <row r="70" spans="4:5" x14ac:dyDescent="0.3">
      <c r="D70" s="125" t="s">
        <v>23</v>
      </c>
      <c r="E70" s="237">
        <v>104</v>
      </c>
    </row>
  </sheetData>
  <mergeCells count="6">
    <mergeCell ref="D31:H31"/>
    <mergeCell ref="D38:H38"/>
    <mergeCell ref="D45:H45"/>
    <mergeCell ref="N8:Q8"/>
    <mergeCell ref="N20:Q20"/>
    <mergeCell ref="N30:R30"/>
  </mergeCells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F3D7-DEB5-45C0-A47B-FED91E797EC2}">
  <sheetPr codeName="Hoja1"/>
  <dimension ref="A1:S253"/>
  <sheetViews>
    <sheetView showGridLines="0" zoomScaleNormal="85" workbookViewId="0">
      <selection activeCell="F27" sqref="F27"/>
    </sheetView>
  </sheetViews>
  <sheetFormatPr baseColWidth="10" defaultColWidth="11.44140625" defaultRowHeight="14.4" x14ac:dyDescent="0.3"/>
  <cols>
    <col min="1" max="1" width="13.88671875" bestFit="1" customWidth="1"/>
    <col min="2" max="2" width="22.33203125" bestFit="1" customWidth="1"/>
    <col min="3" max="3" width="16.88671875" style="2" bestFit="1" customWidth="1"/>
    <col min="4" max="4" width="21.44140625" style="2" bestFit="1" customWidth="1"/>
    <col min="5" max="5" width="12.33203125" style="2" bestFit="1" customWidth="1"/>
    <col min="6" max="6" width="11.88671875" bestFit="1" customWidth="1"/>
    <col min="7" max="7" width="15.88671875" bestFit="1" customWidth="1"/>
    <col min="8" max="8" width="13" bestFit="1" customWidth="1"/>
    <col min="9" max="9" width="11.88671875" bestFit="1" customWidth="1"/>
    <col min="10" max="10" width="5.6640625" customWidth="1"/>
    <col min="11" max="11" width="13.44140625" customWidth="1"/>
    <col min="12" max="12" width="17.109375" style="2" customWidth="1"/>
    <col min="13" max="13" width="16" style="2" customWidth="1"/>
    <col min="14" max="14" width="13.6640625" style="2" customWidth="1"/>
    <col min="15" max="15" width="9.5546875" customWidth="1"/>
    <col min="16" max="16" width="13.44140625" bestFit="1" customWidth="1"/>
    <col min="17" max="17" width="15.88671875" bestFit="1" customWidth="1"/>
    <col min="18" max="18" width="14.109375" bestFit="1" customWidth="1"/>
    <col min="19" max="19" width="11.88671875" bestFit="1" customWidth="1"/>
    <col min="20" max="20" width="17.33203125" customWidth="1"/>
  </cols>
  <sheetData>
    <row r="1" spans="1:19" x14ac:dyDescent="0.3">
      <c r="A1" s="12"/>
      <c r="B1" s="12"/>
      <c r="C1" s="15">
        <f>IF(COUNT(H:H)-1&lt;0,0,COUNT(H:H)-1)</f>
        <v>7</v>
      </c>
      <c r="D1" s="16">
        <f>GETPIVOTDATA("Precio Venta",$A$12)</f>
        <v>3822200</v>
      </c>
      <c r="E1" s="16"/>
      <c r="F1" s="12"/>
      <c r="G1" s="12"/>
      <c r="H1" s="12"/>
      <c r="I1" s="12"/>
      <c r="J1" s="12"/>
      <c r="K1" s="12"/>
      <c r="L1" s="15"/>
      <c r="M1" s="15"/>
      <c r="N1" s="15">
        <f>IF(COUNT(Q:Q)-1&lt;0,0,COUNT(Q:Q)-1)</f>
        <v>8</v>
      </c>
      <c r="O1" s="13">
        <f>GETPIVOTDATA("Precio Venta",$K$12)</f>
        <v>3692800</v>
      </c>
    </row>
    <row r="2" spans="1:19" x14ac:dyDescent="0.3">
      <c r="A2" s="12"/>
      <c r="B2" s="12"/>
      <c r="C2" s="15"/>
      <c r="D2" s="16"/>
      <c r="E2" s="16"/>
      <c r="F2" s="12"/>
      <c r="G2" s="12"/>
      <c r="H2" s="12"/>
      <c r="I2" s="12"/>
      <c r="J2" s="12"/>
      <c r="K2" s="12"/>
      <c r="L2" s="15"/>
      <c r="M2" s="15"/>
      <c r="N2" s="15"/>
      <c r="O2" s="13"/>
    </row>
    <row r="3" spans="1:19" ht="27" customHeight="1" x14ac:dyDescent="0.3">
      <c r="A3" s="12"/>
      <c r="B3" s="12"/>
      <c r="C3" s="15"/>
      <c r="D3" s="16"/>
      <c r="E3" s="16"/>
      <c r="F3" s="12"/>
      <c r="G3" s="12"/>
      <c r="H3" s="12"/>
      <c r="I3" s="12"/>
      <c r="J3" s="12"/>
      <c r="K3" s="12"/>
      <c r="L3" s="15"/>
      <c r="M3" s="15"/>
      <c r="N3" s="15"/>
      <c r="O3" s="13"/>
    </row>
    <row r="4" spans="1:19" ht="18" customHeight="1" x14ac:dyDescent="0.3"/>
    <row r="9" spans="1:19" hidden="1" x14ac:dyDescent="0.3">
      <c r="A9" s="7" t="s">
        <v>0</v>
      </c>
      <c r="B9" s="2" t="s">
        <v>43</v>
      </c>
      <c r="K9" s="7" t="s">
        <v>0</v>
      </c>
      <c r="L9" s="2" t="s">
        <v>1</v>
      </c>
    </row>
    <row r="10" spans="1:19" hidden="1" x14ac:dyDescent="0.3">
      <c r="A10" s="7" t="s">
        <v>51</v>
      </c>
      <c r="B10" t="s">
        <v>52</v>
      </c>
      <c r="E10"/>
      <c r="K10" s="7" t="s">
        <v>51</v>
      </c>
      <c r="L10" t="s">
        <v>52</v>
      </c>
    </row>
    <row r="11" spans="1:19" hidden="1" x14ac:dyDescent="0.3">
      <c r="B11" s="2"/>
      <c r="E11"/>
    </row>
    <row r="12" spans="1:19" x14ac:dyDescent="0.3">
      <c r="A12" s="11" t="s">
        <v>28</v>
      </c>
      <c r="B12" s="7" t="s">
        <v>53</v>
      </c>
      <c r="C12" s="11" t="s">
        <v>3</v>
      </c>
      <c r="D12" s="11" t="s">
        <v>54</v>
      </c>
      <c r="E12" s="11" t="s">
        <v>55</v>
      </c>
      <c r="F12" s="11" t="s">
        <v>56</v>
      </c>
      <c r="G12" s="3" t="s">
        <v>57</v>
      </c>
      <c r="H12" s="2" t="s">
        <v>58</v>
      </c>
      <c r="I12" s="2" t="s">
        <v>59</v>
      </c>
      <c r="K12" s="11" t="s">
        <v>28</v>
      </c>
      <c r="L12" s="7" t="s">
        <v>53</v>
      </c>
      <c r="M12" s="7" t="s">
        <v>3</v>
      </c>
      <c r="N12" s="11" t="s">
        <v>60</v>
      </c>
      <c r="O12" s="11" t="s">
        <v>55</v>
      </c>
      <c r="P12" s="11" t="s">
        <v>56</v>
      </c>
      <c r="Q12" s="2" t="s">
        <v>57</v>
      </c>
      <c r="R12" s="2" t="s">
        <v>58</v>
      </c>
      <c r="S12" s="2" t="s">
        <v>59</v>
      </c>
    </row>
    <row r="13" spans="1:19" x14ac:dyDescent="0.3">
      <c r="A13" s="3" t="s">
        <v>30</v>
      </c>
      <c r="B13" t="s">
        <v>11</v>
      </c>
      <c r="C13" t="s">
        <v>12</v>
      </c>
      <c r="D13" s="9">
        <v>45901</v>
      </c>
      <c r="E13" s="238" t="s">
        <v>47</v>
      </c>
      <c r="F13" t="s">
        <v>61</v>
      </c>
      <c r="G13" s="8">
        <v>475000</v>
      </c>
      <c r="H13" s="8">
        <v>3000</v>
      </c>
      <c r="I13" s="8">
        <v>6785.7142857142853</v>
      </c>
      <c r="K13" t="s">
        <v>30</v>
      </c>
      <c r="L13" t="s">
        <v>16</v>
      </c>
      <c r="M13" t="s">
        <v>25</v>
      </c>
      <c r="N13" s="9">
        <v>46101</v>
      </c>
      <c r="O13" t="s">
        <v>48</v>
      </c>
      <c r="P13" s="2" t="s">
        <v>62</v>
      </c>
      <c r="Q13" s="8">
        <v>455500</v>
      </c>
      <c r="R13" s="8">
        <v>13888</v>
      </c>
      <c r="S13" s="8">
        <v>6507.1428571428569</v>
      </c>
    </row>
    <row r="14" spans="1:19" x14ac:dyDescent="0.3">
      <c r="A14" s="3" t="s">
        <v>31</v>
      </c>
      <c r="B14" t="s">
        <v>11</v>
      </c>
      <c r="C14" t="s">
        <v>12</v>
      </c>
      <c r="D14" s="9">
        <v>45801</v>
      </c>
      <c r="E14" s="238" t="s">
        <v>47</v>
      </c>
      <c r="F14" t="s">
        <v>63</v>
      </c>
      <c r="G14" s="8">
        <v>743500</v>
      </c>
      <c r="H14" s="8">
        <v>3000</v>
      </c>
      <c r="I14" s="8">
        <v>7274.9510763209391</v>
      </c>
      <c r="K14" t="s">
        <v>30</v>
      </c>
      <c r="L14" t="s">
        <v>18</v>
      </c>
      <c r="M14" t="s">
        <v>12</v>
      </c>
      <c r="N14" s="9">
        <v>46112</v>
      </c>
      <c r="O14" t="s">
        <v>48</v>
      </c>
      <c r="P14" s="2" t="s">
        <v>64</v>
      </c>
      <c r="Q14" s="8">
        <v>400000</v>
      </c>
      <c r="R14" s="8">
        <v>23000</v>
      </c>
      <c r="S14" s="8">
        <v>7017.5438596491231</v>
      </c>
    </row>
    <row r="15" spans="1:19" x14ac:dyDescent="0.3">
      <c r="A15" s="3" t="s">
        <v>31</v>
      </c>
      <c r="B15" t="s">
        <v>11</v>
      </c>
      <c r="C15" t="s">
        <v>12</v>
      </c>
      <c r="D15" s="9">
        <v>46090</v>
      </c>
      <c r="E15" s="238" t="s">
        <v>47</v>
      </c>
      <c r="F15" t="s">
        <v>65</v>
      </c>
      <c r="G15" s="8">
        <v>417700</v>
      </c>
      <c r="H15" s="8">
        <v>3000</v>
      </c>
      <c r="I15" s="8">
        <v>6847.5409836065573</v>
      </c>
      <c r="K15" t="s">
        <v>30</v>
      </c>
      <c r="L15" t="s">
        <v>66</v>
      </c>
      <c r="M15" t="s">
        <v>12</v>
      </c>
      <c r="N15" s="9">
        <v>46112</v>
      </c>
      <c r="O15" t="s">
        <v>46</v>
      </c>
      <c r="P15" s="2" t="s">
        <v>67</v>
      </c>
      <c r="Q15" s="8">
        <v>528000</v>
      </c>
      <c r="R15" s="8">
        <v>103000</v>
      </c>
      <c r="S15" s="8">
        <v>6340.0576368876082</v>
      </c>
    </row>
    <row r="16" spans="1:19" x14ac:dyDescent="0.3">
      <c r="A16" s="3" t="s">
        <v>31</v>
      </c>
      <c r="B16" t="s">
        <v>11</v>
      </c>
      <c r="C16" t="s">
        <v>12</v>
      </c>
      <c r="D16" s="9">
        <v>46104</v>
      </c>
      <c r="E16" s="238" t="s">
        <v>47</v>
      </c>
      <c r="F16" t="s">
        <v>68</v>
      </c>
      <c r="G16" s="8">
        <v>418000</v>
      </c>
      <c r="H16" s="8">
        <v>3000</v>
      </c>
      <c r="I16" s="8">
        <v>6852.4590163934427</v>
      </c>
      <c r="K16" t="s">
        <v>30</v>
      </c>
      <c r="L16" t="s">
        <v>66</v>
      </c>
      <c r="M16" t="s">
        <v>12</v>
      </c>
      <c r="N16" s="9">
        <v>46111</v>
      </c>
      <c r="O16" t="s">
        <v>46</v>
      </c>
      <c r="P16" s="2" t="s">
        <v>69</v>
      </c>
      <c r="Q16" s="8">
        <v>525300</v>
      </c>
      <c r="R16" s="8">
        <v>157590</v>
      </c>
      <c r="S16" s="8">
        <v>6388.9564582826561</v>
      </c>
    </row>
    <row r="17" spans="1:19" x14ac:dyDescent="0.3">
      <c r="A17" s="3" t="s">
        <v>31</v>
      </c>
      <c r="B17" t="s">
        <v>11</v>
      </c>
      <c r="C17" t="s">
        <v>25</v>
      </c>
      <c r="D17" s="9">
        <v>46085</v>
      </c>
      <c r="E17" s="238" t="s">
        <v>47</v>
      </c>
      <c r="F17" t="s">
        <v>70</v>
      </c>
      <c r="G17" s="8">
        <v>457000</v>
      </c>
      <c r="H17" s="8">
        <v>3000</v>
      </c>
      <c r="I17" s="8">
        <v>8017.5438596491231</v>
      </c>
      <c r="K17" t="s">
        <v>30</v>
      </c>
      <c r="L17" t="s">
        <v>66</v>
      </c>
      <c r="M17" t="s">
        <v>12</v>
      </c>
      <c r="N17" s="9">
        <v>46111</v>
      </c>
      <c r="O17" t="s">
        <v>48</v>
      </c>
      <c r="P17" s="2" t="s">
        <v>71</v>
      </c>
      <c r="Q17" s="8">
        <v>400000</v>
      </c>
      <c r="R17" s="8">
        <v>23000</v>
      </c>
      <c r="S17" s="8">
        <v>7017.5438596491231</v>
      </c>
    </row>
    <row r="18" spans="1:19" x14ac:dyDescent="0.3">
      <c r="A18" s="3" t="s">
        <v>31</v>
      </c>
      <c r="B18" t="s">
        <v>66</v>
      </c>
      <c r="C18" t="s">
        <v>25</v>
      </c>
      <c r="D18" s="9">
        <v>46096</v>
      </c>
      <c r="E18" s="238" t="s">
        <v>47</v>
      </c>
      <c r="F18" t="s">
        <v>72</v>
      </c>
      <c r="G18" s="8">
        <v>423000</v>
      </c>
      <c r="H18" s="8">
        <v>3000</v>
      </c>
      <c r="I18" s="8">
        <v>6934.4262295081971</v>
      </c>
      <c r="K18" t="s">
        <v>31</v>
      </c>
      <c r="L18" t="s">
        <v>11</v>
      </c>
      <c r="M18" t="s">
        <v>25</v>
      </c>
      <c r="N18" s="9">
        <v>46112</v>
      </c>
      <c r="O18" t="s">
        <v>47</v>
      </c>
      <c r="P18" s="2" t="s">
        <v>73</v>
      </c>
      <c r="Q18" s="8">
        <v>429000</v>
      </c>
      <c r="R18" s="8">
        <v>42900</v>
      </c>
      <c r="S18" s="8">
        <v>6919.3548387096771</v>
      </c>
    </row>
    <row r="19" spans="1:19" ht="13.2" customHeight="1" x14ac:dyDescent="0.3">
      <c r="A19" s="3" t="s">
        <v>32</v>
      </c>
      <c r="B19" t="s">
        <v>66</v>
      </c>
      <c r="C19" t="s">
        <v>12</v>
      </c>
      <c r="D19" s="9">
        <v>46096</v>
      </c>
      <c r="E19" s="238" t="s">
        <v>47</v>
      </c>
      <c r="F19" t="s">
        <v>74</v>
      </c>
      <c r="G19" s="8">
        <v>888000</v>
      </c>
      <c r="H19" s="8">
        <v>3000</v>
      </c>
      <c r="I19" s="8">
        <v>6000</v>
      </c>
      <c r="K19" t="s">
        <v>31</v>
      </c>
      <c r="L19" t="s">
        <v>11</v>
      </c>
      <c r="M19" t="s">
        <v>25</v>
      </c>
      <c r="N19" s="9">
        <v>46112</v>
      </c>
      <c r="O19" t="s">
        <v>48</v>
      </c>
      <c r="P19" s="2" t="s">
        <v>75</v>
      </c>
      <c r="Q19" s="8">
        <v>480000</v>
      </c>
      <c r="R19" s="8">
        <v>13000</v>
      </c>
      <c r="S19" s="8">
        <v>6956.521739130435</v>
      </c>
    </row>
    <row r="20" spans="1:19" x14ac:dyDescent="0.3">
      <c r="A20" t="s">
        <v>23</v>
      </c>
      <c r="C20"/>
      <c r="D20"/>
      <c r="E20"/>
      <c r="G20" s="8">
        <v>3822200</v>
      </c>
      <c r="H20" s="8">
        <v>21000</v>
      </c>
      <c r="I20" s="8">
        <v>6958.947921598935</v>
      </c>
      <c r="K20" t="s">
        <v>31</v>
      </c>
      <c r="L20" t="s">
        <v>66</v>
      </c>
      <c r="M20" t="s">
        <v>25</v>
      </c>
      <c r="N20" s="9">
        <v>46112</v>
      </c>
      <c r="O20" t="s">
        <v>46</v>
      </c>
      <c r="P20" s="2" t="s">
        <v>64</v>
      </c>
      <c r="Q20" s="8">
        <v>475000</v>
      </c>
      <c r="R20" s="8">
        <v>237000</v>
      </c>
      <c r="S20" s="8">
        <v>8482.1428571428569</v>
      </c>
    </row>
    <row r="21" spans="1:19" x14ac:dyDescent="0.3">
      <c r="C21"/>
      <c r="D21"/>
      <c r="E21"/>
      <c r="K21" t="s">
        <v>23</v>
      </c>
      <c r="L21"/>
      <c r="M21"/>
      <c r="N21"/>
      <c r="Q21" s="8">
        <v>3692800</v>
      </c>
      <c r="R21" s="8">
        <v>613378</v>
      </c>
      <c r="S21" s="8">
        <v>6953.6580133242915</v>
      </c>
    </row>
    <row r="22" spans="1:19" x14ac:dyDescent="0.3">
      <c r="C22"/>
      <c r="D22"/>
      <c r="E22"/>
      <c r="L22"/>
      <c r="M22"/>
      <c r="N22"/>
    </row>
    <row r="23" spans="1:19" x14ac:dyDescent="0.3">
      <c r="C23"/>
      <c r="D23"/>
      <c r="E23"/>
      <c r="L23"/>
      <c r="M23"/>
      <c r="N23"/>
    </row>
    <row r="24" spans="1:19" x14ac:dyDescent="0.3">
      <c r="C24"/>
      <c r="D24"/>
      <c r="E24"/>
      <c r="L24"/>
      <c r="M24"/>
      <c r="N24"/>
    </row>
    <row r="25" spans="1:19" x14ac:dyDescent="0.3">
      <c r="C25"/>
      <c r="D25"/>
      <c r="E25"/>
      <c r="L25"/>
      <c r="M25"/>
      <c r="N25"/>
    </row>
    <row r="26" spans="1:19" x14ac:dyDescent="0.3">
      <c r="C26"/>
      <c r="D26"/>
      <c r="E26"/>
      <c r="L26"/>
      <c r="M26"/>
      <c r="N26"/>
    </row>
    <row r="27" spans="1:19" x14ac:dyDescent="0.3">
      <c r="C27"/>
      <c r="D27"/>
      <c r="E27"/>
      <c r="L27"/>
      <c r="M27"/>
      <c r="N27"/>
    </row>
    <row r="28" spans="1:19" x14ac:dyDescent="0.3">
      <c r="C28"/>
      <c r="D28"/>
      <c r="E28"/>
      <c r="L28"/>
      <c r="M28"/>
      <c r="N28"/>
    </row>
    <row r="29" spans="1:19" x14ac:dyDescent="0.3">
      <c r="C29"/>
      <c r="D29"/>
      <c r="E29"/>
      <c r="L29"/>
      <c r="M29"/>
      <c r="N29"/>
    </row>
    <row r="30" spans="1:19" x14ac:dyDescent="0.3">
      <c r="C30"/>
      <c r="D30"/>
      <c r="E30"/>
      <c r="L30"/>
      <c r="M30"/>
      <c r="N30"/>
    </row>
    <row r="31" spans="1:19" x14ac:dyDescent="0.3">
      <c r="L31"/>
      <c r="M31"/>
      <c r="N31"/>
    </row>
    <row r="32" spans="1:19" x14ac:dyDescent="0.3">
      <c r="L32"/>
      <c r="M32"/>
      <c r="N32"/>
    </row>
    <row r="33" spans="12:14" x14ac:dyDescent="0.3">
      <c r="L33"/>
      <c r="M33"/>
      <c r="N33"/>
    </row>
    <row r="34" spans="12:14" x14ac:dyDescent="0.3">
      <c r="L34"/>
      <c r="M34"/>
      <c r="N34"/>
    </row>
    <row r="35" spans="12:14" x14ac:dyDescent="0.3">
      <c r="L35"/>
      <c r="M35"/>
      <c r="N35"/>
    </row>
    <row r="36" spans="12:14" x14ac:dyDescent="0.3">
      <c r="L36"/>
      <c r="M36"/>
      <c r="N36"/>
    </row>
    <row r="37" spans="12:14" x14ac:dyDescent="0.3">
      <c r="L37"/>
      <c r="M37"/>
      <c r="N37"/>
    </row>
    <row r="38" spans="12:14" x14ac:dyDescent="0.3">
      <c r="L38"/>
      <c r="M38"/>
      <c r="N38"/>
    </row>
    <row r="39" spans="12:14" x14ac:dyDescent="0.3">
      <c r="L39"/>
      <c r="M39"/>
      <c r="N39"/>
    </row>
    <row r="40" spans="12:14" x14ac:dyDescent="0.3">
      <c r="L40"/>
      <c r="M40"/>
      <c r="N40"/>
    </row>
    <row r="41" spans="12:14" x14ac:dyDescent="0.3">
      <c r="L41"/>
      <c r="M41"/>
      <c r="N41"/>
    </row>
    <row r="42" spans="12:14" x14ac:dyDescent="0.3">
      <c r="L42"/>
      <c r="M42"/>
      <c r="N42"/>
    </row>
    <row r="43" spans="12:14" x14ac:dyDescent="0.3">
      <c r="L43"/>
      <c r="M43"/>
      <c r="N43"/>
    </row>
    <row r="44" spans="12:14" x14ac:dyDescent="0.3">
      <c r="L44"/>
      <c r="M44"/>
      <c r="N44"/>
    </row>
    <row r="45" spans="12:14" x14ac:dyDescent="0.3">
      <c r="L45"/>
      <c r="M45"/>
      <c r="N45"/>
    </row>
    <row r="46" spans="12:14" x14ac:dyDescent="0.3">
      <c r="L46"/>
      <c r="M46"/>
      <c r="N46"/>
    </row>
    <row r="47" spans="12:14" x14ac:dyDescent="0.3">
      <c r="L47"/>
      <c r="M47"/>
      <c r="N47"/>
    </row>
    <row r="48" spans="12:14" x14ac:dyDescent="0.3">
      <c r="L48"/>
      <c r="M48"/>
      <c r="N48"/>
    </row>
    <row r="49" spans="12:14" x14ac:dyDescent="0.3">
      <c r="L49"/>
      <c r="M49"/>
      <c r="N49"/>
    </row>
    <row r="50" spans="12:14" x14ac:dyDescent="0.3">
      <c r="L50"/>
      <c r="M50"/>
      <c r="N50"/>
    </row>
    <row r="51" spans="12:14" x14ac:dyDescent="0.3">
      <c r="L51"/>
      <c r="M51"/>
      <c r="N51"/>
    </row>
    <row r="52" spans="12:14" x14ac:dyDescent="0.3">
      <c r="L52"/>
      <c r="M52"/>
      <c r="N52"/>
    </row>
    <row r="53" spans="12:14" x14ac:dyDescent="0.3">
      <c r="L53"/>
      <c r="M53"/>
      <c r="N53"/>
    </row>
    <row r="54" spans="12:14" x14ac:dyDescent="0.3">
      <c r="L54"/>
      <c r="M54"/>
      <c r="N54"/>
    </row>
    <row r="55" spans="12:14" x14ac:dyDescent="0.3">
      <c r="L55"/>
      <c r="M55"/>
      <c r="N55"/>
    </row>
    <row r="56" spans="12:14" x14ac:dyDescent="0.3">
      <c r="L56"/>
      <c r="M56"/>
      <c r="N56"/>
    </row>
    <row r="57" spans="12:14" x14ac:dyDescent="0.3">
      <c r="L57"/>
      <c r="M57"/>
      <c r="N57"/>
    </row>
    <row r="58" spans="12:14" x14ac:dyDescent="0.3">
      <c r="L58"/>
      <c r="M58"/>
      <c r="N58"/>
    </row>
    <row r="59" spans="12:14" x14ac:dyDescent="0.3">
      <c r="L59"/>
      <c r="M59"/>
      <c r="N59"/>
    </row>
    <row r="60" spans="12:14" x14ac:dyDescent="0.3">
      <c r="L60"/>
      <c r="M60"/>
      <c r="N60"/>
    </row>
    <row r="61" spans="12:14" x14ac:dyDescent="0.3">
      <c r="L61"/>
      <c r="M61"/>
      <c r="N61"/>
    </row>
    <row r="62" spans="12:14" x14ac:dyDescent="0.3">
      <c r="L62"/>
      <c r="M62"/>
      <c r="N62"/>
    </row>
    <row r="63" spans="12:14" x14ac:dyDescent="0.3">
      <c r="L63"/>
      <c r="M63"/>
      <c r="N63"/>
    </row>
    <row r="64" spans="12:14" x14ac:dyDescent="0.3">
      <c r="L64"/>
      <c r="M64"/>
      <c r="N64"/>
    </row>
    <row r="65" spans="12:14" x14ac:dyDescent="0.3">
      <c r="L65"/>
      <c r="M65"/>
      <c r="N65"/>
    </row>
    <row r="66" spans="12:14" x14ac:dyDescent="0.3">
      <c r="L66"/>
      <c r="M66"/>
      <c r="N66"/>
    </row>
    <row r="67" spans="12:14" x14ac:dyDescent="0.3">
      <c r="L67"/>
      <c r="M67"/>
      <c r="N67"/>
    </row>
    <row r="68" spans="12:14" x14ac:dyDescent="0.3">
      <c r="L68"/>
      <c r="M68"/>
      <c r="N68"/>
    </row>
    <row r="69" spans="12:14" x14ac:dyDescent="0.3">
      <c r="L69"/>
      <c r="M69"/>
      <c r="N69"/>
    </row>
    <row r="70" spans="12:14" x14ac:dyDescent="0.3">
      <c r="L70"/>
      <c r="M70"/>
      <c r="N70"/>
    </row>
    <row r="71" spans="12:14" x14ac:dyDescent="0.3">
      <c r="L71"/>
      <c r="M71"/>
      <c r="N71"/>
    </row>
    <row r="72" spans="12:14" x14ac:dyDescent="0.3">
      <c r="L72"/>
      <c r="M72"/>
      <c r="N72"/>
    </row>
    <row r="73" spans="12:14" x14ac:dyDescent="0.3">
      <c r="L73"/>
      <c r="M73"/>
      <c r="N73"/>
    </row>
    <row r="74" spans="12:14" x14ac:dyDescent="0.3">
      <c r="L74"/>
      <c r="M74"/>
      <c r="N74"/>
    </row>
    <row r="75" spans="12:14" x14ac:dyDescent="0.3">
      <c r="L75"/>
      <c r="M75"/>
      <c r="N75"/>
    </row>
    <row r="76" spans="12:14" x14ac:dyDescent="0.3">
      <c r="L76"/>
      <c r="M76"/>
      <c r="N76"/>
    </row>
    <row r="77" spans="12:14" x14ac:dyDescent="0.3">
      <c r="L77"/>
      <c r="M77"/>
      <c r="N77"/>
    </row>
    <row r="78" spans="12:14" x14ac:dyDescent="0.3">
      <c r="L78"/>
      <c r="M78"/>
      <c r="N78"/>
    </row>
    <row r="79" spans="12:14" x14ac:dyDescent="0.3">
      <c r="L79"/>
      <c r="M79"/>
      <c r="N79"/>
    </row>
    <row r="80" spans="12:14" x14ac:dyDescent="0.3">
      <c r="L80"/>
      <c r="M80"/>
      <c r="N80"/>
    </row>
    <row r="81" spans="12:14" x14ac:dyDescent="0.3">
      <c r="L81"/>
      <c r="M81"/>
      <c r="N81"/>
    </row>
    <row r="82" spans="12:14" x14ac:dyDescent="0.3">
      <c r="L82"/>
      <c r="M82"/>
      <c r="N82"/>
    </row>
    <row r="83" spans="12:14" x14ac:dyDescent="0.3">
      <c r="L83"/>
      <c r="M83"/>
      <c r="N83"/>
    </row>
    <row r="84" spans="12:14" x14ac:dyDescent="0.3">
      <c r="L84"/>
      <c r="M84"/>
      <c r="N84"/>
    </row>
    <row r="85" spans="12:14" x14ac:dyDescent="0.3">
      <c r="L85"/>
      <c r="M85"/>
      <c r="N85"/>
    </row>
    <row r="86" spans="12:14" x14ac:dyDescent="0.3">
      <c r="L86"/>
      <c r="M86"/>
      <c r="N86"/>
    </row>
    <row r="87" spans="12:14" x14ac:dyDescent="0.3">
      <c r="L87"/>
      <c r="M87"/>
      <c r="N87"/>
    </row>
    <row r="88" spans="12:14" x14ac:dyDescent="0.3">
      <c r="L88"/>
      <c r="M88"/>
      <c r="N88"/>
    </row>
    <row r="89" spans="12:14" x14ac:dyDescent="0.3">
      <c r="L89"/>
      <c r="M89"/>
      <c r="N89"/>
    </row>
    <row r="90" spans="12:14" x14ac:dyDescent="0.3">
      <c r="L90"/>
      <c r="M90"/>
      <c r="N90"/>
    </row>
    <row r="91" spans="12:14" x14ac:dyDescent="0.3">
      <c r="L91"/>
      <c r="M91"/>
      <c r="N91"/>
    </row>
    <row r="92" spans="12:14" x14ac:dyDescent="0.3">
      <c r="L92"/>
      <c r="M92"/>
      <c r="N92"/>
    </row>
    <row r="93" spans="12:14" x14ac:dyDescent="0.3">
      <c r="L93"/>
      <c r="M93"/>
      <c r="N93"/>
    </row>
    <row r="94" spans="12:14" x14ac:dyDescent="0.3">
      <c r="L94"/>
      <c r="M94"/>
      <c r="N94"/>
    </row>
    <row r="95" spans="12:14" x14ac:dyDescent="0.3">
      <c r="L95"/>
      <c r="M95"/>
      <c r="N95"/>
    </row>
    <row r="96" spans="12:14" x14ac:dyDescent="0.3">
      <c r="L96"/>
      <c r="M96"/>
      <c r="N96"/>
    </row>
    <row r="97" spans="12:14" x14ac:dyDescent="0.3">
      <c r="L97"/>
      <c r="M97"/>
      <c r="N97"/>
    </row>
    <row r="98" spans="12:14" x14ac:dyDescent="0.3">
      <c r="L98"/>
      <c r="M98"/>
      <c r="N98"/>
    </row>
    <row r="99" spans="12:14" x14ac:dyDescent="0.3">
      <c r="L99"/>
      <c r="M99"/>
      <c r="N99"/>
    </row>
    <row r="100" spans="12:14" x14ac:dyDescent="0.3">
      <c r="L100"/>
      <c r="M100"/>
      <c r="N100"/>
    </row>
    <row r="101" spans="12:14" x14ac:dyDescent="0.3">
      <c r="L101"/>
      <c r="M101"/>
      <c r="N101"/>
    </row>
    <row r="102" spans="12:14" x14ac:dyDescent="0.3">
      <c r="L102"/>
      <c r="M102"/>
      <c r="N102"/>
    </row>
    <row r="103" spans="12:14" x14ac:dyDescent="0.3">
      <c r="L103"/>
      <c r="M103"/>
      <c r="N103"/>
    </row>
    <row r="104" spans="12:14" x14ac:dyDescent="0.3">
      <c r="L104"/>
      <c r="M104"/>
      <c r="N104"/>
    </row>
    <row r="105" spans="12:14" x14ac:dyDescent="0.3">
      <c r="L105"/>
      <c r="M105"/>
      <c r="N105"/>
    </row>
    <row r="106" spans="12:14" x14ac:dyDescent="0.3">
      <c r="L106"/>
      <c r="M106"/>
      <c r="N106"/>
    </row>
    <row r="107" spans="12:14" x14ac:dyDescent="0.3">
      <c r="L107"/>
      <c r="M107"/>
      <c r="N107"/>
    </row>
    <row r="108" spans="12:14" x14ac:dyDescent="0.3">
      <c r="L108"/>
      <c r="M108"/>
      <c r="N108"/>
    </row>
    <row r="109" spans="12:14" x14ac:dyDescent="0.3">
      <c r="L109"/>
      <c r="M109"/>
      <c r="N109"/>
    </row>
    <row r="110" spans="12:14" x14ac:dyDescent="0.3">
      <c r="L110"/>
      <c r="M110"/>
      <c r="N110"/>
    </row>
    <row r="111" spans="12:14" x14ac:dyDescent="0.3">
      <c r="L111"/>
      <c r="M111"/>
      <c r="N111"/>
    </row>
    <row r="112" spans="12:14" x14ac:dyDescent="0.3">
      <c r="L112"/>
      <c r="M112"/>
      <c r="N112"/>
    </row>
    <row r="113" spans="12:14" x14ac:dyDescent="0.3">
      <c r="L113"/>
      <c r="M113"/>
      <c r="N113"/>
    </row>
    <row r="114" spans="12:14" x14ac:dyDescent="0.3">
      <c r="L114"/>
      <c r="M114"/>
      <c r="N114"/>
    </row>
    <row r="115" spans="12:14" x14ac:dyDescent="0.3">
      <c r="L115"/>
      <c r="M115"/>
      <c r="N115"/>
    </row>
    <row r="116" spans="12:14" x14ac:dyDescent="0.3">
      <c r="L116"/>
      <c r="M116"/>
      <c r="N116"/>
    </row>
    <row r="117" spans="12:14" x14ac:dyDescent="0.3">
      <c r="L117"/>
      <c r="M117"/>
      <c r="N117"/>
    </row>
    <row r="118" spans="12:14" x14ac:dyDescent="0.3">
      <c r="L118"/>
      <c r="M118"/>
      <c r="N118"/>
    </row>
    <row r="119" spans="12:14" x14ac:dyDescent="0.3">
      <c r="L119"/>
      <c r="M119"/>
      <c r="N119"/>
    </row>
    <row r="120" spans="12:14" x14ac:dyDescent="0.3">
      <c r="L120"/>
      <c r="M120"/>
      <c r="N120"/>
    </row>
    <row r="121" spans="12:14" x14ac:dyDescent="0.3">
      <c r="L121"/>
      <c r="M121"/>
      <c r="N121"/>
    </row>
    <row r="122" spans="12:14" x14ac:dyDescent="0.3">
      <c r="L122"/>
      <c r="M122"/>
      <c r="N122"/>
    </row>
    <row r="123" spans="12:14" x14ac:dyDescent="0.3">
      <c r="L123"/>
      <c r="M123"/>
      <c r="N123"/>
    </row>
    <row r="124" spans="12:14" x14ac:dyDescent="0.3">
      <c r="L124"/>
      <c r="M124"/>
      <c r="N124"/>
    </row>
    <row r="125" spans="12:14" x14ac:dyDescent="0.3">
      <c r="L125"/>
      <c r="M125"/>
      <c r="N125"/>
    </row>
    <row r="126" spans="12:14" x14ac:dyDescent="0.3">
      <c r="L126"/>
      <c r="M126"/>
      <c r="N126"/>
    </row>
    <row r="127" spans="12:14" x14ac:dyDescent="0.3">
      <c r="L127"/>
      <c r="M127"/>
      <c r="N127"/>
    </row>
    <row r="128" spans="12:14" x14ac:dyDescent="0.3">
      <c r="L128"/>
      <c r="M128"/>
      <c r="N128"/>
    </row>
    <row r="129" spans="12:14" x14ac:dyDescent="0.3">
      <c r="L129"/>
      <c r="M129"/>
      <c r="N129"/>
    </row>
    <row r="130" spans="12:14" x14ac:dyDescent="0.3">
      <c r="L130"/>
      <c r="M130"/>
      <c r="N130"/>
    </row>
    <row r="131" spans="12:14" x14ac:dyDescent="0.3">
      <c r="L131"/>
      <c r="M131"/>
      <c r="N131"/>
    </row>
    <row r="132" spans="12:14" x14ac:dyDescent="0.3">
      <c r="L132"/>
      <c r="M132"/>
      <c r="N132"/>
    </row>
    <row r="133" spans="12:14" x14ac:dyDescent="0.3">
      <c r="L133"/>
      <c r="M133"/>
      <c r="N133"/>
    </row>
    <row r="134" spans="12:14" x14ac:dyDescent="0.3">
      <c r="L134"/>
      <c r="M134"/>
      <c r="N134"/>
    </row>
    <row r="135" spans="12:14" x14ac:dyDescent="0.3">
      <c r="L135"/>
      <c r="M135"/>
      <c r="N135"/>
    </row>
    <row r="136" spans="12:14" x14ac:dyDescent="0.3">
      <c r="L136"/>
      <c r="M136"/>
      <c r="N136"/>
    </row>
    <row r="137" spans="12:14" x14ac:dyDescent="0.3">
      <c r="L137"/>
      <c r="M137"/>
      <c r="N137"/>
    </row>
    <row r="138" spans="12:14" x14ac:dyDescent="0.3">
      <c r="L138"/>
      <c r="M138"/>
      <c r="N138"/>
    </row>
    <row r="139" spans="12:14" x14ac:dyDescent="0.3">
      <c r="L139"/>
      <c r="M139"/>
      <c r="N139"/>
    </row>
    <row r="140" spans="12:14" x14ac:dyDescent="0.3">
      <c r="L140"/>
      <c r="M140"/>
      <c r="N140"/>
    </row>
    <row r="141" spans="12:14" x14ac:dyDescent="0.3">
      <c r="L141"/>
      <c r="M141"/>
      <c r="N141"/>
    </row>
    <row r="142" spans="12:14" x14ac:dyDescent="0.3">
      <c r="L142"/>
      <c r="M142"/>
      <c r="N142"/>
    </row>
    <row r="143" spans="12:14" x14ac:dyDescent="0.3">
      <c r="L143"/>
      <c r="M143"/>
      <c r="N143"/>
    </row>
    <row r="144" spans="12:14" x14ac:dyDescent="0.3">
      <c r="L144"/>
      <c r="M144"/>
      <c r="N144"/>
    </row>
    <row r="145" spans="12:14" x14ac:dyDescent="0.3">
      <c r="L145"/>
      <c r="M145"/>
      <c r="N145"/>
    </row>
    <row r="146" spans="12:14" x14ac:dyDescent="0.3">
      <c r="L146"/>
      <c r="M146"/>
      <c r="N146"/>
    </row>
    <row r="147" spans="12:14" x14ac:dyDescent="0.3">
      <c r="L147"/>
      <c r="M147"/>
      <c r="N147"/>
    </row>
    <row r="148" spans="12:14" x14ac:dyDescent="0.3">
      <c r="L148"/>
      <c r="M148"/>
      <c r="N148"/>
    </row>
    <row r="149" spans="12:14" x14ac:dyDescent="0.3">
      <c r="L149"/>
      <c r="M149"/>
      <c r="N149"/>
    </row>
    <row r="150" spans="12:14" x14ac:dyDescent="0.3">
      <c r="L150"/>
      <c r="M150"/>
      <c r="N150"/>
    </row>
    <row r="151" spans="12:14" x14ac:dyDescent="0.3">
      <c r="L151"/>
      <c r="M151"/>
      <c r="N151"/>
    </row>
    <row r="152" spans="12:14" x14ac:dyDescent="0.3">
      <c r="L152"/>
      <c r="M152"/>
      <c r="N152"/>
    </row>
    <row r="153" spans="12:14" x14ac:dyDescent="0.3">
      <c r="L153"/>
      <c r="M153"/>
      <c r="N153"/>
    </row>
    <row r="154" spans="12:14" x14ac:dyDescent="0.3">
      <c r="L154"/>
      <c r="M154"/>
      <c r="N154"/>
    </row>
    <row r="155" spans="12:14" x14ac:dyDescent="0.3">
      <c r="L155"/>
      <c r="M155"/>
      <c r="N155"/>
    </row>
    <row r="156" spans="12:14" x14ac:dyDescent="0.3">
      <c r="L156"/>
      <c r="M156"/>
      <c r="N156"/>
    </row>
    <row r="157" spans="12:14" x14ac:dyDescent="0.3">
      <c r="L157"/>
      <c r="M157"/>
      <c r="N157"/>
    </row>
    <row r="158" spans="12:14" x14ac:dyDescent="0.3">
      <c r="L158"/>
      <c r="M158"/>
      <c r="N158"/>
    </row>
    <row r="159" spans="12:14" x14ac:dyDescent="0.3">
      <c r="L159"/>
      <c r="M159"/>
      <c r="N159"/>
    </row>
    <row r="160" spans="12:14" x14ac:dyDescent="0.3">
      <c r="L160"/>
      <c r="M160"/>
      <c r="N160"/>
    </row>
    <row r="161" spans="12:14" x14ac:dyDescent="0.3">
      <c r="L161"/>
      <c r="M161"/>
      <c r="N161"/>
    </row>
    <row r="162" spans="12:14" x14ac:dyDescent="0.3">
      <c r="L162"/>
      <c r="M162"/>
      <c r="N162"/>
    </row>
    <row r="163" spans="12:14" x14ac:dyDescent="0.3">
      <c r="L163"/>
      <c r="M163"/>
      <c r="N163"/>
    </row>
    <row r="164" spans="12:14" x14ac:dyDescent="0.3">
      <c r="L164"/>
      <c r="M164"/>
      <c r="N164"/>
    </row>
    <row r="165" spans="12:14" x14ac:dyDescent="0.3">
      <c r="L165"/>
      <c r="M165"/>
      <c r="N165"/>
    </row>
    <row r="166" spans="12:14" x14ac:dyDescent="0.3">
      <c r="L166"/>
      <c r="M166"/>
      <c r="N166"/>
    </row>
    <row r="167" spans="12:14" x14ac:dyDescent="0.3">
      <c r="L167"/>
      <c r="M167"/>
      <c r="N167"/>
    </row>
    <row r="168" spans="12:14" x14ac:dyDescent="0.3">
      <c r="L168"/>
      <c r="M168"/>
      <c r="N168"/>
    </row>
    <row r="169" spans="12:14" x14ac:dyDescent="0.3">
      <c r="L169"/>
      <c r="M169"/>
      <c r="N169"/>
    </row>
    <row r="170" spans="12:14" x14ac:dyDescent="0.3">
      <c r="L170"/>
      <c r="M170"/>
      <c r="N170"/>
    </row>
    <row r="171" spans="12:14" x14ac:dyDescent="0.3">
      <c r="L171"/>
      <c r="M171"/>
      <c r="N171"/>
    </row>
    <row r="172" spans="12:14" x14ac:dyDescent="0.3">
      <c r="L172"/>
      <c r="M172"/>
      <c r="N172"/>
    </row>
    <row r="173" spans="12:14" x14ac:dyDescent="0.3">
      <c r="L173"/>
      <c r="M173"/>
      <c r="N173"/>
    </row>
    <row r="174" spans="12:14" x14ac:dyDescent="0.3">
      <c r="L174"/>
      <c r="M174"/>
      <c r="N174"/>
    </row>
    <row r="175" spans="12:14" x14ac:dyDescent="0.3">
      <c r="L175"/>
      <c r="M175"/>
      <c r="N175"/>
    </row>
    <row r="176" spans="12:14" x14ac:dyDescent="0.3">
      <c r="L176"/>
      <c r="M176"/>
      <c r="N176"/>
    </row>
    <row r="177" spans="12:14" x14ac:dyDescent="0.3">
      <c r="L177"/>
      <c r="M177"/>
      <c r="N177"/>
    </row>
    <row r="178" spans="12:14" x14ac:dyDescent="0.3">
      <c r="L178"/>
      <c r="M178"/>
      <c r="N178"/>
    </row>
    <row r="179" spans="12:14" x14ac:dyDescent="0.3">
      <c r="L179"/>
      <c r="M179"/>
      <c r="N179"/>
    </row>
    <row r="180" spans="12:14" x14ac:dyDescent="0.3">
      <c r="L180"/>
      <c r="M180"/>
      <c r="N180"/>
    </row>
    <row r="181" spans="12:14" x14ac:dyDescent="0.3">
      <c r="L181"/>
      <c r="M181"/>
      <c r="N181"/>
    </row>
    <row r="182" spans="12:14" x14ac:dyDescent="0.3">
      <c r="L182"/>
      <c r="M182"/>
      <c r="N182"/>
    </row>
    <row r="183" spans="12:14" x14ac:dyDescent="0.3">
      <c r="L183"/>
      <c r="M183"/>
      <c r="N183"/>
    </row>
    <row r="184" spans="12:14" x14ac:dyDescent="0.3">
      <c r="L184"/>
      <c r="M184"/>
      <c r="N184"/>
    </row>
    <row r="185" spans="12:14" x14ac:dyDescent="0.3">
      <c r="L185"/>
      <c r="M185"/>
      <c r="N185"/>
    </row>
    <row r="186" spans="12:14" x14ac:dyDescent="0.3">
      <c r="L186"/>
      <c r="M186"/>
      <c r="N186"/>
    </row>
    <row r="187" spans="12:14" x14ac:dyDescent="0.3">
      <c r="L187"/>
      <c r="M187"/>
      <c r="N187"/>
    </row>
    <row r="188" spans="12:14" x14ac:dyDescent="0.3">
      <c r="L188"/>
      <c r="M188"/>
      <c r="N188"/>
    </row>
    <row r="189" spans="12:14" x14ac:dyDescent="0.3">
      <c r="L189"/>
      <c r="M189"/>
      <c r="N189"/>
    </row>
    <row r="190" spans="12:14" x14ac:dyDescent="0.3">
      <c r="L190"/>
      <c r="M190"/>
      <c r="N190"/>
    </row>
    <row r="191" spans="12:14" x14ac:dyDescent="0.3">
      <c r="L191"/>
      <c r="M191"/>
      <c r="N191"/>
    </row>
    <row r="192" spans="12:14" x14ac:dyDescent="0.3">
      <c r="L192"/>
      <c r="M192"/>
      <c r="N192"/>
    </row>
    <row r="193" spans="12:14" x14ac:dyDescent="0.3">
      <c r="L193"/>
      <c r="M193"/>
      <c r="N193"/>
    </row>
    <row r="194" spans="12:14" x14ac:dyDescent="0.3">
      <c r="L194"/>
      <c r="M194"/>
      <c r="N194"/>
    </row>
    <row r="195" spans="12:14" x14ac:dyDescent="0.3">
      <c r="L195"/>
      <c r="M195"/>
      <c r="N195"/>
    </row>
    <row r="196" spans="12:14" x14ac:dyDescent="0.3">
      <c r="L196"/>
      <c r="M196"/>
      <c r="N196"/>
    </row>
    <row r="197" spans="12:14" x14ac:dyDescent="0.3">
      <c r="L197"/>
      <c r="M197"/>
      <c r="N197"/>
    </row>
    <row r="198" spans="12:14" x14ac:dyDescent="0.3">
      <c r="L198"/>
      <c r="M198"/>
      <c r="N198"/>
    </row>
    <row r="199" spans="12:14" x14ac:dyDescent="0.3">
      <c r="L199"/>
      <c r="M199"/>
      <c r="N199"/>
    </row>
    <row r="200" spans="12:14" x14ac:dyDescent="0.3">
      <c r="L200"/>
      <c r="M200"/>
      <c r="N200"/>
    </row>
    <row r="201" spans="12:14" x14ac:dyDescent="0.3">
      <c r="L201"/>
      <c r="M201"/>
      <c r="N201"/>
    </row>
    <row r="202" spans="12:14" x14ac:dyDescent="0.3">
      <c r="L202"/>
      <c r="M202"/>
      <c r="N202"/>
    </row>
    <row r="203" spans="12:14" x14ac:dyDescent="0.3">
      <c r="L203"/>
      <c r="M203"/>
      <c r="N203"/>
    </row>
    <row r="204" spans="12:14" x14ac:dyDescent="0.3">
      <c r="L204"/>
      <c r="M204"/>
      <c r="N204"/>
    </row>
    <row r="205" spans="12:14" x14ac:dyDescent="0.3">
      <c r="L205"/>
      <c r="M205"/>
      <c r="N205"/>
    </row>
    <row r="206" spans="12:14" x14ac:dyDescent="0.3">
      <c r="L206"/>
      <c r="M206"/>
      <c r="N206"/>
    </row>
    <row r="207" spans="12:14" x14ac:dyDescent="0.3">
      <c r="L207"/>
      <c r="M207"/>
      <c r="N207"/>
    </row>
    <row r="208" spans="12:14" x14ac:dyDescent="0.3">
      <c r="L208"/>
      <c r="M208"/>
      <c r="N208"/>
    </row>
    <row r="209" spans="12:14" x14ac:dyDescent="0.3">
      <c r="L209"/>
      <c r="M209"/>
      <c r="N209"/>
    </row>
    <row r="210" spans="12:14" x14ac:dyDescent="0.3">
      <c r="L210"/>
      <c r="M210"/>
      <c r="N210"/>
    </row>
    <row r="211" spans="12:14" x14ac:dyDescent="0.3">
      <c r="L211"/>
      <c r="M211"/>
      <c r="N211"/>
    </row>
    <row r="212" spans="12:14" x14ac:dyDescent="0.3">
      <c r="L212"/>
      <c r="M212"/>
      <c r="N212"/>
    </row>
    <row r="213" spans="12:14" x14ac:dyDescent="0.3">
      <c r="L213"/>
      <c r="M213"/>
      <c r="N213"/>
    </row>
    <row r="214" spans="12:14" x14ac:dyDescent="0.3">
      <c r="L214"/>
      <c r="M214"/>
      <c r="N214"/>
    </row>
    <row r="215" spans="12:14" x14ac:dyDescent="0.3">
      <c r="L215"/>
      <c r="M215"/>
      <c r="N215"/>
    </row>
    <row r="216" spans="12:14" x14ac:dyDescent="0.3">
      <c r="L216"/>
      <c r="M216"/>
      <c r="N216"/>
    </row>
    <row r="217" spans="12:14" x14ac:dyDescent="0.3">
      <c r="L217"/>
      <c r="M217"/>
      <c r="N217"/>
    </row>
    <row r="218" spans="12:14" x14ac:dyDescent="0.3">
      <c r="L218"/>
      <c r="M218"/>
      <c r="N218"/>
    </row>
    <row r="219" spans="12:14" x14ac:dyDescent="0.3">
      <c r="L219"/>
      <c r="M219"/>
      <c r="N219"/>
    </row>
    <row r="220" spans="12:14" x14ac:dyDescent="0.3">
      <c r="L220"/>
      <c r="M220"/>
      <c r="N220"/>
    </row>
    <row r="221" spans="12:14" x14ac:dyDescent="0.3">
      <c r="L221"/>
      <c r="M221"/>
      <c r="N221"/>
    </row>
    <row r="222" spans="12:14" x14ac:dyDescent="0.3">
      <c r="L222"/>
      <c r="M222"/>
      <c r="N222"/>
    </row>
    <row r="223" spans="12:14" x14ac:dyDescent="0.3">
      <c r="L223"/>
      <c r="M223"/>
      <c r="N223"/>
    </row>
    <row r="224" spans="12:14" x14ac:dyDescent="0.3">
      <c r="L224"/>
      <c r="M224"/>
      <c r="N224"/>
    </row>
    <row r="225" spans="12:14" x14ac:dyDescent="0.3">
      <c r="L225"/>
      <c r="M225"/>
      <c r="N225"/>
    </row>
    <row r="226" spans="12:14" x14ac:dyDescent="0.3">
      <c r="L226"/>
      <c r="M226"/>
      <c r="N226"/>
    </row>
    <row r="227" spans="12:14" x14ac:dyDescent="0.3">
      <c r="L227"/>
      <c r="M227"/>
      <c r="N227"/>
    </row>
    <row r="228" spans="12:14" x14ac:dyDescent="0.3">
      <c r="L228"/>
      <c r="M228"/>
      <c r="N228"/>
    </row>
    <row r="229" spans="12:14" x14ac:dyDescent="0.3">
      <c r="L229"/>
      <c r="M229"/>
      <c r="N229"/>
    </row>
    <row r="230" spans="12:14" x14ac:dyDescent="0.3">
      <c r="L230"/>
      <c r="M230"/>
      <c r="N230"/>
    </row>
    <row r="231" spans="12:14" x14ac:dyDescent="0.3">
      <c r="L231"/>
      <c r="M231"/>
      <c r="N231"/>
    </row>
    <row r="232" spans="12:14" x14ac:dyDescent="0.3">
      <c r="L232"/>
      <c r="M232"/>
      <c r="N232"/>
    </row>
    <row r="233" spans="12:14" x14ac:dyDescent="0.3">
      <c r="L233"/>
      <c r="M233"/>
      <c r="N233"/>
    </row>
    <row r="234" spans="12:14" x14ac:dyDescent="0.3">
      <c r="L234"/>
      <c r="M234"/>
      <c r="N234"/>
    </row>
    <row r="235" spans="12:14" x14ac:dyDescent="0.3">
      <c r="L235"/>
      <c r="M235"/>
      <c r="N235"/>
    </row>
    <row r="236" spans="12:14" x14ac:dyDescent="0.3">
      <c r="L236"/>
      <c r="M236"/>
      <c r="N236"/>
    </row>
    <row r="237" spans="12:14" x14ac:dyDescent="0.3">
      <c r="L237"/>
      <c r="M237"/>
      <c r="N237"/>
    </row>
    <row r="238" spans="12:14" x14ac:dyDescent="0.3">
      <c r="L238"/>
      <c r="M238"/>
      <c r="N238"/>
    </row>
    <row r="239" spans="12:14" x14ac:dyDescent="0.3">
      <c r="L239"/>
      <c r="M239"/>
      <c r="N239"/>
    </row>
    <row r="240" spans="12:14" x14ac:dyDescent="0.3">
      <c r="L240"/>
      <c r="M240"/>
      <c r="N240"/>
    </row>
    <row r="241" spans="12:14" x14ac:dyDescent="0.3">
      <c r="L241"/>
      <c r="M241"/>
      <c r="N241"/>
    </row>
    <row r="242" spans="12:14" x14ac:dyDescent="0.3">
      <c r="L242"/>
      <c r="M242"/>
      <c r="N242"/>
    </row>
    <row r="243" spans="12:14" x14ac:dyDescent="0.3">
      <c r="L243"/>
      <c r="M243"/>
      <c r="N243"/>
    </row>
    <row r="244" spans="12:14" x14ac:dyDescent="0.3">
      <c r="L244"/>
      <c r="M244"/>
      <c r="N244"/>
    </row>
    <row r="245" spans="12:14" x14ac:dyDescent="0.3">
      <c r="L245"/>
      <c r="M245"/>
      <c r="N245"/>
    </row>
    <row r="246" spans="12:14" x14ac:dyDescent="0.3">
      <c r="L246"/>
      <c r="M246"/>
      <c r="N246"/>
    </row>
    <row r="247" spans="12:14" x14ac:dyDescent="0.3">
      <c r="L247"/>
      <c r="M247"/>
      <c r="N247"/>
    </row>
    <row r="248" spans="12:14" x14ac:dyDescent="0.3">
      <c r="L248"/>
      <c r="M248"/>
      <c r="N248"/>
    </row>
    <row r="249" spans="12:14" x14ac:dyDescent="0.3">
      <c r="L249"/>
      <c r="M249"/>
      <c r="N249"/>
    </row>
    <row r="250" spans="12:14" x14ac:dyDescent="0.3">
      <c r="L250"/>
      <c r="M250"/>
      <c r="N250"/>
    </row>
    <row r="251" spans="12:14" x14ac:dyDescent="0.3">
      <c r="L251"/>
      <c r="M251"/>
      <c r="N251"/>
    </row>
    <row r="252" spans="12:14" x14ac:dyDescent="0.3">
      <c r="L252"/>
      <c r="M252"/>
      <c r="N252"/>
    </row>
    <row r="253" spans="12:14" x14ac:dyDescent="0.3">
      <c r="L253"/>
      <c r="M253"/>
      <c r="N253"/>
    </row>
  </sheetData>
  <phoneticPr fontId="4" type="noConversion"/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0E9A-E0DF-4868-80D0-C222E0D2E703}">
  <dimension ref="A1:G91"/>
  <sheetViews>
    <sheetView showGridLines="0" workbookViewId="0">
      <selection activeCell="K23" sqref="K23"/>
    </sheetView>
  </sheetViews>
  <sheetFormatPr baseColWidth="10" defaultColWidth="11.44140625" defaultRowHeight="14.4" x14ac:dyDescent="0.3"/>
  <cols>
    <col min="1" max="1" width="13.5546875" bestFit="1" customWidth="1"/>
    <col min="2" max="2" width="22.33203125" bestFit="1" customWidth="1"/>
    <col min="3" max="3" width="16.88671875" bestFit="1" customWidth="1"/>
    <col min="4" max="4" width="13.33203125" bestFit="1" customWidth="1"/>
    <col min="5" max="5" width="16.44140625" bestFit="1" customWidth="1"/>
    <col min="6" max="6" width="17" bestFit="1" customWidth="1"/>
    <col min="7" max="7" width="15.44140625" bestFit="1" customWidth="1"/>
    <col min="8" max="8" width="11.88671875" bestFit="1" customWidth="1"/>
  </cols>
  <sheetData>
    <row r="1" spans="1:7" x14ac:dyDescent="0.3">
      <c r="A1" s="12"/>
      <c r="B1" s="15"/>
      <c r="C1" s="15"/>
      <c r="D1" s="15">
        <f>IF(COUNT(G14:G54)-1&lt;0,0,COUNT(G14:G54)-1)</f>
        <v>39</v>
      </c>
      <c r="E1" s="13" t="e">
        <f>GETPIVOTDATA("Precio Venta",$T$14)</f>
        <v>#REF!</v>
      </c>
    </row>
    <row r="2" spans="1:7" x14ac:dyDescent="0.3">
      <c r="A2" s="12"/>
      <c r="B2" s="15"/>
      <c r="C2" s="15"/>
      <c r="D2" s="15"/>
      <c r="E2" s="13"/>
    </row>
    <row r="3" spans="1:7" x14ac:dyDescent="0.3">
      <c r="A3" s="12"/>
      <c r="B3" s="15"/>
      <c r="C3" s="15"/>
      <c r="D3" s="15"/>
      <c r="E3" s="13"/>
    </row>
    <row r="4" spans="1:7" x14ac:dyDescent="0.3">
      <c r="B4" s="2"/>
      <c r="C4" s="2"/>
      <c r="D4" s="2"/>
    </row>
    <row r="5" spans="1:7" x14ac:dyDescent="0.3">
      <c r="B5" s="2"/>
      <c r="C5" s="2"/>
      <c r="D5" s="2"/>
    </row>
    <row r="6" spans="1:7" x14ac:dyDescent="0.3">
      <c r="B6" s="2"/>
      <c r="C6" s="2"/>
      <c r="D6" s="2"/>
    </row>
    <row r="7" spans="1:7" x14ac:dyDescent="0.3">
      <c r="B7" s="2"/>
      <c r="C7" s="2"/>
      <c r="D7" s="2"/>
    </row>
    <row r="8" spans="1:7" x14ac:dyDescent="0.3">
      <c r="B8" s="2"/>
      <c r="C8" s="2"/>
      <c r="D8" s="2"/>
    </row>
    <row r="9" spans="1:7" x14ac:dyDescent="0.3">
      <c r="B9" s="2"/>
      <c r="C9" s="2"/>
      <c r="D9" s="2"/>
    </row>
    <row r="10" spans="1:7" x14ac:dyDescent="0.3">
      <c r="B10" s="2"/>
      <c r="C10" s="2"/>
      <c r="D10" s="2"/>
    </row>
    <row r="11" spans="1:7" hidden="1" x14ac:dyDescent="0.3">
      <c r="B11" s="2"/>
      <c r="C11" s="2"/>
      <c r="D11" s="2"/>
    </row>
    <row r="12" spans="1:7" hidden="1" x14ac:dyDescent="0.3">
      <c r="A12" s="7" t="s">
        <v>0</v>
      </c>
      <c r="B12" s="2" t="s">
        <v>76</v>
      </c>
      <c r="C12" s="2"/>
      <c r="D12" s="2"/>
    </row>
    <row r="13" spans="1:7" hidden="1" x14ac:dyDescent="0.3">
      <c r="B13" s="2"/>
      <c r="C13" s="2"/>
      <c r="D13" s="2"/>
    </row>
    <row r="14" spans="1:7" x14ac:dyDescent="0.3">
      <c r="A14" s="11" t="s">
        <v>28</v>
      </c>
      <c r="B14" s="7" t="s">
        <v>53</v>
      </c>
      <c r="C14" s="7" t="s">
        <v>3</v>
      </c>
      <c r="D14" s="7" t="s">
        <v>77</v>
      </c>
      <c r="E14" s="7" t="s">
        <v>78</v>
      </c>
      <c r="F14" s="2" t="s">
        <v>58</v>
      </c>
      <c r="G14" s="2" t="s">
        <v>59</v>
      </c>
    </row>
    <row r="15" spans="1:7" x14ac:dyDescent="0.3">
      <c r="A15" t="s">
        <v>30</v>
      </c>
      <c r="B15" t="s">
        <v>11</v>
      </c>
      <c r="C15" t="s">
        <v>12</v>
      </c>
      <c r="D15" t="s">
        <v>10</v>
      </c>
      <c r="E15" t="s">
        <v>79</v>
      </c>
      <c r="F15" s="8">
        <v>53000</v>
      </c>
      <c r="G15" s="8">
        <v>6875</v>
      </c>
    </row>
    <row r="16" spans="1:7" x14ac:dyDescent="0.3">
      <c r="A16" t="s">
        <v>30</v>
      </c>
      <c r="B16" t="s">
        <v>11</v>
      </c>
      <c r="C16" t="s">
        <v>12</v>
      </c>
      <c r="D16" t="s">
        <v>10</v>
      </c>
      <c r="E16" t="s">
        <v>80</v>
      </c>
      <c r="F16" s="8">
        <v>145550</v>
      </c>
      <c r="G16" s="8">
        <v>6773.7841059148368</v>
      </c>
    </row>
    <row r="17" spans="1:7" x14ac:dyDescent="0.3">
      <c r="A17" t="s">
        <v>30</v>
      </c>
      <c r="B17" t="s">
        <v>11</v>
      </c>
      <c r="C17" t="s">
        <v>12</v>
      </c>
      <c r="D17" t="s">
        <v>10</v>
      </c>
      <c r="E17" t="s">
        <v>81</v>
      </c>
      <c r="F17" s="8">
        <v>102440</v>
      </c>
      <c r="G17" s="8">
        <v>6316.799242424242</v>
      </c>
    </row>
    <row r="18" spans="1:7" x14ac:dyDescent="0.3">
      <c r="A18" t="s">
        <v>30</v>
      </c>
      <c r="B18" t="s">
        <v>11</v>
      </c>
      <c r="C18" t="s">
        <v>12</v>
      </c>
      <c r="D18" t="s">
        <v>20</v>
      </c>
      <c r="E18" t="s">
        <v>13</v>
      </c>
      <c r="F18" s="8">
        <v>41200</v>
      </c>
      <c r="G18" s="8">
        <v>6955.8771929824561</v>
      </c>
    </row>
    <row r="19" spans="1:7" x14ac:dyDescent="0.3">
      <c r="A19" t="s">
        <v>30</v>
      </c>
      <c r="B19" t="s">
        <v>11</v>
      </c>
      <c r="C19" t="s">
        <v>12</v>
      </c>
      <c r="D19" t="s">
        <v>20</v>
      </c>
      <c r="E19" t="s">
        <v>82</v>
      </c>
      <c r="F19" s="8">
        <v>85400</v>
      </c>
      <c r="G19" s="8">
        <v>6560.7394634513812</v>
      </c>
    </row>
    <row r="20" spans="1:7" x14ac:dyDescent="0.3">
      <c r="A20" t="s">
        <v>30</v>
      </c>
      <c r="B20" t="s">
        <v>11</v>
      </c>
      <c r="C20" t="s">
        <v>19</v>
      </c>
      <c r="D20" t="s">
        <v>10</v>
      </c>
      <c r="E20" t="s">
        <v>83</v>
      </c>
      <c r="F20" s="8">
        <v>20000</v>
      </c>
      <c r="G20" s="8">
        <v>6684.2105263157891</v>
      </c>
    </row>
    <row r="21" spans="1:7" x14ac:dyDescent="0.3">
      <c r="A21" t="s">
        <v>30</v>
      </c>
      <c r="B21" t="s">
        <v>11</v>
      </c>
      <c r="C21" t="s">
        <v>19</v>
      </c>
      <c r="D21" t="s">
        <v>10</v>
      </c>
      <c r="E21" t="s">
        <v>84</v>
      </c>
      <c r="F21" s="8">
        <v>20000</v>
      </c>
      <c r="G21" s="8">
        <v>6266.666666666667</v>
      </c>
    </row>
    <row r="22" spans="1:7" x14ac:dyDescent="0.3">
      <c r="A22" t="s">
        <v>30</v>
      </c>
      <c r="B22" t="s">
        <v>11</v>
      </c>
      <c r="C22" t="s">
        <v>9</v>
      </c>
      <c r="D22" t="s">
        <v>10</v>
      </c>
      <c r="E22" t="s">
        <v>85</v>
      </c>
      <c r="F22" s="8">
        <v>262722.5</v>
      </c>
      <c r="G22" s="8">
        <v>7047.5113122171942</v>
      </c>
    </row>
    <row r="23" spans="1:7" x14ac:dyDescent="0.3">
      <c r="A23" t="s">
        <v>30</v>
      </c>
      <c r="B23" t="s">
        <v>11</v>
      </c>
      <c r="C23" t="s">
        <v>9</v>
      </c>
      <c r="D23" t="s">
        <v>10</v>
      </c>
      <c r="E23" t="s">
        <v>86</v>
      </c>
      <c r="F23" s="8">
        <v>338688</v>
      </c>
      <c r="G23" s="8">
        <v>6189.4736842105267</v>
      </c>
    </row>
    <row r="24" spans="1:7" x14ac:dyDescent="0.3">
      <c r="A24" t="s">
        <v>30</v>
      </c>
      <c r="B24" t="s">
        <v>16</v>
      </c>
      <c r="C24" t="s">
        <v>12</v>
      </c>
      <c r="D24" t="s">
        <v>10</v>
      </c>
      <c r="E24" t="s">
        <v>87</v>
      </c>
      <c r="F24" s="8">
        <v>39725</v>
      </c>
      <c r="G24" s="8">
        <v>7407.1428571428569</v>
      </c>
    </row>
    <row r="25" spans="1:7" x14ac:dyDescent="0.3">
      <c r="A25" t="s">
        <v>30</v>
      </c>
      <c r="B25" t="s">
        <v>16</v>
      </c>
      <c r="C25" t="s">
        <v>12</v>
      </c>
      <c r="D25" t="s">
        <v>10</v>
      </c>
      <c r="E25" t="s">
        <v>80</v>
      </c>
      <c r="F25" s="8">
        <v>92400</v>
      </c>
      <c r="G25" s="8">
        <v>8013.8888888888887</v>
      </c>
    </row>
    <row r="26" spans="1:7" x14ac:dyDescent="0.3">
      <c r="A26" t="s">
        <v>30</v>
      </c>
      <c r="B26" t="s">
        <v>16</v>
      </c>
      <c r="C26" t="s">
        <v>12</v>
      </c>
      <c r="D26" t="s">
        <v>10</v>
      </c>
      <c r="E26" t="s">
        <v>83</v>
      </c>
      <c r="F26" s="8">
        <v>141000</v>
      </c>
      <c r="G26" s="8">
        <v>6714.2857142857147</v>
      </c>
    </row>
    <row r="27" spans="1:7" x14ac:dyDescent="0.3">
      <c r="A27" t="s">
        <v>30</v>
      </c>
      <c r="B27" t="s">
        <v>16</v>
      </c>
      <c r="C27" t="s">
        <v>12</v>
      </c>
      <c r="D27" t="s">
        <v>20</v>
      </c>
      <c r="E27" t="s">
        <v>13</v>
      </c>
      <c r="F27" s="8">
        <v>53210</v>
      </c>
      <c r="G27" s="8">
        <v>6297.041420118343</v>
      </c>
    </row>
    <row r="28" spans="1:7" x14ac:dyDescent="0.3">
      <c r="A28" t="s">
        <v>30</v>
      </c>
      <c r="B28" t="s">
        <v>16</v>
      </c>
      <c r="C28" t="s">
        <v>25</v>
      </c>
      <c r="D28" t="s">
        <v>20</v>
      </c>
      <c r="E28" t="s">
        <v>82</v>
      </c>
      <c r="F28" s="8">
        <v>47135</v>
      </c>
      <c r="G28" s="8">
        <v>6982.9784899034239</v>
      </c>
    </row>
    <row r="29" spans="1:7" x14ac:dyDescent="0.3">
      <c r="A29" t="s">
        <v>30</v>
      </c>
      <c r="B29" t="s">
        <v>16</v>
      </c>
      <c r="C29" t="s">
        <v>25</v>
      </c>
      <c r="D29" t="s">
        <v>20</v>
      </c>
      <c r="E29" t="s">
        <v>85</v>
      </c>
      <c r="F29" s="8">
        <v>13888</v>
      </c>
      <c r="G29" s="8">
        <v>6507.1428571428569</v>
      </c>
    </row>
    <row r="30" spans="1:7" x14ac:dyDescent="0.3">
      <c r="A30" t="s">
        <v>30</v>
      </c>
      <c r="B30" t="s">
        <v>88</v>
      </c>
      <c r="C30" t="s">
        <v>12</v>
      </c>
      <c r="D30" t="s">
        <v>89</v>
      </c>
      <c r="F30" s="8">
        <v>3000</v>
      </c>
      <c r="G30" s="8">
        <v>6754.3859649122805</v>
      </c>
    </row>
    <row r="31" spans="1:7" x14ac:dyDescent="0.3">
      <c r="A31" t="s">
        <v>30</v>
      </c>
      <c r="B31" t="s">
        <v>88</v>
      </c>
      <c r="C31" t="s">
        <v>22</v>
      </c>
      <c r="D31" t="s">
        <v>20</v>
      </c>
      <c r="E31" t="s">
        <v>82</v>
      </c>
      <c r="F31" s="8">
        <v>49470</v>
      </c>
      <c r="G31" s="8">
        <v>6487.5</v>
      </c>
    </row>
    <row r="32" spans="1:7" x14ac:dyDescent="0.3">
      <c r="A32" t="s">
        <v>30</v>
      </c>
      <c r="B32" t="s">
        <v>18</v>
      </c>
      <c r="C32" t="s">
        <v>12</v>
      </c>
      <c r="D32" t="s">
        <v>10</v>
      </c>
      <c r="E32" t="s">
        <v>90</v>
      </c>
      <c r="F32" s="8">
        <v>23000</v>
      </c>
      <c r="G32" s="8">
        <v>6865.6716417910447</v>
      </c>
    </row>
    <row r="33" spans="1:7" x14ac:dyDescent="0.3">
      <c r="A33" t="s">
        <v>30</v>
      </c>
      <c r="B33" t="s">
        <v>18</v>
      </c>
      <c r="C33" t="s">
        <v>12</v>
      </c>
      <c r="D33" t="s">
        <v>10</v>
      </c>
      <c r="E33" t="s">
        <v>84</v>
      </c>
      <c r="F33" s="8">
        <v>30000</v>
      </c>
      <c r="G33" s="8">
        <v>6716.4179104477616</v>
      </c>
    </row>
    <row r="34" spans="1:7" x14ac:dyDescent="0.3">
      <c r="A34" t="s">
        <v>30</v>
      </c>
      <c r="B34" t="s">
        <v>18</v>
      </c>
      <c r="C34" t="s">
        <v>12</v>
      </c>
      <c r="D34" t="s">
        <v>20</v>
      </c>
      <c r="E34" t="s">
        <v>13</v>
      </c>
      <c r="F34" s="8">
        <v>33000</v>
      </c>
      <c r="G34" s="8">
        <v>6693.5251798561148</v>
      </c>
    </row>
    <row r="35" spans="1:7" x14ac:dyDescent="0.3">
      <c r="A35" t="s">
        <v>30</v>
      </c>
      <c r="B35" t="s">
        <v>18</v>
      </c>
      <c r="C35" t="s">
        <v>12</v>
      </c>
      <c r="D35" t="s">
        <v>20</v>
      </c>
      <c r="E35" t="s">
        <v>85</v>
      </c>
      <c r="F35" s="8">
        <v>23000</v>
      </c>
      <c r="G35" s="8">
        <v>7017.5438596491231</v>
      </c>
    </row>
    <row r="36" spans="1:7" x14ac:dyDescent="0.3">
      <c r="A36" t="s">
        <v>30</v>
      </c>
      <c r="B36" t="s">
        <v>21</v>
      </c>
      <c r="C36" t="s">
        <v>12</v>
      </c>
      <c r="D36" t="s">
        <v>20</v>
      </c>
      <c r="E36" t="s">
        <v>13</v>
      </c>
      <c r="F36" s="8">
        <v>68500</v>
      </c>
      <c r="G36" s="8">
        <v>6911.7647058823532</v>
      </c>
    </row>
    <row r="37" spans="1:7" x14ac:dyDescent="0.3">
      <c r="A37" t="s">
        <v>30</v>
      </c>
      <c r="B37" t="s">
        <v>66</v>
      </c>
      <c r="C37" t="s">
        <v>12</v>
      </c>
      <c r="D37" t="s">
        <v>20</v>
      </c>
      <c r="E37" t="s">
        <v>85</v>
      </c>
      <c r="F37" s="8">
        <v>283590</v>
      </c>
      <c r="G37" s="8">
        <v>6582.1859849397961</v>
      </c>
    </row>
    <row r="38" spans="1:7" x14ac:dyDescent="0.3">
      <c r="A38" t="s">
        <v>31</v>
      </c>
      <c r="B38" t="s">
        <v>11</v>
      </c>
      <c r="C38" t="s">
        <v>12</v>
      </c>
      <c r="D38" t="s">
        <v>91</v>
      </c>
      <c r="E38" t="s">
        <v>79</v>
      </c>
      <c r="F38" s="8">
        <v>435500</v>
      </c>
      <c r="G38" s="8">
        <v>7776.7857142857147</v>
      </c>
    </row>
    <row r="39" spans="1:7" x14ac:dyDescent="0.3">
      <c r="A39" t="s">
        <v>31</v>
      </c>
      <c r="B39" t="s">
        <v>11</v>
      </c>
      <c r="C39" t="s">
        <v>12</v>
      </c>
      <c r="D39" t="s">
        <v>91</v>
      </c>
      <c r="E39" t="s">
        <v>80</v>
      </c>
      <c r="F39" s="8">
        <v>1383960</v>
      </c>
      <c r="G39" s="8">
        <v>5625.0016952849783</v>
      </c>
    </row>
    <row r="40" spans="1:7" x14ac:dyDescent="0.3">
      <c r="A40" t="s">
        <v>31</v>
      </c>
      <c r="B40" t="s">
        <v>11</v>
      </c>
      <c r="C40" t="s">
        <v>12</v>
      </c>
      <c r="D40" t="s">
        <v>91</v>
      </c>
      <c r="E40" t="s">
        <v>84</v>
      </c>
      <c r="F40" s="8">
        <v>654000</v>
      </c>
      <c r="G40" s="8">
        <v>7431.818181818182</v>
      </c>
    </row>
    <row r="41" spans="1:7" x14ac:dyDescent="0.3">
      <c r="A41" t="s">
        <v>31</v>
      </c>
      <c r="B41" t="s">
        <v>11</v>
      </c>
      <c r="C41" t="s">
        <v>12</v>
      </c>
      <c r="D41" t="s">
        <v>10</v>
      </c>
      <c r="E41" t="s">
        <v>13</v>
      </c>
      <c r="F41" s="8">
        <v>711500</v>
      </c>
      <c r="G41" s="8">
        <v>6699.623352165725</v>
      </c>
    </row>
    <row r="42" spans="1:7" x14ac:dyDescent="0.3">
      <c r="A42" t="s">
        <v>31</v>
      </c>
      <c r="B42" t="s">
        <v>11</v>
      </c>
      <c r="C42" t="s">
        <v>12</v>
      </c>
      <c r="D42" t="s">
        <v>10</v>
      </c>
      <c r="E42" t="s">
        <v>82</v>
      </c>
      <c r="F42" s="8">
        <v>1048300</v>
      </c>
      <c r="G42" s="8">
        <v>6776.773406894149</v>
      </c>
    </row>
    <row r="43" spans="1:7" x14ac:dyDescent="0.3">
      <c r="A43" t="s">
        <v>31</v>
      </c>
      <c r="B43" t="s">
        <v>11</v>
      </c>
      <c r="C43" t="s">
        <v>12</v>
      </c>
      <c r="D43" t="s">
        <v>10</v>
      </c>
      <c r="E43" t="s">
        <v>85</v>
      </c>
      <c r="F43" s="8">
        <v>1585000</v>
      </c>
      <c r="G43" s="8">
        <v>7186.7462940164296</v>
      </c>
    </row>
    <row r="44" spans="1:7" x14ac:dyDescent="0.3">
      <c r="A44" t="s">
        <v>31</v>
      </c>
      <c r="B44" t="s">
        <v>11</v>
      </c>
      <c r="C44" t="s">
        <v>12</v>
      </c>
      <c r="D44" t="s">
        <v>10</v>
      </c>
      <c r="E44" t="s">
        <v>86</v>
      </c>
      <c r="F44" s="8">
        <v>495000</v>
      </c>
      <c r="G44" s="8">
        <v>7500</v>
      </c>
    </row>
    <row r="45" spans="1:7" x14ac:dyDescent="0.3">
      <c r="A45" t="s">
        <v>31</v>
      </c>
      <c r="B45" t="s">
        <v>11</v>
      </c>
      <c r="C45" t="s">
        <v>12</v>
      </c>
      <c r="D45" t="s">
        <v>10</v>
      </c>
      <c r="E45" t="s">
        <v>90</v>
      </c>
      <c r="F45" s="8">
        <v>684400</v>
      </c>
      <c r="G45" s="8">
        <v>7272.9468599033817</v>
      </c>
    </row>
    <row r="46" spans="1:7" x14ac:dyDescent="0.3">
      <c r="A46" t="s">
        <v>31</v>
      </c>
      <c r="B46" t="s">
        <v>11</v>
      </c>
      <c r="C46" t="s">
        <v>12</v>
      </c>
      <c r="D46" t="s">
        <v>10</v>
      </c>
      <c r="E46" t="s">
        <v>87</v>
      </c>
      <c r="F46" s="8">
        <v>630000</v>
      </c>
      <c r="G46" s="8">
        <v>7500</v>
      </c>
    </row>
    <row r="47" spans="1:7" x14ac:dyDescent="0.3">
      <c r="A47" t="s">
        <v>31</v>
      </c>
      <c r="B47" t="s">
        <v>11</v>
      </c>
      <c r="C47" t="s">
        <v>12</v>
      </c>
      <c r="D47" t="s">
        <v>10</v>
      </c>
      <c r="E47" t="s">
        <v>80</v>
      </c>
      <c r="F47" s="8">
        <v>446900</v>
      </c>
      <c r="G47" s="8">
        <v>7980.3571428571431</v>
      </c>
    </row>
    <row r="48" spans="1:7" x14ac:dyDescent="0.3">
      <c r="A48" t="s">
        <v>31</v>
      </c>
      <c r="B48" t="s">
        <v>11</v>
      </c>
      <c r="C48" t="s">
        <v>17</v>
      </c>
      <c r="D48" t="s">
        <v>10</v>
      </c>
      <c r="E48" t="s">
        <v>79</v>
      </c>
      <c r="F48" s="8">
        <v>637834.29999999993</v>
      </c>
      <c r="G48" s="8">
        <v>6268.7296416938116</v>
      </c>
    </row>
    <row r="49" spans="1:7" x14ac:dyDescent="0.3">
      <c r="A49" t="s">
        <v>31</v>
      </c>
      <c r="B49" t="s">
        <v>11</v>
      </c>
      <c r="C49" t="s">
        <v>22</v>
      </c>
      <c r="D49" t="s">
        <v>10</v>
      </c>
      <c r="E49" t="s">
        <v>84</v>
      </c>
      <c r="F49" s="8">
        <v>471171.42000000004</v>
      </c>
      <c r="G49" s="8">
        <v>7050.8149568552253</v>
      </c>
    </row>
    <row r="50" spans="1:7" x14ac:dyDescent="0.3">
      <c r="A50" t="s">
        <v>31</v>
      </c>
      <c r="B50" t="s">
        <v>11</v>
      </c>
      <c r="C50" t="s">
        <v>24</v>
      </c>
      <c r="D50" t="s">
        <v>20</v>
      </c>
      <c r="E50" t="s">
        <v>13</v>
      </c>
      <c r="F50" s="8">
        <v>535000</v>
      </c>
      <c r="G50" s="8">
        <v>6563.6118267697211</v>
      </c>
    </row>
    <row r="51" spans="1:7" x14ac:dyDescent="0.3">
      <c r="A51" t="s">
        <v>31</v>
      </c>
      <c r="B51" t="s">
        <v>11</v>
      </c>
      <c r="C51" t="s">
        <v>25</v>
      </c>
      <c r="D51" t="s">
        <v>20</v>
      </c>
      <c r="E51" t="s">
        <v>85</v>
      </c>
      <c r="F51" s="8">
        <v>55900</v>
      </c>
      <c r="G51" s="8">
        <v>6937.938288920056</v>
      </c>
    </row>
    <row r="52" spans="1:7" x14ac:dyDescent="0.3">
      <c r="A52" t="s">
        <v>31</v>
      </c>
      <c r="B52" t="s">
        <v>16</v>
      </c>
      <c r="C52" t="s">
        <v>12</v>
      </c>
      <c r="D52" t="s">
        <v>10</v>
      </c>
      <c r="E52" t="s">
        <v>90</v>
      </c>
      <c r="F52" s="8">
        <v>679000</v>
      </c>
      <c r="G52" s="8">
        <v>5603.6972848064697</v>
      </c>
    </row>
    <row r="53" spans="1:7" x14ac:dyDescent="0.3">
      <c r="A53" t="s">
        <v>31</v>
      </c>
      <c r="B53" t="s">
        <v>16</v>
      </c>
      <c r="C53" t="s">
        <v>12</v>
      </c>
      <c r="D53" t="s">
        <v>10</v>
      </c>
      <c r="E53" t="s">
        <v>79</v>
      </c>
      <c r="F53" s="8">
        <v>500000</v>
      </c>
      <c r="G53" s="8">
        <v>7500</v>
      </c>
    </row>
    <row r="54" spans="1:7" x14ac:dyDescent="0.3">
      <c r="A54" t="s">
        <v>31</v>
      </c>
      <c r="B54" t="s">
        <v>16</v>
      </c>
      <c r="C54" t="s">
        <v>22</v>
      </c>
      <c r="D54" t="s">
        <v>20</v>
      </c>
      <c r="E54" t="s">
        <v>13</v>
      </c>
      <c r="F54" s="8">
        <v>60000</v>
      </c>
      <c r="G54" s="8">
        <v>6844.2622950819668</v>
      </c>
    </row>
    <row r="55" spans="1:7" x14ac:dyDescent="0.3">
      <c r="A55" t="s">
        <v>31</v>
      </c>
      <c r="B55" t="s">
        <v>16</v>
      </c>
      <c r="C55" t="s">
        <v>19</v>
      </c>
      <c r="D55" t="s">
        <v>89</v>
      </c>
      <c r="F55" s="8">
        <v>3000</v>
      </c>
      <c r="G55" s="8">
        <v>6688.405797101449</v>
      </c>
    </row>
    <row r="56" spans="1:7" x14ac:dyDescent="0.3">
      <c r="A56" t="s">
        <v>31</v>
      </c>
      <c r="B56" t="s">
        <v>16</v>
      </c>
      <c r="C56" t="s">
        <v>19</v>
      </c>
      <c r="D56" t="s">
        <v>10</v>
      </c>
      <c r="E56" t="s">
        <v>87</v>
      </c>
      <c r="F56" s="8">
        <v>97000</v>
      </c>
      <c r="G56" s="8">
        <v>7409.6385542168673</v>
      </c>
    </row>
    <row r="57" spans="1:7" x14ac:dyDescent="0.3">
      <c r="A57" t="s">
        <v>31</v>
      </c>
      <c r="B57" t="s">
        <v>16</v>
      </c>
      <c r="C57" t="s">
        <v>25</v>
      </c>
      <c r="D57" t="s">
        <v>89</v>
      </c>
      <c r="F57" s="8">
        <v>6000</v>
      </c>
      <c r="G57" s="8">
        <v>6997.1227328965215</v>
      </c>
    </row>
    <row r="58" spans="1:7" x14ac:dyDescent="0.3">
      <c r="A58" t="s">
        <v>31</v>
      </c>
      <c r="B58" t="s">
        <v>16</v>
      </c>
      <c r="C58" t="s">
        <v>25</v>
      </c>
      <c r="D58" t="s">
        <v>20</v>
      </c>
      <c r="E58" t="s">
        <v>82</v>
      </c>
      <c r="F58" s="8">
        <v>100000</v>
      </c>
      <c r="G58" s="8">
        <v>7407.4074074074078</v>
      </c>
    </row>
    <row r="59" spans="1:7" x14ac:dyDescent="0.3">
      <c r="A59" t="s">
        <v>31</v>
      </c>
      <c r="B59" t="s">
        <v>92</v>
      </c>
      <c r="C59" t="s">
        <v>12</v>
      </c>
      <c r="D59" t="s">
        <v>91</v>
      </c>
      <c r="E59" t="s">
        <v>81</v>
      </c>
      <c r="F59" s="8">
        <v>490000</v>
      </c>
      <c r="G59" s="8">
        <v>7101.449275362319</v>
      </c>
    </row>
    <row r="60" spans="1:7" x14ac:dyDescent="0.3">
      <c r="A60" t="s">
        <v>31</v>
      </c>
      <c r="B60" t="s">
        <v>88</v>
      </c>
      <c r="C60" t="s">
        <v>12</v>
      </c>
      <c r="D60" t="s">
        <v>91</v>
      </c>
      <c r="E60" t="s">
        <v>79</v>
      </c>
      <c r="F60" s="8">
        <v>622500</v>
      </c>
      <c r="G60" s="8">
        <v>7410.7142857142853</v>
      </c>
    </row>
    <row r="61" spans="1:7" x14ac:dyDescent="0.3">
      <c r="A61" t="s">
        <v>31</v>
      </c>
      <c r="B61" t="s">
        <v>88</v>
      </c>
      <c r="C61" t="s">
        <v>12</v>
      </c>
      <c r="D61" t="s">
        <v>91</v>
      </c>
      <c r="E61" t="s">
        <v>83</v>
      </c>
      <c r="F61" s="8">
        <v>654000</v>
      </c>
      <c r="G61" s="8">
        <v>7409.0857596012238</v>
      </c>
    </row>
    <row r="62" spans="1:7" x14ac:dyDescent="0.3">
      <c r="A62" t="s">
        <v>31</v>
      </c>
      <c r="B62" t="s">
        <v>88</v>
      </c>
      <c r="C62" t="s">
        <v>12</v>
      </c>
      <c r="D62" t="s">
        <v>91</v>
      </c>
      <c r="E62" t="s">
        <v>84</v>
      </c>
      <c r="F62" s="8">
        <v>637000</v>
      </c>
      <c r="G62" s="8">
        <v>5380.9765163034299</v>
      </c>
    </row>
    <row r="63" spans="1:7" x14ac:dyDescent="0.3">
      <c r="A63" t="s">
        <v>31</v>
      </c>
      <c r="B63" t="s">
        <v>88</v>
      </c>
      <c r="C63" t="s">
        <v>12</v>
      </c>
      <c r="D63" t="s">
        <v>10</v>
      </c>
      <c r="E63" t="s">
        <v>90</v>
      </c>
      <c r="F63" s="8">
        <v>690000</v>
      </c>
      <c r="G63" s="8">
        <v>6838.4539147670957</v>
      </c>
    </row>
    <row r="64" spans="1:7" x14ac:dyDescent="0.3">
      <c r="A64" t="s">
        <v>31</v>
      </c>
      <c r="B64" t="s">
        <v>88</v>
      </c>
      <c r="C64" t="s">
        <v>19</v>
      </c>
      <c r="D64" t="s">
        <v>10</v>
      </c>
      <c r="E64" t="s">
        <v>81</v>
      </c>
      <c r="F64" s="8">
        <v>525500</v>
      </c>
      <c r="G64" s="8">
        <v>7198.9330054239108</v>
      </c>
    </row>
    <row r="65" spans="1:7" x14ac:dyDescent="0.3">
      <c r="A65" t="s">
        <v>31</v>
      </c>
      <c r="B65" t="s">
        <v>93</v>
      </c>
      <c r="C65" t="s">
        <v>12</v>
      </c>
      <c r="D65" t="s">
        <v>91</v>
      </c>
      <c r="E65" t="s">
        <v>80</v>
      </c>
      <c r="F65" s="8">
        <v>612000</v>
      </c>
      <c r="G65" s="8">
        <v>7410.9953984015501</v>
      </c>
    </row>
    <row r="66" spans="1:7" x14ac:dyDescent="0.3">
      <c r="A66" t="s">
        <v>31</v>
      </c>
      <c r="B66" t="s">
        <v>93</v>
      </c>
      <c r="C66" t="s">
        <v>12</v>
      </c>
      <c r="D66" t="s">
        <v>91</v>
      </c>
      <c r="E66" t="s">
        <v>84</v>
      </c>
      <c r="F66" s="8">
        <v>592500</v>
      </c>
      <c r="G66" s="8">
        <v>7053.5714285714284</v>
      </c>
    </row>
    <row r="67" spans="1:7" x14ac:dyDescent="0.3">
      <c r="A67" t="s">
        <v>31</v>
      </c>
      <c r="B67" t="s">
        <v>18</v>
      </c>
      <c r="C67" t="s">
        <v>25</v>
      </c>
      <c r="D67" t="s">
        <v>89</v>
      </c>
      <c r="F67" s="8">
        <v>3000</v>
      </c>
      <c r="G67" s="8">
        <v>6399.7326203208559</v>
      </c>
    </row>
    <row r="68" spans="1:7" x14ac:dyDescent="0.3">
      <c r="A68" t="s">
        <v>31</v>
      </c>
      <c r="B68" t="s">
        <v>18</v>
      </c>
      <c r="C68" t="s">
        <v>26</v>
      </c>
      <c r="D68" t="s">
        <v>89</v>
      </c>
      <c r="F68" s="8">
        <v>3000</v>
      </c>
      <c r="G68" s="8">
        <v>7358.2230623818532</v>
      </c>
    </row>
    <row r="69" spans="1:7" x14ac:dyDescent="0.3">
      <c r="A69" t="s">
        <v>31</v>
      </c>
      <c r="B69" t="s">
        <v>94</v>
      </c>
      <c r="C69" t="s">
        <v>19</v>
      </c>
      <c r="D69" t="s">
        <v>10</v>
      </c>
      <c r="E69" t="s">
        <v>87</v>
      </c>
      <c r="F69" s="8">
        <v>417700</v>
      </c>
      <c r="G69" s="8">
        <v>6847.5409836065573</v>
      </c>
    </row>
    <row r="70" spans="1:7" x14ac:dyDescent="0.3">
      <c r="A70" t="s">
        <v>31</v>
      </c>
      <c r="B70" t="s">
        <v>95</v>
      </c>
      <c r="C70" t="s">
        <v>19</v>
      </c>
      <c r="D70" t="s">
        <v>10</v>
      </c>
      <c r="E70" t="s">
        <v>80</v>
      </c>
      <c r="F70" s="8">
        <v>13000</v>
      </c>
      <c r="G70" s="8">
        <v>6847.5409836065573</v>
      </c>
    </row>
    <row r="71" spans="1:7" x14ac:dyDescent="0.3">
      <c r="A71" t="s">
        <v>31</v>
      </c>
      <c r="B71" t="s">
        <v>14</v>
      </c>
      <c r="C71" t="s">
        <v>12</v>
      </c>
      <c r="D71" t="s">
        <v>10</v>
      </c>
      <c r="E71" t="s">
        <v>13</v>
      </c>
      <c r="F71" s="8">
        <v>520400</v>
      </c>
      <c r="G71" s="8">
        <v>4258.1067802161806</v>
      </c>
    </row>
    <row r="72" spans="1:7" x14ac:dyDescent="0.3">
      <c r="A72" t="s">
        <v>31</v>
      </c>
      <c r="B72" t="s">
        <v>14</v>
      </c>
      <c r="C72" t="s">
        <v>25</v>
      </c>
      <c r="D72" t="s">
        <v>89</v>
      </c>
      <c r="F72" s="8">
        <v>3000</v>
      </c>
      <c r="G72" s="8">
        <v>6847.5409836065573</v>
      </c>
    </row>
    <row r="73" spans="1:7" x14ac:dyDescent="0.3">
      <c r="A73" t="s">
        <v>31</v>
      </c>
      <c r="B73" t="s">
        <v>66</v>
      </c>
      <c r="C73" t="s">
        <v>25</v>
      </c>
      <c r="D73" t="s">
        <v>20</v>
      </c>
      <c r="E73" t="s">
        <v>85</v>
      </c>
      <c r="F73" s="8">
        <v>237000</v>
      </c>
      <c r="G73" s="8">
        <v>8482.1428571428569</v>
      </c>
    </row>
    <row r="74" spans="1:7" x14ac:dyDescent="0.3">
      <c r="A74" t="s">
        <v>32</v>
      </c>
      <c r="B74" t="s">
        <v>11</v>
      </c>
      <c r="C74" t="s">
        <v>17</v>
      </c>
      <c r="D74" t="s">
        <v>10</v>
      </c>
      <c r="E74" t="s">
        <v>79</v>
      </c>
      <c r="F74" s="8">
        <v>246800</v>
      </c>
      <c r="G74" s="8">
        <v>6468.3530561285424</v>
      </c>
    </row>
    <row r="75" spans="1:7" x14ac:dyDescent="0.3">
      <c r="A75" t="s">
        <v>32</v>
      </c>
      <c r="B75" t="s">
        <v>11</v>
      </c>
      <c r="C75" t="s">
        <v>22</v>
      </c>
      <c r="D75" t="s">
        <v>20</v>
      </c>
      <c r="E75" t="s">
        <v>82</v>
      </c>
      <c r="F75" s="8">
        <v>13000</v>
      </c>
      <c r="G75" s="8">
        <v>7228.9156626506028</v>
      </c>
    </row>
    <row r="76" spans="1:7" x14ac:dyDescent="0.3">
      <c r="A76" t="s">
        <v>32</v>
      </c>
      <c r="B76" t="s">
        <v>11</v>
      </c>
      <c r="C76" t="s">
        <v>15</v>
      </c>
      <c r="D76" t="s">
        <v>89</v>
      </c>
      <c r="F76" s="8">
        <v>3000</v>
      </c>
      <c r="G76" s="8">
        <v>6341.911764705882</v>
      </c>
    </row>
    <row r="77" spans="1:7" x14ac:dyDescent="0.3">
      <c r="A77" t="s">
        <v>32</v>
      </c>
      <c r="B77" t="s">
        <v>11</v>
      </c>
      <c r="C77" t="s">
        <v>15</v>
      </c>
      <c r="D77" t="s">
        <v>10</v>
      </c>
      <c r="E77" t="s">
        <v>87</v>
      </c>
      <c r="F77" s="8">
        <v>57300</v>
      </c>
      <c r="G77" s="8">
        <v>6868.8563893550709</v>
      </c>
    </row>
    <row r="78" spans="1:7" x14ac:dyDescent="0.3">
      <c r="A78" t="s">
        <v>32</v>
      </c>
      <c r="B78" t="s">
        <v>11</v>
      </c>
      <c r="C78" t="s">
        <v>15</v>
      </c>
      <c r="D78" t="s">
        <v>10</v>
      </c>
      <c r="E78" t="s">
        <v>80</v>
      </c>
      <c r="F78" s="8">
        <v>220500</v>
      </c>
      <c r="G78" s="8">
        <v>5761.5894039735103</v>
      </c>
    </row>
    <row r="79" spans="1:7" x14ac:dyDescent="0.3">
      <c r="A79" t="s">
        <v>32</v>
      </c>
      <c r="B79" t="s">
        <v>11</v>
      </c>
      <c r="C79" t="s">
        <v>19</v>
      </c>
      <c r="D79" t="s">
        <v>10</v>
      </c>
      <c r="E79" t="s">
        <v>84</v>
      </c>
      <c r="F79" s="8">
        <v>20000</v>
      </c>
      <c r="G79" s="8">
        <v>5647.727272727273</v>
      </c>
    </row>
    <row r="80" spans="1:7" x14ac:dyDescent="0.3">
      <c r="A80" t="s">
        <v>32</v>
      </c>
      <c r="B80" t="s">
        <v>11</v>
      </c>
      <c r="C80" t="s">
        <v>24</v>
      </c>
      <c r="D80" t="s">
        <v>89</v>
      </c>
      <c r="F80" s="8">
        <v>6000</v>
      </c>
      <c r="G80" s="8">
        <v>6999.9632677049658</v>
      </c>
    </row>
    <row r="81" spans="1:7" x14ac:dyDescent="0.3">
      <c r="A81" t="s">
        <v>32</v>
      </c>
      <c r="B81" t="s">
        <v>11</v>
      </c>
      <c r="C81" t="s">
        <v>24</v>
      </c>
      <c r="D81" t="s">
        <v>20</v>
      </c>
      <c r="E81" t="s">
        <v>13</v>
      </c>
      <c r="F81" s="8">
        <v>21680</v>
      </c>
      <c r="G81" s="8">
        <v>6388.059701492537</v>
      </c>
    </row>
    <row r="82" spans="1:7" x14ac:dyDescent="0.3">
      <c r="A82" t="s">
        <v>32</v>
      </c>
      <c r="B82" t="s">
        <v>16</v>
      </c>
      <c r="C82" t="s">
        <v>15</v>
      </c>
      <c r="D82" t="s">
        <v>89</v>
      </c>
      <c r="F82" s="8">
        <v>3000</v>
      </c>
      <c r="G82" s="8">
        <v>6928.7940541836488</v>
      </c>
    </row>
    <row r="83" spans="1:7" x14ac:dyDescent="0.3">
      <c r="A83" t="s">
        <v>32</v>
      </c>
      <c r="B83" t="s">
        <v>16</v>
      </c>
      <c r="C83" t="s">
        <v>15</v>
      </c>
      <c r="D83" t="s">
        <v>10</v>
      </c>
      <c r="E83" t="s">
        <v>87</v>
      </c>
      <c r="F83" s="8">
        <v>18600</v>
      </c>
      <c r="G83" s="8">
        <v>5470.588235294118</v>
      </c>
    </row>
    <row r="84" spans="1:7" x14ac:dyDescent="0.3">
      <c r="A84" t="s">
        <v>32</v>
      </c>
      <c r="B84" t="s">
        <v>16</v>
      </c>
      <c r="C84" t="s">
        <v>19</v>
      </c>
      <c r="D84" t="s">
        <v>89</v>
      </c>
      <c r="F84" s="8">
        <v>3000</v>
      </c>
      <c r="G84" s="8">
        <v>6396.8253968253966</v>
      </c>
    </row>
    <row r="85" spans="1:7" x14ac:dyDescent="0.3">
      <c r="A85" t="s">
        <v>32</v>
      </c>
      <c r="B85" t="s">
        <v>16</v>
      </c>
      <c r="C85" t="s">
        <v>24</v>
      </c>
      <c r="D85" t="s">
        <v>20</v>
      </c>
      <c r="E85" t="s">
        <v>13</v>
      </c>
      <c r="F85" s="8">
        <v>43540</v>
      </c>
      <c r="G85" s="8">
        <v>6500.8518327310276</v>
      </c>
    </row>
    <row r="86" spans="1:7" x14ac:dyDescent="0.3">
      <c r="A86" t="s">
        <v>32</v>
      </c>
      <c r="B86" t="s">
        <v>96</v>
      </c>
      <c r="C86" t="s">
        <v>17</v>
      </c>
      <c r="D86" t="s">
        <v>10</v>
      </c>
      <c r="E86" t="s">
        <v>79</v>
      </c>
      <c r="F86" s="8">
        <v>347180</v>
      </c>
      <c r="G86" s="8">
        <v>5960.7361963190187</v>
      </c>
    </row>
    <row r="87" spans="1:7" x14ac:dyDescent="0.3">
      <c r="A87" t="s">
        <v>32</v>
      </c>
      <c r="B87" t="s">
        <v>88</v>
      </c>
      <c r="C87" t="s">
        <v>15</v>
      </c>
      <c r="D87" t="s">
        <v>10</v>
      </c>
      <c r="E87" t="s">
        <v>80</v>
      </c>
      <c r="F87" s="8">
        <v>28850</v>
      </c>
      <c r="G87" s="8">
        <v>7036.5853658536589</v>
      </c>
    </row>
    <row r="88" spans="1:7" x14ac:dyDescent="0.3">
      <c r="A88" t="s">
        <v>32</v>
      </c>
      <c r="B88" t="s">
        <v>93</v>
      </c>
      <c r="C88" t="s">
        <v>22</v>
      </c>
      <c r="D88" t="s">
        <v>10</v>
      </c>
      <c r="E88" t="s">
        <v>81</v>
      </c>
      <c r="F88" s="8">
        <v>23000</v>
      </c>
      <c r="G88" s="8">
        <v>6537.313432835821</v>
      </c>
    </row>
    <row r="89" spans="1:7" x14ac:dyDescent="0.3">
      <c r="A89" t="s">
        <v>32</v>
      </c>
      <c r="B89" t="s">
        <v>18</v>
      </c>
      <c r="C89" t="s">
        <v>15</v>
      </c>
      <c r="D89" t="s">
        <v>10</v>
      </c>
      <c r="E89" t="s">
        <v>83</v>
      </c>
      <c r="F89" s="8">
        <v>172000</v>
      </c>
      <c r="G89" s="8">
        <v>5918.1780898735342</v>
      </c>
    </row>
    <row r="90" spans="1:7" x14ac:dyDescent="0.3">
      <c r="A90" t="s">
        <v>32</v>
      </c>
      <c r="B90" t="s">
        <v>94</v>
      </c>
      <c r="C90" t="s">
        <v>22</v>
      </c>
      <c r="D90" t="s">
        <v>20</v>
      </c>
      <c r="E90" t="s">
        <v>82</v>
      </c>
      <c r="F90" s="8">
        <v>10000</v>
      </c>
      <c r="G90" s="8">
        <v>7506.0240963855422</v>
      </c>
    </row>
    <row r="91" spans="1:7" x14ac:dyDescent="0.3">
      <c r="A91" t="s">
        <v>23</v>
      </c>
      <c r="F91" s="8">
        <v>20447434.219999999</v>
      </c>
      <c r="G91" s="8">
        <v>6777.4507509038813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2CEA-DB0D-4368-A874-D17DDD68227A}">
  <sheetPr codeName="Hoja2">
    <pageSetUpPr fitToPage="1"/>
  </sheetPr>
  <dimension ref="A1:XEO106"/>
  <sheetViews>
    <sheetView showGridLines="0" tabSelected="1" topLeftCell="X1" zoomScaleNormal="85" workbookViewId="0">
      <selection activeCell="AE14" sqref="AE14"/>
    </sheetView>
  </sheetViews>
  <sheetFormatPr baseColWidth="10" defaultColWidth="11.44140625" defaultRowHeight="14.4" outlineLevelCol="1" x14ac:dyDescent="0.3"/>
  <cols>
    <col min="1" max="1" width="10.6640625" hidden="1" customWidth="1" outlineLevel="1"/>
    <col min="2" max="2" width="10.6640625" style="10" hidden="1" customWidth="1" outlineLevel="1"/>
    <col min="3" max="3" width="17" style="10" hidden="1" customWidth="1" outlineLevel="1"/>
    <col min="4" max="4" width="10.6640625" style="3" customWidth="1" collapsed="1"/>
    <col min="5" max="5" width="10.6640625" style="3" customWidth="1"/>
    <col min="6" max="6" width="14.109375" style="3" customWidth="1"/>
    <col min="7" max="7" width="10.6640625" customWidth="1"/>
    <col min="8" max="8" width="17.44140625" customWidth="1" outlineLevel="1"/>
    <col min="9" max="9" width="12.33203125" customWidth="1" outlineLevel="1"/>
    <col min="10" max="10" width="18.109375" customWidth="1" outlineLevel="1"/>
    <col min="11" max="11" width="10.6640625" customWidth="1" outlineLevel="1" collapsed="1"/>
    <col min="12" max="12" width="10.6640625" customWidth="1" outlineLevel="1"/>
    <col min="13" max="13" width="15.88671875" customWidth="1" outlineLevel="1"/>
    <col min="14" max="15" width="10.6640625" customWidth="1" outlineLevel="1"/>
    <col min="16" max="16" width="13.88671875" customWidth="1" outlineLevel="1"/>
    <col min="17" max="17" width="20.6640625" bestFit="1" customWidth="1"/>
    <col min="18" max="18" width="23" bestFit="1" customWidth="1"/>
    <col min="19" max="19" width="18.109375" customWidth="1"/>
    <col min="20" max="20" width="16.88671875" customWidth="1" outlineLevel="1"/>
    <col min="21" max="21" width="18.33203125" customWidth="1" outlineLevel="1"/>
    <col min="22" max="22" width="12.6640625" style="9" customWidth="1"/>
    <col min="23" max="23" width="35.5546875" customWidth="1"/>
    <col min="24" max="24" width="16.109375" customWidth="1"/>
    <col min="25" max="25" width="13.88671875" customWidth="1"/>
    <col min="26" max="26" width="12.5546875" style="9" customWidth="1" outlineLevel="1"/>
    <col min="27" max="28" width="15.6640625" customWidth="1" outlineLevel="1"/>
    <col min="29" max="29" width="26.6640625" customWidth="1"/>
    <col min="30" max="31" width="10.6640625" style="9" customWidth="1"/>
    <col min="32" max="32" width="13.5546875" customWidth="1"/>
    <col min="33" max="33" width="10.6640625" customWidth="1"/>
    <col min="34" max="34" width="11.44140625" customWidth="1" outlineLevel="1"/>
    <col min="35" max="35" width="12.6640625" customWidth="1" outlineLevel="1"/>
    <col min="36" max="36" width="16" customWidth="1" outlineLevel="1"/>
    <col min="37" max="37" width="15.33203125" customWidth="1" outlineLevel="1"/>
    <col min="38" max="38" width="16.88671875" customWidth="1" outlineLevel="1"/>
    <col min="39" max="39" width="10.33203125" customWidth="1" outlineLevel="1"/>
    <col min="40" max="40" width="19.88671875" customWidth="1" outlineLevel="1"/>
    <col min="41" max="41" width="19.33203125" customWidth="1" outlineLevel="1"/>
    <col min="42" max="42" width="19.33203125" customWidth="1" outlineLevel="1" collapsed="1"/>
    <col min="43" max="44" width="19.33203125" customWidth="1" outlineLevel="1"/>
    <col min="45" max="45" width="40.5546875" bestFit="1" customWidth="1"/>
    <col min="46" max="49" width="11.44140625" hidden="1" customWidth="1" outlineLevel="1"/>
    <col min="50" max="50" width="11.44140625" style="132" hidden="1" customWidth="1" outlineLevel="1" collapsed="1"/>
    <col min="51" max="52" width="11.44140625" style="132" hidden="1" customWidth="1" outlineLevel="1"/>
    <col min="53" max="53" width="11.44140625" collapsed="1"/>
  </cols>
  <sheetData>
    <row r="1" spans="1:52" s="1" customFormat="1" ht="21" customHeight="1" x14ac:dyDescent="0.4">
      <c r="A1" s="183" t="s">
        <v>97</v>
      </c>
      <c r="B1" s="183"/>
      <c r="C1" s="183"/>
      <c r="D1" s="183"/>
      <c r="E1" s="183"/>
      <c r="F1" s="183"/>
      <c r="V1" s="19"/>
      <c r="Z1" s="19"/>
      <c r="AD1" s="19"/>
      <c r="AE1" s="19"/>
      <c r="AX1" s="129"/>
      <c r="AY1" s="129"/>
      <c r="AZ1" s="129"/>
    </row>
    <row r="2" spans="1:52" ht="45.75" customHeight="1" x14ac:dyDescent="0.3">
      <c r="A2" s="4" t="s">
        <v>98</v>
      </c>
      <c r="B2" s="14" t="s">
        <v>99</v>
      </c>
      <c r="C2" s="14" t="s">
        <v>53</v>
      </c>
      <c r="D2" s="4" t="s">
        <v>0</v>
      </c>
      <c r="E2" s="4" t="s">
        <v>28</v>
      </c>
      <c r="F2" s="4" t="s">
        <v>3</v>
      </c>
      <c r="G2" s="4" t="s">
        <v>55</v>
      </c>
      <c r="H2" s="4" t="s">
        <v>51</v>
      </c>
      <c r="I2" s="4" t="s">
        <v>100</v>
      </c>
      <c r="J2" s="4" t="s">
        <v>101</v>
      </c>
      <c r="K2" s="4" t="s">
        <v>102</v>
      </c>
      <c r="L2" s="4" t="s">
        <v>103</v>
      </c>
      <c r="M2" s="4" t="s">
        <v>104</v>
      </c>
      <c r="N2" s="4" t="s">
        <v>105</v>
      </c>
      <c r="O2" s="4" t="s">
        <v>106</v>
      </c>
      <c r="P2" s="4" t="s">
        <v>107</v>
      </c>
      <c r="Q2" s="4" t="s">
        <v>108</v>
      </c>
      <c r="R2" s="4" t="s">
        <v>109</v>
      </c>
      <c r="S2" s="5" t="s">
        <v>110</v>
      </c>
      <c r="T2" s="4" t="s">
        <v>111</v>
      </c>
      <c r="U2" s="4" t="s">
        <v>112</v>
      </c>
      <c r="V2" s="14" t="s">
        <v>60</v>
      </c>
      <c r="W2" s="4" t="s">
        <v>113</v>
      </c>
      <c r="X2" s="4" t="s">
        <v>114</v>
      </c>
      <c r="Y2" s="4" t="s">
        <v>115</v>
      </c>
      <c r="Z2" s="14" t="s">
        <v>54</v>
      </c>
      <c r="AA2" s="4" t="s">
        <v>116</v>
      </c>
      <c r="AB2" s="4" t="s">
        <v>117</v>
      </c>
      <c r="AC2" s="172" t="s">
        <v>118</v>
      </c>
      <c r="AD2" s="14" t="s">
        <v>119</v>
      </c>
      <c r="AE2" s="14" t="s">
        <v>120</v>
      </c>
      <c r="AF2" s="4" t="s">
        <v>121</v>
      </c>
      <c r="AG2" s="4" t="s">
        <v>122</v>
      </c>
      <c r="AH2" s="4" t="s">
        <v>123</v>
      </c>
      <c r="AI2" s="4" t="s">
        <v>124</v>
      </c>
      <c r="AJ2" s="6" t="s">
        <v>125</v>
      </c>
      <c r="AK2" s="4" t="s">
        <v>126</v>
      </c>
      <c r="AL2" s="4" t="s">
        <v>127</v>
      </c>
      <c r="AM2" s="4" t="s">
        <v>128</v>
      </c>
      <c r="AN2" s="4" t="s">
        <v>129</v>
      </c>
      <c r="AO2" s="4" t="s">
        <v>130</v>
      </c>
      <c r="AP2" s="4" t="s">
        <v>131</v>
      </c>
      <c r="AQ2" s="4" t="s">
        <v>132</v>
      </c>
      <c r="AR2" s="4" t="s">
        <v>133</v>
      </c>
      <c r="AS2" s="4" t="s">
        <v>134</v>
      </c>
      <c r="AT2" s="18" t="s">
        <v>135</v>
      </c>
      <c r="AU2" s="18" t="s">
        <v>78</v>
      </c>
      <c r="AV2" s="18" t="s">
        <v>77</v>
      </c>
      <c r="AW2" s="18" t="s">
        <v>136</v>
      </c>
      <c r="AX2" s="130" t="s">
        <v>137</v>
      </c>
      <c r="AY2" s="130" t="s">
        <v>138</v>
      </c>
      <c r="AZ2" s="130" t="s">
        <v>139</v>
      </c>
    </row>
    <row r="3" spans="1:52" x14ac:dyDescent="0.3">
      <c r="A3" s="46" t="str">
        <f>TEXT(Registro_Ventas[[#This Row],[Fecha Captacion]],"Mmmm")</f>
        <v>Octubre</v>
      </c>
      <c r="B3" s="26">
        <v>45585</v>
      </c>
      <c r="C3" s="26" t="s">
        <v>88</v>
      </c>
      <c r="D3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3" s="27" t="s">
        <v>31</v>
      </c>
      <c r="F3" s="28" t="s">
        <v>12</v>
      </c>
      <c r="G3" s="27" t="s">
        <v>47</v>
      </c>
      <c r="H3" s="29">
        <v>101</v>
      </c>
      <c r="I3" s="30">
        <v>118.38</v>
      </c>
      <c r="J3" s="31">
        <v>637000</v>
      </c>
      <c r="K3" s="32"/>
      <c r="L3" s="33"/>
      <c r="M3" s="31"/>
      <c r="N3" s="31"/>
      <c r="O3" s="33"/>
      <c r="P3" s="31"/>
      <c r="Q3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101</v>
      </c>
      <c r="R3" s="31">
        <f>Registro_Ventas[[#This Row],[Precio Venta Departamento]]+Registro_Ventas[[#This Row],[Precio Venta Estacionamiento]]+Registro_Ventas[[#This Row],[Precio Venta Depósito]]</f>
        <v>637000</v>
      </c>
      <c r="S3" s="35">
        <f t="shared" ref="S3:S7" si="0">AA3+AB3</f>
        <v>637000</v>
      </c>
      <c r="T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5380.9765163034299</v>
      </c>
      <c r="U3" s="36">
        <f>IF(Registro_Ventas[[#This Row],[Categoria]]="Cita Agendada","",Registro_Ventas[[#This Row],[M2 PEN]]/3.8)</f>
        <v>1416.0464516587974</v>
      </c>
      <c r="V3" s="37">
        <v>45626</v>
      </c>
      <c r="W3" s="28" t="s">
        <v>140</v>
      </c>
      <c r="X3" s="27">
        <v>15580131</v>
      </c>
      <c r="Y3" s="37"/>
      <c r="Z3" s="38">
        <v>45595</v>
      </c>
      <c r="AA3" s="35">
        <v>3000</v>
      </c>
      <c r="AB3" s="35">
        <f>27000+3000+30000+700+573300</f>
        <v>634000</v>
      </c>
      <c r="AC3" s="27" t="s">
        <v>141</v>
      </c>
      <c r="AD3" s="43"/>
      <c r="AE3" s="43">
        <v>45688</v>
      </c>
      <c r="AF3" s="28" t="s">
        <v>142</v>
      </c>
      <c r="AG3" s="28"/>
      <c r="AH3" s="28"/>
      <c r="AI3" s="173"/>
      <c r="AJ3" s="35">
        <f>Registro_Ventas[[#This Row],[Precio Venta Unidad(es)]]*Registro_Ventas[[#This Row],[%Comision
Ejecutivo]]</f>
        <v>0</v>
      </c>
      <c r="AK3" s="39">
        <f>Registro_Ventas[[#This Row],[Total Comision]]*30%</f>
        <v>0</v>
      </c>
      <c r="AL3" s="40"/>
      <c r="AM3" s="28"/>
      <c r="AN3" s="28"/>
      <c r="AO3" s="28"/>
      <c r="AP3" s="28"/>
      <c r="AQ3" s="28"/>
      <c r="AR3" s="28"/>
      <c r="AS3" s="28"/>
      <c r="AT3" s="28" t="str">
        <f>IF(Registro_Ventas[[#This Row],[Fecha Separacion]]&lt;&gt;"",TEXT(Registro_Ventas[[#This Row],[Fecha Separacion]],"mmmm"),"")</f>
        <v>Octubre</v>
      </c>
      <c r="AU3" s="28" t="str">
        <f>IF(Registro_Ventas[[#This Row],[Firma Minuta]]&lt;&gt;"",TEXT(Registro_Ventas[[#This Row],[Firma Minuta]],"mmmm"),"")</f>
        <v>Noviembre</v>
      </c>
      <c r="AV3" s="28" t="str">
        <f>IF(Registro_Ventas[[#This Row],[Firma Minuta]]&lt;&gt;"",TEXT(Registro_Ventas[[#This Row],[Firma Minuta]],"yyyy"),"")</f>
        <v>2024</v>
      </c>
      <c r="AW3" s="28" t="str">
        <f>IF(Registro_Ventas[[#This Row],[Fecha Separacion]]&lt;&gt;"",TEXT(Registro_Ventas[[#This Row],[Fecha Separacion]],"yyyy"),"")</f>
        <v>2024</v>
      </c>
      <c r="AX3" s="131">
        <f>IF(Registro_Ventas[[#This Row],[Fecha Separacion]]="","",Registro_Ventas[[#This Row],[Fecha Separacion]]-Registro_Ventas[[#This Row],[Fecha Captacion]])</f>
        <v>10</v>
      </c>
      <c r="AY3" s="131">
        <f>+IF(Registro_Ventas[[#This Row],[Firma Minuta]]="","",Registro_Ventas[[#This Row],[Firma Minuta]]-Registro_Ventas[[#This Row],[Fecha Captacion]])</f>
        <v>41</v>
      </c>
      <c r="AZ3" s="131">
        <f>+IF(Registro_Ventas[[#This Row],[Firma Minuta]]="","",Registro_Ventas[[#This Row],[Firma Minuta]]-Registro_Ventas[[#This Row],[Fecha Separacion]])</f>
        <v>31</v>
      </c>
    </row>
    <row r="4" spans="1:52" x14ac:dyDescent="0.3">
      <c r="A4" s="46" t="str">
        <f>TEXT(Registro_Ventas[[#This Row],[Fecha Captacion]],"Mmmm")</f>
        <v>Mayo</v>
      </c>
      <c r="B4" s="26">
        <v>45792</v>
      </c>
      <c r="C4" s="26" t="s">
        <v>16</v>
      </c>
      <c r="D4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4" s="27" t="s">
        <v>31</v>
      </c>
      <c r="F4" s="28" t="s">
        <v>12</v>
      </c>
      <c r="G4" s="27" t="s">
        <v>47</v>
      </c>
      <c r="H4" s="29">
        <v>102</v>
      </c>
      <c r="I4" s="30">
        <v>121.17</v>
      </c>
      <c r="J4" s="31">
        <v>679000</v>
      </c>
      <c r="K4" s="32"/>
      <c r="L4" s="33"/>
      <c r="M4" s="31"/>
      <c r="N4" s="31"/>
      <c r="O4" s="33"/>
      <c r="P4" s="31"/>
      <c r="Q4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102</v>
      </c>
      <c r="R4" s="31">
        <f>Registro_Ventas[[#This Row],[Precio Venta Departamento]]+Registro_Ventas[[#This Row],[Precio Venta Estacionamiento]]+Registro_Ventas[[#This Row],[Precio Venta Depósito]]</f>
        <v>679000</v>
      </c>
      <c r="S4" s="35">
        <f t="shared" si="0"/>
        <v>679000</v>
      </c>
      <c r="T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5603.6972848064697</v>
      </c>
      <c r="U4" s="36">
        <f>IF(Registro_Ventas[[#This Row],[Categoria]]="Cita Agendada","",Registro_Ventas[[#This Row],[M2 PEN]]/3.8)</f>
        <v>1474.6571802122289</v>
      </c>
      <c r="V4" s="37">
        <v>45813</v>
      </c>
      <c r="W4" s="28" t="s">
        <v>143</v>
      </c>
      <c r="X4" s="27" t="s">
        <v>144</v>
      </c>
      <c r="Y4" s="37"/>
      <c r="Z4" s="38">
        <v>45794</v>
      </c>
      <c r="AA4" s="35">
        <v>3000</v>
      </c>
      <c r="AB4" s="35">
        <f>150000+115000+21400+10600+379000</f>
        <v>676000</v>
      </c>
      <c r="AC4" s="27" t="s">
        <v>141</v>
      </c>
      <c r="AD4" s="43"/>
      <c r="AE4" s="43">
        <v>45868</v>
      </c>
      <c r="AF4" s="28" t="s">
        <v>142</v>
      </c>
      <c r="AG4" s="28"/>
      <c r="AH4" s="28"/>
      <c r="AI4" s="173"/>
      <c r="AJ4" s="35">
        <f>Registro_Ventas[[#This Row],[Precio Venta Unidad(es)]]*Registro_Ventas[[#This Row],[%Comision
Ejecutivo]]</f>
        <v>0</v>
      </c>
      <c r="AK4" s="39">
        <f>Registro_Ventas[[#This Row],[Total Comision]]*30%</f>
        <v>0</v>
      </c>
      <c r="AL4" s="40"/>
      <c r="AM4" s="28"/>
      <c r="AN4" s="28"/>
      <c r="AO4" s="28"/>
      <c r="AP4" s="28"/>
      <c r="AQ4" s="28"/>
      <c r="AR4" s="28"/>
      <c r="AS4" s="28"/>
      <c r="AT4" s="28" t="str">
        <f>IF(Registro_Ventas[[#This Row],[Fecha Separacion]]&lt;&gt;"",TEXT(Registro_Ventas[[#This Row],[Fecha Separacion]],"mmmm"),"")</f>
        <v>Mayo</v>
      </c>
      <c r="AU4" s="28" t="str">
        <f>IF(Registro_Ventas[[#This Row],[Firma Minuta]]&lt;&gt;"",TEXT(Registro_Ventas[[#This Row],[Firma Minuta]],"mmmm"),"")</f>
        <v>Junio</v>
      </c>
      <c r="AV4" s="28" t="str">
        <f>IF(Registro_Ventas[[#This Row],[Firma Minuta]]&lt;&gt;"",TEXT(Registro_Ventas[[#This Row],[Firma Minuta]],"yyyy"),"")</f>
        <v>2025</v>
      </c>
      <c r="AW4" s="28" t="str">
        <f>IF(Registro_Ventas[[#This Row],[Fecha Separacion]]&lt;&gt;"",TEXT(Registro_Ventas[[#This Row],[Fecha Separacion]],"yyyy"),"")</f>
        <v>2025</v>
      </c>
      <c r="AX4" s="131">
        <f>IF(Registro_Ventas[[#This Row],[Fecha Separacion]]="","",Registro_Ventas[[#This Row],[Fecha Separacion]]-Registro_Ventas[[#This Row],[Fecha Captacion]])</f>
        <v>2</v>
      </c>
      <c r="AY4" s="131">
        <f>+IF(Registro_Ventas[[#This Row],[Firma Minuta]]="","",Registro_Ventas[[#This Row],[Firma Minuta]]-Registro_Ventas[[#This Row],[Fecha Captacion]])</f>
        <v>21</v>
      </c>
      <c r="AZ4" s="131">
        <f>+IF(Registro_Ventas[[#This Row],[Firma Minuta]]="","",Registro_Ventas[[#This Row],[Firma Minuta]]-Registro_Ventas[[#This Row],[Fecha Separacion]])</f>
        <v>19</v>
      </c>
    </row>
    <row r="5" spans="1:52" x14ac:dyDescent="0.3">
      <c r="A5" s="46" t="str">
        <f>TEXT(Registro_Ventas[[#This Row],[Fecha Captacion]],"Mmmm")</f>
        <v>Octubre</v>
      </c>
      <c r="B5" s="26">
        <v>45577</v>
      </c>
      <c r="C5" s="26" t="s">
        <v>14</v>
      </c>
      <c r="D5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5" s="27" t="s">
        <v>31</v>
      </c>
      <c r="F5" s="28" t="s">
        <v>12</v>
      </c>
      <c r="G5" s="27" t="s">
        <v>47</v>
      </c>
      <c r="H5" s="29">
        <v>103</v>
      </c>
      <c r="I5" s="30">
        <v>122.12</v>
      </c>
      <c r="J5" s="31">
        <v>520000</v>
      </c>
      <c r="K5" s="32"/>
      <c r="L5" s="33"/>
      <c r="M5" s="31"/>
      <c r="N5" s="31"/>
      <c r="O5" s="33"/>
      <c r="P5" s="31"/>
      <c r="Q5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103</v>
      </c>
      <c r="R5" s="31">
        <f>Registro_Ventas[[#This Row],[Precio Venta Departamento]]+Registro_Ventas[[#This Row],[Precio Venta Estacionamiento]]+Registro_Ventas[[#This Row],[Precio Venta Depósito]]</f>
        <v>520000</v>
      </c>
      <c r="S5" s="35">
        <f t="shared" si="0"/>
        <v>520400</v>
      </c>
      <c r="T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4258.1067802161806</v>
      </c>
      <c r="U5" s="36">
        <f>IF(Registro_Ventas[[#This Row],[Categoria]]="Cita Agendada","",Registro_Ventas[[#This Row],[M2 PEN]]/3.8)</f>
        <v>1120.5544158463633</v>
      </c>
      <c r="V5" s="37">
        <v>45663</v>
      </c>
      <c r="W5" s="28" t="s">
        <v>145</v>
      </c>
      <c r="X5" s="27">
        <v>70512701</v>
      </c>
      <c r="Y5" s="37"/>
      <c r="Z5" s="38">
        <v>45578</v>
      </c>
      <c r="AA5" s="35">
        <v>3000</v>
      </c>
      <c r="AB5" s="35">
        <f>117000+400400</f>
        <v>517400</v>
      </c>
      <c r="AC5" s="27" t="s">
        <v>141</v>
      </c>
      <c r="AD5" s="43"/>
      <c r="AE5" s="43">
        <v>45838</v>
      </c>
      <c r="AF5" s="28" t="s">
        <v>142</v>
      </c>
      <c r="AG5" s="28"/>
      <c r="AH5" s="28"/>
      <c r="AI5" s="173"/>
      <c r="AJ5" s="35">
        <f>Registro_Ventas[[#This Row],[Precio Venta Unidad(es)]]*Registro_Ventas[[#This Row],[%Comision
Ejecutivo]]</f>
        <v>0</v>
      </c>
      <c r="AK5" s="39">
        <f>Registro_Ventas[[#This Row],[Total Comision]]*30%</f>
        <v>0</v>
      </c>
      <c r="AL5" s="40"/>
      <c r="AM5" s="28"/>
      <c r="AN5" s="28"/>
      <c r="AO5" s="28"/>
      <c r="AP5" s="28"/>
      <c r="AQ5" s="28"/>
      <c r="AR5" s="28"/>
      <c r="AS5" s="28"/>
      <c r="AT5" s="28" t="str">
        <f>IF(Registro_Ventas[[#This Row],[Fecha Separacion]]&lt;&gt;"",TEXT(Registro_Ventas[[#This Row],[Fecha Separacion]],"mmmm"),"")</f>
        <v>Octubre</v>
      </c>
      <c r="AU5" s="28" t="str">
        <f>IF(Registro_Ventas[[#This Row],[Firma Minuta]]&lt;&gt;"",TEXT(Registro_Ventas[[#This Row],[Firma Minuta]],"mmmm"),"")</f>
        <v>Enero</v>
      </c>
      <c r="AV5" s="28" t="str">
        <f>IF(Registro_Ventas[[#This Row],[Firma Minuta]]&lt;&gt;"",TEXT(Registro_Ventas[[#This Row],[Firma Minuta]],"yyyy"),"")</f>
        <v>2025</v>
      </c>
      <c r="AW5" s="28" t="str">
        <f>IF(Registro_Ventas[[#This Row],[Fecha Separacion]]&lt;&gt;"",TEXT(Registro_Ventas[[#This Row],[Fecha Separacion]],"yyyy"),"")</f>
        <v>2024</v>
      </c>
      <c r="AX5" s="131">
        <f>IF(Registro_Ventas[[#This Row],[Fecha Separacion]]="","",Registro_Ventas[[#This Row],[Fecha Separacion]]-Registro_Ventas[[#This Row],[Fecha Captacion]])</f>
        <v>1</v>
      </c>
      <c r="AY5" s="131">
        <f>+IF(Registro_Ventas[[#This Row],[Firma Minuta]]="","",Registro_Ventas[[#This Row],[Firma Minuta]]-Registro_Ventas[[#This Row],[Fecha Captacion]])</f>
        <v>86</v>
      </c>
      <c r="AZ5" s="131">
        <f>+IF(Registro_Ventas[[#This Row],[Firma Minuta]]="","",Registro_Ventas[[#This Row],[Firma Minuta]]-Registro_Ventas[[#This Row],[Fecha Separacion]])</f>
        <v>85</v>
      </c>
    </row>
    <row r="6" spans="1:52" x14ac:dyDescent="0.3">
      <c r="A6" s="46" t="str">
        <f>TEXT(Registro_Ventas[[#This Row],[Fecha Captacion]],"Mmmm")</f>
        <v>Julio</v>
      </c>
      <c r="B6" s="26">
        <v>45493</v>
      </c>
      <c r="C6" s="26" t="s">
        <v>11</v>
      </c>
      <c r="D6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6" s="27" t="s">
        <v>31</v>
      </c>
      <c r="F6" s="28" t="s">
        <v>12</v>
      </c>
      <c r="G6" s="27" t="s">
        <v>47</v>
      </c>
      <c r="H6" s="29">
        <v>104</v>
      </c>
      <c r="I6" s="30">
        <v>131.91999999999999</v>
      </c>
      <c r="J6" s="31">
        <v>609100</v>
      </c>
      <c r="K6" s="32" t="s">
        <v>146</v>
      </c>
      <c r="L6" s="33">
        <v>18.5</v>
      </c>
      <c r="M6" s="31">
        <v>64600</v>
      </c>
      <c r="N6" s="31"/>
      <c r="O6" s="33"/>
      <c r="P6" s="31"/>
      <c r="Q6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104 / E26/D20</v>
      </c>
      <c r="R6" s="31">
        <f>Registro_Ventas[[#This Row],[Precio Venta Departamento]]+Registro_Ventas[[#This Row],[Precio Venta Estacionamiento]]+Registro_Ventas[[#This Row],[Precio Venta Depósito]]</f>
        <v>673700</v>
      </c>
      <c r="S6" s="35">
        <f t="shared" si="0"/>
        <v>673660</v>
      </c>
      <c r="T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4478.7927137348761</v>
      </c>
      <c r="U6" s="36">
        <f>IF(Registro_Ventas[[#This Row],[Categoria]]="Cita Agendada","",Registro_Ventas[[#This Row],[M2 PEN]]/3.8)</f>
        <v>1178.629661509178</v>
      </c>
      <c r="V6" s="37">
        <v>45537</v>
      </c>
      <c r="W6" s="28" t="s">
        <v>147</v>
      </c>
      <c r="X6" s="27">
        <v>43636501</v>
      </c>
      <c r="Y6" s="37"/>
      <c r="Z6" s="38">
        <v>45494</v>
      </c>
      <c r="AA6" s="35">
        <v>3000</v>
      </c>
      <c r="AB6" s="35">
        <f>134700+535960</f>
        <v>670660</v>
      </c>
      <c r="AC6" s="27" t="s">
        <v>141</v>
      </c>
      <c r="AD6" s="43"/>
      <c r="AE6" s="43">
        <v>45868</v>
      </c>
      <c r="AF6" s="28" t="s">
        <v>148</v>
      </c>
      <c r="AG6" s="28" t="s">
        <v>149</v>
      </c>
      <c r="AH6" s="28"/>
      <c r="AI6" s="173"/>
      <c r="AJ6" s="35">
        <f>Registro_Ventas[[#This Row],[Precio Venta Unidad(es)]]*Registro_Ventas[[#This Row],[%Comision
Ejecutivo]]</f>
        <v>0</v>
      </c>
      <c r="AK6" s="39">
        <f>Registro_Ventas[[#This Row],[Total Comision]]*30%</f>
        <v>0</v>
      </c>
      <c r="AL6" s="40"/>
      <c r="AM6" s="28"/>
      <c r="AN6" s="28"/>
      <c r="AO6" s="28"/>
      <c r="AP6" s="28"/>
      <c r="AQ6" s="28"/>
      <c r="AR6" s="28"/>
      <c r="AS6" s="28"/>
      <c r="AT6" s="28" t="str">
        <f>IF(Registro_Ventas[[#This Row],[Fecha Separacion]]&lt;&gt;"",TEXT(Registro_Ventas[[#This Row],[Fecha Separacion]],"mmmm"),"")</f>
        <v>Julio</v>
      </c>
      <c r="AU6" s="28" t="str">
        <f>IF(Registro_Ventas[[#This Row],[Firma Minuta]]&lt;&gt;"",TEXT(Registro_Ventas[[#This Row],[Firma Minuta]],"mmmm"),"")</f>
        <v>Setiembre</v>
      </c>
      <c r="AV6" s="28" t="str">
        <f>IF(Registro_Ventas[[#This Row],[Firma Minuta]]&lt;&gt;"",TEXT(Registro_Ventas[[#This Row],[Firma Minuta]],"yyyy"),"")</f>
        <v>2024</v>
      </c>
      <c r="AW6" s="28" t="str">
        <f>IF(Registro_Ventas[[#This Row],[Fecha Separacion]]&lt;&gt;"",TEXT(Registro_Ventas[[#This Row],[Fecha Separacion]],"yyyy"),"")</f>
        <v>2024</v>
      </c>
      <c r="AX6" s="131">
        <f>IF(Registro_Ventas[[#This Row],[Fecha Separacion]]="","",Registro_Ventas[[#This Row],[Fecha Separacion]]-Registro_Ventas[[#This Row],[Fecha Captacion]])</f>
        <v>1</v>
      </c>
      <c r="AY6" s="131">
        <f>+IF(Registro_Ventas[[#This Row],[Firma Minuta]]="","",Registro_Ventas[[#This Row],[Firma Minuta]]-Registro_Ventas[[#This Row],[Fecha Captacion]])</f>
        <v>44</v>
      </c>
      <c r="AZ6" s="131">
        <f>+IF(Registro_Ventas[[#This Row],[Firma Minuta]]="","",Registro_Ventas[[#This Row],[Firma Minuta]]-Registro_Ventas[[#This Row],[Fecha Separacion]])</f>
        <v>43</v>
      </c>
    </row>
    <row r="7" spans="1:52" x14ac:dyDescent="0.3">
      <c r="A7" s="46" t="str">
        <f>TEXT(Registro_Ventas[[#This Row],[Fecha Captacion]],"Mmmm")</f>
        <v>Noviembre</v>
      </c>
      <c r="B7" s="26">
        <v>45968</v>
      </c>
      <c r="C7" s="26" t="s">
        <v>11</v>
      </c>
      <c r="D7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7" s="27" t="s">
        <v>32</v>
      </c>
      <c r="F7" s="28" t="s">
        <v>19</v>
      </c>
      <c r="G7" s="27" t="s">
        <v>48</v>
      </c>
      <c r="H7" s="29">
        <v>104</v>
      </c>
      <c r="I7" s="30">
        <v>88</v>
      </c>
      <c r="J7" s="31">
        <v>497000</v>
      </c>
      <c r="K7" s="32"/>
      <c r="L7" s="33"/>
      <c r="M7" s="31"/>
      <c r="N7" s="31"/>
      <c r="O7" s="33"/>
      <c r="P7" s="31"/>
      <c r="Q7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104</v>
      </c>
      <c r="R7" s="31">
        <f>Registro_Ventas[[#This Row],[Precio Venta Departamento]]+Registro_Ventas[[#This Row],[Precio Venta Estacionamiento]]+Registro_Ventas[[#This Row],[Precio Venta Depósito]]</f>
        <v>497000</v>
      </c>
      <c r="S7" s="35">
        <f t="shared" si="0"/>
        <v>20000</v>
      </c>
      <c r="T7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5647.727272727273</v>
      </c>
      <c r="U7" s="36">
        <f>IF(Registro_Ventas[[#This Row],[Categoria]]="Cita Agendada","",Registro_Ventas[[#This Row],[M2 PEN]]/3.8)</f>
        <v>1486.2440191387561</v>
      </c>
      <c r="V7" s="37">
        <v>45983</v>
      </c>
      <c r="W7" s="28" t="s">
        <v>150</v>
      </c>
      <c r="X7" s="45">
        <v>45611107</v>
      </c>
      <c r="Y7" s="128"/>
      <c r="Z7" s="38">
        <v>45972</v>
      </c>
      <c r="AA7" s="35">
        <v>3000</v>
      </c>
      <c r="AB7" s="35">
        <v>17000</v>
      </c>
      <c r="AC7" s="27" t="s">
        <v>151</v>
      </c>
      <c r="AD7" s="43"/>
      <c r="AE7" s="43">
        <v>46203</v>
      </c>
      <c r="AF7" s="28" t="s">
        <v>142</v>
      </c>
      <c r="AG7" s="28"/>
      <c r="AH7" s="28"/>
      <c r="AI7" s="173">
        <v>3.5000000000000001E-3</v>
      </c>
      <c r="AJ7" s="35">
        <f>Registro_Ventas[[#This Row],[Precio Venta Unidad(es)]]*Registro_Ventas[[#This Row],[%Comision
Ejecutivo]]</f>
        <v>1739.5</v>
      </c>
      <c r="AK7" s="39">
        <f>Registro_Ventas[[#This Row],[Total Comision]]*50%</f>
        <v>869.75</v>
      </c>
      <c r="AL7" s="39">
        <f>Registro_Ventas[[#This Row],[Total Comision]]*50%</f>
        <v>869.75</v>
      </c>
      <c r="AM7" s="28" t="s">
        <v>152</v>
      </c>
      <c r="AN7" s="46">
        <v>46022</v>
      </c>
      <c r="AO7" s="28"/>
      <c r="AP7" s="28"/>
      <c r="AQ7" s="28"/>
      <c r="AR7" s="28"/>
      <c r="AS7" s="28"/>
      <c r="AT7" s="28" t="str">
        <f>IF(Registro_Ventas[[#This Row],[Fecha Separacion]]&lt;&gt;"",TEXT(Registro_Ventas[[#This Row],[Fecha Separacion]],"mmmm"),"")</f>
        <v>Noviembre</v>
      </c>
      <c r="AU7" s="28" t="str">
        <f>IF(Registro_Ventas[[#This Row],[Firma Minuta]]&lt;&gt;"",TEXT(Registro_Ventas[[#This Row],[Firma Minuta]],"mmmm"),"")</f>
        <v>Noviembre</v>
      </c>
      <c r="AV7" s="28" t="str">
        <f>IF(Registro_Ventas[[#This Row],[Firma Minuta]]&lt;&gt;"",TEXT(Registro_Ventas[[#This Row],[Firma Minuta]],"yyyy"),"")</f>
        <v>2025</v>
      </c>
      <c r="AW7" s="28" t="str">
        <f>IF(Registro_Ventas[[#This Row],[Fecha Separacion]]&lt;&gt;"",TEXT(Registro_Ventas[[#This Row],[Fecha Separacion]],"yyyy"),"")</f>
        <v>2025</v>
      </c>
      <c r="AX7" s="131">
        <f>IF(Registro_Ventas[[#This Row],[Fecha Separacion]]="","",Registro_Ventas[[#This Row],[Fecha Separacion]]-Registro_Ventas[[#This Row],[Fecha Captacion]])</f>
        <v>4</v>
      </c>
      <c r="AY7" s="131">
        <f>+IF(Registro_Ventas[[#This Row],[Firma Minuta]]="","",Registro_Ventas[[#This Row],[Firma Minuta]]-Registro_Ventas[[#This Row],[Fecha Captacion]])</f>
        <v>15</v>
      </c>
      <c r="AZ7" s="131">
        <f>+IF(Registro_Ventas[[#This Row],[Firma Minuta]]="","",Registro_Ventas[[#This Row],[Firma Minuta]]-Registro_Ventas[[#This Row],[Fecha Separacion]])</f>
        <v>11</v>
      </c>
    </row>
    <row r="8" spans="1:52" x14ac:dyDescent="0.3">
      <c r="A8" s="46" t="str">
        <f>TEXT(Registro_Ventas[[#This Row],[Fecha Captacion]],"Mmmm")</f>
        <v>Junio</v>
      </c>
      <c r="B8" s="26">
        <v>45812</v>
      </c>
      <c r="C8" s="26" t="s">
        <v>11</v>
      </c>
      <c r="D8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8" s="27" t="s">
        <v>30</v>
      </c>
      <c r="F8" s="28" t="s">
        <v>19</v>
      </c>
      <c r="G8" s="27" t="s">
        <v>46</v>
      </c>
      <c r="H8" s="29">
        <v>201</v>
      </c>
      <c r="I8" s="30">
        <v>70</v>
      </c>
      <c r="J8" s="31">
        <v>469500</v>
      </c>
      <c r="K8" s="32" t="s">
        <v>153</v>
      </c>
      <c r="L8" s="33">
        <v>12.5</v>
      </c>
      <c r="M8" s="31">
        <v>47500</v>
      </c>
      <c r="N8" s="31"/>
      <c r="O8" s="33"/>
      <c r="P8" s="31"/>
      <c r="Q8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 xml:space="preserve">201 / E29 </v>
      </c>
      <c r="R8" s="31">
        <f>Registro_Ventas[[#This Row],[Precio Venta Departamento]]+Registro_Ventas[[#This Row],[Precio Venta Estacionamiento]]+Registro_Ventas[[#This Row],[Precio Venta Depósito]]</f>
        <v>517000</v>
      </c>
      <c r="S8" s="35">
        <f t="shared" ref="S8:S39" si="1">AA8+AB8</f>
        <v>20000</v>
      </c>
      <c r="T8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6266.666666666667</v>
      </c>
      <c r="U8" s="36">
        <f>IF(Registro_Ventas[[#This Row],[Categoria]]="Cita Agendada","",Registro_Ventas[[#This Row],[M2 PEN]]/3.8)</f>
        <v>1649.1228070175441</v>
      </c>
      <c r="V8" s="37">
        <v>45986</v>
      </c>
      <c r="W8" s="28" t="s">
        <v>154</v>
      </c>
      <c r="X8" s="45">
        <v>22079563</v>
      </c>
      <c r="Y8" s="128"/>
      <c r="Z8" s="38">
        <v>45986</v>
      </c>
      <c r="AA8" s="35">
        <v>3000</v>
      </c>
      <c r="AB8" s="35">
        <v>17000</v>
      </c>
      <c r="AC8" s="27" t="s">
        <v>141</v>
      </c>
      <c r="AD8" s="43"/>
      <c r="AE8" s="43">
        <v>46505</v>
      </c>
      <c r="AF8" s="28"/>
      <c r="AG8" s="28"/>
      <c r="AH8" s="28"/>
      <c r="AI8" s="173">
        <v>3.5000000000000001E-3</v>
      </c>
      <c r="AJ8" s="35">
        <f>Registro_Ventas[[#This Row],[Precio Venta Unidad(es)]]*Registro_Ventas[[#This Row],[%Comision
Ejecutivo]]</f>
        <v>1809.5</v>
      </c>
      <c r="AK8" s="39">
        <f>Registro_Ventas[[#This Row],[Total Comision]]*0%</f>
        <v>0</v>
      </c>
      <c r="AL8" s="39">
        <f>Registro_Ventas[[#This Row],[Total Comision]]*100%</f>
        <v>1809.5</v>
      </c>
      <c r="AM8" s="28" t="s">
        <v>155</v>
      </c>
      <c r="AN8" s="46"/>
      <c r="AO8" s="28"/>
      <c r="AP8" s="28"/>
      <c r="AQ8" s="28"/>
      <c r="AR8" s="28"/>
      <c r="AS8" s="28"/>
      <c r="AT8" s="28" t="str">
        <f>IF(Registro_Ventas[[#This Row],[Fecha Separacion]]&lt;&gt;"",TEXT(Registro_Ventas[[#This Row],[Fecha Separacion]],"mmmm"),"")</f>
        <v>Noviembre</v>
      </c>
      <c r="AU8" s="28" t="str">
        <f>IF(Registro_Ventas[[#This Row],[Firma Minuta]]&lt;&gt;"",TEXT(Registro_Ventas[[#This Row],[Firma Minuta]],"mmmm"),"")</f>
        <v>Noviembre</v>
      </c>
      <c r="AV8" s="28" t="str">
        <f>IF(Registro_Ventas[[#This Row],[Firma Minuta]]&lt;&gt;"",TEXT(Registro_Ventas[[#This Row],[Firma Minuta]],"yyyy"),"")</f>
        <v>2025</v>
      </c>
      <c r="AW8" s="28" t="str">
        <f>IF(Registro_Ventas[[#This Row],[Fecha Separacion]]&lt;&gt;"",TEXT(Registro_Ventas[[#This Row],[Fecha Separacion]],"yyyy"),"")</f>
        <v>2025</v>
      </c>
      <c r="AX8" s="131">
        <f>IF(Registro_Ventas[[#This Row],[Fecha Separacion]]="","",Registro_Ventas[[#This Row],[Fecha Separacion]]-Registro_Ventas[[#This Row],[Fecha Captacion]])</f>
        <v>174</v>
      </c>
      <c r="AY8" s="131">
        <f>+IF(Registro_Ventas[[#This Row],[Firma Minuta]]="","",Registro_Ventas[[#This Row],[Firma Minuta]]-Registro_Ventas[[#This Row],[Fecha Captacion]])</f>
        <v>174</v>
      </c>
      <c r="AZ8" s="131">
        <f>+IF(Registro_Ventas[[#This Row],[Firma Minuta]]="","",Registro_Ventas[[#This Row],[Firma Minuta]]-Registro_Ventas[[#This Row],[Fecha Separacion]])</f>
        <v>0</v>
      </c>
    </row>
    <row r="9" spans="1:52" x14ac:dyDescent="0.3">
      <c r="A9" s="46" t="str">
        <f>TEXT(Registro_Ventas[[#This Row],[Fecha Captacion]],"Mmmm")</f>
        <v>Enero</v>
      </c>
      <c r="B9" s="26">
        <v>44934</v>
      </c>
      <c r="C9" s="26" t="s">
        <v>88</v>
      </c>
      <c r="D9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9" s="27" t="s">
        <v>31</v>
      </c>
      <c r="F9" s="28" t="s">
        <v>12</v>
      </c>
      <c r="G9" s="27" t="s">
        <v>47</v>
      </c>
      <c r="H9" s="29">
        <v>201</v>
      </c>
      <c r="I9" s="30">
        <v>84</v>
      </c>
      <c r="J9" s="31">
        <v>622500</v>
      </c>
      <c r="K9" s="32"/>
      <c r="L9" s="33"/>
      <c r="M9" s="31"/>
      <c r="N9" s="31"/>
      <c r="O9" s="33"/>
      <c r="P9" s="31"/>
      <c r="Q9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201</v>
      </c>
      <c r="R9" s="31">
        <f>Registro_Ventas[[#This Row],[Precio Venta Departamento]]+Registro_Ventas[[#This Row],[Precio Venta Estacionamiento]]+Registro_Ventas[[#This Row],[Precio Venta Depósito]]</f>
        <v>622500</v>
      </c>
      <c r="S9" s="35">
        <f t="shared" si="1"/>
        <v>622500</v>
      </c>
      <c r="T9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7410.7142857142853</v>
      </c>
      <c r="U9" s="36">
        <f>IF(Registro_Ventas[[#This Row],[Categoria]]="Cita Agendada","",Registro_Ventas[[#This Row],[M2 PEN]]/3.8)</f>
        <v>1950.187969924812</v>
      </c>
      <c r="V9" s="37">
        <v>45488</v>
      </c>
      <c r="W9" s="28" t="s">
        <v>156</v>
      </c>
      <c r="X9" s="27">
        <v>46730672</v>
      </c>
      <c r="Y9" s="37"/>
      <c r="Z9" s="38">
        <v>45479</v>
      </c>
      <c r="AA9" s="35">
        <v>3000</v>
      </c>
      <c r="AB9" s="35">
        <f>20000+65000+22000+512500</f>
        <v>619500</v>
      </c>
      <c r="AC9" s="27" t="s">
        <v>141</v>
      </c>
      <c r="AD9" s="43"/>
      <c r="AE9" s="43"/>
      <c r="AF9" s="28"/>
      <c r="AG9" s="28"/>
      <c r="AH9" s="28"/>
      <c r="AI9" s="173"/>
      <c r="AJ9" s="35">
        <f>Registro_Ventas[[#This Row],[Precio Venta Unidad(es)]]*Registro_Ventas[[#This Row],[%Comision
Ejecutivo]]</f>
        <v>0</v>
      </c>
      <c r="AK9" s="39">
        <f>Registro_Ventas[[#This Row],[Total Comision]]*30%</f>
        <v>0</v>
      </c>
      <c r="AL9" s="40"/>
      <c r="AM9" s="28"/>
      <c r="AN9" s="28"/>
      <c r="AO9" s="28"/>
      <c r="AP9" s="28"/>
      <c r="AQ9" s="28"/>
      <c r="AR9" s="28"/>
      <c r="AS9" s="28"/>
      <c r="AT9" s="28" t="str">
        <f>IF(Registro_Ventas[[#This Row],[Fecha Separacion]]&lt;&gt;"",TEXT(Registro_Ventas[[#This Row],[Fecha Separacion]],"mmmm"),"")</f>
        <v>Julio</v>
      </c>
      <c r="AU9" s="28" t="str">
        <f>IF(Registro_Ventas[[#This Row],[Firma Minuta]]&lt;&gt;"",TEXT(Registro_Ventas[[#This Row],[Firma Minuta]],"mmmm"),"")</f>
        <v>Julio</v>
      </c>
      <c r="AV9" s="28" t="str">
        <f>IF(Registro_Ventas[[#This Row],[Firma Minuta]]&lt;&gt;"",TEXT(Registro_Ventas[[#This Row],[Firma Minuta]],"yyyy"),"")</f>
        <v>2024</v>
      </c>
      <c r="AW9" s="28" t="str">
        <f>IF(Registro_Ventas[[#This Row],[Fecha Separacion]]&lt;&gt;"",TEXT(Registro_Ventas[[#This Row],[Fecha Separacion]],"yyyy"),"")</f>
        <v>2024</v>
      </c>
      <c r="AX9" s="131">
        <f>IF(Registro_Ventas[[#This Row],[Fecha Separacion]]="","",Registro_Ventas[[#This Row],[Fecha Separacion]]-Registro_Ventas[[#This Row],[Fecha Captacion]])</f>
        <v>545</v>
      </c>
      <c r="AY9" s="131">
        <f>+IF(Registro_Ventas[[#This Row],[Firma Minuta]]="","",Registro_Ventas[[#This Row],[Firma Minuta]]-Registro_Ventas[[#This Row],[Fecha Captacion]])</f>
        <v>554</v>
      </c>
      <c r="AZ9" s="131">
        <f>+IF(Registro_Ventas[[#This Row],[Firma Minuta]]="","",Registro_Ventas[[#This Row],[Firma Minuta]]-Registro_Ventas[[#This Row],[Fecha Separacion]])</f>
        <v>9</v>
      </c>
    </row>
    <row r="10" spans="1:52" x14ac:dyDescent="0.3">
      <c r="A10" s="46" t="str">
        <f>TEXT(Registro_Ventas[[#This Row],[Fecha Captacion]],"Mmmm")</f>
        <v>Junio</v>
      </c>
      <c r="B10" s="26">
        <v>45809</v>
      </c>
      <c r="C10" s="26" t="s">
        <v>11</v>
      </c>
      <c r="D10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0" s="27" t="s">
        <v>30</v>
      </c>
      <c r="F10" s="28" t="s">
        <v>12</v>
      </c>
      <c r="G10" s="27" t="s">
        <v>47</v>
      </c>
      <c r="H10" s="29">
        <v>202</v>
      </c>
      <c r="I10" s="30">
        <v>57</v>
      </c>
      <c r="J10" s="31">
        <v>430000</v>
      </c>
      <c r="K10" s="32"/>
      <c r="L10" s="33"/>
      <c r="M10" s="31"/>
      <c r="N10" s="31"/>
      <c r="O10" s="33"/>
      <c r="P10" s="31"/>
      <c r="Q10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202</v>
      </c>
      <c r="R10" s="31">
        <f>Registro_Ventas[[#This Row],[Precio Venta Departamento]]+Registro_Ventas[[#This Row],[Precio Venta Estacionamiento]]+Registro_Ventas[[#This Row],[Precio Venta Depósito]]</f>
        <v>430000</v>
      </c>
      <c r="S10" s="35">
        <f t="shared" si="1"/>
        <v>23000</v>
      </c>
      <c r="T10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7543.8596491228072</v>
      </c>
      <c r="U10" s="36">
        <f>IF(Registro_Ventas[[#This Row],[Categoria]]="Cita Agendada","",Registro_Ventas[[#This Row],[M2 PEN]]/3.8)</f>
        <v>1985.2262234533705</v>
      </c>
      <c r="V10" s="37">
        <v>45917</v>
      </c>
      <c r="W10" s="28" t="s">
        <v>157</v>
      </c>
      <c r="X10" s="27" t="s">
        <v>158</v>
      </c>
      <c r="Y10" s="37"/>
      <c r="Z10" s="38">
        <v>45837</v>
      </c>
      <c r="AA10" s="35">
        <v>3000</v>
      </c>
      <c r="AB10" s="35">
        <v>20000</v>
      </c>
      <c r="AC10" s="27" t="s">
        <v>159</v>
      </c>
      <c r="AD10" s="46"/>
      <c r="AE10" s="43">
        <v>46142</v>
      </c>
      <c r="AF10" s="28" t="s">
        <v>160</v>
      </c>
      <c r="AG10" s="28"/>
      <c r="AH10" s="28"/>
      <c r="AI10" s="173"/>
      <c r="AJ10" s="35">
        <f>Registro_Ventas[[#This Row],[Precio Venta Unidad(es)]]*Registro_Ventas[[#This Row],[%Comision
Ejecutivo]]</f>
        <v>0</v>
      </c>
      <c r="AK10" s="39">
        <f>Registro_Ventas[[#This Row],[Total Comision]]*30%</f>
        <v>0</v>
      </c>
      <c r="AL10" s="40"/>
      <c r="AM10" s="28"/>
      <c r="AN10" s="28"/>
      <c r="AO10" s="28"/>
      <c r="AP10" s="28"/>
      <c r="AQ10" s="28"/>
      <c r="AR10" s="28"/>
      <c r="AS10" s="28"/>
      <c r="AT10" s="28" t="str">
        <f>IF(Registro_Ventas[[#This Row],[Fecha Separacion]]&lt;&gt;"",TEXT(Registro_Ventas[[#This Row],[Fecha Separacion]],"mmmm"),"")</f>
        <v>Junio</v>
      </c>
      <c r="AU10" s="28" t="str">
        <f>IF(Registro_Ventas[[#This Row],[Firma Minuta]]&lt;&gt;"",TEXT(Registro_Ventas[[#This Row],[Firma Minuta]],"mmmm"),"")</f>
        <v>Setiembre</v>
      </c>
      <c r="AV10" s="28" t="str">
        <f>IF(Registro_Ventas[[#This Row],[Firma Minuta]]&lt;&gt;"",TEXT(Registro_Ventas[[#This Row],[Firma Minuta]],"yyyy"),"")</f>
        <v>2025</v>
      </c>
      <c r="AW10" s="28" t="str">
        <f>IF(Registro_Ventas[[#This Row],[Fecha Separacion]]&lt;&gt;"",TEXT(Registro_Ventas[[#This Row],[Fecha Separacion]],"yyyy"),"")</f>
        <v>2025</v>
      </c>
      <c r="AX10" s="131">
        <f>IF(Registro_Ventas[[#This Row],[Fecha Separacion]]="","",Registro_Ventas[[#This Row],[Fecha Separacion]]-Registro_Ventas[[#This Row],[Fecha Captacion]])</f>
        <v>28</v>
      </c>
      <c r="AY10" s="131">
        <f>+IF(Registro_Ventas[[#This Row],[Firma Minuta]]="","",Registro_Ventas[[#This Row],[Firma Minuta]]-Registro_Ventas[[#This Row],[Fecha Captacion]])</f>
        <v>108</v>
      </c>
      <c r="AZ10" s="131">
        <f>+IF(Registro_Ventas[[#This Row],[Firma Minuta]]="","",Registro_Ventas[[#This Row],[Firma Minuta]]-Registro_Ventas[[#This Row],[Fecha Separacion]])</f>
        <v>80</v>
      </c>
    </row>
    <row r="11" spans="1:52" x14ac:dyDescent="0.3">
      <c r="A11" s="46" t="str">
        <f>TEXT(Registro_Ventas[[#This Row],[Fecha Captacion]],"Mmmm")</f>
        <v>Agosto</v>
      </c>
      <c r="B11" s="26">
        <v>45523</v>
      </c>
      <c r="C11" s="26" t="s">
        <v>11</v>
      </c>
      <c r="D11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1" s="27" t="s">
        <v>31</v>
      </c>
      <c r="F11" s="28" t="s">
        <v>12</v>
      </c>
      <c r="G11" s="27" t="s">
        <v>47</v>
      </c>
      <c r="H11" s="29">
        <v>202</v>
      </c>
      <c r="I11" s="30">
        <v>56</v>
      </c>
      <c r="J11" s="31">
        <v>446900</v>
      </c>
      <c r="K11" s="32"/>
      <c r="L11" s="33"/>
      <c r="M11" s="31"/>
      <c r="N11" s="31"/>
      <c r="O11" s="33"/>
      <c r="P11" s="31"/>
      <c r="Q11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202</v>
      </c>
      <c r="R11" s="31">
        <f>Registro_Ventas[[#This Row],[Precio Venta Departamento]]+Registro_Ventas[[#This Row],[Precio Venta Estacionamiento]]+Registro_Ventas[[#This Row],[Precio Venta Depósito]]</f>
        <v>446900</v>
      </c>
      <c r="S11" s="35">
        <f t="shared" si="1"/>
        <v>446900</v>
      </c>
      <c r="T11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7980.3571428571431</v>
      </c>
      <c r="U11" s="36">
        <f>IF(Registro_Ventas[[#This Row],[Categoria]]="Cita Agendada","",Registro_Ventas[[#This Row],[M2 PEN]]/3.8)</f>
        <v>2100.093984962406</v>
      </c>
      <c r="V11" s="37">
        <v>45911</v>
      </c>
      <c r="W11" s="28" t="s">
        <v>161</v>
      </c>
      <c r="X11" s="27">
        <v>31676885</v>
      </c>
      <c r="Y11" s="37"/>
      <c r="Z11" s="38">
        <v>45526</v>
      </c>
      <c r="AA11" s="35">
        <v>3000</v>
      </c>
      <c r="AB11" s="35">
        <f>86380+357520</f>
        <v>443900</v>
      </c>
      <c r="AC11" s="27" t="s">
        <v>141</v>
      </c>
      <c r="AD11" s="46"/>
      <c r="AE11" s="43">
        <v>46021</v>
      </c>
      <c r="AF11" s="28" t="s">
        <v>162</v>
      </c>
      <c r="AG11" s="28"/>
      <c r="AH11" s="28"/>
      <c r="AI11" s="173"/>
      <c r="AJ11" s="35">
        <f>Registro_Ventas[[#This Row],[Precio Venta Unidad(es)]]*Registro_Ventas[[#This Row],[%Comision
Ejecutivo]]</f>
        <v>0</v>
      </c>
      <c r="AK11" s="39">
        <f>Registro_Ventas[[#This Row],[Total Comision]]*30%</f>
        <v>0</v>
      </c>
      <c r="AL11" s="40"/>
      <c r="AM11" s="28"/>
      <c r="AN11" s="28"/>
      <c r="AO11" s="28"/>
      <c r="AP11" s="28"/>
      <c r="AQ11" s="28"/>
      <c r="AR11" s="28"/>
      <c r="AS11" s="28"/>
      <c r="AT11" s="28" t="str">
        <f>IF(Registro_Ventas[[#This Row],[Fecha Separacion]]&lt;&gt;"",TEXT(Registro_Ventas[[#This Row],[Fecha Separacion]],"mmmm"),"")</f>
        <v>Agosto</v>
      </c>
      <c r="AU11" s="28" t="str">
        <f>IF(Registro_Ventas[[#This Row],[Firma Minuta]]&lt;&gt;"",TEXT(Registro_Ventas[[#This Row],[Firma Minuta]],"mmmm"),"")</f>
        <v>Setiembre</v>
      </c>
      <c r="AV11" s="28" t="str">
        <f>IF(Registro_Ventas[[#This Row],[Firma Minuta]]&lt;&gt;"",TEXT(Registro_Ventas[[#This Row],[Firma Minuta]],"yyyy"),"")</f>
        <v>2025</v>
      </c>
      <c r="AW11" s="28" t="str">
        <f>IF(Registro_Ventas[[#This Row],[Fecha Separacion]]&lt;&gt;"",TEXT(Registro_Ventas[[#This Row],[Fecha Separacion]],"yyyy"),"")</f>
        <v>2024</v>
      </c>
      <c r="AX11" s="131">
        <f>IF(Registro_Ventas[[#This Row],[Fecha Separacion]]="","",Registro_Ventas[[#This Row],[Fecha Separacion]]-Registro_Ventas[[#This Row],[Fecha Captacion]])</f>
        <v>3</v>
      </c>
      <c r="AY11" s="131">
        <f>+IF(Registro_Ventas[[#This Row],[Firma Minuta]]="","",Registro_Ventas[[#This Row],[Firma Minuta]]-Registro_Ventas[[#This Row],[Fecha Captacion]])</f>
        <v>388</v>
      </c>
      <c r="AZ11" s="131">
        <f>+IF(Registro_Ventas[[#This Row],[Firma Minuta]]="","",Registro_Ventas[[#This Row],[Firma Minuta]]-Registro_Ventas[[#This Row],[Fecha Separacion]])</f>
        <v>385</v>
      </c>
    </row>
    <row r="12" spans="1:52" x14ac:dyDescent="0.3">
      <c r="A12" s="46" t="str">
        <f>TEXT(Registro_Ventas[[#This Row],[Fecha Captacion]],"Mmmm")</f>
        <v>Julio</v>
      </c>
      <c r="B12" s="26">
        <v>45860</v>
      </c>
      <c r="C12" s="26" t="s">
        <v>11</v>
      </c>
      <c r="D12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12" s="27" t="s">
        <v>32</v>
      </c>
      <c r="F12" s="28" t="s">
        <v>15</v>
      </c>
      <c r="G12" s="27" t="s">
        <v>47</v>
      </c>
      <c r="H12" s="29">
        <v>202</v>
      </c>
      <c r="I12" s="30">
        <v>83.42</v>
      </c>
      <c r="J12" s="31">
        <v>578000</v>
      </c>
      <c r="K12" s="32" t="s">
        <v>163</v>
      </c>
      <c r="L12" s="33">
        <v>14.5</v>
      </c>
      <c r="M12" s="31">
        <v>43000</v>
      </c>
      <c r="N12" s="31"/>
      <c r="O12" s="33"/>
      <c r="P12" s="31"/>
      <c r="Q12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202 / E15+D3</v>
      </c>
      <c r="R12" s="31">
        <f>Registro_Ventas[[#This Row],[Precio Venta Departamento]]+Registro_Ventas[[#This Row],[Precio Venta Estacionamiento]]+Registro_Ventas[[#This Row],[Precio Venta Depósito]]</f>
        <v>621000</v>
      </c>
      <c r="S12" s="35">
        <f t="shared" si="1"/>
        <v>3000</v>
      </c>
      <c r="T12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6341.911764705882</v>
      </c>
      <c r="U12" s="36">
        <f>IF(Registro_Ventas[[#This Row],[Categoria]]="Cita Agendada","",Registro_Ventas[[#This Row],[M2 PEN]]/3.8)</f>
        <v>1668.9241486068111</v>
      </c>
      <c r="V12" s="37"/>
      <c r="W12" s="28" t="s">
        <v>164</v>
      </c>
      <c r="X12" s="45">
        <v>42983295</v>
      </c>
      <c r="Y12" s="128"/>
      <c r="Z12" s="38">
        <v>45860</v>
      </c>
      <c r="AA12" s="35">
        <v>3000</v>
      </c>
      <c r="AB12" s="35"/>
      <c r="AC12" s="27" t="s">
        <v>165</v>
      </c>
      <c r="AD12" s="46"/>
      <c r="AE12" s="43"/>
      <c r="AF12" s="28"/>
      <c r="AG12" s="28"/>
      <c r="AH12" s="28"/>
      <c r="AI12" s="173"/>
      <c r="AJ12" s="35">
        <f>Registro_Ventas[[#This Row],[Precio Venta Unidad(es)]]*Registro_Ventas[[#This Row],[%Comision
Ejecutivo]]</f>
        <v>0</v>
      </c>
      <c r="AK12" s="39">
        <f>Registro_Ventas[[#This Row],[Total Comision]]*30%</f>
        <v>0</v>
      </c>
      <c r="AL12" s="40"/>
      <c r="AM12" s="28"/>
      <c r="AN12" s="28"/>
      <c r="AO12" s="28"/>
      <c r="AP12" s="28" t="s">
        <v>166</v>
      </c>
      <c r="AQ12" s="28"/>
      <c r="AR12" s="28"/>
      <c r="AS12" s="28"/>
      <c r="AT12" s="28" t="str">
        <f>IF(Registro_Ventas[[#This Row],[Fecha Separacion]]&lt;&gt;"",TEXT(Registro_Ventas[[#This Row],[Fecha Separacion]],"mmmm"),"")</f>
        <v>Julio</v>
      </c>
      <c r="AU12" s="28" t="str">
        <f>IF(Registro_Ventas[[#This Row],[Firma Minuta]]&lt;&gt;"",TEXT(Registro_Ventas[[#This Row],[Firma Minuta]],"mmmm"),"")</f>
        <v/>
      </c>
      <c r="AV12" s="28" t="str">
        <f>IF(Registro_Ventas[[#This Row],[Firma Minuta]]&lt;&gt;"",TEXT(Registro_Ventas[[#This Row],[Firma Minuta]],"yyyy"),"")</f>
        <v/>
      </c>
      <c r="AW12" s="28" t="str">
        <f>IF(Registro_Ventas[[#This Row],[Fecha Separacion]]&lt;&gt;"",TEXT(Registro_Ventas[[#This Row],[Fecha Separacion]],"yyyy"),"")</f>
        <v>2025</v>
      </c>
      <c r="AX12" s="131">
        <f>IF(Registro_Ventas[[#This Row],[Fecha Separacion]]="","",Registro_Ventas[[#This Row],[Fecha Separacion]]-Registro_Ventas[[#This Row],[Fecha Captacion]])</f>
        <v>0</v>
      </c>
      <c r="AY12" s="131" t="str">
        <f>+IF(Registro_Ventas[[#This Row],[Firma Minuta]]="","",Registro_Ventas[[#This Row],[Firma Minuta]]-Registro_Ventas[[#This Row],[Fecha Captacion]])</f>
        <v/>
      </c>
      <c r="AZ12" s="131" t="str">
        <f>+IF(Registro_Ventas[[#This Row],[Firma Minuta]]="","",Registro_Ventas[[#This Row],[Firma Minuta]]-Registro_Ventas[[#This Row],[Fecha Separacion]])</f>
        <v/>
      </c>
    </row>
    <row r="13" spans="1:52" s="162" customFormat="1" x14ac:dyDescent="0.3">
      <c r="A13" s="46" t="str">
        <f>TEXT(Registro_Ventas[[#This Row],[Fecha Captacion]],"Mmmm")</f>
        <v>Agosto</v>
      </c>
      <c r="B13" s="26">
        <v>45529</v>
      </c>
      <c r="C13" s="26" t="s">
        <v>11</v>
      </c>
      <c r="D13" s="15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3" s="153" t="s">
        <v>31</v>
      </c>
      <c r="F13" s="154" t="s">
        <v>12</v>
      </c>
      <c r="G13" s="153" t="s">
        <v>46</v>
      </c>
      <c r="H13" s="29">
        <v>203</v>
      </c>
      <c r="I13" s="30">
        <v>88</v>
      </c>
      <c r="J13" s="31">
        <v>654000</v>
      </c>
      <c r="K13" s="32" t="s">
        <v>167</v>
      </c>
      <c r="L13" s="33">
        <v>16.899999999999999</v>
      </c>
      <c r="M13" s="31">
        <v>56300</v>
      </c>
      <c r="N13" s="31"/>
      <c r="O13" s="33"/>
      <c r="P13" s="31"/>
      <c r="Q13" s="15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203 / E12/D09</v>
      </c>
      <c r="R13" s="156">
        <f>Registro_Ventas[[#This Row],[Precio Venta Departamento]]+Registro_Ventas[[#This Row],[Precio Venta Estacionamiento]]+Registro_Ventas[[#This Row],[Precio Venta Depósito]]</f>
        <v>710300</v>
      </c>
      <c r="S13" s="157">
        <f t="shared" si="1"/>
        <v>710300</v>
      </c>
      <c r="T1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6771.2106768350804</v>
      </c>
      <c r="U13" s="36">
        <f>IF(Registro_Ventas[[#This Row],[Categoria]]="Cita Agendada","",Registro_Ventas[[#This Row],[M2 PEN]]/3.8)</f>
        <v>1781.8975465355475</v>
      </c>
      <c r="V13" s="158">
        <v>45539</v>
      </c>
      <c r="W13" s="154" t="s">
        <v>168</v>
      </c>
      <c r="X13" s="159" t="s">
        <v>169</v>
      </c>
      <c r="Y13" s="180"/>
      <c r="Z13" s="160">
        <v>45535</v>
      </c>
      <c r="AA13" s="157">
        <v>3000</v>
      </c>
      <c r="AB13" s="157">
        <f>281120+248605+20000+15515+35515+35515+35515+35515</f>
        <v>707300</v>
      </c>
      <c r="AC13" s="153" t="s">
        <v>141</v>
      </c>
      <c r="AD13" s="46"/>
      <c r="AE13" s="161">
        <v>45899</v>
      </c>
      <c r="AF13" s="154"/>
      <c r="AG13" s="154"/>
      <c r="AH13" s="28"/>
      <c r="AI13" s="173"/>
      <c r="AJ13" s="35">
        <f>Registro_Ventas[[#This Row],[Precio Venta Unidad(es)]]*Registro_Ventas[[#This Row],[%Comision
Ejecutivo]]</f>
        <v>0</v>
      </c>
      <c r="AK13" s="39">
        <f>Registro_Ventas[[#This Row],[Total Comision]]*30%</f>
        <v>0</v>
      </c>
      <c r="AL13" s="40"/>
      <c r="AM13" s="28"/>
      <c r="AN13" s="28"/>
      <c r="AO13" s="28"/>
      <c r="AP13" s="28"/>
      <c r="AQ13" s="28"/>
      <c r="AR13" s="28"/>
      <c r="AS13" s="154"/>
      <c r="AT13" s="28" t="str">
        <f>IF(Registro_Ventas[[#This Row],[Fecha Separacion]]&lt;&gt;"",TEXT(Registro_Ventas[[#This Row],[Fecha Separacion]],"mmmm"),"")</f>
        <v>Agosto</v>
      </c>
      <c r="AU13" s="28" t="str">
        <f>IF(Registro_Ventas[[#This Row],[Firma Minuta]]&lt;&gt;"",TEXT(Registro_Ventas[[#This Row],[Firma Minuta]],"mmmm"),"")</f>
        <v>Setiembre</v>
      </c>
      <c r="AV13" s="28" t="str">
        <f>IF(Registro_Ventas[[#This Row],[Firma Minuta]]&lt;&gt;"",TEXT(Registro_Ventas[[#This Row],[Firma Minuta]],"yyyy"),"")</f>
        <v>2024</v>
      </c>
      <c r="AW13" s="28" t="str">
        <f>IF(Registro_Ventas[[#This Row],[Fecha Separacion]]&lt;&gt;"",TEXT(Registro_Ventas[[#This Row],[Fecha Separacion]],"yyyy"),"")</f>
        <v>2024</v>
      </c>
      <c r="AX13" s="131">
        <f>IF(Registro_Ventas[[#This Row],[Fecha Separacion]]="","",Registro_Ventas[[#This Row],[Fecha Separacion]]-Registro_Ventas[[#This Row],[Fecha Captacion]])</f>
        <v>6</v>
      </c>
      <c r="AY13" s="131">
        <f>+IF(Registro_Ventas[[#This Row],[Firma Minuta]]="","",Registro_Ventas[[#This Row],[Firma Minuta]]-Registro_Ventas[[#This Row],[Fecha Captacion]])</f>
        <v>10</v>
      </c>
      <c r="AZ13" s="131">
        <f>+IF(Registro_Ventas[[#This Row],[Firma Minuta]]="","",Registro_Ventas[[#This Row],[Firma Minuta]]-Registro_Ventas[[#This Row],[Fecha Separacion]])</f>
        <v>4</v>
      </c>
    </row>
    <row r="14" spans="1:52" x14ac:dyDescent="0.3">
      <c r="A14" s="46" t="str">
        <f>TEXT(Registro_Ventas[[#This Row],[Fecha Captacion]],"Mmmm")</f>
        <v>Julio</v>
      </c>
      <c r="B14" s="26">
        <v>45848</v>
      </c>
      <c r="C14" s="26" t="s">
        <v>18</v>
      </c>
      <c r="D14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4" s="27" t="s">
        <v>30</v>
      </c>
      <c r="F14" s="28" t="s">
        <v>12</v>
      </c>
      <c r="G14" s="27" t="s">
        <v>47</v>
      </c>
      <c r="H14" s="29">
        <v>204</v>
      </c>
      <c r="I14" s="30">
        <v>67</v>
      </c>
      <c r="J14" s="31">
        <v>450000</v>
      </c>
      <c r="K14" s="32"/>
      <c r="L14" s="33"/>
      <c r="M14" s="31"/>
      <c r="N14" s="31"/>
      <c r="O14" s="33"/>
      <c r="P14" s="31"/>
      <c r="Q14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204</v>
      </c>
      <c r="R14" s="31">
        <f>Registro_Ventas[[#This Row],[Precio Venta Departamento]]+Registro_Ventas[[#This Row],[Precio Venta Estacionamiento]]+Registro_Ventas[[#This Row],[Precio Venta Depósito]]</f>
        <v>450000</v>
      </c>
      <c r="S14" s="35">
        <f t="shared" si="1"/>
        <v>30000</v>
      </c>
      <c r="T1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6716.4179104477616</v>
      </c>
      <c r="U14" s="36">
        <f>IF(Registro_Ventas[[#This Row],[Categoria]]="Cita Agendada","",Registro_Ventas[[#This Row],[M2 PEN]]/3.8)</f>
        <v>1767.4783974862532</v>
      </c>
      <c r="V14" s="37">
        <v>45971</v>
      </c>
      <c r="W14" s="28" t="s">
        <v>170</v>
      </c>
      <c r="X14" s="45">
        <v>73600966</v>
      </c>
      <c r="Y14" s="128"/>
      <c r="Z14" s="38">
        <v>45954</v>
      </c>
      <c r="AA14" s="35">
        <v>3000</v>
      </c>
      <c r="AB14" s="35">
        <f>19500+7500</f>
        <v>27000</v>
      </c>
      <c r="AC14" s="27" t="s">
        <v>159</v>
      </c>
      <c r="AD14" s="46"/>
      <c r="AE14" s="43">
        <v>46142</v>
      </c>
      <c r="AF14" s="28" t="s">
        <v>171</v>
      </c>
      <c r="AG14" s="28"/>
      <c r="AH14" s="28"/>
      <c r="AI14" s="173">
        <v>5.0000000000000001E-3</v>
      </c>
      <c r="AJ14" s="35">
        <f>Registro_Ventas[[#This Row],[Precio Venta Unidad(es)]]*Registro_Ventas[[#This Row],[%Comision
Ejecutivo]]</f>
        <v>2250</v>
      </c>
      <c r="AK14" s="39">
        <f>Registro_Ventas[[#This Row],[Total Comision]]*0%</f>
        <v>0</v>
      </c>
      <c r="AL14" s="39">
        <f>Registro_Ventas[[#This Row],[Total Comision]]*100%</f>
        <v>2250</v>
      </c>
      <c r="AM14" s="28" t="s">
        <v>172</v>
      </c>
      <c r="AN14" s="28"/>
      <c r="AO14" s="28"/>
      <c r="AP14" s="28"/>
      <c r="AQ14" s="28"/>
      <c r="AR14" s="28"/>
      <c r="AS14" s="28"/>
      <c r="AT14" s="28" t="str">
        <f>IF(Registro_Ventas[[#This Row],[Fecha Separacion]]&lt;&gt;"",TEXT(Registro_Ventas[[#This Row],[Fecha Separacion]],"mmmm"),"")</f>
        <v>Octubre</v>
      </c>
      <c r="AU14" s="28" t="str">
        <f>IF(Registro_Ventas[[#This Row],[Firma Minuta]]&lt;&gt;"",TEXT(Registro_Ventas[[#This Row],[Firma Minuta]],"mmmm"),"")</f>
        <v>Noviembre</v>
      </c>
      <c r="AV14" s="28" t="str">
        <f>IF(Registro_Ventas[[#This Row],[Firma Minuta]]&lt;&gt;"",TEXT(Registro_Ventas[[#This Row],[Firma Minuta]],"yyyy"),"")</f>
        <v>2025</v>
      </c>
      <c r="AW14" s="28" t="str">
        <f>IF(Registro_Ventas[[#This Row],[Fecha Separacion]]&lt;&gt;"",TEXT(Registro_Ventas[[#This Row],[Fecha Separacion]],"yyyy"),"")</f>
        <v>2025</v>
      </c>
      <c r="AX14" s="131">
        <f>IF(Registro_Ventas[[#This Row],[Fecha Separacion]]="","",Registro_Ventas[[#This Row],[Fecha Separacion]]-Registro_Ventas[[#This Row],[Fecha Captacion]])</f>
        <v>106</v>
      </c>
      <c r="AY14" s="131">
        <f>+IF(Registro_Ventas[[#This Row],[Firma Minuta]]="","",Registro_Ventas[[#This Row],[Firma Minuta]]-Registro_Ventas[[#This Row],[Fecha Captacion]])</f>
        <v>123</v>
      </c>
      <c r="AZ14" s="131">
        <f>+IF(Registro_Ventas[[#This Row],[Firma Minuta]]="","",Registro_Ventas[[#This Row],[Firma Minuta]]-Registro_Ventas[[#This Row],[Fecha Separacion]])</f>
        <v>17</v>
      </c>
    </row>
    <row r="15" spans="1:52" x14ac:dyDescent="0.3">
      <c r="A15" s="46" t="str">
        <f>TEXT(Registro_Ventas[[#This Row],[Fecha Captacion]],"Mmmm")</f>
        <v>Mayo</v>
      </c>
      <c r="B15" s="26">
        <v>45793</v>
      </c>
      <c r="C15" s="26" t="s">
        <v>96</v>
      </c>
      <c r="D15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5" s="27" t="s">
        <v>32</v>
      </c>
      <c r="F15" s="28" t="s">
        <v>17</v>
      </c>
      <c r="G15" s="27" t="s">
        <v>46</v>
      </c>
      <c r="H15" s="29">
        <v>204</v>
      </c>
      <c r="I15" s="30">
        <v>67</v>
      </c>
      <c r="J15" s="31">
        <v>443000</v>
      </c>
      <c r="K15" s="32" t="s">
        <v>173</v>
      </c>
      <c r="L15" s="33">
        <v>14.5</v>
      </c>
      <c r="M15" s="31">
        <v>42800</v>
      </c>
      <c r="N15" s="31"/>
      <c r="O15" s="33"/>
      <c r="P15" s="31"/>
      <c r="Q15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204 / E14</v>
      </c>
      <c r="R15" s="31">
        <f>Registro_Ventas[[#This Row],[Precio Venta Departamento]]+Registro_Ventas[[#This Row],[Precio Venta Estacionamiento]]+Registro_Ventas[[#This Row],[Precio Venta Depósito]]</f>
        <v>485800</v>
      </c>
      <c r="S15" s="35">
        <f t="shared" si="1"/>
        <v>347180</v>
      </c>
      <c r="T1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5960.7361963190187</v>
      </c>
      <c r="U15" s="36">
        <f>IF(Registro_Ventas[[#This Row],[Categoria]]="Cita Agendada","",Registro_Ventas[[#This Row],[M2 PEN]]/3.8)</f>
        <v>1568.614788505005</v>
      </c>
      <c r="V15" s="37">
        <v>45839</v>
      </c>
      <c r="W15" s="28" t="s">
        <v>174</v>
      </c>
      <c r="X15" s="45" t="s">
        <v>175</v>
      </c>
      <c r="Y15" s="128"/>
      <c r="Z15" s="38">
        <v>45825</v>
      </c>
      <c r="AA15" s="35">
        <v>3000</v>
      </c>
      <c r="AB15" s="35">
        <f>15580+30000+70000+83000+145600</f>
        <v>344180</v>
      </c>
      <c r="AC15" s="27" t="s">
        <v>141</v>
      </c>
      <c r="AD15" s="46"/>
      <c r="AE15" s="43"/>
      <c r="AF15" s="28"/>
      <c r="AG15" s="28"/>
      <c r="AH15" s="28"/>
      <c r="AI15" s="173"/>
      <c r="AJ15" s="35">
        <f>Registro_Ventas[[#This Row],[Precio Venta Unidad(es)]]*Registro_Ventas[[#This Row],[%Comision
Ejecutivo]]</f>
        <v>0</v>
      </c>
      <c r="AK15" s="39">
        <f>Registro_Ventas[[#This Row],[Total Comision]]*30%</f>
        <v>0</v>
      </c>
      <c r="AL15" s="40"/>
      <c r="AM15" s="28"/>
      <c r="AN15" s="28"/>
      <c r="AO15" s="28"/>
      <c r="AP15" s="28"/>
      <c r="AQ15" s="28"/>
      <c r="AR15" s="28"/>
      <c r="AS15" s="28"/>
      <c r="AT15" s="28" t="str">
        <f>IF(Registro_Ventas[[#This Row],[Fecha Separacion]]&lt;&gt;"",TEXT(Registro_Ventas[[#This Row],[Fecha Separacion]],"mmmm"),"")</f>
        <v>Junio</v>
      </c>
      <c r="AU15" s="28" t="str">
        <f>IF(Registro_Ventas[[#This Row],[Firma Minuta]]&lt;&gt;"",TEXT(Registro_Ventas[[#This Row],[Firma Minuta]],"mmmm"),"")</f>
        <v>Julio</v>
      </c>
      <c r="AV15" s="28" t="str">
        <f>IF(Registro_Ventas[[#This Row],[Firma Minuta]]&lt;&gt;"",TEXT(Registro_Ventas[[#This Row],[Firma Minuta]],"yyyy"),"")</f>
        <v>2025</v>
      </c>
      <c r="AW15" s="28" t="str">
        <f>IF(Registro_Ventas[[#This Row],[Fecha Separacion]]&lt;&gt;"",TEXT(Registro_Ventas[[#This Row],[Fecha Separacion]],"yyyy"),"")</f>
        <v>2025</v>
      </c>
      <c r="AX15" s="131">
        <f>IF(Registro_Ventas[[#This Row],[Fecha Separacion]]="","",Registro_Ventas[[#This Row],[Fecha Separacion]]-Registro_Ventas[[#This Row],[Fecha Captacion]])</f>
        <v>32</v>
      </c>
      <c r="AY15" s="131">
        <f>+IF(Registro_Ventas[[#This Row],[Firma Minuta]]="","",Registro_Ventas[[#This Row],[Firma Minuta]]-Registro_Ventas[[#This Row],[Fecha Captacion]])</f>
        <v>46</v>
      </c>
      <c r="AZ15" s="131">
        <f>+IF(Registro_Ventas[[#This Row],[Firma Minuta]]="","",Registro_Ventas[[#This Row],[Firma Minuta]]-Registro_Ventas[[#This Row],[Fecha Separacion]])</f>
        <v>14</v>
      </c>
    </row>
    <row r="16" spans="1:52" x14ac:dyDescent="0.3">
      <c r="A16" s="46" t="str">
        <f>TEXT(Registro_Ventas[[#This Row],[Fecha Captacion]],"Mmmm")</f>
        <v>Enero</v>
      </c>
      <c r="B16" s="26">
        <v>46050</v>
      </c>
      <c r="C16" s="26" t="s">
        <v>14</v>
      </c>
      <c r="D16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16" s="27" t="s">
        <v>31</v>
      </c>
      <c r="F16" s="28" t="s">
        <v>25</v>
      </c>
      <c r="G16" s="27" t="s">
        <v>48</v>
      </c>
      <c r="H16" s="29">
        <v>204</v>
      </c>
      <c r="I16" s="30">
        <v>61</v>
      </c>
      <c r="J16" s="31">
        <v>417700</v>
      </c>
      <c r="K16" s="32"/>
      <c r="L16" s="33"/>
      <c r="M16" s="31"/>
      <c r="N16" s="31"/>
      <c r="O16" s="33"/>
      <c r="P16" s="31"/>
      <c r="Q16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204</v>
      </c>
      <c r="R16" s="31">
        <f>Registro_Ventas[[#This Row],[Precio Venta Departamento]]+Registro_Ventas[[#This Row],[Precio Venta Estacionamiento]]+Registro_Ventas[[#This Row],[Precio Venta Depósito]]</f>
        <v>417700</v>
      </c>
      <c r="S16" s="35">
        <f t="shared" si="1"/>
        <v>3000</v>
      </c>
      <c r="T1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6847.5409836065573</v>
      </c>
      <c r="U16" s="36">
        <f>IF(Registro_Ventas[[#This Row],[Categoria]]="Cita Agendada","",Registro_Ventas[[#This Row],[M2 PEN]]/3.8)</f>
        <v>1801.9844693701468</v>
      </c>
      <c r="V16" s="37"/>
      <c r="W16" s="154" t="s">
        <v>176</v>
      </c>
      <c r="X16" s="45">
        <v>45904354</v>
      </c>
      <c r="Y16" s="128"/>
      <c r="Z16" s="38">
        <v>46053</v>
      </c>
      <c r="AA16" s="35">
        <v>3000</v>
      </c>
      <c r="AB16" s="35"/>
      <c r="AC16" s="27"/>
      <c r="AD16" s="46"/>
      <c r="AE16" s="43"/>
      <c r="AF16" s="28"/>
      <c r="AG16" s="28"/>
      <c r="AH16" s="28"/>
      <c r="AI16" s="173"/>
      <c r="AJ16" s="35">
        <f>Registro_Ventas[[#This Row],[Precio Venta Unidad(es)]]*Registro_Ventas[[#This Row],[%Comision
Ejecutivo]]</f>
        <v>0</v>
      </c>
      <c r="AK16" s="39">
        <f>Registro_Ventas[[#This Row],[Total Comision]]*30%</f>
        <v>0</v>
      </c>
      <c r="AL16" s="40"/>
      <c r="AM16" s="28"/>
      <c r="AN16" s="28"/>
      <c r="AO16" s="28"/>
      <c r="AP16" s="28" t="s">
        <v>177</v>
      </c>
      <c r="AQ16" s="28" t="s">
        <v>178</v>
      </c>
      <c r="AR16" s="38">
        <v>46093</v>
      </c>
      <c r="AS16" s="28"/>
      <c r="AT16" s="28" t="str">
        <f>IF(Registro_Ventas[[#This Row],[Fecha Separacion]]&lt;&gt;"",TEXT(Registro_Ventas[[#This Row],[Fecha Separacion]],"mmmm"),"")</f>
        <v>Enero</v>
      </c>
      <c r="AU16" s="28" t="str">
        <f>IF(Registro_Ventas[[#This Row],[Firma Minuta]]&lt;&gt;"",TEXT(Registro_Ventas[[#This Row],[Firma Minuta]],"mmmm"),"")</f>
        <v/>
      </c>
      <c r="AV16" s="28" t="str">
        <f>IF(Registro_Ventas[[#This Row],[Firma Minuta]]&lt;&gt;"",TEXT(Registro_Ventas[[#This Row],[Firma Minuta]],"yyyy"),"")</f>
        <v/>
      </c>
      <c r="AW16" s="28" t="str">
        <f>IF(Registro_Ventas[[#This Row],[Fecha Separacion]]&lt;&gt;"",TEXT(Registro_Ventas[[#This Row],[Fecha Separacion]],"yyyy"),"")</f>
        <v>2026</v>
      </c>
      <c r="AX16" s="131">
        <f>IF(Registro_Ventas[[#This Row],[Fecha Separacion]]="","",Registro_Ventas[[#This Row],[Fecha Separacion]]-Registro_Ventas[[#This Row],[Fecha Captacion]])</f>
        <v>3</v>
      </c>
      <c r="AY16" s="131" t="str">
        <f>+IF(Registro_Ventas[[#This Row],[Firma Minuta]]="","",Registro_Ventas[[#This Row],[Firma Minuta]]-Registro_Ventas[[#This Row],[Fecha Captacion]])</f>
        <v/>
      </c>
      <c r="AZ16" s="131" t="str">
        <f>+IF(Registro_Ventas[[#This Row],[Firma Minuta]]="","",Registro_Ventas[[#This Row],[Firma Minuta]]-Registro_Ventas[[#This Row],[Fecha Separacion]])</f>
        <v/>
      </c>
    </row>
    <row r="17" spans="1:52 16354:16369" x14ac:dyDescent="0.3">
      <c r="A17" s="46" t="str">
        <f>TEXT(Registro_Ventas[[#This Row],[Fecha Captacion]],"Mmmm")</f>
        <v>Diciembre</v>
      </c>
      <c r="B17" s="26">
        <v>45642</v>
      </c>
      <c r="C17" s="26" t="s">
        <v>16</v>
      </c>
      <c r="D17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7" s="27" t="s">
        <v>30</v>
      </c>
      <c r="F17" s="28" t="s">
        <v>12</v>
      </c>
      <c r="G17" s="27" t="s">
        <v>48</v>
      </c>
      <c r="H17" s="29">
        <v>205</v>
      </c>
      <c r="I17" s="30">
        <v>72</v>
      </c>
      <c r="J17" s="31">
        <v>577000</v>
      </c>
      <c r="K17" s="32"/>
      <c r="L17" s="33"/>
      <c r="M17" s="31"/>
      <c r="N17" s="31"/>
      <c r="O17" s="33"/>
      <c r="P17" s="31"/>
      <c r="Q17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205</v>
      </c>
      <c r="R17" s="31">
        <f>Registro_Ventas[[#This Row],[Precio Venta Departamento]]+Registro_Ventas[[#This Row],[Precio Venta Estacionamiento]]+Registro_Ventas[[#This Row],[Precio Venta Depósito]]</f>
        <v>577000</v>
      </c>
      <c r="S17" s="35">
        <f t="shared" si="1"/>
        <v>92400</v>
      </c>
      <c r="T17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8013.8888888888887</v>
      </c>
      <c r="U17" s="36">
        <f>IF(Registro_Ventas[[#This Row],[Categoria]]="Cita Agendada","",Registro_Ventas[[#This Row],[M2 PEN]]/3.8)</f>
        <v>2108.9181286549706</v>
      </c>
      <c r="V17" s="37">
        <v>45918</v>
      </c>
      <c r="W17" s="28" t="s">
        <v>179</v>
      </c>
      <c r="X17" s="45">
        <v>10140034</v>
      </c>
      <c r="Y17" s="128"/>
      <c r="Z17" s="38">
        <v>45642</v>
      </c>
      <c r="AA17" s="35">
        <v>3000</v>
      </c>
      <c r="AB17" s="35">
        <v>89400</v>
      </c>
      <c r="AC17" s="27" t="s">
        <v>151</v>
      </c>
      <c r="AD17" s="46">
        <v>46081</v>
      </c>
      <c r="AE17" s="43">
        <v>46142</v>
      </c>
      <c r="AF17" s="28" t="s">
        <v>160</v>
      </c>
      <c r="AG17" s="28"/>
      <c r="AH17" s="28"/>
      <c r="AI17" s="173"/>
      <c r="AJ17" s="35">
        <f>Registro_Ventas[[#This Row],[Precio Venta Unidad(es)]]*Registro_Ventas[[#This Row],[%Comision
Ejecutivo]]</f>
        <v>0</v>
      </c>
      <c r="AK17" s="39">
        <f>Registro_Ventas[[#This Row],[Total Comision]]*30%</f>
        <v>0</v>
      </c>
      <c r="AL17" s="40"/>
      <c r="AM17" s="28"/>
      <c r="AN17" s="28"/>
      <c r="AO17" s="28"/>
      <c r="AP17" s="28"/>
      <c r="AQ17" s="28"/>
      <c r="AR17" s="28"/>
      <c r="AS17" s="28"/>
      <c r="AT17" s="28" t="str">
        <f>IF(Registro_Ventas[[#This Row],[Fecha Separacion]]&lt;&gt;"",TEXT(Registro_Ventas[[#This Row],[Fecha Separacion]],"mmmm"),"")</f>
        <v>Diciembre</v>
      </c>
      <c r="AU17" s="28" t="str">
        <f>IF(Registro_Ventas[[#This Row],[Firma Minuta]]&lt;&gt;"",TEXT(Registro_Ventas[[#This Row],[Firma Minuta]],"mmmm"),"")</f>
        <v>Setiembre</v>
      </c>
      <c r="AV17" s="28" t="str">
        <f>IF(Registro_Ventas[[#This Row],[Firma Minuta]]&lt;&gt;"",TEXT(Registro_Ventas[[#This Row],[Firma Minuta]],"yyyy"),"")</f>
        <v>2025</v>
      </c>
      <c r="AW17" s="28" t="str">
        <f>IF(Registro_Ventas[[#This Row],[Fecha Separacion]]&lt;&gt;"",TEXT(Registro_Ventas[[#This Row],[Fecha Separacion]],"yyyy"),"")</f>
        <v>2024</v>
      </c>
      <c r="AX17" s="131">
        <f>IF(Registro_Ventas[[#This Row],[Fecha Separacion]]="","",Registro_Ventas[[#This Row],[Fecha Separacion]]-Registro_Ventas[[#This Row],[Fecha Captacion]])</f>
        <v>0</v>
      </c>
      <c r="AY17" s="131">
        <f>+IF(Registro_Ventas[[#This Row],[Firma Minuta]]="","",Registro_Ventas[[#This Row],[Firma Minuta]]-Registro_Ventas[[#This Row],[Fecha Captacion]])</f>
        <v>276</v>
      </c>
      <c r="AZ17" s="131">
        <f>+IF(Registro_Ventas[[#This Row],[Firma Minuta]]="","",Registro_Ventas[[#This Row],[Firma Minuta]]-Registro_Ventas[[#This Row],[Fecha Separacion]])</f>
        <v>276</v>
      </c>
    </row>
    <row r="18" spans="1:52 16354:16369" x14ac:dyDescent="0.3">
      <c r="A18" s="46" t="str">
        <f>TEXT(Registro_Ventas[[#This Row],[Fecha Captacion]],"Mmmm")</f>
        <v>Enero</v>
      </c>
      <c r="B18" s="26">
        <v>45686</v>
      </c>
      <c r="C18" s="26" t="s">
        <v>16</v>
      </c>
      <c r="D18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8" s="27" t="s">
        <v>32</v>
      </c>
      <c r="F18" s="28" t="s">
        <v>24</v>
      </c>
      <c r="G18" s="27" t="s">
        <v>48</v>
      </c>
      <c r="H18" s="29">
        <v>205</v>
      </c>
      <c r="I18" s="30">
        <v>61</v>
      </c>
      <c r="J18" s="31">
        <v>386000</v>
      </c>
      <c r="K18" s="32" t="s">
        <v>180</v>
      </c>
      <c r="L18" s="33">
        <v>13.5</v>
      </c>
      <c r="M18" s="31">
        <v>46800</v>
      </c>
      <c r="N18" s="31"/>
      <c r="O18" s="33"/>
      <c r="P18" s="31"/>
      <c r="Q18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205 / E20</v>
      </c>
      <c r="R18" s="31">
        <f>Registro_Ventas[[#This Row],[Precio Venta Departamento]]+Registro_Ventas[[#This Row],[Precio Venta Estacionamiento]]+Registro_Ventas[[#This Row],[Precio Venta Depósito]]</f>
        <v>432800</v>
      </c>
      <c r="S18" s="35">
        <f t="shared" si="1"/>
        <v>21640</v>
      </c>
      <c r="T18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5809.3959731543628</v>
      </c>
      <c r="U18" s="36">
        <f>IF(Registro_Ventas[[#This Row],[Categoria]]="Cita Agendada","",Registro_Ventas[[#This Row],[M2 PEN]]/3.8)</f>
        <v>1528.7884139879902</v>
      </c>
      <c r="V18" s="37">
        <v>46031</v>
      </c>
      <c r="W18" s="28" t="s">
        <v>181</v>
      </c>
      <c r="X18" s="45">
        <v>47172559</v>
      </c>
      <c r="Y18" s="128"/>
      <c r="Z18" s="38">
        <v>46009</v>
      </c>
      <c r="AA18" s="35">
        <v>3000</v>
      </c>
      <c r="AB18" s="35">
        <v>18640</v>
      </c>
      <c r="AC18" s="27" t="s">
        <v>151</v>
      </c>
      <c r="AD18" s="46"/>
      <c r="AE18" s="43">
        <v>46172</v>
      </c>
      <c r="AF18" s="28" t="s">
        <v>160</v>
      </c>
      <c r="AG18" s="28" t="s">
        <v>182</v>
      </c>
      <c r="AH18" s="28"/>
      <c r="AI18" s="173">
        <v>4.4999999999999997E-3</v>
      </c>
      <c r="AJ18" s="35">
        <f>Registro_Ventas[[#This Row],[Precio Venta Unidad(es)]]*Registro_Ventas[[#This Row],[%Comision
Ejecutivo]]</f>
        <v>1947.6</v>
      </c>
      <c r="AK18" s="39">
        <f>Registro_Ventas[[#This Row],[Total Comision]]*30%</f>
        <v>584.28</v>
      </c>
      <c r="AL18" s="39">
        <f>Registro_Ventas[[#This Row],[Total Comision]]*30%</f>
        <v>584.28</v>
      </c>
      <c r="AM18" s="28" t="s">
        <v>152</v>
      </c>
      <c r="AN18" s="46">
        <v>46068</v>
      </c>
      <c r="AO18" s="28"/>
      <c r="AP18" s="28"/>
      <c r="AQ18" s="28"/>
      <c r="AR18" s="28"/>
      <c r="AS18" s="28"/>
      <c r="AT18" s="28" t="str">
        <f>IF(Registro_Ventas[[#This Row],[Fecha Separacion]]&lt;&gt;"",TEXT(Registro_Ventas[[#This Row],[Fecha Separacion]],"mmmm"),"")</f>
        <v>Diciembre</v>
      </c>
      <c r="AU18" s="28" t="str">
        <f>IF(Registro_Ventas[[#This Row],[Firma Minuta]]&lt;&gt;"",TEXT(Registro_Ventas[[#This Row],[Firma Minuta]],"mmmm"),"")</f>
        <v>Enero</v>
      </c>
      <c r="AV18" s="28" t="str">
        <f>IF(Registro_Ventas[[#This Row],[Firma Minuta]]&lt;&gt;"",TEXT(Registro_Ventas[[#This Row],[Firma Minuta]],"yyyy"),"")</f>
        <v>2026</v>
      </c>
      <c r="AW18" s="28" t="str">
        <f>IF(Registro_Ventas[[#This Row],[Fecha Separacion]]&lt;&gt;"",TEXT(Registro_Ventas[[#This Row],[Fecha Separacion]],"yyyy"),"")</f>
        <v>2025</v>
      </c>
      <c r="AX18" s="131">
        <f>IF(Registro_Ventas[[#This Row],[Fecha Separacion]]="","",Registro_Ventas[[#This Row],[Fecha Separacion]]-Registro_Ventas[[#This Row],[Fecha Captacion]])</f>
        <v>323</v>
      </c>
      <c r="AY18" s="131">
        <f>+IF(Registro_Ventas[[#This Row],[Firma Minuta]]="","",Registro_Ventas[[#This Row],[Firma Minuta]]-Registro_Ventas[[#This Row],[Fecha Captacion]])</f>
        <v>345</v>
      </c>
      <c r="AZ18" s="131">
        <f>+IF(Registro_Ventas[[#This Row],[Firma Minuta]]="","",Registro_Ventas[[#This Row],[Firma Minuta]]-Registro_Ventas[[#This Row],[Fecha Separacion]])</f>
        <v>22</v>
      </c>
    </row>
    <row r="19" spans="1:52 16354:16369" x14ac:dyDescent="0.3">
      <c r="A19" s="46" t="str">
        <f>TEXT(Registro_Ventas[[#This Row],[Fecha Captacion]],"Mmmm")</f>
        <v>Noviembre</v>
      </c>
      <c r="B19" s="26">
        <v>45620</v>
      </c>
      <c r="C19" s="26" t="s">
        <v>11</v>
      </c>
      <c r="D19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9" s="27" t="s">
        <v>31</v>
      </c>
      <c r="F19" s="28" t="s">
        <v>12</v>
      </c>
      <c r="G19" s="27" t="s">
        <v>47</v>
      </c>
      <c r="H19" s="29">
        <v>205</v>
      </c>
      <c r="I19" s="30">
        <v>69</v>
      </c>
      <c r="J19" s="31">
        <v>490000</v>
      </c>
      <c r="K19" s="32"/>
      <c r="L19" s="33"/>
      <c r="M19" s="31"/>
      <c r="N19" s="31"/>
      <c r="O19" s="33"/>
      <c r="P19" s="31"/>
      <c r="Q19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205</v>
      </c>
      <c r="R19" s="31">
        <f>Registro_Ventas[[#This Row],[Precio Venta Departamento]]+Registro_Ventas[[#This Row],[Precio Venta Estacionamiento]]+Registro_Ventas[[#This Row],[Precio Venta Depósito]]</f>
        <v>490000</v>
      </c>
      <c r="S19" s="35">
        <f t="shared" si="1"/>
        <v>490000</v>
      </c>
      <c r="T19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7101.449275362319</v>
      </c>
      <c r="U19" s="36">
        <f>IF(Registro_Ventas[[#This Row],[Categoria]]="Cita Agendada","",Registro_Ventas[[#This Row],[M2 PEN]]/3.8)</f>
        <v>1868.802440884821</v>
      </c>
      <c r="V19" s="37">
        <v>45716</v>
      </c>
      <c r="W19" s="28" t="s">
        <v>183</v>
      </c>
      <c r="X19" s="45" t="s">
        <v>184</v>
      </c>
      <c r="Y19" s="128"/>
      <c r="Z19" s="38">
        <v>45620</v>
      </c>
      <c r="AA19" s="35">
        <v>2000</v>
      </c>
      <c r="AB19" s="35">
        <f>96000+392000</f>
        <v>488000</v>
      </c>
      <c r="AC19" s="27" t="s">
        <v>141</v>
      </c>
      <c r="AD19" s="46"/>
      <c r="AE19" s="43">
        <v>45899</v>
      </c>
      <c r="AF19" s="28" t="s">
        <v>185</v>
      </c>
      <c r="AG19" s="28" t="s">
        <v>186</v>
      </c>
      <c r="AH19" s="28"/>
      <c r="AI19" s="173"/>
      <c r="AJ19" s="35">
        <f>Registro_Ventas[[#This Row],[Precio Venta Unidad(es)]]*Registro_Ventas[[#This Row],[%Comision
Ejecutivo]]</f>
        <v>0</v>
      </c>
      <c r="AK19" s="39">
        <f>Registro_Ventas[[#This Row],[Total Comision]]*30%</f>
        <v>0</v>
      </c>
      <c r="AL19" s="40"/>
      <c r="AM19" s="28"/>
      <c r="AN19" s="28"/>
      <c r="AO19" s="28"/>
      <c r="AP19" s="28"/>
      <c r="AQ19" s="28"/>
      <c r="AR19" s="28"/>
      <c r="AS19" s="28"/>
      <c r="AT19" s="28" t="str">
        <f>IF(Registro_Ventas[[#This Row],[Fecha Separacion]]&lt;&gt;"",TEXT(Registro_Ventas[[#This Row],[Fecha Separacion]],"mmmm"),"")</f>
        <v>Noviembre</v>
      </c>
      <c r="AU19" s="28" t="str">
        <f>IF(Registro_Ventas[[#This Row],[Firma Minuta]]&lt;&gt;"",TEXT(Registro_Ventas[[#This Row],[Firma Minuta]],"mmmm"),"")</f>
        <v>Febrero</v>
      </c>
      <c r="AV19" s="28" t="str">
        <f>IF(Registro_Ventas[[#This Row],[Firma Minuta]]&lt;&gt;"",TEXT(Registro_Ventas[[#This Row],[Firma Minuta]],"yyyy"),"")</f>
        <v>2025</v>
      </c>
      <c r="AW19" s="28" t="str">
        <f>IF(Registro_Ventas[[#This Row],[Fecha Separacion]]&lt;&gt;"",TEXT(Registro_Ventas[[#This Row],[Fecha Separacion]],"yyyy"),"")</f>
        <v>2024</v>
      </c>
      <c r="AX19" s="131">
        <f>IF(Registro_Ventas[[#This Row],[Fecha Separacion]]="","",Registro_Ventas[[#This Row],[Fecha Separacion]]-Registro_Ventas[[#This Row],[Fecha Captacion]])</f>
        <v>0</v>
      </c>
      <c r="AY19" s="131">
        <f>+IF(Registro_Ventas[[#This Row],[Firma Minuta]]="","",Registro_Ventas[[#This Row],[Firma Minuta]]-Registro_Ventas[[#This Row],[Fecha Captacion]])</f>
        <v>96</v>
      </c>
      <c r="AZ19" s="131">
        <f>+IF(Registro_Ventas[[#This Row],[Firma Minuta]]="","",Registro_Ventas[[#This Row],[Firma Minuta]]-Registro_Ventas[[#This Row],[Fecha Separacion]])</f>
        <v>96</v>
      </c>
    </row>
    <row r="20" spans="1:52 16354:16369" x14ac:dyDescent="0.3">
      <c r="A20" s="46" t="str">
        <f>TEXT(Registro_Ventas[[#This Row],[Fecha Captacion]],"Mmmm")</f>
        <v>Agosto</v>
      </c>
      <c r="B20" s="26">
        <v>45897</v>
      </c>
      <c r="C20" s="26" t="s">
        <v>11</v>
      </c>
      <c r="D20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Separación</v>
      </c>
      <c r="E20" s="27" t="s">
        <v>30</v>
      </c>
      <c r="F20" s="28" t="s">
        <v>12</v>
      </c>
      <c r="G20" s="27" t="s">
        <v>47</v>
      </c>
      <c r="H20" s="29">
        <v>301</v>
      </c>
      <c r="I20" s="30">
        <v>70</v>
      </c>
      <c r="J20" s="31">
        <v>475000</v>
      </c>
      <c r="K20" s="32"/>
      <c r="L20" s="33"/>
      <c r="M20" s="31"/>
      <c r="N20" s="31"/>
      <c r="O20" s="33"/>
      <c r="P20" s="31"/>
      <c r="Q20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301</v>
      </c>
      <c r="R20" s="31">
        <f>Registro_Ventas[[#This Row],[Precio Venta Departamento]]+Registro_Ventas[[#This Row],[Precio Venta Estacionamiento]]+Registro_Ventas[[#This Row],[Precio Venta Depósito]]</f>
        <v>475000</v>
      </c>
      <c r="S20" s="35">
        <f t="shared" si="1"/>
        <v>3000</v>
      </c>
      <c r="T20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6785.7142857142853</v>
      </c>
      <c r="U20" s="36">
        <f>IF(Registro_Ventas[[#This Row],[Categoria]]="Cita Agendada","",Registro_Ventas[[#This Row],[M2 PEN]]/3.8)</f>
        <v>1785.7142857142858</v>
      </c>
      <c r="V20" s="37"/>
      <c r="W20" s="28" t="s">
        <v>187</v>
      </c>
      <c r="X20" s="45" t="s">
        <v>188</v>
      </c>
      <c r="Y20" s="128"/>
      <c r="Z20" s="38">
        <v>45901</v>
      </c>
      <c r="AA20" s="35">
        <v>3000</v>
      </c>
      <c r="AB20" s="35"/>
      <c r="AC20" s="27" t="s">
        <v>189</v>
      </c>
      <c r="AD20" s="46"/>
      <c r="AE20" s="43"/>
      <c r="AF20" s="28" t="s">
        <v>190</v>
      </c>
      <c r="AG20" s="28"/>
      <c r="AH20" s="28"/>
      <c r="AI20" s="173"/>
      <c r="AJ20" s="35">
        <f>Registro_Ventas[[#This Row],[Precio Venta Unidad(es)]]*Registro_Ventas[[#This Row],[%Comision
Ejecutivo]]</f>
        <v>0</v>
      </c>
      <c r="AK20" s="39">
        <f>Registro_Ventas[[#This Row],[Total Comision]]*30%</f>
        <v>0</v>
      </c>
      <c r="AL20" s="40"/>
      <c r="AM20" s="28"/>
      <c r="AN20" s="28"/>
      <c r="AO20" s="28"/>
      <c r="AP20" s="28"/>
      <c r="AQ20" s="28"/>
      <c r="AR20" s="28"/>
      <c r="AS20" s="28"/>
      <c r="AT20" s="28" t="str">
        <f>IF(Registro_Ventas[[#This Row],[Fecha Separacion]]&lt;&gt;"",TEXT(Registro_Ventas[[#This Row],[Fecha Separacion]],"mmmm"),"")</f>
        <v>Setiembre</v>
      </c>
      <c r="AU20" s="28" t="str">
        <f>IF(Registro_Ventas[[#This Row],[Firma Minuta]]&lt;&gt;"",TEXT(Registro_Ventas[[#This Row],[Firma Minuta]],"mmmm"),"")</f>
        <v/>
      </c>
      <c r="AV20" s="28" t="str">
        <f>IF(Registro_Ventas[[#This Row],[Firma Minuta]]&lt;&gt;"",TEXT(Registro_Ventas[[#This Row],[Firma Minuta]],"yyyy"),"")</f>
        <v/>
      </c>
      <c r="AW20" s="28" t="str">
        <f>IF(Registro_Ventas[[#This Row],[Fecha Separacion]]&lt;&gt;"",TEXT(Registro_Ventas[[#This Row],[Fecha Separacion]],"yyyy"),"")</f>
        <v>2025</v>
      </c>
      <c r="AX20" s="131">
        <f>IF(Registro_Ventas[[#This Row],[Fecha Separacion]]="","",Registro_Ventas[[#This Row],[Fecha Separacion]]-Registro_Ventas[[#This Row],[Fecha Captacion]])</f>
        <v>4</v>
      </c>
      <c r="AY20" s="131" t="str">
        <f>+IF(Registro_Ventas[[#This Row],[Firma Minuta]]="","",Registro_Ventas[[#This Row],[Firma Minuta]]-Registro_Ventas[[#This Row],[Fecha Captacion]])</f>
        <v/>
      </c>
      <c r="AZ20" s="131" t="str">
        <f>+IF(Registro_Ventas[[#This Row],[Firma Minuta]]="","",Registro_Ventas[[#This Row],[Firma Minuta]]-Registro_Ventas[[#This Row],[Fecha Separacion]])</f>
        <v/>
      </c>
    </row>
    <row r="21" spans="1:52 16354:16369" x14ac:dyDescent="0.3">
      <c r="A21" s="46" t="str">
        <f>TEXT(Registro_Ventas[[#This Row],[Fecha Captacion]],"Mmmm")</f>
        <v>Agosto</v>
      </c>
      <c r="B21" s="26">
        <v>45883</v>
      </c>
      <c r="C21" s="26" t="s">
        <v>88</v>
      </c>
      <c r="D21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21" s="27" t="s">
        <v>32</v>
      </c>
      <c r="F21" s="28" t="s">
        <v>15</v>
      </c>
      <c r="G21" s="27" t="s">
        <v>47</v>
      </c>
      <c r="H21" s="29">
        <v>301</v>
      </c>
      <c r="I21" s="30">
        <v>70</v>
      </c>
      <c r="J21" s="31">
        <v>534000</v>
      </c>
      <c r="K21" s="32" t="s">
        <v>191</v>
      </c>
      <c r="L21" s="33">
        <v>12</v>
      </c>
      <c r="M21" s="31">
        <v>43000</v>
      </c>
      <c r="N21" s="31"/>
      <c r="O21" s="33"/>
      <c r="P21" s="31"/>
      <c r="Q21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301 / E17</v>
      </c>
      <c r="R21" s="31">
        <f>Registro_Ventas[[#This Row],[Precio Venta Departamento]]+Registro_Ventas[[#This Row],[Precio Venta Estacionamiento]]+Registro_Ventas[[#This Row],[Precio Venta Depósito]]</f>
        <v>577000</v>
      </c>
      <c r="S21" s="35">
        <f t="shared" si="1"/>
        <v>28850</v>
      </c>
      <c r="T21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7036.5853658536589</v>
      </c>
      <c r="U21" s="36">
        <f>IF(Registro_Ventas[[#This Row],[Categoria]]="Cita Agendada","",Registro_Ventas[[#This Row],[M2 PEN]]/3.8)</f>
        <v>1851.7329910141209</v>
      </c>
      <c r="V21" s="37">
        <v>45922</v>
      </c>
      <c r="W21" s="28" t="s">
        <v>192</v>
      </c>
      <c r="X21" s="45">
        <v>46546054</v>
      </c>
      <c r="Y21" s="128"/>
      <c r="Z21" s="38">
        <v>45897</v>
      </c>
      <c r="AA21" s="35">
        <v>3000</v>
      </c>
      <c r="AB21" s="35">
        <v>25850</v>
      </c>
      <c r="AC21" s="27" t="s">
        <v>159</v>
      </c>
      <c r="AD21" s="46"/>
      <c r="AE21" s="43"/>
      <c r="AF21" s="28"/>
      <c r="AG21" s="28"/>
      <c r="AH21" s="28"/>
      <c r="AI21" s="173"/>
      <c r="AJ21" s="35">
        <f>Registro_Ventas[[#This Row],[Precio Venta Unidad(es)]]*Registro_Ventas[[#This Row],[%Comision
Ejecutivo]]</f>
        <v>0</v>
      </c>
      <c r="AK21" s="39">
        <f>Registro_Ventas[[#This Row],[Total Comision]]*30%</f>
        <v>0</v>
      </c>
      <c r="AL21" s="40"/>
      <c r="AM21" s="28"/>
      <c r="AN21" s="28"/>
      <c r="AO21" s="28"/>
      <c r="AP21" s="28"/>
      <c r="AQ21" s="28"/>
      <c r="AR21" s="28"/>
      <c r="AS21" s="28"/>
      <c r="AT21" s="28" t="str">
        <f>IF(Registro_Ventas[[#This Row],[Fecha Separacion]]&lt;&gt;"",TEXT(Registro_Ventas[[#This Row],[Fecha Separacion]],"mmmm"),"")</f>
        <v>Agosto</v>
      </c>
      <c r="AU21" s="28" t="str">
        <f>IF(Registro_Ventas[[#This Row],[Firma Minuta]]&lt;&gt;"",TEXT(Registro_Ventas[[#This Row],[Firma Minuta]],"mmmm"),"")</f>
        <v>Setiembre</v>
      </c>
      <c r="AV21" s="28" t="str">
        <f>IF(Registro_Ventas[[#This Row],[Firma Minuta]]&lt;&gt;"",TEXT(Registro_Ventas[[#This Row],[Firma Minuta]],"yyyy"),"")</f>
        <v>2025</v>
      </c>
      <c r="AW21" s="28" t="str">
        <f>IF(Registro_Ventas[[#This Row],[Fecha Separacion]]&lt;&gt;"",TEXT(Registro_Ventas[[#This Row],[Fecha Separacion]],"yyyy"),"")</f>
        <v>2025</v>
      </c>
      <c r="AX21" s="131">
        <f>IF(Registro_Ventas[[#This Row],[Fecha Separacion]]="","",Registro_Ventas[[#This Row],[Fecha Separacion]]-Registro_Ventas[[#This Row],[Fecha Captacion]])</f>
        <v>14</v>
      </c>
      <c r="AY21" s="131">
        <f>+IF(Registro_Ventas[[#This Row],[Firma Minuta]]="","",Registro_Ventas[[#This Row],[Firma Minuta]]-Registro_Ventas[[#This Row],[Fecha Captacion]])</f>
        <v>39</v>
      </c>
      <c r="AZ21" s="131">
        <f>+IF(Registro_Ventas[[#This Row],[Firma Minuta]]="","",Registro_Ventas[[#This Row],[Firma Minuta]]-Registro_Ventas[[#This Row],[Fecha Separacion]])</f>
        <v>25</v>
      </c>
    </row>
    <row r="22" spans="1:52 16354:16369" x14ac:dyDescent="0.3">
      <c r="A22" s="46" t="str">
        <f>TEXT(Registro_Ventas[[#This Row],[Fecha Captacion]],"Mmmm")</f>
        <v>Enero</v>
      </c>
      <c r="B22" s="26">
        <v>45677</v>
      </c>
      <c r="C22" s="26" t="s">
        <v>11</v>
      </c>
      <c r="D22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22" s="27" t="s">
        <v>31</v>
      </c>
      <c r="F22" s="28" t="s">
        <v>12</v>
      </c>
      <c r="G22" s="27" t="s">
        <v>47</v>
      </c>
      <c r="H22" s="29">
        <v>301</v>
      </c>
      <c r="I22" s="30">
        <v>84</v>
      </c>
      <c r="J22" s="31">
        <v>630000</v>
      </c>
      <c r="K22" s="32"/>
      <c r="L22" s="33"/>
      <c r="M22" s="31"/>
      <c r="N22" s="31"/>
      <c r="O22" s="33"/>
      <c r="P22" s="31"/>
      <c r="Q22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301</v>
      </c>
      <c r="R22" s="31">
        <f>Registro_Ventas[[#This Row],[Precio Venta Departamento]]+Registro_Ventas[[#This Row],[Precio Venta Estacionamiento]]+Registro_Ventas[[#This Row],[Precio Venta Depósito]]</f>
        <v>630000</v>
      </c>
      <c r="S22" s="35">
        <f t="shared" si="1"/>
        <v>630000</v>
      </c>
      <c r="T22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7500</v>
      </c>
      <c r="U22" s="36">
        <f>IF(Registro_Ventas[[#This Row],[Categoria]]="Cita Agendada","",Registro_Ventas[[#This Row],[M2 PEN]]/3.8)</f>
        <v>1973.6842105263158</v>
      </c>
      <c r="V22" s="37">
        <v>45833</v>
      </c>
      <c r="W22" s="28" t="s">
        <v>193</v>
      </c>
      <c r="X22" s="45">
        <v>46304395</v>
      </c>
      <c r="Y22" s="128"/>
      <c r="Z22" s="38">
        <v>45754</v>
      </c>
      <c r="AA22" s="35">
        <v>3000</v>
      </c>
      <c r="AB22" s="35">
        <f>55000+44000+68000+460000</f>
        <v>627000</v>
      </c>
      <c r="AC22" s="27" t="s">
        <v>141</v>
      </c>
      <c r="AD22" s="46"/>
      <c r="AE22" s="43">
        <v>45853</v>
      </c>
      <c r="AF22" s="28" t="s">
        <v>142</v>
      </c>
      <c r="AG22" s="28"/>
      <c r="AH22" s="28"/>
      <c r="AI22" s="173"/>
      <c r="AJ22" s="35">
        <f>Registro_Ventas[[#This Row],[Precio Venta Unidad(es)]]*Registro_Ventas[[#This Row],[%Comision
Ejecutivo]]</f>
        <v>0</v>
      </c>
      <c r="AK22" s="39">
        <f>Registro_Ventas[[#This Row],[Total Comision]]*30%</f>
        <v>0</v>
      </c>
      <c r="AL22" s="40"/>
      <c r="AM22" s="28"/>
      <c r="AN22" s="28"/>
      <c r="AO22" s="28"/>
      <c r="AP22" s="28"/>
      <c r="AQ22" s="28"/>
      <c r="AR22" s="28"/>
      <c r="AS22" s="28"/>
      <c r="AT22" s="28" t="str">
        <f>IF(Registro_Ventas[[#This Row],[Fecha Separacion]]&lt;&gt;"",TEXT(Registro_Ventas[[#This Row],[Fecha Separacion]],"mmmm"),"")</f>
        <v>Abril</v>
      </c>
      <c r="AU22" s="28" t="str">
        <f>IF(Registro_Ventas[[#This Row],[Firma Minuta]]&lt;&gt;"",TEXT(Registro_Ventas[[#This Row],[Firma Minuta]],"mmmm"),"")</f>
        <v>Junio</v>
      </c>
      <c r="AV22" s="28" t="str">
        <f>IF(Registro_Ventas[[#This Row],[Firma Minuta]]&lt;&gt;"",TEXT(Registro_Ventas[[#This Row],[Firma Minuta]],"yyyy"),"")</f>
        <v>2025</v>
      </c>
      <c r="AW22" s="28" t="str">
        <f>IF(Registro_Ventas[[#This Row],[Fecha Separacion]]&lt;&gt;"",TEXT(Registro_Ventas[[#This Row],[Fecha Separacion]],"yyyy"),"")</f>
        <v>2025</v>
      </c>
      <c r="AX22" s="131">
        <f>IF(Registro_Ventas[[#This Row],[Fecha Separacion]]="","",Registro_Ventas[[#This Row],[Fecha Separacion]]-Registro_Ventas[[#This Row],[Fecha Captacion]])</f>
        <v>77</v>
      </c>
      <c r="AY22" s="131">
        <f>+IF(Registro_Ventas[[#This Row],[Firma Minuta]]="","",Registro_Ventas[[#This Row],[Firma Minuta]]-Registro_Ventas[[#This Row],[Fecha Captacion]])</f>
        <v>156</v>
      </c>
      <c r="AZ22" s="131">
        <f>+IF(Registro_Ventas[[#This Row],[Firma Minuta]]="","",Registro_Ventas[[#This Row],[Firma Minuta]]-Registro_Ventas[[#This Row],[Fecha Separacion]])</f>
        <v>79</v>
      </c>
    </row>
    <row r="23" spans="1:52 16354:16369" x14ac:dyDescent="0.3">
      <c r="A23" s="46" t="str">
        <f>TEXT(Registro_Ventas[[#This Row],[Fecha Captacion]],"Mmmm")</f>
        <v>Octubre</v>
      </c>
      <c r="B23" s="26">
        <v>45931</v>
      </c>
      <c r="C23" s="26" t="s">
        <v>11</v>
      </c>
      <c r="D23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23" s="27" t="s">
        <v>30</v>
      </c>
      <c r="F23" s="28" t="s">
        <v>19</v>
      </c>
      <c r="G23" s="27" t="s">
        <v>47</v>
      </c>
      <c r="H23" s="29">
        <v>302</v>
      </c>
      <c r="I23" s="30">
        <v>57</v>
      </c>
      <c r="J23" s="31">
        <v>381000</v>
      </c>
      <c r="K23" s="32"/>
      <c r="L23" s="33"/>
      <c r="M23" s="31"/>
      <c r="N23" s="31"/>
      <c r="O23" s="33"/>
      <c r="P23" s="31"/>
      <c r="Q23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302</v>
      </c>
      <c r="R23" s="31">
        <f>Registro_Ventas[[#This Row],[Precio Venta Departamento]]+Registro_Ventas[[#This Row],[Precio Venta Estacionamiento]]+Registro_Ventas[[#This Row],[Precio Venta Depósito]]</f>
        <v>381000</v>
      </c>
      <c r="S23" s="35">
        <f t="shared" si="1"/>
        <v>20000</v>
      </c>
      <c r="T2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6684.2105263157891</v>
      </c>
      <c r="U23" s="36">
        <f>IF(Registro_Ventas[[#This Row],[Categoria]]="Cita Agendada","",Registro_Ventas[[#This Row],[M2 PEN]]/3.8)</f>
        <v>1759.0027700831024</v>
      </c>
      <c r="V23" s="37">
        <v>45940</v>
      </c>
      <c r="W23" s="28" t="s">
        <v>194</v>
      </c>
      <c r="X23" s="45">
        <v>48569476</v>
      </c>
      <c r="Y23" s="128"/>
      <c r="Z23" s="38">
        <v>45932</v>
      </c>
      <c r="AA23" s="35">
        <v>3000</v>
      </c>
      <c r="AB23" s="35">
        <v>17000</v>
      </c>
      <c r="AC23" s="27" t="s">
        <v>151</v>
      </c>
      <c r="AD23" s="46">
        <v>46142</v>
      </c>
      <c r="AE23" s="43">
        <v>46172</v>
      </c>
      <c r="AF23" s="28" t="s">
        <v>160</v>
      </c>
      <c r="AG23" s="28"/>
      <c r="AH23" s="28"/>
      <c r="AI23" s="173">
        <v>3.5000000000000001E-3</v>
      </c>
      <c r="AJ23" s="35">
        <f>Registro_Ventas[[#This Row],[Precio Venta Unidad(es)]]*Registro_Ventas[[#This Row],[%Comision
Ejecutivo]]</f>
        <v>1333.5</v>
      </c>
      <c r="AK23" s="39">
        <f>Registro_Ventas[[#This Row],[Total Comision]]*50%</f>
        <v>666.75</v>
      </c>
      <c r="AL23" s="39">
        <f>Registro_Ventas[[#This Row],[Total Comision]]*50%</f>
        <v>666.75</v>
      </c>
      <c r="AM23" s="28" t="s">
        <v>152</v>
      </c>
      <c r="AN23" s="46">
        <v>46022</v>
      </c>
      <c r="AO23" s="28"/>
      <c r="AP23" s="28"/>
      <c r="AQ23" s="28"/>
      <c r="AR23" s="28"/>
      <c r="AS23" s="28"/>
      <c r="AT23" s="28" t="str">
        <f>IF(Registro_Ventas[[#This Row],[Fecha Separacion]]&lt;&gt;"",TEXT(Registro_Ventas[[#This Row],[Fecha Separacion]],"mmmm"),"")</f>
        <v>Octubre</v>
      </c>
      <c r="AU23" s="28" t="str">
        <f>IF(Registro_Ventas[[#This Row],[Firma Minuta]]&lt;&gt;"",TEXT(Registro_Ventas[[#This Row],[Firma Minuta]],"mmmm"),"")</f>
        <v>Octubre</v>
      </c>
      <c r="AV23" s="28" t="str">
        <f>IF(Registro_Ventas[[#This Row],[Firma Minuta]]&lt;&gt;"",TEXT(Registro_Ventas[[#This Row],[Firma Minuta]],"yyyy"),"")</f>
        <v>2025</v>
      </c>
      <c r="AW23" s="28" t="str">
        <f>IF(Registro_Ventas[[#This Row],[Fecha Separacion]]&lt;&gt;"",TEXT(Registro_Ventas[[#This Row],[Fecha Separacion]],"yyyy"),"")</f>
        <v>2025</v>
      </c>
      <c r="AX23" s="131">
        <f>IF(Registro_Ventas[[#This Row],[Fecha Separacion]]="","",Registro_Ventas[[#This Row],[Fecha Separacion]]-Registro_Ventas[[#This Row],[Fecha Captacion]])</f>
        <v>1</v>
      </c>
      <c r="AY23" s="131">
        <f>+IF(Registro_Ventas[[#This Row],[Firma Minuta]]="","",Registro_Ventas[[#This Row],[Firma Minuta]]-Registro_Ventas[[#This Row],[Fecha Captacion]])</f>
        <v>9</v>
      </c>
      <c r="AZ23" s="131">
        <f>+IF(Registro_Ventas[[#This Row],[Firma Minuta]]="","",Registro_Ventas[[#This Row],[Firma Minuta]]-Registro_Ventas[[#This Row],[Fecha Separacion]])</f>
        <v>8</v>
      </c>
    </row>
    <row r="24" spans="1:52 16354:16369" x14ac:dyDescent="0.3">
      <c r="A24" s="46" t="str">
        <f>TEXT(Registro_Ventas[[#This Row],[Fecha Captacion]],"Mmmm")</f>
        <v>Junio</v>
      </c>
      <c r="B24" s="26">
        <v>45467</v>
      </c>
      <c r="C24" s="26" t="s">
        <v>11</v>
      </c>
      <c r="D24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24" s="27" t="s">
        <v>31</v>
      </c>
      <c r="F24" s="28" t="s">
        <v>12</v>
      </c>
      <c r="G24" s="27" t="s">
        <v>47</v>
      </c>
      <c r="H24" s="29">
        <v>302</v>
      </c>
      <c r="I24" s="30">
        <v>56</v>
      </c>
      <c r="J24" s="31">
        <v>435500</v>
      </c>
      <c r="K24" s="32"/>
      <c r="L24" s="33"/>
      <c r="M24" s="31"/>
      <c r="N24" s="31"/>
      <c r="O24" s="33"/>
      <c r="P24" s="31"/>
      <c r="Q24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302</v>
      </c>
      <c r="R24" s="31">
        <f>Registro_Ventas[[#This Row],[Precio Venta Departamento]]+Registro_Ventas[[#This Row],[Precio Venta Estacionamiento]]+Registro_Ventas[[#This Row],[Precio Venta Depósito]]</f>
        <v>435500</v>
      </c>
      <c r="S24" s="35">
        <f t="shared" si="1"/>
        <v>435500</v>
      </c>
      <c r="T2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7776.7857142857147</v>
      </c>
      <c r="U24" s="36">
        <f>IF(Registro_Ventas[[#This Row],[Categoria]]="Cita Agendada","",Registro_Ventas[[#This Row],[M2 PEN]]/3.8)</f>
        <v>2046.5225563909776</v>
      </c>
      <c r="V24" s="37">
        <v>45504</v>
      </c>
      <c r="W24" s="28" t="s">
        <v>195</v>
      </c>
      <c r="X24" s="45">
        <v>45110882</v>
      </c>
      <c r="Y24" s="128"/>
      <c r="Z24" s="38">
        <v>45473</v>
      </c>
      <c r="AA24" s="35">
        <v>3000</v>
      </c>
      <c r="AB24" s="35">
        <f>20000+10000+10000+550+21000+370950</f>
        <v>432500</v>
      </c>
      <c r="AC24" s="27" t="s">
        <v>141</v>
      </c>
      <c r="AD24" s="46"/>
      <c r="AE24" s="43">
        <v>45688</v>
      </c>
      <c r="AF24" s="28" t="s">
        <v>142</v>
      </c>
      <c r="AG24" s="28"/>
      <c r="AH24" s="28"/>
      <c r="AI24" s="173"/>
      <c r="AJ24" s="35">
        <f>Registro_Ventas[[#This Row],[Precio Venta Unidad(es)]]*Registro_Ventas[[#This Row],[%Comision
Ejecutivo]]</f>
        <v>0</v>
      </c>
      <c r="AK24" s="39">
        <f>Registro_Ventas[[#This Row],[Total Comision]]*30%</f>
        <v>0</v>
      </c>
      <c r="AL24" s="40"/>
      <c r="AM24" s="28"/>
      <c r="AN24" s="28"/>
      <c r="AO24" s="28"/>
      <c r="AP24" s="28"/>
      <c r="AQ24" s="28"/>
      <c r="AR24" s="28"/>
      <c r="AS24" s="28"/>
      <c r="AT24" s="28" t="str">
        <f>IF(Registro_Ventas[[#This Row],[Fecha Separacion]]&lt;&gt;"",TEXT(Registro_Ventas[[#This Row],[Fecha Separacion]],"mmmm"),"")</f>
        <v>Junio</v>
      </c>
      <c r="AU24" s="28" t="str">
        <f>IF(Registro_Ventas[[#This Row],[Firma Minuta]]&lt;&gt;"",TEXT(Registro_Ventas[[#This Row],[Firma Minuta]],"mmmm"),"")</f>
        <v>Julio</v>
      </c>
      <c r="AV24" s="28" t="str">
        <f>IF(Registro_Ventas[[#This Row],[Firma Minuta]]&lt;&gt;"",TEXT(Registro_Ventas[[#This Row],[Firma Minuta]],"yyyy"),"")</f>
        <v>2024</v>
      </c>
      <c r="AW24" s="28" t="str">
        <f>IF(Registro_Ventas[[#This Row],[Fecha Separacion]]&lt;&gt;"",TEXT(Registro_Ventas[[#This Row],[Fecha Separacion]],"yyyy"),"")</f>
        <v>2024</v>
      </c>
      <c r="AX24" s="131">
        <f>IF(Registro_Ventas[[#This Row],[Fecha Separacion]]="","",Registro_Ventas[[#This Row],[Fecha Separacion]]-Registro_Ventas[[#This Row],[Fecha Captacion]])</f>
        <v>6</v>
      </c>
      <c r="AY24" s="131">
        <f>+IF(Registro_Ventas[[#This Row],[Firma Minuta]]="","",Registro_Ventas[[#This Row],[Firma Minuta]]-Registro_Ventas[[#This Row],[Fecha Captacion]])</f>
        <v>37</v>
      </c>
      <c r="AZ24" s="131">
        <f>+IF(Registro_Ventas[[#This Row],[Firma Minuta]]="","",Registro_Ventas[[#This Row],[Firma Minuta]]-Registro_Ventas[[#This Row],[Fecha Separacion]])</f>
        <v>31</v>
      </c>
    </row>
    <row r="25" spans="1:52 16354:16369" x14ac:dyDescent="0.3">
      <c r="A25" s="46" t="str">
        <f>TEXT(Registro_Ventas[[#This Row],[Fecha Captacion]],"Mmmm")</f>
        <v>Mayo</v>
      </c>
      <c r="B25" s="26">
        <v>45798</v>
      </c>
      <c r="C25" s="26" t="s">
        <v>16</v>
      </c>
      <c r="D25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25" s="27" t="s">
        <v>32</v>
      </c>
      <c r="F25" s="28" t="s">
        <v>15</v>
      </c>
      <c r="G25" s="27" t="s">
        <v>47</v>
      </c>
      <c r="H25" s="29">
        <v>302</v>
      </c>
      <c r="I25" s="30">
        <v>83.42</v>
      </c>
      <c r="J25" s="31">
        <v>578000</v>
      </c>
      <c r="K25" s="32"/>
      <c r="L25" s="33"/>
      <c r="M25" s="31"/>
      <c r="N25" s="31"/>
      <c r="O25" s="33"/>
      <c r="P25" s="31"/>
      <c r="Q25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302</v>
      </c>
      <c r="R25" s="31">
        <f>Registro_Ventas[[#This Row],[Precio Venta Departamento]]+Registro_Ventas[[#This Row],[Precio Venta Estacionamiento]]+Registro_Ventas[[#This Row],[Precio Venta Depósito]]</f>
        <v>578000</v>
      </c>
      <c r="S25" s="35">
        <f t="shared" si="1"/>
        <v>3000</v>
      </c>
      <c r="T2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6928.7940541836488</v>
      </c>
      <c r="U25" s="36">
        <f>IF(Registro_Ventas[[#This Row],[Categoria]]="Cita Agendada","",Registro_Ventas[[#This Row],[M2 PEN]]/3.8)</f>
        <v>1823.3668563641181</v>
      </c>
      <c r="V25" s="37"/>
      <c r="W25" s="28" t="s">
        <v>196</v>
      </c>
      <c r="X25" s="45" t="s">
        <v>197</v>
      </c>
      <c r="Y25" s="128"/>
      <c r="Z25" s="38">
        <v>45927</v>
      </c>
      <c r="AA25" s="35">
        <v>3000</v>
      </c>
      <c r="AB25" s="35"/>
      <c r="AC25" s="27"/>
      <c r="AD25" s="46"/>
      <c r="AE25" s="43"/>
      <c r="AF25" s="28"/>
      <c r="AG25" s="28"/>
      <c r="AH25" s="28"/>
      <c r="AI25" s="173"/>
      <c r="AJ25" s="35">
        <f>Registro_Ventas[[#This Row],[Precio Venta Unidad(es)]]*Registro_Ventas[[#This Row],[%Comision
Ejecutivo]]</f>
        <v>0</v>
      </c>
      <c r="AK25" s="39">
        <f>Registro_Ventas[[#This Row],[Total Comision]]*30%</f>
        <v>0</v>
      </c>
      <c r="AL25" s="40"/>
      <c r="AM25" s="28"/>
      <c r="AN25" s="28"/>
      <c r="AO25" s="28"/>
      <c r="AP25" s="28" t="s">
        <v>198</v>
      </c>
      <c r="AQ25" s="28" t="s">
        <v>199</v>
      </c>
      <c r="AR25" s="28"/>
      <c r="AS25" s="28"/>
      <c r="AT25" s="28" t="str">
        <f>IF(Registro_Ventas[[#This Row],[Fecha Separacion]]&lt;&gt;"",TEXT(Registro_Ventas[[#This Row],[Fecha Separacion]],"mmmm"),"")</f>
        <v>Setiembre</v>
      </c>
      <c r="AU25" s="28" t="str">
        <f>IF(Registro_Ventas[[#This Row],[Firma Minuta]]&lt;&gt;"",TEXT(Registro_Ventas[[#This Row],[Firma Minuta]],"mmmm"),"")</f>
        <v/>
      </c>
      <c r="AV25" s="28" t="str">
        <f>IF(Registro_Ventas[[#This Row],[Firma Minuta]]&lt;&gt;"",TEXT(Registro_Ventas[[#This Row],[Firma Minuta]],"yyyy"),"")</f>
        <v/>
      </c>
      <c r="AW25" s="28" t="str">
        <f>IF(Registro_Ventas[[#This Row],[Fecha Separacion]]&lt;&gt;"",TEXT(Registro_Ventas[[#This Row],[Fecha Separacion]],"yyyy"),"")</f>
        <v>2025</v>
      </c>
      <c r="AX25" s="131">
        <f>IF(Registro_Ventas[[#This Row],[Fecha Separacion]]="","",Registro_Ventas[[#This Row],[Fecha Separacion]]-Registro_Ventas[[#This Row],[Fecha Captacion]])</f>
        <v>129</v>
      </c>
      <c r="AY25" s="131" t="str">
        <f>+IF(Registro_Ventas[[#This Row],[Firma Minuta]]="","",Registro_Ventas[[#This Row],[Firma Minuta]]-Registro_Ventas[[#This Row],[Fecha Captacion]])</f>
        <v/>
      </c>
      <c r="AZ25" s="131" t="str">
        <f>+IF(Registro_Ventas[[#This Row],[Firma Minuta]]="","",Registro_Ventas[[#This Row],[Firma Minuta]]-Registro_Ventas[[#This Row],[Fecha Separacion]])</f>
        <v/>
      </c>
    </row>
    <row r="26" spans="1:52 16354:16369" x14ac:dyDescent="0.3">
      <c r="A26" s="46" t="str">
        <f>TEXT(Registro_Ventas[[#This Row],[Fecha Captacion]],"Mmmm")</f>
        <v>Setiembre</v>
      </c>
      <c r="B26" s="26">
        <v>45907</v>
      </c>
      <c r="C26" s="26" t="s">
        <v>11</v>
      </c>
      <c r="D26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26" s="27" t="s">
        <v>32</v>
      </c>
      <c r="F26" s="28" t="s">
        <v>22</v>
      </c>
      <c r="G26" s="27" t="s">
        <v>48</v>
      </c>
      <c r="H26" s="29">
        <v>302</v>
      </c>
      <c r="I26" s="30">
        <v>83</v>
      </c>
      <c r="J26" s="31">
        <v>600000</v>
      </c>
      <c r="K26" s="32"/>
      <c r="L26" s="33"/>
      <c r="M26" s="31"/>
      <c r="N26" s="31"/>
      <c r="O26" s="33"/>
      <c r="P26" s="31"/>
      <c r="Q26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302</v>
      </c>
      <c r="R26" s="31">
        <f>Registro_Ventas[[#This Row],[Precio Venta Departamento]]+Registro_Ventas[[#This Row],[Precio Venta Estacionamiento]]+Registro_Ventas[[#This Row],[Precio Venta Depósito]]</f>
        <v>600000</v>
      </c>
      <c r="S26" s="35">
        <f t="shared" si="1"/>
        <v>13000</v>
      </c>
      <c r="T2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7228.9156626506028</v>
      </c>
      <c r="U26" s="36">
        <f>IF(Registro_Ventas[[#This Row],[Categoria]]="Cita Agendada","",Registro_Ventas[[#This Row],[M2 PEN]]/3.8)</f>
        <v>1902.3462270133166</v>
      </c>
      <c r="V26" s="37">
        <v>46080</v>
      </c>
      <c r="W26" s="28" t="s">
        <v>200</v>
      </c>
      <c r="X26" s="27">
        <v>10142891</v>
      </c>
      <c r="Y26" s="37"/>
      <c r="Z26" s="38">
        <v>46070</v>
      </c>
      <c r="AA26" s="35">
        <v>3000</v>
      </c>
      <c r="AB26" s="35">
        <v>10000</v>
      </c>
      <c r="AC26" s="27" t="s">
        <v>151</v>
      </c>
      <c r="AD26" s="46">
        <v>46264</v>
      </c>
      <c r="AE26" s="43">
        <v>46417</v>
      </c>
      <c r="AF26" s="28" t="s">
        <v>142</v>
      </c>
      <c r="AG26" s="28"/>
      <c r="AH26" s="28"/>
      <c r="AI26" s="173">
        <v>1.6666611000000001E-3</v>
      </c>
      <c r="AJ26" s="35">
        <f>Registro_Ventas[[#This Row],[Precio Venta Unidad(es)]]*Registro_Ventas[[#This Row],[%Comision
Ejecutivo]]</f>
        <v>999.99666000000002</v>
      </c>
      <c r="AK26" s="39">
        <f>Registro_Ventas[[#This Row],[Total Comision]]*50%</f>
        <v>499.99833000000001</v>
      </c>
      <c r="AL26" s="39">
        <f>Registro_Ventas[[#This Row],[Total Comision]]*50%</f>
        <v>499.99833000000001</v>
      </c>
      <c r="AM26" s="28" t="s">
        <v>152</v>
      </c>
      <c r="AN26" s="46">
        <v>46108</v>
      </c>
      <c r="AO26" s="28"/>
      <c r="AP26" s="28"/>
      <c r="AQ26" s="28"/>
      <c r="AR26" s="28"/>
      <c r="AS26" s="28" t="s">
        <v>201</v>
      </c>
      <c r="AT26" s="28" t="str">
        <f>IF(Registro_Ventas[[#This Row],[Fecha Separacion]]&lt;&gt;"",TEXT(Registro_Ventas[[#This Row],[Fecha Separacion]],"mmmm"),"")</f>
        <v>Febrero</v>
      </c>
      <c r="AU26" s="28" t="str">
        <f>IF(Registro_Ventas[[#This Row],[Firma Minuta]]&lt;&gt;"",TEXT(Registro_Ventas[[#This Row],[Firma Minuta]],"mmmm"),"")</f>
        <v>Febrero</v>
      </c>
      <c r="AV26" s="28" t="str">
        <f>IF(Registro_Ventas[[#This Row],[Firma Minuta]]&lt;&gt;"",TEXT(Registro_Ventas[[#This Row],[Firma Minuta]],"yyyy"),"")</f>
        <v>2026</v>
      </c>
      <c r="AW26" s="28" t="str">
        <f>IF(Registro_Ventas[[#This Row],[Fecha Separacion]]&lt;&gt;"",TEXT(Registro_Ventas[[#This Row],[Fecha Separacion]],"yyyy"),"")</f>
        <v>2026</v>
      </c>
      <c r="AX26" s="131">
        <f>IF(Registro_Ventas[[#This Row],[Fecha Separacion]]="","",Registro_Ventas[[#This Row],[Fecha Separacion]]-Registro_Ventas[[#This Row],[Fecha Captacion]])</f>
        <v>163</v>
      </c>
      <c r="AY26" s="131">
        <f>+IF(Registro_Ventas[[#This Row],[Firma Minuta]]="","",Registro_Ventas[[#This Row],[Firma Minuta]]-Registro_Ventas[[#This Row],[Fecha Captacion]])</f>
        <v>173</v>
      </c>
      <c r="AZ26" s="131">
        <f>+IF(Registro_Ventas[[#This Row],[Firma Minuta]]="","",Registro_Ventas[[#This Row],[Firma Minuta]]-Registro_Ventas[[#This Row],[Fecha Separacion]])</f>
        <v>10</v>
      </c>
    </row>
    <row r="27" spans="1:52 16354:16369" x14ac:dyDescent="0.3">
      <c r="A27" s="46" t="str">
        <f>TEXT(Registro_Ventas[[#This Row],[Fecha Captacion]],"Mmmm")</f>
        <v>Setiembre</v>
      </c>
      <c r="B27" s="26">
        <v>45921</v>
      </c>
      <c r="C27" s="26" t="s">
        <v>11</v>
      </c>
      <c r="D27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27" s="27" t="s">
        <v>30</v>
      </c>
      <c r="F27" s="28" t="s">
        <v>12</v>
      </c>
      <c r="G27" s="27" t="s">
        <v>48</v>
      </c>
      <c r="H27" s="29">
        <v>303</v>
      </c>
      <c r="I27" s="30">
        <v>68</v>
      </c>
      <c r="J27" s="31">
        <v>458000</v>
      </c>
      <c r="K27" s="32"/>
      <c r="L27" s="33"/>
      <c r="M27" s="31"/>
      <c r="N27" s="31"/>
      <c r="O27" s="33"/>
      <c r="P27" s="31"/>
      <c r="Q27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303</v>
      </c>
      <c r="R27" s="31">
        <f>Registro_Ventas[[#This Row],[Precio Venta Departamento]]+Registro_Ventas[[#This Row],[Precio Venta Estacionamiento]]+Registro_Ventas[[#This Row],[Precio Venta Depósito]]</f>
        <v>458000</v>
      </c>
      <c r="S27" s="35">
        <f t="shared" si="1"/>
        <v>22900</v>
      </c>
      <c r="T27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6735.2941176470586</v>
      </c>
      <c r="U27" s="36">
        <f>IF(Registro_Ventas[[#This Row],[Categoria]]="Cita Agendada","",Registro_Ventas[[#This Row],[M2 PEN]]/3.8)</f>
        <v>1772.4458204334364</v>
      </c>
      <c r="V27" s="37">
        <v>46057</v>
      </c>
      <c r="W27" s="28" t="s">
        <v>202</v>
      </c>
      <c r="X27" s="45">
        <v>76936857</v>
      </c>
      <c r="Y27" s="128"/>
      <c r="Z27" s="38">
        <v>45923</v>
      </c>
      <c r="AA27" s="35">
        <v>3000</v>
      </c>
      <c r="AB27" s="35">
        <v>19900</v>
      </c>
      <c r="AC27" s="27" t="s">
        <v>151</v>
      </c>
      <c r="AD27" s="46">
        <v>46233</v>
      </c>
      <c r="AE27" s="43">
        <v>46295</v>
      </c>
      <c r="AF27" s="28" t="s">
        <v>160</v>
      </c>
      <c r="AG27" s="28"/>
      <c r="AH27" s="28"/>
      <c r="AI27" s="173">
        <v>5.0000000000000001E-3</v>
      </c>
      <c r="AJ27" s="35">
        <f>Registro_Ventas[[#This Row],[Precio Venta Unidad(es)]]*Registro_Ventas[[#This Row],[%Comision
Ejecutivo]]</f>
        <v>2290</v>
      </c>
      <c r="AK27" s="39">
        <f>Registro_Ventas[[#This Row],[Total Comision]]*0%</f>
        <v>0</v>
      </c>
      <c r="AL27" s="39">
        <f>Registro_Ventas[[#This Row],[Total Comision]]*100%</f>
        <v>2290</v>
      </c>
      <c r="AM27" s="28" t="s">
        <v>172</v>
      </c>
      <c r="AN27" s="28"/>
      <c r="AO27" s="28"/>
      <c r="AP27" s="28"/>
      <c r="AQ27" s="28"/>
      <c r="AR27" s="28"/>
      <c r="AS27" s="28"/>
      <c r="AT27" s="28" t="str">
        <f>IF(Registro_Ventas[[#This Row],[Fecha Separacion]]&lt;&gt;"",TEXT(Registro_Ventas[[#This Row],[Fecha Separacion]],"mmmm"),"")</f>
        <v>Setiembre</v>
      </c>
      <c r="AU27" s="28" t="str">
        <f>IF(Registro_Ventas[[#This Row],[Firma Minuta]]&lt;&gt;"",TEXT(Registro_Ventas[[#This Row],[Firma Minuta]],"mmmm"),"")</f>
        <v>Febrero</v>
      </c>
      <c r="AV27" s="28" t="str">
        <f>IF(Registro_Ventas[[#This Row],[Firma Minuta]]&lt;&gt;"",TEXT(Registro_Ventas[[#This Row],[Firma Minuta]],"yyyy"),"")</f>
        <v>2026</v>
      </c>
      <c r="AW27" s="28" t="str">
        <f>IF(Registro_Ventas[[#This Row],[Fecha Separacion]]&lt;&gt;"",TEXT(Registro_Ventas[[#This Row],[Fecha Separacion]],"yyyy"),"")</f>
        <v>2025</v>
      </c>
      <c r="AX27" s="131">
        <f>IF(Registro_Ventas[[#This Row],[Fecha Separacion]]="","",Registro_Ventas[[#This Row],[Fecha Separacion]]-Registro_Ventas[[#This Row],[Fecha Captacion]])</f>
        <v>2</v>
      </c>
      <c r="AY27" s="131">
        <f>+IF(Registro_Ventas[[#This Row],[Firma Minuta]]="","",Registro_Ventas[[#This Row],[Firma Minuta]]-Registro_Ventas[[#This Row],[Fecha Captacion]])</f>
        <v>136</v>
      </c>
      <c r="AZ27" s="131">
        <f>+IF(Registro_Ventas[[#This Row],[Firma Minuta]]="","",Registro_Ventas[[#This Row],[Firma Minuta]]-Registro_Ventas[[#This Row],[Fecha Separacion]])</f>
        <v>134</v>
      </c>
    </row>
    <row r="28" spans="1:52 16354:16369" s="142" customFormat="1" x14ac:dyDescent="0.3">
      <c r="A28" s="46" t="str">
        <f>TEXT(Registro_Ventas[[#This Row],[Fecha Captacion]],"Mmmm")</f>
        <v>Octubre</v>
      </c>
      <c r="B28" s="26">
        <v>45934</v>
      </c>
      <c r="C28" s="26" t="s">
        <v>18</v>
      </c>
      <c r="D28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28" s="27" t="s">
        <v>31</v>
      </c>
      <c r="F28" s="28" t="s">
        <v>26</v>
      </c>
      <c r="G28" s="27" t="s">
        <v>47</v>
      </c>
      <c r="H28" s="29">
        <v>303</v>
      </c>
      <c r="I28" s="30">
        <v>88</v>
      </c>
      <c r="J28" s="31">
        <v>716000</v>
      </c>
      <c r="K28" s="32" t="s">
        <v>203</v>
      </c>
      <c r="L28" s="33">
        <v>12.5</v>
      </c>
      <c r="M28" s="31">
        <v>62500</v>
      </c>
      <c r="N28" s="31" t="s">
        <v>204</v>
      </c>
      <c r="O28" s="33">
        <v>5.3</v>
      </c>
      <c r="P28" s="31"/>
      <c r="Q28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303 / E24 / D18</v>
      </c>
      <c r="R28" s="31">
        <f>Registro_Ventas[[#This Row],[Precio Venta Departamento]]+Registro_Ventas[[#This Row],[Precio Venta Estacionamiento]]+Registro_Ventas[[#This Row],[Precio Venta Depósito]]</f>
        <v>778500</v>
      </c>
      <c r="S28" s="35">
        <f t="shared" si="1"/>
        <v>3000</v>
      </c>
      <c r="T28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7358.2230623818532</v>
      </c>
      <c r="U28" s="36">
        <f>IF(Registro_Ventas[[#This Row],[Categoria]]="Cita Agendada","",Registro_Ventas[[#This Row],[M2 PEN]]/3.8)</f>
        <v>1936.3744901004877</v>
      </c>
      <c r="V28" s="37"/>
      <c r="W28" s="28" t="s">
        <v>205</v>
      </c>
      <c r="X28" s="27">
        <v>45522680</v>
      </c>
      <c r="Y28" s="37"/>
      <c r="Z28" s="38">
        <v>46076</v>
      </c>
      <c r="AA28" s="35">
        <v>3000</v>
      </c>
      <c r="AB28" s="35"/>
      <c r="AC28" s="27" t="s">
        <v>189</v>
      </c>
      <c r="AD28" s="46"/>
      <c r="AE28" s="43"/>
      <c r="AF28" s="28" t="s">
        <v>142</v>
      </c>
      <c r="AG28" s="28"/>
      <c r="AH28" s="28"/>
      <c r="AI28" s="169"/>
      <c r="AJ28" s="35">
        <f>Registro_Ventas[[#This Row],[Precio Venta Unidad(es)]]*Registro_Ventas[[#This Row],[%Comision
Ejecutivo]]</f>
        <v>0</v>
      </c>
      <c r="AK28" s="39">
        <f>Registro_Ventas[[#This Row],[Total Comision]]*30%</f>
        <v>0</v>
      </c>
      <c r="AL28" s="40"/>
      <c r="AM28" s="28"/>
      <c r="AN28" s="28"/>
      <c r="AO28" s="28"/>
      <c r="AP28" s="28" t="s">
        <v>206</v>
      </c>
      <c r="AQ28" s="28"/>
      <c r="AR28" s="28"/>
      <c r="AS28" s="28"/>
      <c r="AT28" s="28" t="str">
        <f>IF(Registro_Ventas[[#This Row],[Fecha Separacion]]&lt;&gt;"",TEXT(Registro_Ventas[[#This Row],[Fecha Separacion]],"mmmm"),"")</f>
        <v>Febrero</v>
      </c>
      <c r="AU28" s="28" t="str">
        <f>IF(Registro_Ventas[[#This Row],[Firma Minuta]]&lt;&gt;"",TEXT(Registro_Ventas[[#This Row],[Firma Minuta]],"mmmm"),"")</f>
        <v/>
      </c>
      <c r="AV28" s="28" t="str">
        <f>IF(Registro_Ventas[[#This Row],[Firma Minuta]]&lt;&gt;"",TEXT(Registro_Ventas[[#This Row],[Firma Minuta]],"yyyy"),"")</f>
        <v/>
      </c>
      <c r="AW28" s="28" t="str">
        <f>IF(Registro_Ventas[[#This Row],[Fecha Separacion]]&lt;&gt;"",TEXT(Registro_Ventas[[#This Row],[Fecha Separacion]],"yyyy"),"")</f>
        <v>2026</v>
      </c>
      <c r="AX28" s="131">
        <f>IF(Registro_Ventas[[#This Row],[Fecha Separacion]]="","",Registro_Ventas[[#This Row],[Fecha Separacion]]-Registro_Ventas[[#This Row],[Fecha Captacion]])</f>
        <v>142</v>
      </c>
      <c r="AY28" s="131" t="str">
        <f>+IF(Registro_Ventas[[#This Row],[Firma Minuta]]="","",Registro_Ventas[[#This Row],[Firma Minuta]]-Registro_Ventas[[#This Row],[Fecha Captacion]])</f>
        <v/>
      </c>
      <c r="AZ28" s="131" t="str">
        <f>+IF(Registro_Ventas[[#This Row],[Firma Minuta]]="","",Registro_Ventas[[#This Row],[Firma Minuta]]-Registro_Ventas[[#This Row],[Fecha Separacion]])</f>
        <v/>
      </c>
    </row>
    <row r="29" spans="1:52 16354:16369" x14ac:dyDescent="0.3">
      <c r="A29" s="46" t="str">
        <f>TEXT(Registro_Ventas[[#This Row],[Fecha Captacion]],"Mmmm")</f>
        <v>Octubre</v>
      </c>
      <c r="B29" s="26">
        <v>45938</v>
      </c>
      <c r="C29" s="26" t="s">
        <v>18</v>
      </c>
      <c r="D29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29" s="27" t="s">
        <v>32</v>
      </c>
      <c r="F29" s="28" t="s">
        <v>15</v>
      </c>
      <c r="G29" s="27" t="s">
        <v>47</v>
      </c>
      <c r="H29" s="29">
        <v>304</v>
      </c>
      <c r="I29" s="30">
        <v>67</v>
      </c>
      <c r="J29" s="31">
        <v>438000</v>
      </c>
      <c r="K29" s="32" t="s">
        <v>207</v>
      </c>
      <c r="L29" s="33">
        <v>14.5</v>
      </c>
      <c r="M29" s="31">
        <v>43000</v>
      </c>
      <c r="N29" s="31"/>
      <c r="O29" s="33"/>
      <c r="P29" s="31"/>
      <c r="Q29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304 / E28</v>
      </c>
      <c r="R29" s="31">
        <f>Registro_Ventas[[#This Row],[Precio Venta Departamento]]+Registro_Ventas[[#This Row],[Precio Venta Estacionamiento]]+Registro_Ventas[[#This Row],[Precio Venta Depósito]]</f>
        <v>481000</v>
      </c>
      <c r="S29" s="35">
        <f t="shared" si="1"/>
        <v>129000</v>
      </c>
      <c r="T29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5901.8404907975464</v>
      </c>
      <c r="U29" s="36">
        <f>IF(Registro_Ventas[[#This Row],[Categoria]]="Cita Agendada","",Registro_Ventas[[#This Row],[M2 PEN]]/3.8)</f>
        <v>1553.1159186309333</v>
      </c>
      <c r="V29" s="37">
        <v>45951</v>
      </c>
      <c r="W29" s="28" t="s">
        <v>208</v>
      </c>
      <c r="X29" s="45">
        <v>46074285</v>
      </c>
      <c r="Y29" s="128"/>
      <c r="Z29" s="38">
        <v>45940</v>
      </c>
      <c r="AA29" s="35">
        <v>3000</v>
      </c>
      <c r="AB29" s="35">
        <v>126000</v>
      </c>
      <c r="AC29" s="27" t="s">
        <v>159</v>
      </c>
      <c r="AD29" s="46"/>
      <c r="AE29" s="43"/>
      <c r="AF29" s="28"/>
      <c r="AG29" s="28"/>
      <c r="AH29" s="28"/>
      <c r="AI29" s="173"/>
      <c r="AJ29" s="35">
        <f>Registro_Ventas[[#This Row],[Precio Venta Unidad(es)]]*Registro_Ventas[[#This Row],[%Comision
Ejecutivo]]</f>
        <v>0</v>
      </c>
      <c r="AK29" s="39">
        <f>Registro_Ventas[[#This Row],[Total Comision]]*30%</f>
        <v>0</v>
      </c>
      <c r="AL29" s="40"/>
      <c r="AM29" s="28"/>
      <c r="AN29" s="28"/>
      <c r="AO29" s="28"/>
      <c r="AP29" s="28"/>
      <c r="AQ29" s="28"/>
      <c r="AR29" s="28"/>
      <c r="AS29" s="28"/>
      <c r="AT29" s="28" t="str">
        <f>IF(Registro_Ventas[[#This Row],[Fecha Separacion]]&lt;&gt;"",TEXT(Registro_Ventas[[#This Row],[Fecha Separacion]],"mmmm"),"")</f>
        <v>Octubre</v>
      </c>
      <c r="AU29" s="28" t="str">
        <f>IF(Registro_Ventas[[#This Row],[Firma Minuta]]&lt;&gt;"",TEXT(Registro_Ventas[[#This Row],[Firma Minuta]],"mmmm"),"")</f>
        <v>Octubre</v>
      </c>
      <c r="AV29" s="28" t="str">
        <f>IF(Registro_Ventas[[#This Row],[Firma Minuta]]&lt;&gt;"",TEXT(Registro_Ventas[[#This Row],[Firma Minuta]],"yyyy"),"")</f>
        <v>2025</v>
      </c>
      <c r="AW29" s="28" t="str">
        <f>IF(Registro_Ventas[[#This Row],[Fecha Separacion]]&lt;&gt;"",TEXT(Registro_Ventas[[#This Row],[Fecha Separacion]],"yyyy"),"")</f>
        <v>2025</v>
      </c>
      <c r="AX29" s="131">
        <f>IF(Registro_Ventas[[#This Row],[Fecha Separacion]]="","",Registro_Ventas[[#This Row],[Fecha Separacion]]-Registro_Ventas[[#This Row],[Fecha Captacion]])</f>
        <v>2</v>
      </c>
      <c r="AY29" s="131">
        <f>+IF(Registro_Ventas[[#This Row],[Firma Minuta]]="","",Registro_Ventas[[#This Row],[Firma Minuta]]-Registro_Ventas[[#This Row],[Fecha Captacion]])</f>
        <v>13</v>
      </c>
      <c r="AZ29" s="131">
        <f>+IF(Registro_Ventas[[#This Row],[Firma Minuta]]="","",Registro_Ventas[[#This Row],[Firma Minuta]]-Registro_Ventas[[#This Row],[Fecha Separacion]])</f>
        <v>11</v>
      </c>
    </row>
    <row r="30" spans="1:52 16354:16369" s="28" customFormat="1" x14ac:dyDescent="0.3">
      <c r="A30" s="46" t="str">
        <f>TEXT(Registro_Ventas[[#This Row],[Fecha Captacion]],"Mmmm")</f>
        <v>Febrero</v>
      </c>
      <c r="B30" s="26">
        <v>46064</v>
      </c>
      <c r="C30" s="26" t="s">
        <v>16</v>
      </c>
      <c r="D30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30" s="27" t="s">
        <v>31</v>
      </c>
      <c r="F30" s="28" t="s">
        <v>25</v>
      </c>
      <c r="G30" s="27" t="s">
        <v>47</v>
      </c>
      <c r="H30" s="29">
        <v>305</v>
      </c>
      <c r="I30" s="30">
        <v>69</v>
      </c>
      <c r="J30" s="31">
        <v>470500</v>
      </c>
      <c r="K30" s="32"/>
      <c r="L30" s="33"/>
      <c r="M30" s="31"/>
      <c r="N30" s="31"/>
      <c r="O30" s="33"/>
      <c r="P30" s="31"/>
      <c r="Q30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305</v>
      </c>
      <c r="R30" s="31">
        <f>Registro_Ventas[[#This Row],[Precio Venta Departamento]]+Registro_Ventas[[#This Row],[Precio Venta Estacionamiento]]+Registro_Ventas[[#This Row],[Precio Venta Depósito]]</f>
        <v>470500</v>
      </c>
      <c r="S30" s="35">
        <f t="shared" si="1"/>
        <v>3000</v>
      </c>
      <c r="T30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6818.840579710145</v>
      </c>
      <c r="U30" s="36">
        <f>IF(Registro_Ventas[[#This Row],[Categoria]]="Cita Agendada","",Registro_Ventas[[#This Row],[M2 PEN]]/3.8)</f>
        <v>1794.4317315026699</v>
      </c>
      <c r="V30" s="37"/>
      <c r="W30" s="28" t="s">
        <v>209</v>
      </c>
      <c r="X30" s="27">
        <v>46660014</v>
      </c>
      <c r="Y30" s="37"/>
      <c r="Z30" s="38">
        <v>46072</v>
      </c>
      <c r="AA30" s="35">
        <v>3000</v>
      </c>
      <c r="AB30" s="35"/>
      <c r="AC30" s="27"/>
      <c r="AD30" s="46"/>
      <c r="AE30" s="43"/>
      <c r="AF30" s="28" t="s">
        <v>142</v>
      </c>
      <c r="AI30" s="169"/>
      <c r="AJ30" s="35">
        <f>Registro_Ventas[[#This Row],[Precio Venta Unidad(es)]]*Registro_Ventas[[#This Row],[%Comision
Ejecutivo]]</f>
        <v>0</v>
      </c>
      <c r="AK30" s="39">
        <f>Registro_Ventas[[#This Row],[Total Comision]]*30%</f>
        <v>0</v>
      </c>
      <c r="AL30" s="40"/>
      <c r="AP30" s="28" t="s">
        <v>210</v>
      </c>
      <c r="AT30" s="28" t="str">
        <f>IF(Registro_Ventas[[#This Row],[Fecha Separacion]]&lt;&gt;"",TEXT(Registro_Ventas[[#This Row],[Fecha Separacion]],"mmmm"),"")</f>
        <v>Febrero</v>
      </c>
      <c r="AU30" s="28" t="str">
        <f>IF(Registro_Ventas[[#This Row],[Firma Minuta]]&lt;&gt;"",TEXT(Registro_Ventas[[#This Row],[Firma Minuta]],"mmmm"),"")</f>
        <v/>
      </c>
      <c r="AV30" s="28" t="str">
        <f>IF(Registro_Ventas[[#This Row],[Firma Minuta]]&lt;&gt;"",TEXT(Registro_Ventas[[#This Row],[Firma Minuta]],"yyyy"),"")</f>
        <v/>
      </c>
      <c r="AW30" s="28" t="str">
        <f>IF(Registro_Ventas[[#This Row],[Fecha Separacion]]&lt;&gt;"",TEXT(Registro_Ventas[[#This Row],[Fecha Separacion]],"yyyy"),"")</f>
        <v>2026</v>
      </c>
      <c r="AX30" s="131">
        <f>IF(Registro_Ventas[[#This Row],[Fecha Separacion]]="","",Registro_Ventas[[#This Row],[Fecha Separacion]]-Registro_Ventas[[#This Row],[Fecha Captacion]])</f>
        <v>8</v>
      </c>
      <c r="AY30" s="131" t="str">
        <f>+IF(Registro_Ventas[[#This Row],[Firma Minuta]]="","",Registro_Ventas[[#This Row],[Firma Minuta]]-Registro_Ventas[[#This Row],[Fecha Captacion]])</f>
        <v/>
      </c>
      <c r="AZ30" s="131" t="str">
        <f>+IF(Registro_Ventas[[#This Row],[Firma Minuta]]="","",Registro_Ventas[[#This Row],[Firma Minuta]]-Registro_Ventas[[#This Row],[Fecha Separacion]])</f>
        <v/>
      </c>
      <c r="XDZ30" s="27"/>
      <c r="XEA30" s="27"/>
      <c r="XEC30" s="27"/>
      <c r="XED30" s="34"/>
      <c r="XEE30" s="31"/>
      <c r="XEF30" s="35"/>
      <c r="XEG30" s="37"/>
      <c r="XEI30" s="45"/>
      <c r="XEJ30" s="45"/>
      <c r="XEK30" s="38"/>
      <c r="XEL30" s="35"/>
      <c r="XEM30" s="35"/>
      <c r="XEN30" s="27"/>
      <c r="XEO30" s="43"/>
    </row>
    <row r="31" spans="1:52 16354:16369" x14ac:dyDescent="0.3">
      <c r="A31" s="46" t="str">
        <f>TEXT(Registro_Ventas[[#This Row],[Fecha Captacion]],"Mmmm")</f>
        <v>Julio</v>
      </c>
      <c r="B31" s="26">
        <v>45860</v>
      </c>
      <c r="C31" s="26" t="s">
        <v>16</v>
      </c>
      <c r="D31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31" s="27" t="s">
        <v>30</v>
      </c>
      <c r="F31" s="28" t="s">
        <v>12</v>
      </c>
      <c r="G31" s="27" t="s">
        <v>46</v>
      </c>
      <c r="H31" s="29">
        <v>401</v>
      </c>
      <c r="I31" s="30">
        <v>70</v>
      </c>
      <c r="J31" s="31">
        <v>470000</v>
      </c>
      <c r="K31" s="32"/>
      <c r="L31" s="33"/>
      <c r="M31" s="31"/>
      <c r="N31" s="31"/>
      <c r="O31" s="33"/>
      <c r="P31" s="31"/>
      <c r="Q31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401</v>
      </c>
      <c r="R31" s="31">
        <f>Registro_Ventas[[#This Row],[Precio Venta Departamento]]+Registro_Ventas[[#This Row],[Precio Venta Estacionamiento]]+Registro_Ventas[[#This Row],[Precio Venta Depósito]]</f>
        <v>470000</v>
      </c>
      <c r="S31" s="35">
        <f t="shared" si="1"/>
        <v>141000</v>
      </c>
      <c r="T31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6714.2857142857147</v>
      </c>
      <c r="U31" s="36">
        <f>IF(Registro_Ventas[[#This Row],[Categoria]]="Cita Agendada","",Registro_Ventas[[#This Row],[M2 PEN]]/3.8)</f>
        <v>1766.917293233083</v>
      </c>
      <c r="V31" s="37">
        <v>45932</v>
      </c>
      <c r="W31" s="28" t="s">
        <v>211</v>
      </c>
      <c r="X31" s="45" t="s">
        <v>212</v>
      </c>
      <c r="Y31" s="128"/>
      <c r="Z31" s="38">
        <v>45904</v>
      </c>
      <c r="AA31" s="35">
        <v>3000</v>
      </c>
      <c r="AB31" s="35">
        <v>138000</v>
      </c>
      <c r="AC31" s="27" t="s">
        <v>141</v>
      </c>
      <c r="AD31" s="46"/>
      <c r="AE31" s="43">
        <v>46568</v>
      </c>
      <c r="AF31" s="28"/>
      <c r="AG31" s="28"/>
      <c r="AH31" s="28"/>
      <c r="AI31" s="173"/>
      <c r="AJ31" s="35">
        <f>Registro_Ventas[[#This Row],[Precio Venta Unidad(es)]]*Registro_Ventas[[#This Row],[%Comision
Ejecutivo]]</f>
        <v>0</v>
      </c>
      <c r="AK31" s="39">
        <f>Registro_Ventas[[#This Row],[Total Comision]]*30%</f>
        <v>0</v>
      </c>
      <c r="AL31" s="40"/>
      <c r="AM31" s="28"/>
      <c r="AN31" s="28"/>
      <c r="AO31" s="28"/>
      <c r="AP31" s="28"/>
      <c r="AQ31" s="28"/>
      <c r="AR31" s="28"/>
      <c r="AS31" s="28"/>
      <c r="AT31" s="28" t="str">
        <f>IF(Registro_Ventas[[#This Row],[Fecha Separacion]]&lt;&gt;"",TEXT(Registro_Ventas[[#This Row],[Fecha Separacion]],"mmmm"),"")</f>
        <v>Setiembre</v>
      </c>
      <c r="AU31" s="28" t="str">
        <f>IF(Registro_Ventas[[#This Row],[Firma Minuta]]&lt;&gt;"",TEXT(Registro_Ventas[[#This Row],[Firma Minuta]],"mmmm"),"")</f>
        <v>Octubre</v>
      </c>
      <c r="AV31" s="28" t="str">
        <f>IF(Registro_Ventas[[#This Row],[Firma Minuta]]&lt;&gt;"",TEXT(Registro_Ventas[[#This Row],[Firma Minuta]],"yyyy"),"")</f>
        <v>2025</v>
      </c>
      <c r="AW31" s="28" t="str">
        <f>IF(Registro_Ventas[[#This Row],[Fecha Separacion]]&lt;&gt;"",TEXT(Registro_Ventas[[#This Row],[Fecha Separacion]],"yyyy"),"")</f>
        <v>2025</v>
      </c>
      <c r="AX31" s="131">
        <f>IF(Registro_Ventas[[#This Row],[Fecha Separacion]]="","",Registro_Ventas[[#This Row],[Fecha Separacion]]-Registro_Ventas[[#This Row],[Fecha Captacion]])</f>
        <v>44</v>
      </c>
      <c r="AY31" s="131">
        <f>+IF(Registro_Ventas[[#This Row],[Firma Minuta]]="","",Registro_Ventas[[#This Row],[Firma Minuta]]-Registro_Ventas[[#This Row],[Fecha Captacion]])</f>
        <v>72</v>
      </c>
      <c r="AZ31" s="131">
        <f>+IF(Registro_Ventas[[#This Row],[Firma Minuta]]="","",Registro_Ventas[[#This Row],[Firma Minuta]]-Registro_Ventas[[#This Row],[Fecha Separacion]])</f>
        <v>28</v>
      </c>
    </row>
    <row r="32" spans="1:52 16354:16369" x14ac:dyDescent="0.3">
      <c r="A32" s="46" t="str">
        <f>TEXT(Registro_Ventas[[#This Row],[Fecha Captacion]],"Mmmm")</f>
        <v>Junio</v>
      </c>
      <c r="B32" s="26">
        <v>45464</v>
      </c>
      <c r="C32" s="26" t="s">
        <v>11</v>
      </c>
      <c r="D32" s="134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32" s="134" t="s">
        <v>31</v>
      </c>
      <c r="F32" s="135" t="s">
        <v>12</v>
      </c>
      <c r="G32" s="134" t="s">
        <v>46</v>
      </c>
      <c r="H32" s="29">
        <v>401</v>
      </c>
      <c r="I32" s="30">
        <v>84</v>
      </c>
      <c r="J32" s="31">
        <v>630000</v>
      </c>
      <c r="K32" s="32"/>
      <c r="L32" s="33"/>
      <c r="M32" s="31"/>
      <c r="N32" s="31"/>
      <c r="O32" s="33"/>
      <c r="P32" s="31"/>
      <c r="Q32" s="136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401</v>
      </c>
      <c r="R32" s="137">
        <f>Registro_Ventas[[#This Row],[Precio Venta Departamento]]+Registro_Ventas[[#This Row],[Precio Venta Estacionamiento]]+Registro_Ventas[[#This Row],[Precio Venta Depósito]]</f>
        <v>630000</v>
      </c>
      <c r="S32" s="138">
        <f t="shared" si="1"/>
        <v>495000</v>
      </c>
      <c r="T32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7500</v>
      </c>
      <c r="U32" s="36">
        <f>IF(Registro_Ventas[[#This Row],[Categoria]]="Cita Agendada","",Registro_Ventas[[#This Row],[M2 PEN]]/3.8)</f>
        <v>1973.6842105263158</v>
      </c>
      <c r="V32" s="139">
        <v>45757</v>
      </c>
      <c r="W32" s="135" t="s">
        <v>213</v>
      </c>
      <c r="X32" s="140">
        <v>23951642</v>
      </c>
      <c r="Y32" s="181"/>
      <c r="Z32" s="141">
        <v>45751</v>
      </c>
      <c r="AA32" s="138">
        <v>3000</v>
      </c>
      <c r="AB32" s="138">
        <f>187000+120000+155000+12000+18000</f>
        <v>492000</v>
      </c>
      <c r="AC32" s="134" t="s">
        <v>141</v>
      </c>
      <c r="AD32" s="46"/>
      <c r="AE32" s="91">
        <v>46138</v>
      </c>
      <c r="AF32" s="135"/>
      <c r="AG32" s="135"/>
      <c r="AH32" s="28"/>
      <c r="AI32" s="173"/>
      <c r="AJ32" s="35">
        <f>Registro_Ventas[[#This Row],[Precio Venta Unidad(es)]]*Registro_Ventas[[#This Row],[%Comision
Ejecutivo]]</f>
        <v>0</v>
      </c>
      <c r="AK32" s="39">
        <f>Registro_Ventas[[#This Row],[Total Comision]]*30%</f>
        <v>0</v>
      </c>
      <c r="AL32" s="40"/>
      <c r="AM32" s="28"/>
      <c r="AN32" s="28"/>
      <c r="AO32" s="28"/>
      <c r="AP32" s="28"/>
      <c r="AQ32" s="28"/>
      <c r="AR32" s="28"/>
      <c r="AS32" s="135"/>
      <c r="AT32" s="28" t="str">
        <f>IF(Registro_Ventas[[#This Row],[Fecha Separacion]]&lt;&gt;"",TEXT(Registro_Ventas[[#This Row],[Fecha Separacion]],"mmmm"),"")</f>
        <v>Abril</v>
      </c>
      <c r="AU32" s="28" t="str">
        <f>IF(Registro_Ventas[[#This Row],[Firma Minuta]]&lt;&gt;"",TEXT(Registro_Ventas[[#This Row],[Firma Minuta]],"mmmm"),"")</f>
        <v>Abril</v>
      </c>
      <c r="AV32" s="28" t="str">
        <f>IF(Registro_Ventas[[#This Row],[Firma Minuta]]&lt;&gt;"",TEXT(Registro_Ventas[[#This Row],[Firma Minuta]],"yyyy"),"")</f>
        <v>2025</v>
      </c>
      <c r="AW32" s="28" t="str">
        <f>IF(Registro_Ventas[[#This Row],[Fecha Separacion]]&lt;&gt;"",TEXT(Registro_Ventas[[#This Row],[Fecha Separacion]],"yyyy"),"")</f>
        <v>2025</v>
      </c>
      <c r="AX32" s="131">
        <f>IF(Registro_Ventas[[#This Row],[Fecha Separacion]]="","",Registro_Ventas[[#This Row],[Fecha Separacion]]-Registro_Ventas[[#This Row],[Fecha Captacion]])</f>
        <v>287</v>
      </c>
      <c r="AY32" s="131">
        <f>+IF(Registro_Ventas[[#This Row],[Firma Minuta]]="","",Registro_Ventas[[#This Row],[Firma Minuta]]-Registro_Ventas[[#This Row],[Fecha Captacion]])</f>
        <v>293</v>
      </c>
      <c r="AZ32" s="131">
        <f>+IF(Registro_Ventas[[#This Row],[Firma Minuta]]="","",Registro_Ventas[[#This Row],[Firma Minuta]]-Registro_Ventas[[#This Row],[Fecha Separacion]])</f>
        <v>6</v>
      </c>
    </row>
    <row r="33" spans="1:52" x14ac:dyDescent="0.3">
      <c r="A33" s="46" t="str">
        <f>TEXT(Registro_Ventas[[#This Row],[Fecha Captacion]],"Mmmm")</f>
        <v>Junio</v>
      </c>
      <c r="B33" s="26">
        <v>45830</v>
      </c>
      <c r="C33" s="26" t="s">
        <v>16</v>
      </c>
      <c r="D33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33" s="27" t="s">
        <v>31</v>
      </c>
      <c r="F33" s="28" t="s">
        <v>19</v>
      </c>
      <c r="G33" s="27" t="s">
        <v>47</v>
      </c>
      <c r="H33" s="29">
        <v>402</v>
      </c>
      <c r="I33" s="30">
        <v>56</v>
      </c>
      <c r="J33" s="31">
        <v>415000</v>
      </c>
      <c r="K33" s="32" t="s">
        <v>214</v>
      </c>
      <c r="L33" s="33">
        <v>13</v>
      </c>
      <c r="M33" s="31">
        <v>46500</v>
      </c>
      <c r="N33" s="31"/>
      <c r="O33" s="33"/>
      <c r="P33" s="31"/>
      <c r="Q33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402 / E01</v>
      </c>
      <c r="R33" s="31">
        <f>Registro_Ventas[[#This Row],[Precio Venta Departamento]]+Registro_Ventas[[#This Row],[Precio Venta Estacionamiento]]+Registro_Ventas[[#This Row],[Precio Venta Depósito]]</f>
        <v>461500</v>
      </c>
      <c r="S33" s="35">
        <f t="shared" si="1"/>
        <v>3000</v>
      </c>
      <c r="T3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6688.405797101449</v>
      </c>
      <c r="U33" s="36">
        <f>IF(Registro_Ventas[[#This Row],[Categoria]]="Cita Agendada","",Registro_Ventas[[#This Row],[M2 PEN]]/3.8)</f>
        <v>1760.1067887109077</v>
      </c>
      <c r="V33" s="37"/>
      <c r="W33" s="28" t="s">
        <v>215</v>
      </c>
      <c r="X33" s="45" t="s">
        <v>216</v>
      </c>
      <c r="Y33" s="128"/>
      <c r="Z33" s="38">
        <v>45908</v>
      </c>
      <c r="AA33" s="35">
        <v>3000</v>
      </c>
      <c r="AB33" s="35"/>
      <c r="AC33" s="27" t="s">
        <v>189</v>
      </c>
      <c r="AD33" s="46"/>
      <c r="AE33" s="43"/>
      <c r="AF33" s="28" t="s">
        <v>142</v>
      </c>
      <c r="AG33" s="28"/>
      <c r="AH33" s="28"/>
      <c r="AI33" s="173"/>
      <c r="AJ33" s="35">
        <f>Registro_Ventas[[#This Row],[Precio Venta Unidad(es)]]*Registro_Ventas[[#This Row],[%Comision
Ejecutivo]]</f>
        <v>0</v>
      </c>
      <c r="AK33" s="39">
        <f>Registro_Ventas[[#This Row],[Total Comision]]*30%</f>
        <v>0</v>
      </c>
      <c r="AL33" s="40"/>
      <c r="AM33" s="28"/>
      <c r="AN33" s="28"/>
      <c r="AO33" s="28"/>
      <c r="AP33" s="28" t="s">
        <v>217</v>
      </c>
      <c r="AQ33" s="28"/>
      <c r="AR33" s="28"/>
      <c r="AS33" s="28"/>
      <c r="AT33" s="28" t="str">
        <f>IF(Registro_Ventas[[#This Row],[Fecha Separacion]]&lt;&gt;"",TEXT(Registro_Ventas[[#This Row],[Fecha Separacion]],"mmmm"),"")</f>
        <v>Setiembre</v>
      </c>
      <c r="AU33" s="28" t="str">
        <f>IF(Registro_Ventas[[#This Row],[Firma Minuta]]&lt;&gt;"",TEXT(Registro_Ventas[[#This Row],[Firma Minuta]],"mmmm"),"")</f>
        <v/>
      </c>
      <c r="AV33" s="28" t="str">
        <f>IF(Registro_Ventas[[#This Row],[Firma Minuta]]&lt;&gt;"",TEXT(Registro_Ventas[[#This Row],[Firma Minuta]],"yyyy"),"")</f>
        <v/>
      </c>
      <c r="AW33" s="28" t="str">
        <f>IF(Registro_Ventas[[#This Row],[Fecha Separacion]]&lt;&gt;"",TEXT(Registro_Ventas[[#This Row],[Fecha Separacion]],"yyyy"),"")</f>
        <v>2025</v>
      </c>
      <c r="AX33" s="131">
        <f>IF(Registro_Ventas[[#This Row],[Fecha Separacion]]="","",Registro_Ventas[[#This Row],[Fecha Separacion]]-Registro_Ventas[[#This Row],[Fecha Captacion]])</f>
        <v>78</v>
      </c>
      <c r="AY33" s="131" t="str">
        <f>+IF(Registro_Ventas[[#This Row],[Firma Minuta]]="","",Registro_Ventas[[#This Row],[Firma Minuta]]-Registro_Ventas[[#This Row],[Fecha Captacion]])</f>
        <v/>
      </c>
      <c r="AZ33" s="131" t="str">
        <f>+IF(Registro_Ventas[[#This Row],[Firma Minuta]]="","",Registro_Ventas[[#This Row],[Firma Minuta]]-Registro_Ventas[[#This Row],[Fecha Separacion]])</f>
        <v/>
      </c>
    </row>
    <row r="34" spans="1:52" x14ac:dyDescent="0.3">
      <c r="A34" s="46" t="str">
        <f>TEXT(Registro_Ventas[[#This Row],[Fecha Captacion]],"Mmmm")</f>
        <v>Enero</v>
      </c>
      <c r="B34" s="26">
        <v>46041</v>
      </c>
      <c r="C34" s="26" t="s">
        <v>94</v>
      </c>
      <c r="D34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34" s="27" t="s">
        <v>32</v>
      </c>
      <c r="F34" s="28" t="s">
        <v>22</v>
      </c>
      <c r="G34" s="27" t="s">
        <v>47</v>
      </c>
      <c r="H34" s="29">
        <v>402</v>
      </c>
      <c r="I34" s="30">
        <v>83</v>
      </c>
      <c r="J34" s="31">
        <v>623000</v>
      </c>
      <c r="K34" s="32"/>
      <c r="L34" s="33"/>
      <c r="M34" s="31"/>
      <c r="N34" s="31"/>
      <c r="O34" s="33"/>
      <c r="P34" s="31"/>
      <c r="Q34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402</v>
      </c>
      <c r="R34" s="31">
        <f>Registro_Ventas[[#This Row],[Precio Venta Departamento]]+Registro_Ventas[[#This Row],[Precio Venta Estacionamiento]]+Registro_Ventas[[#This Row],[Precio Venta Depósito]]</f>
        <v>623000</v>
      </c>
      <c r="S34" s="35">
        <f t="shared" si="1"/>
        <v>10000</v>
      </c>
      <c r="T3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7506.0240963855422</v>
      </c>
      <c r="U34" s="36">
        <f>IF(Registro_Ventas[[#This Row],[Categoria]]="Cita Agendada","",Registro_Ventas[[#This Row],[M2 PEN]]/3.8)</f>
        <v>1975.2694990488269</v>
      </c>
      <c r="V34" s="37">
        <v>46071</v>
      </c>
      <c r="W34" s="28" t="s">
        <v>218</v>
      </c>
      <c r="X34" s="45">
        <v>44369489</v>
      </c>
      <c r="Y34" s="128"/>
      <c r="Z34" s="38">
        <v>46041</v>
      </c>
      <c r="AA34" s="35">
        <v>3000</v>
      </c>
      <c r="AB34" s="35">
        <v>7000</v>
      </c>
      <c r="AC34" s="27" t="s">
        <v>219</v>
      </c>
      <c r="AD34" s="46">
        <v>46264</v>
      </c>
      <c r="AE34" s="43">
        <v>46295</v>
      </c>
      <c r="AF34" s="28" t="s">
        <v>142</v>
      </c>
      <c r="AG34" s="28"/>
      <c r="AH34" s="28"/>
      <c r="AI34" s="173">
        <v>1.6100000000000001E-3</v>
      </c>
      <c r="AJ34" s="35">
        <v>1000</v>
      </c>
      <c r="AK34" s="39">
        <f>Registro_Ventas[[#This Row],[Total Comision]]*50%</f>
        <v>500</v>
      </c>
      <c r="AL34" s="39">
        <f>Registro_Ventas[[#This Row],[Total Comision]]*50%</f>
        <v>500</v>
      </c>
      <c r="AM34" s="28" t="s">
        <v>152</v>
      </c>
      <c r="AN34" s="46">
        <v>46108</v>
      </c>
      <c r="AO34" s="28"/>
      <c r="AP34" s="28"/>
      <c r="AQ34" s="28"/>
      <c r="AR34" s="28"/>
      <c r="AS34" s="28" t="s">
        <v>201</v>
      </c>
      <c r="AT34" s="28" t="str">
        <f>IF(Registro_Ventas[[#This Row],[Fecha Separacion]]&lt;&gt;"",TEXT(Registro_Ventas[[#This Row],[Fecha Separacion]],"mmmm"),"")</f>
        <v>Enero</v>
      </c>
      <c r="AU34" s="28" t="str">
        <f>IF(Registro_Ventas[[#This Row],[Firma Minuta]]&lt;&gt;"",TEXT(Registro_Ventas[[#This Row],[Firma Minuta]],"mmmm"),"")</f>
        <v>Febrero</v>
      </c>
      <c r="AV34" s="28" t="str">
        <f>IF(Registro_Ventas[[#This Row],[Firma Minuta]]&lt;&gt;"",TEXT(Registro_Ventas[[#This Row],[Firma Minuta]],"yyyy"),"")</f>
        <v>2026</v>
      </c>
      <c r="AW34" s="28" t="str">
        <f>IF(Registro_Ventas[[#This Row],[Fecha Separacion]]&lt;&gt;"",TEXT(Registro_Ventas[[#This Row],[Fecha Separacion]],"yyyy"),"")</f>
        <v>2026</v>
      </c>
      <c r="AX34" s="131">
        <f>IF(Registro_Ventas[[#This Row],[Fecha Separacion]]="","",Registro_Ventas[[#This Row],[Fecha Separacion]]-Registro_Ventas[[#This Row],[Fecha Captacion]])</f>
        <v>0</v>
      </c>
      <c r="AY34" s="131">
        <f>+IF(Registro_Ventas[[#This Row],[Firma Minuta]]="","",Registro_Ventas[[#This Row],[Firma Minuta]]-Registro_Ventas[[#This Row],[Fecha Captacion]])</f>
        <v>30</v>
      </c>
      <c r="AZ34" s="131">
        <f>+IF(Registro_Ventas[[#This Row],[Firma Minuta]]="","",Registro_Ventas[[#This Row],[Firma Minuta]]-Registro_Ventas[[#This Row],[Fecha Separacion]])</f>
        <v>30</v>
      </c>
    </row>
    <row r="35" spans="1:52" x14ac:dyDescent="0.3">
      <c r="A35" s="46" t="str">
        <f>TEXT(Registro_Ventas[[#This Row],[Fecha Captacion]],"Mmmm")</f>
        <v>Marzo</v>
      </c>
      <c r="B35" s="26">
        <v>46096</v>
      </c>
      <c r="C35" s="26" t="s">
        <v>66</v>
      </c>
      <c r="D35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35" s="27" t="s">
        <v>30</v>
      </c>
      <c r="F35" s="28" t="s">
        <v>12</v>
      </c>
      <c r="G35" s="27" t="s">
        <v>48</v>
      </c>
      <c r="H35" s="29">
        <v>402</v>
      </c>
      <c r="I35" s="30">
        <v>57</v>
      </c>
      <c r="J35" s="31">
        <v>400000</v>
      </c>
      <c r="K35" s="32"/>
      <c r="L35" s="33"/>
      <c r="M35" s="31"/>
      <c r="N35" s="31"/>
      <c r="O35" s="33"/>
      <c r="P35" s="31"/>
      <c r="Q35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402</v>
      </c>
      <c r="R35" s="31">
        <f>Registro_Ventas[[#This Row],[Precio Venta Departamento]]+Registro_Ventas[[#This Row],[Precio Venta Estacionamiento]]+Registro_Ventas[[#This Row],[Precio Venta Depósito]]</f>
        <v>400000</v>
      </c>
      <c r="S35" s="35">
        <f t="shared" si="1"/>
        <v>23000</v>
      </c>
      <c r="T3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7017.5438596491231</v>
      </c>
      <c r="U35" s="36">
        <f>IF(Registro_Ventas[[#This Row],[Categoria]]="Cita Agendada","",Registro_Ventas[[#This Row],[M2 PEN]]/3.8)</f>
        <v>1846.7220683287167</v>
      </c>
      <c r="V35" s="37">
        <v>46111</v>
      </c>
      <c r="W35" s="28" t="s">
        <v>220</v>
      </c>
      <c r="X35" s="45" t="s">
        <v>221</v>
      </c>
      <c r="Y35" s="128"/>
      <c r="Z35" s="38">
        <v>46096</v>
      </c>
      <c r="AA35" s="35">
        <v>3000</v>
      </c>
      <c r="AB35" s="35">
        <v>20000</v>
      </c>
      <c r="AC35" s="27" t="s">
        <v>222</v>
      </c>
      <c r="AD35" s="46">
        <v>46111</v>
      </c>
      <c r="AE35" s="43">
        <v>46295</v>
      </c>
      <c r="AF35" s="28" t="s">
        <v>160</v>
      </c>
      <c r="AG35" s="28"/>
      <c r="AH35" s="28"/>
      <c r="AI35" s="41"/>
      <c r="AJ35" s="35">
        <f>Registro_Ventas[[#This Row],[Precio Venta Unidad(es)]]*Registro_Ventas[[#This Row],[%Comision
Ejecutivo]]</f>
        <v>0</v>
      </c>
      <c r="AK35" s="39">
        <f>Registro_Ventas[[#This Row],[Total Comision]]*30%</f>
        <v>0</v>
      </c>
      <c r="AL35" s="178"/>
      <c r="AM35" s="28"/>
      <c r="AN35" s="28"/>
      <c r="AO35" s="28"/>
      <c r="AP35" s="28"/>
      <c r="AQ35" s="28"/>
      <c r="AR35" s="28"/>
      <c r="AS35" s="28"/>
      <c r="AT35" s="28" t="str">
        <f>IF(Registro_Ventas[[#This Row],[Fecha Separacion]]&lt;&gt;"",TEXT(Registro_Ventas[[#This Row],[Fecha Separacion]],"mmmm"),"")</f>
        <v>Marzo</v>
      </c>
      <c r="AU35" s="28" t="str">
        <f>IF(Registro_Ventas[[#This Row],[Firma Minuta]]&lt;&gt;"",TEXT(Registro_Ventas[[#This Row],[Firma Minuta]],"mmmm"),"")</f>
        <v>Marzo</v>
      </c>
      <c r="AV35" s="28" t="str">
        <f>IF(Registro_Ventas[[#This Row],[Firma Minuta]]&lt;&gt;"",TEXT(Registro_Ventas[[#This Row],[Firma Minuta]],"yyyy"),"")</f>
        <v>2026</v>
      </c>
      <c r="AW35" s="28" t="str">
        <f>IF(Registro_Ventas[[#This Row],[Fecha Separacion]]&lt;&gt;"",TEXT(Registro_Ventas[[#This Row],[Fecha Separacion]],"yyyy"),"")</f>
        <v>2026</v>
      </c>
      <c r="AX35" s="131">
        <f>IF(Registro_Ventas[[#This Row],[Fecha Separacion]]="","",Registro_Ventas[[#This Row],[Fecha Separacion]]-Registro_Ventas[[#This Row],[Fecha Captacion]])</f>
        <v>0</v>
      </c>
      <c r="AY35" s="131">
        <f>+IF(Registro_Ventas[[#This Row],[Firma Minuta]]="","",Registro_Ventas[[#This Row],[Firma Minuta]]-Registro_Ventas[[#This Row],[Fecha Captacion]])</f>
        <v>15</v>
      </c>
      <c r="AZ35" s="131">
        <f>+IF(Registro_Ventas[[#This Row],[Firma Minuta]]="","",Registro_Ventas[[#This Row],[Firma Minuta]]-Registro_Ventas[[#This Row],[Fecha Separacion]])</f>
        <v>15</v>
      </c>
    </row>
    <row r="36" spans="1:52" x14ac:dyDescent="0.3">
      <c r="A36" s="27" t="str">
        <f>TEXT(Registro_Ventas[[#This Row],[Fecha Captacion]],"Mmmm")</f>
        <v>Diciembre</v>
      </c>
      <c r="B36" s="27">
        <v>45999</v>
      </c>
      <c r="C36" s="28" t="s">
        <v>11</v>
      </c>
      <c r="D36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36" s="34" t="s">
        <v>30</v>
      </c>
      <c r="F36" s="31" t="s">
        <v>12</v>
      </c>
      <c r="G36" s="27" t="s">
        <v>48</v>
      </c>
      <c r="H36" s="29">
        <v>403</v>
      </c>
      <c r="I36" s="30">
        <v>68</v>
      </c>
      <c r="J36" s="31">
        <f>504700-50000</f>
        <v>454700</v>
      </c>
      <c r="K36" s="45" t="s">
        <v>223</v>
      </c>
      <c r="L36" s="38">
        <v>12</v>
      </c>
      <c r="M36" s="35">
        <v>50000</v>
      </c>
      <c r="N36" s="35"/>
      <c r="O36" s="27"/>
      <c r="P36" s="43"/>
      <c r="Q36" s="27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403 / E06</v>
      </c>
      <c r="R36" s="31">
        <f>Registro_Ventas[[#This Row],[Precio Venta Departamento]]+Registro_Ventas[[#This Row],[Precio Venta Estacionamiento]]+Registro_Ventas[[#This Row],[Precio Venta Depósito]]</f>
        <v>504700</v>
      </c>
      <c r="S36" s="35">
        <f t="shared" si="1"/>
        <v>13000</v>
      </c>
      <c r="T3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6308.75</v>
      </c>
      <c r="U36" s="36">
        <f>IF(Registro_Ventas[[#This Row],[Categoria]]="Cita Agendada","",Registro_Ventas[[#This Row],[M2 PEN]]/3.8)</f>
        <v>1660.1973684210527</v>
      </c>
      <c r="V36" s="37">
        <v>46017</v>
      </c>
      <c r="W36" s="28" t="s">
        <v>224</v>
      </c>
      <c r="X36" s="45">
        <v>40642153</v>
      </c>
      <c r="Y36" s="38"/>
      <c r="Z36" s="38">
        <v>46000</v>
      </c>
      <c r="AA36" s="35">
        <v>3000</v>
      </c>
      <c r="AB36" s="35">
        <v>10000</v>
      </c>
      <c r="AC36" s="27" t="s">
        <v>151</v>
      </c>
      <c r="AD36" s="46">
        <v>46203</v>
      </c>
      <c r="AE36" s="38">
        <v>46264</v>
      </c>
      <c r="AF36" s="28" t="s">
        <v>160</v>
      </c>
      <c r="AG36" s="28"/>
      <c r="AH36" s="28"/>
      <c r="AI36" s="173">
        <v>5.0000000000000001E-3</v>
      </c>
      <c r="AJ36" s="35">
        <f>Registro_Ventas[[#This Row],[Precio Venta Unidad(es)]]*Registro_Ventas[[#This Row],[%Comision
Ejecutivo]]</f>
        <v>2523.5</v>
      </c>
      <c r="AK36" s="39">
        <f>Registro_Ventas[[#This Row],[Total Comision]]*0%</f>
        <v>0</v>
      </c>
      <c r="AL36" s="39">
        <f>Registro_Ventas[[#This Row],[Total Comision]]*100%</f>
        <v>2523.5</v>
      </c>
      <c r="AM36" s="28" t="s">
        <v>172</v>
      </c>
      <c r="AN36" s="28"/>
      <c r="AO36" s="28"/>
      <c r="AP36" s="28"/>
      <c r="AQ36" s="28"/>
      <c r="AR36" s="28"/>
      <c r="AS36" s="28"/>
      <c r="AT36" t="str">
        <f>IF(Registro_Ventas[[#This Row],[Fecha Separacion]]&lt;&gt;"",TEXT(Registro_Ventas[[#This Row],[Fecha Separacion]],"mmmm"),"")</f>
        <v>Diciembre</v>
      </c>
      <c r="AU36" t="str">
        <f>IF(Registro_Ventas[[#This Row],[Firma Minuta]]&lt;&gt;"",TEXT(Registro_Ventas[[#This Row],[Firma Minuta]],"mmmm"),"")</f>
        <v>Diciembre</v>
      </c>
      <c r="AV36" t="str">
        <f>IF(Registro_Ventas[[#This Row],[Firma Minuta]]&lt;&gt;"",TEXT(Registro_Ventas[[#This Row],[Firma Minuta]],"yyyy"),"")</f>
        <v>2025</v>
      </c>
      <c r="AW36" t="str">
        <f>IF(Registro_Ventas[[#This Row],[Fecha Separacion]]&lt;&gt;"",TEXT(Registro_Ventas[[#This Row],[Fecha Separacion]],"yyyy"),"")</f>
        <v>2025</v>
      </c>
      <c r="AX36">
        <f>IF(Registro_Ventas[[#This Row],[Fecha Separacion]]="","",Registro_Ventas[[#This Row],[Fecha Separacion]]-Registro_Ventas[[#This Row],[Fecha Captacion]])</f>
        <v>1</v>
      </c>
      <c r="AY36">
        <f>+IF(Registro_Ventas[[#This Row],[Firma Minuta]]="","",Registro_Ventas[[#This Row],[Firma Minuta]]-Registro_Ventas[[#This Row],[Fecha Captacion]])</f>
        <v>18</v>
      </c>
      <c r="AZ36">
        <f>+IF(Registro_Ventas[[#This Row],[Firma Minuta]]="","",Registro_Ventas[[#This Row],[Firma Minuta]]-Registro_Ventas[[#This Row],[Fecha Separacion]])</f>
        <v>17</v>
      </c>
    </row>
    <row r="37" spans="1:52" x14ac:dyDescent="0.3">
      <c r="A37" s="46" t="str">
        <f>TEXT(Registro_Ventas[[#This Row],[Fecha Captacion]],"Mmmm")</f>
        <v>Octubre</v>
      </c>
      <c r="B37" s="26">
        <v>45577</v>
      </c>
      <c r="C37" s="26" t="s">
        <v>11</v>
      </c>
      <c r="D37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37" s="27" t="s">
        <v>31</v>
      </c>
      <c r="F37" s="28" t="s">
        <v>12</v>
      </c>
      <c r="G37" s="27" t="s">
        <v>47</v>
      </c>
      <c r="H37" s="29">
        <v>403</v>
      </c>
      <c r="I37" s="30">
        <v>88</v>
      </c>
      <c r="J37" s="31">
        <v>654000</v>
      </c>
      <c r="K37" s="32"/>
      <c r="L37" s="33"/>
      <c r="M37" s="31"/>
      <c r="N37" s="31"/>
      <c r="O37" s="33"/>
      <c r="P37" s="31"/>
      <c r="Q37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403</v>
      </c>
      <c r="R37" s="31">
        <f>Registro_Ventas[[#This Row],[Precio Venta Departamento]]+Registro_Ventas[[#This Row],[Precio Venta Estacionamiento]]+Registro_Ventas[[#This Row],[Precio Venta Depósito]]</f>
        <v>654000</v>
      </c>
      <c r="S37" s="35">
        <f t="shared" si="1"/>
        <v>654000</v>
      </c>
      <c r="T37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7431.818181818182</v>
      </c>
      <c r="U37" s="36">
        <f>IF(Registro_Ventas[[#This Row],[Categoria]]="Cita Agendada","",Registro_Ventas[[#This Row],[M2 PEN]]/3.8)</f>
        <v>1955.7416267942585</v>
      </c>
      <c r="V37" s="37">
        <v>45619</v>
      </c>
      <c r="W37" s="28" t="s">
        <v>225</v>
      </c>
      <c r="X37" s="45">
        <v>15764694</v>
      </c>
      <c r="Y37" s="128"/>
      <c r="Z37" s="38">
        <v>45586</v>
      </c>
      <c r="AA37" s="35">
        <v>3000</v>
      </c>
      <c r="AB37" s="35">
        <f>97800+30000+523200</f>
        <v>651000</v>
      </c>
      <c r="AC37" s="27" t="s">
        <v>141</v>
      </c>
      <c r="AD37" s="46"/>
      <c r="AE37" s="43">
        <v>45657</v>
      </c>
      <c r="AF37" s="28"/>
      <c r="AG37" s="28"/>
      <c r="AH37" s="28"/>
      <c r="AI37" s="173"/>
      <c r="AJ37" s="35">
        <f>Registro_Ventas[[#This Row],[Precio Venta Unidad(es)]]*Registro_Ventas[[#This Row],[%Comision
Ejecutivo]]</f>
        <v>0</v>
      </c>
      <c r="AK37" s="39">
        <f>Registro_Ventas[[#This Row],[Total Comision]]*30%</f>
        <v>0</v>
      </c>
      <c r="AL37" s="40"/>
      <c r="AM37" s="28"/>
      <c r="AN37" s="28"/>
      <c r="AO37" s="28"/>
      <c r="AP37" s="28"/>
      <c r="AQ37" s="28"/>
      <c r="AR37" s="28"/>
      <c r="AS37" s="28"/>
      <c r="AT37" s="28" t="str">
        <f>IF(Registro_Ventas[[#This Row],[Fecha Separacion]]&lt;&gt;"",TEXT(Registro_Ventas[[#This Row],[Fecha Separacion]],"mmmm"),"")</f>
        <v>Octubre</v>
      </c>
      <c r="AU37" s="28" t="str">
        <f>IF(Registro_Ventas[[#This Row],[Firma Minuta]]&lt;&gt;"",TEXT(Registro_Ventas[[#This Row],[Firma Minuta]],"mmmm"),"")</f>
        <v>Noviembre</v>
      </c>
      <c r="AV37" s="28" t="str">
        <f>IF(Registro_Ventas[[#This Row],[Firma Minuta]]&lt;&gt;"",TEXT(Registro_Ventas[[#This Row],[Firma Minuta]],"yyyy"),"")</f>
        <v>2024</v>
      </c>
      <c r="AW37" s="28" t="str">
        <f>IF(Registro_Ventas[[#This Row],[Fecha Separacion]]&lt;&gt;"",TEXT(Registro_Ventas[[#This Row],[Fecha Separacion]],"yyyy"),"")</f>
        <v>2024</v>
      </c>
      <c r="AX37" s="131">
        <f>IF(Registro_Ventas[[#This Row],[Fecha Separacion]]="","",Registro_Ventas[[#This Row],[Fecha Separacion]]-Registro_Ventas[[#This Row],[Fecha Captacion]])</f>
        <v>9</v>
      </c>
      <c r="AY37" s="131">
        <f>+IF(Registro_Ventas[[#This Row],[Firma Minuta]]="","",Registro_Ventas[[#This Row],[Firma Minuta]]-Registro_Ventas[[#This Row],[Fecha Captacion]])</f>
        <v>42</v>
      </c>
      <c r="AZ37" s="131">
        <f>+IF(Registro_Ventas[[#This Row],[Firma Minuta]]="","",Registro_Ventas[[#This Row],[Firma Minuta]]-Registro_Ventas[[#This Row],[Fecha Separacion]])</f>
        <v>33</v>
      </c>
    </row>
    <row r="38" spans="1:52" x14ac:dyDescent="0.3">
      <c r="A38" s="46" t="str">
        <f>TEXT(Registro_Ventas[[#This Row],[Fecha Captacion]],"Mmmm")</f>
        <v>Mayo</v>
      </c>
      <c r="B38" s="26">
        <v>45806</v>
      </c>
      <c r="C38" s="26" t="s">
        <v>18</v>
      </c>
      <c r="D38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38" s="27" t="s">
        <v>30</v>
      </c>
      <c r="F38" s="28" t="s">
        <v>12</v>
      </c>
      <c r="G38" s="27" t="s">
        <v>48</v>
      </c>
      <c r="H38" s="29">
        <v>404</v>
      </c>
      <c r="I38" s="30">
        <v>67</v>
      </c>
      <c r="J38" s="31">
        <v>460000</v>
      </c>
      <c r="K38" s="32"/>
      <c r="L38" s="33"/>
      <c r="M38" s="31"/>
      <c r="N38" s="31"/>
      <c r="O38" s="33"/>
      <c r="P38" s="31"/>
      <c r="Q38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404</v>
      </c>
      <c r="R38" s="31">
        <f>Registro_Ventas[[#This Row],[Precio Venta Departamento]]+Registro_Ventas[[#This Row],[Precio Venta Estacionamiento]]+Registro_Ventas[[#This Row],[Precio Venta Depósito]]</f>
        <v>460000</v>
      </c>
      <c r="S38" s="35">
        <f t="shared" si="1"/>
        <v>23000</v>
      </c>
      <c r="T38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6865.6716417910447</v>
      </c>
      <c r="U38" s="36">
        <f>IF(Registro_Ventas[[#This Row],[Categoria]]="Cita Agendada","",Registro_Ventas[[#This Row],[M2 PEN]]/3.8)</f>
        <v>1806.7556952081698</v>
      </c>
      <c r="V38" s="37">
        <v>45818</v>
      </c>
      <c r="W38" s="28" t="s">
        <v>226</v>
      </c>
      <c r="X38" s="27">
        <v>3495726</v>
      </c>
      <c r="Y38" s="37"/>
      <c r="Z38" s="38">
        <v>45810</v>
      </c>
      <c r="AA38" s="35">
        <v>3000</v>
      </c>
      <c r="AB38" s="35">
        <f>10000+10000</f>
        <v>20000</v>
      </c>
      <c r="AC38" s="27" t="s">
        <v>151</v>
      </c>
      <c r="AD38" s="46">
        <v>46386</v>
      </c>
      <c r="AE38" s="43">
        <v>46052</v>
      </c>
      <c r="AF38" s="28" t="s">
        <v>227</v>
      </c>
      <c r="AG38" s="28"/>
      <c r="AH38" s="28"/>
      <c r="AI38" s="173"/>
      <c r="AJ38" s="35">
        <f>Registro_Ventas[[#This Row],[Precio Venta Unidad(es)]]*Registro_Ventas[[#This Row],[%Comision
Ejecutivo]]</f>
        <v>0</v>
      </c>
      <c r="AK38" s="39">
        <f>Registro_Ventas[[#This Row],[Total Comision]]*70%</f>
        <v>0</v>
      </c>
      <c r="AL38" s="40"/>
      <c r="AM38" s="28"/>
      <c r="AN38" s="28"/>
      <c r="AO38" s="28"/>
      <c r="AP38" s="28"/>
      <c r="AQ38" s="28"/>
      <c r="AR38" s="28"/>
      <c r="AS38" s="28"/>
      <c r="AT38" s="28" t="str">
        <f>IF(Registro_Ventas[[#This Row],[Fecha Separacion]]&lt;&gt;"",TEXT(Registro_Ventas[[#This Row],[Fecha Separacion]],"mmmm"),"")</f>
        <v>Junio</v>
      </c>
      <c r="AU38" s="28" t="str">
        <f>IF(Registro_Ventas[[#This Row],[Firma Minuta]]&lt;&gt;"",TEXT(Registro_Ventas[[#This Row],[Firma Minuta]],"mmmm"),"")</f>
        <v>Junio</v>
      </c>
      <c r="AV38" s="28" t="str">
        <f>IF(Registro_Ventas[[#This Row],[Firma Minuta]]&lt;&gt;"",TEXT(Registro_Ventas[[#This Row],[Firma Minuta]],"yyyy"),"")</f>
        <v>2025</v>
      </c>
      <c r="AW38" s="28" t="str">
        <f>IF(Registro_Ventas[[#This Row],[Fecha Separacion]]&lt;&gt;"",TEXT(Registro_Ventas[[#This Row],[Fecha Separacion]],"yyyy"),"")</f>
        <v>2025</v>
      </c>
      <c r="AX38" s="131">
        <f>IF(Registro_Ventas[[#This Row],[Fecha Separacion]]="","",Registro_Ventas[[#This Row],[Fecha Separacion]]-Registro_Ventas[[#This Row],[Fecha Captacion]])</f>
        <v>4</v>
      </c>
      <c r="AY38" s="131">
        <f>+IF(Registro_Ventas[[#This Row],[Firma Minuta]]="","",Registro_Ventas[[#This Row],[Firma Minuta]]-Registro_Ventas[[#This Row],[Fecha Captacion]])</f>
        <v>12</v>
      </c>
      <c r="AZ38" s="131">
        <f>+IF(Registro_Ventas[[#This Row],[Firma Minuta]]="","",Registro_Ventas[[#This Row],[Firma Minuta]]-Registro_Ventas[[#This Row],[Fecha Separacion]])</f>
        <v>8</v>
      </c>
    </row>
    <row r="39" spans="1:52" s="152" customFormat="1" x14ac:dyDescent="0.3">
      <c r="A39" s="46" t="str">
        <f>TEXT(Registro_Ventas[[#This Row],[Fecha Captacion]],"Mmmm")</f>
        <v>Setiembre</v>
      </c>
      <c r="B39" s="26">
        <v>45908</v>
      </c>
      <c r="C39" s="26" t="s">
        <v>18</v>
      </c>
      <c r="D39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39" s="27" t="s">
        <v>32</v>
      </c>
      <c r="F39" s="28" t="s">
        <v>15</v>
      </c>
      <c r="G39" s="27" t="s">
        <v>47</v>
      </c>
      <c r="H39" s="29">
        <v>404</v>
      </c>
      <c r="I39" s="30">
        <v>67</v>
      </c>
      <c r="J39" s="31">
        <v>430000</v>
      </c>
      <c r="K39" s="32" t="s">
        <v>228</v>
      </c>
      <c r="L39" s="33">
        <v>13.63</v>
      </c>
      <c r="M39" s="31">
        <v>48500</v>
      </c>
      <c r="N39" s="31"/>
      <c r="O39" s="33"/>
      <c r="P39" s="31"/>
      <c r="Q39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404 / E4</v>
      </c>
      <c r="R39" s="31">
        <f>Registro_Ventas[[#This Row],[Precio Venta Departamento]]+Registro_Ventas[[#This Row],[Precio Venta Estacionamiento]]+Registro_Ventas[[#This Row],[Precio Venta Depósito]]</f>
        <v>478500</v>
      </c>
      <c r="S39" s="35">
        <f t="shared" si="1"/>
        <v>43000</v>
      </c>
      <c r="T39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5934.5156889495229</v>
      </c>
      <c r="U39" s="36">
        <f>IF(Registro_Ventas[[#This Row],[Categoria]]="Cita Agendada","",Registro_Ventas[[#This Row],[M2 PEN]]/3.8)</f>
        <v>1561.7146549867166</v>
      </c>
      <c r="V39" s="37">
        <v>45932</v>
      </c>
      <c r="W39" s="28" t="s">
        <v>229</v>
      </c>
      <c r="X39" s="45">
        <v>70313948</v>
      </c>
      <c r="Y39" s="128"/>
      <c r="Z39" s="38">
        <v>45918</v>
      </c>
      <c r="AA39" s="35">
        <v>3000</v>
      </c>
      <c r="AB39" s="35">
        <v>40000</v>
      </c>
      <c r="AC39" s="27" t="s">
        <v>159</v>
      </c>
      <c r="AD39" s="46"/>
      <c r="AE39" s="43"/>
      <c r="AF39" s="28"/>
      <c r="AG39" s="28"/>
      <c r="AH39" s="28"/>
      <c r="AI39" s="173"/>
      <c r="AJ39" s="35">
        <f>Registro_Ventas[[#This Row],[Precio Venta Unidad(es)]]*Registro_Ventas[[#This Row],[%Comision
Ejecutivo]]</f>
        <v>0</v>
      </c>
      <c r="AK39" s="39">
        <f>Registro_Ventas[[#This Row],[Total Comision]]*30%</f>
        <v>0</v>
      </c>
      <c r="AL39" s="40"/>
      <c r="AM39" s="28"/>
      <c r="AN39" s="28"/>
      <c r="AO39" s="28"/>
      <c r="AP39" s="28"/>
      <c r="AQ39" s="28"/>
      <c r="AR39" s="28"/>
      <c r="AS39" s="28"/>
      <c r="AT39" s="28" t="str">
        <f>IF(Registro_Ventas[[#This Row],[Fecha Separacion]]&lt;&gt;"",TEXT(Registro_Ventas[[#This Row],[Fecha Separacion]],"mmmm"),"")</f>
        <v>Setiembre</v>
      </c>
      <c r="AU39" s="28" t="str">
        <f>IF(Registro_Ventas[[#This Row],[Firma Minuta]]&lt;&gt;"",TEXT(Registro_Ventas[[#This Row],[Firma Minuta]],"mmmm"),"")</f>
        <v>Octubre</v>
      </c>
      <c r="AV39" s="28" t="str">
        <f>IF(Registro_Ventas[[#This Row],[Firma Minuta]]&lt;&gt;"",TEXT(Registro_Ventas[[#This Row],[Firma Minuta]],"yyyy"),"")</f>
        <v>2025</v>
      </c>
      <c r="AW39" s="28" t="str">
        <f>IF(Registro_Ventas[[#This Row],[Fecha Separacion]]&lt;&gt;"",TEXT(Registro_Ventas[[#This Row],[Fecha Separacion]],"yyyy"),"")</f>
        <v>2025</v>
      </c>
      <c r="AX39" s="131">
        <f>IF(Registro_Ventas[[#This Row],[Fecha Separacion]]="","",Registro_Ventas[[#This Row],[Fecha Separacion]]-Registro_Ventas[[#This Row],[Fecha Captacion]])</f>
        <v>10</v>
      </c>
      <c r="AY39" s="131">
        <f>+IF(Registro_Ventas[[#This Row],[Firma Minuta]]="","",Registro_Ventas[[#This Row],[Firma Minuta]]-Registro_Ventas[[#This Row],[Fecha Captacion]])</f>
        <v>24</v>
      </c>
      <c r="AZ39" s="131">
        <f>+IF(Registro_Ventas[[#This Row],[Firma Minuta]]="","",Registro_Ventas[[#This Row],[Firma Minuta]]-Registro_Ventas[[#This Row],[Fecha Separacion]])</f>
        <v>14</v>
      </c>
    </row>
    <row r="40" spans="1:52" x14ac:dyDescent="0.3">
      <c r="A40" s="46" t="str">
        <f>TEXT(Registro_Ventas[[#This Row],[Fecha Captacion]],"Mmmm")</f>
        <v>Febrero</v>
      </c>
      <c r="B40" s="26">
        <v>46058</v>
      </c>
      <c r="C40" s="26" t="s">
        <v>11</v>
      </c>
      <c r="D40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Separación</v>
      </c>
      <c r="E40" s="27" t="s">
        <v>31</v>
      </c>
      <c r="F40" s="28" t="s">
        <v>12</v>
      </c>
      <c r="G40" s="27" t="s">
        <v>47</v>
      </c>
      <c r="H40" s="29">
        <v>404</v>
      </c>
      <c r="I40" s="30">
        <v>61</v>
      </c>
      <c r="J40" s="31">
        <v>418000</v>
      </c>
      <c r="K40" s="32"/>
      <c r="L40" s="33"/>
      <c r="M40" s="31"/>
      <c r="N40" s="31"/>
      <c r="O40" s="33"/>
      <c r="P40" s="31"/>
      <c r="Q40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404</v>
      </c>
      <c r="R40" s="31">
        <f>Registro_Ventas[[#This Row],[Precio Venta Departamento]]+Registro_Ventas[[#This Row],[Precio Venta Estacionamiento]]+Registro_Ventas[[#This Row],[Precio Venta Depósito]]</f>
        <v>418000</v>
      </c>
      <c r="S40" s="35">
        <f t="shared" ref="S40:S71" si="2">AA40+AB40</f>
        <v>3000</v>
      </c>
      <c r="T40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6852.4590163934427</v>
      </c>
      <c r="U40" s="36">
        <f>IF(Registro_Ventas[[#This Row],[Categoria]]="Cita Agendada","",Registro_Ventas[[#This Row],[M2 PEN]]/3.8)</f>
        <v>1803.2786885245903</v>
      </c>
      <c r="V40" s="37"/>
      <c r="W40" s="28" t="s">
        <v>230</v>
      </c>
      <c r="X40" s="27">
        <v>70861891</v>
      </c>
      <c r="Y40" s="37"/>
      <c r="Z40" s="38">
        <v>46104</v>
      </c>
      <c r="AA40" s="35">
        <v>3000</v>
      </c>
      <c r="AB40" s="35"/>
      <c r="AC40" s="27" t="s">
        <v>189</v>
      </c>
      <c r="AD40" s="43"/>
      <c r="AE40" s="43"/>
      <c r="AF40" s="28" t="s">
        <v>142</v>
      </c>
      <c r="AG40" s="28"/>
      <c r="AH40" s="28"/>
      <c r="AI40" s="169"/>
      <c r="AJ40" s="35">
        <f>Registro_Ventas[[#This Row],[Precio Venta Unidad(es)]]*Registro_Ventas[[#This Row],[%Comision
Ejecutivo]]</f>
        <v>0</v>
      </c>
      <c r="AK40" s="39">
        <f>Registro_Ventas[[#This Row],[Total Comision]]*30%</f>
        <v>0</v>
      </c>
      <c r="AL40" s="179"/>
      <c r="AM40" s="28"/>
      <c r="AN40" s="28"/>
      <c r="AO40" s="28"/>
      <c r="AP40" s="28"/>
      <c r="AQ40" s="28"/>
      <c r="AR40" s="28"/>
      <c r="AS40" s="28"/>
      <c r="AT40" s="28" t="str">
        <f>IF(Registro_Ventas[[#This Row],[Fecha Separacion]]&lt;&gt;"",TEXT(Registro_Ventas[[#This Row],[Fecha Separacion]],"mmmm"),"")</f>
        <v>Marzo</v>
      </c>
      <c r="AU40" s="28" t="str">
        <f>IF(Registro_Ventas[[#This Row],[Firma Minuta]]&lt;&gt;"",TEXT(Registro_Ventas[[#This Row],[Firma Minuta]],"mmmm"),"")</f>
        <v/>
      </c>
      <c r="AV40" s="28" t="str">
        <f>IF(Registro_Ventas[[#This Row],[Firma Minuta]]&lt;&gt;"",TEXT(Registro_Ventas[[#This Row],[Firma Minuta]],"yyyy"),"")</f>
        <v/>
      </c>
      <c r="AW40" s="28" t="str">
        <f>IF(Registro_Ventas[[#This Row],[Fecha Separacion]]&lt;&gt;"",TEXT(Registro_Ventas[[#This Row],[Fecha Separacion]],"yyyy"),"")</f>
        <v>2026</v>
      </c>
      <c r="AX40" s="131">
        <f>IF(Registro_Ventas[[#This Row],[Fecha Separacion]]="","",Registro_Ventas[[#This Row],[Fecha Separacion]]-Registro_Ventas[[#This Row],[Fecha Captacion]])</f>
        <v>46</v>
      </c>
      <c r="AY40" s="131" t="str">
        <f>+IF(Registro_Ventas[[#This Row],[Firma Minuta]]="","",Registro_Ventas[[#This Row],[Firma Minuta]]-Registro_Ventas[[#This Row],[Fecha Captacion]])</f>
        <v/>
      </c>
      <c r="AZ40" s="131" t="str">
        <f>+IF(Registro_Ventas[[#This Row],[Firma Minuta]]="","",Registro_Ventas[[#This Row],[Firma Minuta]]-Registro_Ventas[[#This Row],[Fecha Separacion]])</f>
        <v/>
      </c>
    </row>
    <row r="41" spans="1:52" s="142" customFormat="1" x14ac:dyDescent="0.3">
      <c r="A41" s="46" t="str">
        <f>TEXT(Registro_Ventas[[#This Row],[Fecha Captacion]],"Mmmm")</f>
        <v>Agosto</v>
      </c>
      <c r="B41" s="26">
        <v>45894</v>
      </c>
      <c r="C41" s="26" t="s">
        <v>11</v>
      </c>
      <c r="D41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41" s="27" t="s">
        <v>32</v>
      </c>
      <c r="F41" s="28" t="s">
        <v>15</v>
      </c>
      <c r="G41" s="27" t="s">
        <v>46</v>
      </c>
      <c r="H41" s="29">
        <v>405</v>
      </c>
      <c r="I41" s="30">
        <v>61</v>
      </c>
      <c r="J41" s="31">
        <v>392000</v>
      </c>
      <c r="K41" s="32" t="s">
        <v>231</v>
      </c>
      <c r="L41" s="33">
        <v>14.5</v>
      </c>
      <c r="M41" s="31">
        <v>43000</v>
      </c>
      <c r="N41" s="31"/>
      <c r="O41" s="33"/>
      <c r="P41" s="31"/>
      <c r="Q41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405 / E29 - D13</v>
      </c>
      <c r="R41" s="31">
        <f>Registro_Ventas[[#This Row],[Precio Venta Departamento]]+Registro_Ventas[[#This Row],[Precio Venta Estacionamiento]]+Registro_Ventas[[#This Row],[Precio Venta Depósito]]</f>
        <v>435000</v>
      </c>
      <c r="S41" s="35">
        <f t="shared" si="2"/>
        <v>220500</v>
      </c>
      <c r="T41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5761.5894039735103</v>
      </c>
      <c r="U41" s="36">
        <f>IF(Registro_Ventas[[#This Row],[Categoria]]="Cita Agendada","",Registro_Ventas[[#This Row],[M2 PEN]]/3.8)</f>
        <v>1516.2077378877659</v>
      </c>
      <c r="V41" s="37">
        <v>45905</v>
      </c>
      <c r="W41" s="28" t="s">
        <v>232</v>
      </c>
      <c r="X41" s="45" t="s">
        <v>233</v>
      </c>
      <c r="Y41" s="128"/>
      <c r="Z41" s="38">
        <v>45896</v>
      </c>
      <c r="AA41" s="35">
        <v>3000</v>
      </c>
      <c r="AB41" s="35">
        <v>217500</v>
      </c>
      <c r="AC41" s="27" t="s">
        <v>141</v>
      </c>
      <c r="AD41" s="46"/>
      <c r="AE41" s="43"/>
      <c r="AF41" s="28"/>
      <c r="AG41" s="28"/>
      <c r="AH41" s="28"/>
      <c r="AI41" s="173"/>
      <c r="AJ41" s="35">
        <f>Registro_Ventas[[#This Row],[Precio Venta Unidad(es)]]*Registro_Ventas[[#This Row],[%Comision
Ejecutivo]]</f>
        <v>0</v>
      </c>
      <c r="AK41" s="39">
        <f>Registro_Ventas[[#This Row],[Total Comision]]*30%</f>
        <v>0</v>
      </c>
      <c r="AL41" s="40"/>
      <c r="AM41" s="28"/>
      <c r="AN41" s="28"/>
      <c r="AO41" s="28"/>
      <c r="AP41" s="28"/>
      <c r="AQ41" s="28"/>
      <c r="AR41" s="28"/>
      <c r="AS41" s="28"/>
      <c r="AT41" s="28" t="str">
        <f>IF(Registro_Ventas[[#This Row],[Fecha Separacion]]&lt;&gt;"",TEXT(Registro_Ventas[[#This Row],[Fecha Separacion]],"mmmm"),"")</f>
        <v>Agosto</v>
      </c>
      <c r="AU41" s="28" t="str">
        <f>IF(Registro_Ventas[[#This Row],[Firma Minuta]]&lt;&gt;"",TEXT(Registro_Ventas[[#This Row],[Firma Minuta]],"mmmm"),"")</f>
        <v>Setiembre</v>
      </c>
      <c r="AV41" s="28" t="str">
        <f>IF(Registro_Ventas[[#This Row],[Firma Minuta]]&lt;&gt;"",TEXT(Registro_Ventas[[#This Row],[Firma Minuta]],"yyyy"),"")</f>
        <v>2025</v>
      </c>
      <c r="AW41" s="28" t="str">
        <f>IF(Registro_Ventas[[#This Row],[Fecha Separacion]]&lt;&gt;"",TEXT(Registro_Ventas[[#This Row],[Fecha Separacion]],"yyyy"),"")</f>
        <v>2025</v>
      </c>
      <c r="AX41" s="131">
        <f>IF(Registro_Ventas[[#This Row],[Fecha Separacion]]="","",Registro_Ventas[[#This Row],[Fecha Separacion]]-Registro_Ventas[[#This Row],[Fecha Captacion]])</f>
        <v>2</v>
      </c>
      <c r="AY41" s="131">
        <f>+IF(Registro_Ventas[[#This Row],[Firma Minuta]]="","",Registro_Ventas[[#This Row],[Firma Minuta]]-Registro_Ventas[[#This Row],[Fecha Captacion]])</f>
        <v>11</v>
      </c>
      <c r="AZ41" s="131">
        <f>+IF(Registro_Ventas[[#This Row],[Firma Minuta]]="","",Registro_Ventas[[#This Row],[Firma Minuta]]-Registro_Ventas[[#This Row],[Fecha Separacion]])</f>
        <v>9</v>
      </c>
    </row>
    <row r="42" spans="1:52" x14ac:dyDescent="0.3">
      <c r="A42" s="46" t="str">
        <f>TEXT(Registro_Ventas[[#This Row],[Fecha Captacion]],"Mmmm")</f>
        <v>Julio</v>
      </c>
      <c r="B42" s="26">
        <v>45864</v>
      </c>
      <c r="C42" s="26" t="s">
        <v>11</v>
      </c>
      <c r="D42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42" s="27" t="s">
        <v>30</v>
      </c>
      <c r="F42" s="28" t="s">
        <v>12</v>
      </c>
      <c r="G42" s="27" t="s">
        <v>48</v>
      </c>
      <c r="H42" s="29">
        <v>501</v>
      </c>
      <c r="I42" s="30">
        <v>70</v>
      </c>
      <c r="J42" s="31">
        <v>469500</v>
      </c>
      <c r="K42" s="32" t="s">
        <v>234</v>
      </c>
      <c r="L42" s="33">
        <v>15.25</v>
      </c>
      <c r="M42" s="31">
        <v>55000</v>
      </c>
      <c r="N42" s="31"/>
      <c r="O42" s="33"/>
      <c r="P42" s="31"/>
      <c r="Q42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501 / E14 - D2</v>
      </c>
      <c r="R42" s="31">
        <f>Registro_Ventas[[#This Row],[Precio Venta Departamento]]+Registro_Ventas[[#This Row],[Precio Venta Estacionamiento]]+Registro_Ventas[[#This Row],[Precio Venta Depósito]]</f>
        <v>524500</v>
      </c>
      <c r="S42" s="35">
        <f t="shared" si="2"/>
        <v>53950</v>
      </c>
      <c r="T42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6152.4926686217004</v>
      </c>
      <c r="U42" s="36">
        <f>IF(Registro_Ventas[[#This Row],[Categoria]]="Cita Agendada","",Registro_Ventas[[#This Row],[M2 PEN]]/3.8)</f>
        <v>1619.0770180583422</v>
      </c>
      <c r="V42" s="37">
        <v>45911</v>
      </c>
      <c r="W42" s="28" t="s">
        <v>235</v>
      </c>
      <c r="X42" s="45">
        <v>29412010</v>
      </c>
      <c r="Y42" s="128"/>
      <c r="Z42" s="38">
        <v>45899</v>
      </c>
      <c r="AA42" s="35">
        <v>3000</v>
      </c>
      <c r="AB42" s="35">
        <v>50950</v>
      </c>
      <c r="AC42" s="27" t="s">
        <v>151</v>
      </c>
      <c r="AD42" s="46">
        <v>46173</v>
      </c>
      <c r="AE42" s="43">
        <v>46203</v>
      </c>
      <c r="AF42" s="28" t="s">
        <v>236</v>
      </c>
      <c r="AG42" s="28"/>
      <c r="AH42" s="28"/>
      <c r="AI42" s="173"/>
      <c r="AJ42" s="35">
        <f>Registro_Ventas[[#This Row],[Precio Venta Unidad(es)]]*Registro_Ventas[[#This Row],[%Comision
Ejecutivo]]</f>
        <v>0</v>
      </c>
      <c r="AK42" s="39">
        <f>Registro_Ventas[[#This Row],[Total Comision]]*30%</f>
        <v>0</v>
      </c>
      <c r="AL42" s="40"/>
      <c r="AM42" s="28"/>
      <c r="AN42" s="28"/>
      <c r="AO42" s="28"/>
      <c r="AP42" s="28"/>
      <c r="AQ42" s="28"/>
      <c r="AR42" s="28"/>
      <c r="AS42" s="28"/>
      <c r="AT42" s="28" t="str">
        <f>IF(Registro_Ventas[[#This Row],[Fecha Separacion]]&lt;&gt;"",TEXT(Registro_Ventas[[#This Row],[Fecha Separacion]],"mmmm"),"")</f>
        <v>Agosto</v>
      </c>
      <c r="AU42" s="28" t="str">
        <f>IF(Registro_Ventas[[#This Row],[Firma Minuta]]&lt;&gt;"",TEXT(Registro_Ventas[[#This Row],[Firma Minuta]],"mmmm"),"")</f>
        <v>Setiembre</v>
      </c>
      <c r="AV42" s="28" t="str">
        <f>IF(Registro_Ventas[[#This Row],[Firma Minuta]]&lt;&gt;"",TEXT(Registro_Ventas[[#This Row],[Firma Minuta]],"yyyy"),"")</f>
        <v>2025</v>
      </c>
      <c r="AW42" s="28" t="str">
        <f>IF(Registro_Ventas[[#This Row],[Fecha Separacion]]&lt;&gt;"",TEXT(Registro_Ventas[[#This Row],[Fecha Separacion]],"yyyy"),"")</f>
        <v>2025</v>
      </c>
      <c r="AX42" s="131">
        <f>IF(Registro_Ventas[[#This Row],[Fecha Separacion]]="","",Registro_Ventas[[#This Row],[Fecha Separacion]]-Registro_Ventas[[#This Row],[Fecha Captacion]])</f>
        <v>35</v>
      </c>
      <c r="AY42" s="131">
        <f>+IF(Registro_Ventas[[#This Row],[Firma Minuta]]="","",Registro_Ventas[[#This Row],[Firma Minuta]]-Registro_Ventas[[#This Row],[Fecha Captacion]])</f>
        <v>47</v>
      </c>
      <c r="AZ42" s="131">
        <f>+IF(Registro_Ventas[[#This Row],[Firma Minuta]]="","",Registro_Ventas[[#This Row],[Firma Minuta]]-Registro_Ventas[[#This Row],[Fecha Separacion]])</f>
        <v>12</v>
      </c>
    </row>
    <row r="43" spans="1:52" s="152" customFormat="1" x14ac:dyDescent="0.3">
      <c r="A43" s="46" t="str">
        <f>TEXT(Registro_Ventas[[#This Row],[Fecha Captacion]],"Mmmm")</f>
        <v>Agosto</v>
      </c>
      <c r="B43" s="26">
        <v>45510</v>
      </c>
      <c r="C43" s="26" t="s">
        <v>93</v>
      </c>
      <c r="D43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43" s="27" t="s">
        <v>31</v>
      </c>
      <c r="F43" s="28" t="s">
        <v>12</v>
      </c>
      <c r="G43" s="27" t="s">
        <v>47</v>
      </c>
      <c r="H43" s="29">
        <v>501</v>
      </c>
      <c r="I43" s="30">
        <v>82.58</v>
      </c>
      <c r="J43" s="31">
        <v>612000</v>
      </c>
      <c r="K43" s="32"/>
      <c r="L43" s="33"/>
      <c r="M43" s="31"/>
      <c r="N43" s="31"/>
      <c r="O43" s="33"/>
      <c r="P43" s="31"/>
      <c r="Q43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501</v>
      </c>
      <c r="R43" s="31">
        <f>Registro_Ventas[[#This Row],[Precio Venta Departamento]]+Registro_Ventas[[#This Row],[Precio Venta Estacionamiento]]+Registro_Ventas[[#This Row],[Precio Venta Depósito]]</f>
        <v>612000</v>
      </c>
      <c r="S43" s="35">
        <f t="shared" si="2"/>
        <v>612000</v>
      </c>
      <c r="T4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7410.9953984015501</v>
      </c>
      <c r="U43" s="36">
        <f>IF(Registro_Ventas[[#This Row],[Categoria]]="Cita Agendada","",Registro_Ventas[[#This Row],[M2 PEN]]/3.8)</f>
        <v>1950.2619469477766</v>
      </c>
      <c r="V43" s="37">
        <v>45541</v>
      </c>
      <c r="W43" s="28" t="s">
        <v>237</v>
      </c>
      <c r="X43" s="45">
        <v>32403305</v>
      </c>
      <c r="Y43" s="128"/>
      <c r="Z43" s="38">
        <v>45520</v>
      </c>
      <c r="AA43" s="35">
        <v>3000</v>
      </c>
      <c r="AB43" s="35">
        <f>29500+29500+550000</f>
        <v>609000</v>
      </c>
      <c r="AC43" s="27" t="s">
        <v>141</v>
      </c>
      <c r="AD43" s="46"/>
      <c r="AE43" s="43">
        <v>45688</v>
      </c>
      <c r="AF43" s="28" t="s">
        <v>142</v>
      </c>
      <c r="AG43" s="28"/>
      <c r="AH43" s="28"/>
      <c r="AI43" s="173"/>
      <c r="AJ43" s="35">
        <f>Registro_Ventas[[#This Row],[Precio Venta Unidad(es)]]*Registro_Ventas[[#This Row],[%Comision
Ejecutivo]]</f>
        <v>0</v>
      </c>
      <c r="AK43" s="39">
        <f>Registro_Ventas[[#This Row],[Total Comision]]*30%</f>
        <v>0</v>
      </c>
      <c r="AL43" s="40"/>
      <c r="AM43" s="28"/>
      <c r="AN43" s="28"/>
      <c r="AO43" s="28"/>
      <c r="AP43" s="28"/>
      <c r="AQ43" s="28"/>
      <c r="AR43" s="28"/>
      <c r="AS43" s="28"/>
      <c r="AT43" s="28" t="str">
        <f>IF(Registro_Ventas[[#This Row],[Fecha Separacion]]&lt;&gt;"",TEXT(Registro_Ventas[[#This Row],[Fecha Separacion]],"mmmm"),"")</f>
        <v>Agosto</v>
      </c>
      <c r="AU43" s="28" t="str">
        <f>IF(Registro_Ventas[[#This Row],[Firma Minuta]]&lt;&gt;"",TEXT(Registro_Ventas[[#This Row],[Firma Minuta]],"mmmm"),"")</f>
        <v>Setiembre</v>
      </c>
      <c r="AV43" s="28" t="str">
        <f>IF(Registro_Ventas[[#This Row],[Firma Minuta]]&lt;&gt;"",TEXT(Registro_Ventas[[#This Row],[Firma Minuta]],"yyyy"),"")</f>
        <v>2024</v>
      </c>
      <c r="AW43" s="28" t="str">
        <f>IF(Registro_Ventas[[#This Row],[Fecha Separacion]]&lt;&gt;"",TEXT(Registro_Ventas[[#This Row],[Fecha Separacion]],"yyyy"),"")</f>
        <v>2024</v>
      </c>
      <c r="AX43" s="131">
        <f>IF(Registro_Ventas[[#This Row],[Fecha Separacion]]="","",Registro_Ventas[[#This Row],[Fecha Separacion]]-Registro_Ventas[[#This Row],[Fecha Captacion]])</f>
        <v>10</v>
      </c>
      <c r="AY43" s="131">
        <f>+IF(Registro_Ventas[[#This Row],[Firma Minuta]]="","",Registro_Ventas[[#This Row],[Firma Minuta]]-Registro_Ventas[[#This Row],[Fecha Captacion]])</f>
        <v>31</v>
      </c>
      <c r="AZ43" s="131">
        <f>+IF(Registro_Ventas[[#This Row],[Firma Minuta]]="","",Registro_Ventas[[#This Row],[Firma Minuta]]-Registro_Ventas[[#This Row],[Fecha Separacion]])</f>
        <v>21</v>
      </c>
    </row>
    <row r="44" spans="1:52" x14ac:dyDescent="0.3">
      <c r="A44" s="46" t="str">
        <f>TEXT(Registro_Ventas[[#This Row],[Fecha Captacion]],"Mmmm")</f>
        <v>Noviembre</v>
      </c>
      <c r="B44" s="26">
        <v>45613</v>
      </c>
      <c r="C44" s="26" t="s">
        <v>88</v>
      </c>
      <c r="D44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44" s="27" t="s">
        <v>30</v>
      </c>
      <c r="F44" s="28" t="s">
        <v>12</v>
      </c>
      <c r="G44" s="27" t="s">
        <v>47</v>
      </c>
      <c r="H44" s="29">
        <v>502</v>
      </c>
      <c r="I44" s="30">
        <v>57</v>
      </c>
      <c r="J44" s="31">
        <v>385000</v>
      </c>
      <c r="K44" s="32"/>
      <c r="L44" s="33"/>
      <c r="M44" s="31"/>
      <c r="N44" s="31"/>
      <c r="O44" s="33"/>
      <c r="P44" s="31"/>
      <c r="Q44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502</v>
      </c>
      <c r="R44" s="31">
        <f>Registro_Ventas[[#This Row],[Precio Venta Departamento]]+Registro_Ventas[[#This Row],[Precio Venta Estacionamiento]]+Registro_Ventas[[#This Row],[Precio Venta Depósito]]</f>
        <v>385000</v>
      </c>
      <c r="S44" s="35">
        <f t="shared" si="2"/>
        <v>3000</v>
      </c>
      <c r="T4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6754.3859649122805</v>
      </c>
      <c r="U44" s="36">
        <f>IF(Registro_Ventas[[#This Row],[Categoria]]="Cita Agendada","",Registro_Ventas[[#This Row],[M2 PEN]]/3.8)</f>
        <v>1777.4699907663896</v>
      </c>
      <c r="V44" s="37"/>
      <c r="W44" s="28" t="s">
        <v>238</v>
      </c>
      <c r="X44" s="45" t="s">
        <v>239</v>
      </c>
      <c r="Y44" s="128"/>
      <c r="Z44" s="38">
        <v>46032</v>
      </c>
      <c r="AA44" s="35">
        <v>3000</v>
      </c>
      <c r="AB44" s="35"/>
      <c r="AC44" s="27" t="s">
        <v>240</v>
      </c>
      <c r="AD44" s="46"/>
      <c r="AE44" s="43"/>
      <c r="AF44" s="28" t="s">
        <v>160</v>
      </c>
      <c r="AG44" s="28"/>
      <c r="AH44" s="28"/>
      <c r="AI44" s="173"/>
      <c r="AJ44" s="35">
        <f>Registro_Ventas[[#This Row],[Precio Venta Unidad(es)]]*Registro_Ventas[[#This Row],[%Comision
Ejecutivo]]</f>
        <v>0</v>
      </c>
      <c r="AK44" s="39">
        <f>Registro_Ventas[[#This Row],[Total Comision]]*30%</f>
        <v>0</v>
      </c>
      <c r="AL44" s="40"/>
      <c r="AM44" s="28"/>
      <c r="AN44" s="28"/>
      <c r="AO44" s="28"/>
      <c r="AP44" s="28" t="s">
        <v>241</v>
      </c>
      <c r="AQ44" s="28"/>
      <c r="AR44" s="28"/>
      <c r="AS44" s="28"/>
      <c r="AT44" s="28" t="str">
        <f>IF(Registro_Ventas[[#This Row],[Fecha Separacion]]&lt;&gt;"",TEXT(Registro_Ventas[[#This Row],[Fecha Separacion]],"mmmm"),"")</f>
        <v>Enero</v>
      </c>
      <c r="AU44" s="28" t="str">
        <f>IF(Registro_Ventas[[#This Row],[Firma Minuta]]&lt;&gt;"",TEXT(Registro_Ventas[[#This Row],[Firma Minuta]],"mmmm"),"")</f>
        <v/>
      </c>
      <c r="AV44" s="28" t="str">
        <f>IF(Registro_Ventas[[#This Row],[Firma Minuta]]&lt;&gt;"",TEXT(Registro_Ventas[[#This Row],[Firma Minuta]],"yyyy"),"")</f>
        <v/>
      </c>
      <c r="AW44" s="28" t="str">
        <f>IF(Registro_Ventas[[#This Row],[Fecha Separacion]]&lt;&gt;"",TEXT(Registro_Ventas[[#This Row],[Fecha Separacion]],"yyyy"),"")</f>
        <v>2026</v>
      </c>
      <c r="AX44" s="131">
        <f>IF(Registro_Ventas[[#This Row],[Fecha Separacion]]="","",Registro_Ventas[[#This Row],[Fecha Separacion]]-Registro_Ventas[[#This Row],[Fecha Captacion]])</f>
        <v>419</v>
      </c>
      <c r="AY44" s="131" t="str">
        <f>+IF(Registro_Ventas[[#This Row],[Firma Minuta]]="","",Registro_Ventas[[#This Row],[Firma Minuta]]-Registro_Ventas[[#This Row],[Fecha Captacion]])</f>
        <v/>
      </c>
      <c r="AZ44" s="131" t="str">
        <f>+IF(Registro_Ventas[[#This Row],[Firma Minuta]]="","",Registro_Ventas[[#This Row],[Firma Minuta]]-Registro_Ventas[[#This Row],[Fecha Separacion]])</f>
        <v/>
      </c>
    </row>
    <row r="45" spans="1:52" x14ac:dyDescent="0.3">
      <c r="A45" s="46" t="str">
        <f>TEXT(Registro_Ventas[[#This Row],[Fecha Captacion]],"Mmmm")</f>
        <v>Marzo</v>
      </c>
      <c r="B45" s="26">
        <v>46085</v>
      </c>
      <c r="C45" s="26" t="s">
        <v>11</v>
      </c>
      <c r="D45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Separación</v>
      </c>
      <c r="E45" s="27" t="s">
        <v>31</v>
      </c>
      <c r="F45" s="28" t="s">
        <v>25</v>
      </c>
      <c r="G45" s="27" t="s">
        <v>47</v>
      </c>
      <c r="H45" s="29">
        <v>502</v>
      </c>
      <c r="I45" s="30">
        <v>57</v>
      </c>
      <c r="J45" s="31">
        <v>457000</v>
      </c>
      <c r="K45" s="32"/>
      <c r="L45" s="33"/>
      <c r="M45" s="31"/>
      <c r="N45" s="31"/>
      <c r="O45" s="33"/>
      <c r="P45" s="31"/>
      <c r="Q45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502</v>
      </c>
      <c r="R45" s="31">
        <f>Registro_Ventas[[#This Row],[Precio Venta Departamento]]+Registro_Ventas[[#This Row],[Precio Venta Estacionamiento]]+Registro_Ventas[[#This Row],[Precio Venta Depósito]]</f>
        <v>457000</v>
      </c>
      <c r="S45" s="35">
        <f t="shared" si="2"/>
        <v>3000</v>
      </c>
      <c r="T4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8017.5438596491231</v>
      </c>
      <c r="U45" s="36">
        <f>IF(Registro_Ventas[[#This Row],[Categoria]]="Cita Agendada","",Registro_Ventas[[#This Row],[M2 PEN]]/3.8)</f>
        <v>2109.879963065559</v>
      </c>
      <c r="V45" s="37"/>
      <c r="W45" s="28" t="s">
        <v>242</v>
      </c>
      <c r="X45" s="27" t="s">
        <v>243</v>
      </c>
      <c r="Y45" s="37"/>
      <c r="Z45" s="38">
        <v>46085</v>
      </c>
      <c r="AA45" s="35">
        <v>3000</v>
      </c>
      <c r="AB45" s="35"/>
      <c r="AC45" s="27" t="s">
        <v>189</v>
      </c>
      <c r="AD45" s="46"/>
      <c r="AE45" s="43"/>
      <c r="AF45" s="28" t="s">
        <v>142</v>
      </c>
      <c r="AG45" s="28"/>
      <c r="AH45" s="28"/>
      <c r="AI45" s="169"/>
      <c r="AJ45" s="35">
        <f>Registro_Ventas[[#This Row],[Precio Venta Unidad(es)]]*Registro_Ventas[[#This Row],[%Comision
Ejecutivo]]</f>
        <v>0</v>
      </c>
      <c r="AK45" s="39">
        <f>Registro_Ventas[[#This Row],[Total Comision]]*30%</f>
        <v>0</v>
      </c>
      <c r="AL45" s="40"/>
      <c r="AM45" s="28"/>
      <c r="AN45" s="28"/>
      <c r="AO45" s="28"/>
      <c r="AP45" s="28"/>
      <c r="AQ45" s="28"/>
      <c r="AR45" s="28"/>
      <c r="AS45" s="28"/>
      <c r="AT45" s="28" t="str">
        <f>IF(Registro_Ventas[[#This Row],[Fecha Separacion]]&lt;&gt;"",TEXT(Registro_Ventas[[#This Row],[Fecha Separacion]],"mmmm"),"")</f>
        <v>Marzo</v>
      </c>
      <c r="AU45" s="28" t="str">
        <f>IF(Registro_Ventas[[#This Row],[Firma Minuta]]&lt;&gt;"",TEXT(Registro_Ventas[[#This Row],[Firma Minuta]],"mmmm"),"")</f>
        <v/>
      </c>
      <c r="AV45" s="28" t="str">
        <f>IF(Registro_Ventas[[#This Row],[Firma Minuta]]&lt;&gt;"",TEXT(Registro_Ventas[[#This Row],[Firma Minuta]],"yyyy"),"")</f>
        <v/>
      </c>
      <c r="AW45" s="28" t="str">
        <f>IF(Registro_Ventas[[#This Row],[Fecha Separacion]]&lt;&gt;"",TEXT(Registro_Ventas[[#This Row],[Fecha Separacion]],"yyyy"),"")</f>
        <v>2026</v>
      </c>
      <c r="AX45" s="131">
        <f>IF(Registro_Ventas[[#This Row],[Fecha Separacion]]="","",Registro_Ventas[[#This Row],[Fecha Separacion]]-Registro_Ventas[[#This Row],[Fecha Captacion]])</f>
        <v>0</v>
      </c>
      <c r="AY45" s="131" t="str">
        <f>+IF(Registro_Ventas[[#This Row],[Firma Minuta]]="","",Registro_Ventas[[#This Row],[Firma Minuta]]-Registro_Ventas[[#This Row],[Fecha Captacion]])</f>
        <v/>
      </c>
      <c r="AZ45" s="131" t="str">
        <f>+IF(Registro_Ventas[[#This Row],[Firma Minuta]]="","",Registro_Ventas[[#This Row],[Firma Minuta]]-Registro_Ventas[[#This Row],[Fecha Separacion]])</f>
        <v/>
      </c>
    </row>
    <row r="46" spans="1:52" x14ac:dyDescent="0.3">
      <c r="A46" s="46" t="str">
        <f>TEXT(Registro_Ventas[[#This Row],[Fecha Captacion]],"Mmmm")</f>
        <v>Mayo</v>
      </c>
      <c r="B46" s="26">
        <v>45803</v>
      </c>
      <c r="C46" s="26" t="s">
        <v>16</v>
      </c>
      <c r="D46" s="134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46" s="134" t="s">
        <v>31</v>
      </c>
      <c r="F46" s="135" t="s">
        <v>12</v>
      </c>
      <c r="G46" s="134" t="s">
        <v>46</v>
      </c>
      <c r="H46" s="29">
        <v>503</v>
      </c>
      <c r="I46" s="30">
        <v>88</v>
      </c>
      <c r="J46" s="31">
        <v>660000</v>
      </c>
      <c r="K46" s="32"/>
      <c r="L46" s="33"/>
      <c r="M46" s="31"/>
      <c r="N46" s="31"/>
      <c r="O46" s="33"/>
      <c r="P46" s="31"/>
      <c r="Q46" s="136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503</v>
      </c>
      <c r="R46" s="137">
        <f>Registro_Ventas[[#This Row],[Precio Venta Departamento]]+Registro_Ventas[[#This Row],[Precio Venta Estacionamiento]]+Registro_Ventas[[#This Row],[Precio Venta Depósito]]</f>
        <v>660000</v>
      </c>
      <c r="S46" s="138">
        <f t="shared" si="2"/>
        <v>500000</v>
      </c>
      <c r="T4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7500</v>
      </c>
      <c r="U46" s="36">
        <f>IF(Registro_Ventas[[#This Row],[Categoria]]="Cita Agendada","",Registro_Ventas[[#This Row],[M2 PEN]]/3.8)</f>
        <v>1973.6842105263158</v>
      </c>
      <c r="V46" s="139">
        <v>45856</v>
      </c>
      <c r="W46" s="135" t="s">
        <v>244</v>
      </c>
      <c r="X46" s="140">
        <v>28965506</v>
      </c>
      <c r="Y46" s="181"/>
      <c r="Z46" s="141">
        <v>45805</v>
      </c>
      <c r="AA46" s="138">
        <v>3000</v>
      </c>
      <c r="AB46" s="138">
        <f>162000+120000+10000+10000+10000+10000+10000+165000</f>
        <v>497000</v>
      </c>
      <c r="AC46" s="134" t="s">
        <v>141</v>
      </c>
      <c r="AD46" s="46"/>
      <c r="AE46" s="91">
        <v>46203</v>
      </c>
      <c r="AF46" s="135"/>
      <c r="AG46" s="135"/>
      <c r="AH46" s="28"/>
      <c r="AI46" s="173"/>
      <c r="AJ46" s="35">
        <f>Registro_Ventas[[#This Row],[Precio Venta Unidad(es)]]*Registro_Ventas[[#This Row],[%Comision
Ejecutivo]]</f>
        <v>0</v>
      </c>
      <c r="AK46" s="39">
        <f>Registro_Ventas[[#This Row],[Total Comision]]*30%</f>
        <v>0</v>
      </c>
      <c r="AL46" s="40"/>
      <c r="AM46" s="28"/>
      <c r="AN46" s="28"/>
      <c r="AO46" s="28"/>
      <c r="AP46" s="28"/>
      <c r="AQ46" s="28"/>
      <c r="AR46" s="28"/>
      <c r="AS46" s="135"/>
      <c r="AT46" s="28" t="str">
        <f>IF(Registro_Ventas[[#This Row],[Fecha Separacion]]&lt;&gt;"",TEXT(Registro_Ventas[[#This Row],[Fecha Separacion]],"mmmm"),"")</f>
        <v>Mayo</v>
      </c>
      <c r="AU46" s="28" t="str">
        <f>IF(Registro_Ventas[[#This Row],[Firma Minuta]]&lt;&gt;"",TEXT(Registro_Ventas[[#This Row],[Firma Minuta]],"mmmm"),"")</f>
        <v>Julio</v>
      </c>
      <c r="AV46" s="28" t="str">
        <f>IF(Registro_Ventas[[#This Row],[Firma Minuta]]&lt;&gt;"",TEXT(Registro_Ventas[[#This Row],[Firma Minuta]],"yyyy"),"")</f>
        <v>2025</v>
      </c>
      <c r="AW46" s="28" t="str">
        <f>IF(Registro_Ventas[[#This Row],[Fecha Separacion]]&lt;&gt;"",TEXT(Registro_Ventas[[#This Row],[Fecha Separacion]],"yyyy"),"")</f>
        <v>2025</v>
      </c>
      <c r="AX46" s="131">
        <f>IF(Registro_Ventas[[#This Row],[Fecha Separacion]]="","",Registro_Ventas[[#This Row],[Fecha Separacion]]-Registro_Ventas[[#This Row],[Fecha Captacion]])</f>
        <v>2</v>
      </c>
      <c r="AY46" s="131">
        <f>+IF(Registro_Ventas[[#This Row],[Firma Minuta]]="","",Registro_Ventas[[#This Row],[Firma Minuta]]-Registro_Ventas[[#This Row],[Fecha Captacion]])</f>
        <v>53</v>
      </c>
      <c r="AZ46" s="131">
        <f>+IF(Registro_Ventas[[#This Row],[Firma Minuta]]="","",Registro_Ventas[[#This Row],[Firma Minuta]]-Registro_Ventas[[#This Row],[Fecha Separacion]])</f>
        <v>51</v>
      </c>
    </row>
    <row r="47" spans="1:52" x14ac:dyDescent="0.3">
      <c r="A47" s="46" t="str">
        <f>TEXT(Registro_Ventas[[#This Row],[Fecha Captacion]],"Mmmm")</f>
        <v>Enero</v>
      </c>
      <c r="B47" s="26">
        <v>46024</v>
      </c>
      <c r="C47" s="26" t="s">
        <v>21</v>
      </c>
      <c r="D47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47" s="27" t="s">
        <v>30</v>
      </c>
      <c r="F47" s="28" t="s">
        <v>12</v>
      </c>
      <c r="G47" s="27" t="s">
        <v>47</v>
      </c>
      <c r="H47" s="29">
        <v>503</v>
      </c>
      <c r="I47" s="30">
        <v>68</v>
      </c>
      <c r="J47" s="31">
        <v>470000</v>
      </c>
      <c r="K47" s="32"/>
      <c r="L47" s="33"/>
      <c r="M47" s="31"/>
      <c r="N47" s="31"/>
      <c r="O47" s="33"/>
      <c r="P47" s="31"/>
      <c r="Q47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503</v>
      </c>
      <c r="R47" s="31">
        <f>Registro_Ventas[[#This Row],[Precio Venta Departamento]]+Registro_Ventas[[#This Row],[Precio Venta Estacionamiento]]+Registro_Ventas[[#This Row],[Precio Venta Depósito]]</f>
        <v>470000</v>
      </c>
      <c r="S47" s="35">
        <f t="shared" si="2"/>
        <v>68500</v>
      </c>
      <c r="T47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6911.7647058823532</v>
      </c>
      <c r="U47" s="36">
        <f>IF(Registro_Ventas[[#This Row],[Categoria]]="Cita Agendada","",Registro_Ventas[[#This Row],[M2 PEN]]/3.8)</f>
        <v>1818.8854489164089</v>
      </c>
      <c r="V47" s="37">
        <v>46049</v>
      </c>
      <c r="W47" s="28" t="s">
        <v>245</v>
      </c>
      <c r="X47" s="45">
        <v>47551103</v>
      </c>
      <c r="Y47" s="128"/>
      <c r="Z47" s="38">
        <v>46033</v>
      </c>
      <c r="AA47" s="35">
        <v>3000</v>
      </c>
      <c r="AB47" s="35">
        <f>5500+30000+30000</f>
        <v>65500</v>
      </c>
      <c r="AC47" s="27" t="s">
        <v>159</v>
      </c>
      <c r="AD47" s="46"/>
      <c r="AE47" s="43">
        <v>46111</v>
      </c>
      <c r="AF47" s="28" t="s">
        <v>160</v>
      </c>
      <c r="AG47" s="28"/>
      <c r="AH47" s="28"/>
      <c r="AI47" s="173">
        <v>5.0000000000000001E-3</v>
      </c>
      <c r="AJ47" s="35">
        <f>Registro_Ventas[[#This Row],[Precio Venta Unidad(es)]]*Registro_Ventas[[#This Row],[%Comision
Ejecutivo]]</f>
        <v>2350</v>
      </c>
      <c r="AK47" s="39">
        <f>Registro_Ventas[[#This Row],[Total Comision]]*0%</f>
        <v>0</v>
      </c>
      <c r="AL47" s="39">
        <f>Registro_Ventas[[#This Row],[Total Comision]]*100%</f>
        <v>2350</v>
      </c>
      <c r="AM47" s="28" t="s">
        <v>172</v>
      </c>
      <c r="AN47" s="28"/>
      <c r="AO47" s="28"/>
      <c r="AP47" s="28"/>
      <c r="AQ47" s="28"/>
      <c r="AR47" s="28"/>
      <c r="AS47" s="28"/>
      <c r="AT47" s="28" t="str">
        <f>IF(Registro_Ventas[[#This Row],[Fecha Separacion]]&lt;&gt;"",TEXT(Registro_Ventas[[#This Row],[Fecha Separacion]],"mmmm"),"")</f>
        <v>Enero</v>
      </c>
      <c r="AU47" s="28" t="str">
        <f>IF(Registro_Ventas[[#This Row],[Firma Minuta]]&lt;&gt;"",TEXT(Registro_Ventas[[#This Row],[Firma Minuta]],"mmmm"),"")</f>
        <v>Enero</v>
      </c>
      <c r="AV47" s="28" t="str">
        <f>IF(Registro_Ventas[[#This Row],[Firma Minuta]]&lt;&gt;"",TEXT(Registro_Ventas[[#This Row],[Firma Minuta]],"yyyy"),"")</f>
        <v>2026</v>
      </c>
      <c r="AW47" s="28" t="str">
        <f>IF(Registro_Ventas[[#This Row],[Fecha Separacion]]&lt;&gt;"",TEXT(Registro_Ventas[[#This Row],[Fecha Separacion]],"yyyy"),"")</f>
        <v>2026</v>
      </c>
      <c r="AX47" s="131">
        <f>IF(Registro_Ventas[[#This Row],[Fecha Separacion]]="","",Registro_Ventas[[#This Row],[Fecha Separacion]]-Registro_Ventas[[#This Row],[Fecha Captacion]])</f>
        <v>9</v>
      </c>
      <c r="AY47" s="131">
        <f>+IF(Registro_Ventas[[#This Row],[Firma Minuta]]="","",Registro_Ventas[[#This Row],[Firma Minuta]]-Registro_Ventas[[#This Row],[Fecha Captacion]])</f>
        <v>25</v>
      </c>
      <c r="AZ47" s="131">
        <f>+IF(Registro_Ventas[[#This Row],[Firma Minuta]]="","",Registro_Ventas[[#This Row],[Firma Minuta]]-Registro_Ventas[[#This Row],[Fecha Separacion]])</f>
        <v>16</v>
      </c>
    </row>
    <row r="48" spans="1:52" x14ac:dyDescent="0.3">
      <c r="A48" s="46" t="str">
        <f>TEXT(Registro_Ventas[[#This Row],[Fecha Captacion]],"Mmmm")</f>
        <v>Diciembre</v>
      </c>
      <c r="B48" s="26">
        <v>45999</v>
      </c>
      <c r="C48" s="26" t="s">
        <v>11</v>
      </c>
      <c r="D48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48" s="27" t="s">
        <v>30</v>
      </c>
      <c r="F48" s="28" t="s">
        <v>12</v>
      </c>
      <c r="G48" s="27" t="s">
        <v>48</v>
      </c>
      <c r="H48" s="29">
        <v>504</v>
      </c>
      <c r="I48" s="30">
        <v>67</v>
      </c>
      <c r="J48" s="31">
        <v>460000</v>
      </c>
      <c r="K48" s="32" t="s">
        <v>246</v>
      </c>
      <c r="L48" s="33">
        <v>12</v>
      </c>
      <c r="M48" s="31">
        <v>50000</v>
      </c>
      <c r="N48" s="31"/>
      <c r="O48" s="33"/>
      <c r="P48" s="31"/>
      <c r="Q48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504 / E7</v>
      </c>
      <c r="R48" s="31">
        <f>Registro_Ventas[[#This Row],[Precio Venta Departamento]]+Registro_Ventas[[#This Row],[Precio Venta Estacionamiento]]+Registro_Ventas[[#This Row],[Precio Venta Depósito]]</f>
        <v>510000</v>
      </c>
      <c r="S48" s="35">
        <f t="shared" si="2"/>
        <v>52500</v>
      </c>
      <c r="T48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6455.6962025316452</v>
      </c>
      <c r="U48" s="36">
        <f>IF(Registro_Ventas[[#This Row],[Categoria]]="Cita Agendada","",Registro_Ventas[[#This Row],[M2 PEN]]/3.8)</f>
        <v>1698.8674217188541</v>
      </c>
      <c r="V48" s="37">
        <v>46071</v>
      </c>
      <c r="W48" s="28" t="s">
        <v>247</v>
      </c>
      <c r="X48" s="45">
        <v>41129584</v>
      </c>
      <c r="Y48" s="128"/>
      <c r="Z48" s="38">
        <v>45999</v>
      </c>
      <c r="AA48" s="35">
        <v>3000</v>
      </c>
      <c r="AB48" s="35">
        <f>24500+25000</f>
        <v>49500</v>
      </c>
      <c r="AC48" s="27" t="s">
        <v>248</v>
      </c>
      <c r="AD48" s="46">
        <v>46234</v>
      </c>
      <c r="AE48" s="43">
        <v>46295</v>
      </c>
      <c r="AF48" s="28" t="s">
        <v>160</v>
      </c>
      <c r="AG48" s="28"/>
      <c r="AH48" s="28"/>
      <c r="AI48" s="173">
        <v>5.0000000000000001E-3</v>
      </c>
      <c r="AJ48" s="35">
        <f>Registro_Ventas[[#This Row],[Precio Venta Unidad(es)]]*Registro_Ventas[[#This Row],[%Comision
Ejecutivo]]</f>
        <v>2550</v>
      </c>
      <c r="AK48" s="39">
        <f>Registro_Ventas[[#This Row],[Total Comision]]*0%</f>
        <v>0</v>
      </c>
      <c r="AL48" s="39">
        <f>Registro_Ventas[[#This Row],[Total Comision]]*100%</f>
        <v>2550</v>
      </c>
      <c r="AM48" s="28" t="s">
        <v>172</v>
      </c>
      <c r="AN48" s="28"/>
      <c r="AO48" s="28"/>
      <c r="AP48" s="28"/>
      <c r="AQ48" s="28"/>
      <c r="AR48" s="28"/>
      <c r="AS48" s="28"/>
      <c r="AT48" s="28" t="str">
        <f>IF(Registro_Ventas[[#This Row],[Fecha Separacion]]&lt;&gt;"",TEXT(Registro_Ventas[[#This Row],[Fecha Separacion]],"mmmm"),"")</f>
        <v>Diciembre</v>
      </c>
      <c r="AU48" s="28" t="str">
        <f>IF(Registro_Ventas[[#This Row],[Firma Minuta]]&lt;&gt;"",TEXT(Registro_Ventas[[#This Row],[Firma Minuta]],"mmmm"),"")</f>
        <v>Febrero</v>
      </c>
      <c r="AV48" s="28" t="str">
        <f>IF(Registro_Ventas[[#This Row],[Firma Minuta]]&lt;&gt;"",TEXT(Registro_Ventas[[#This Row],[Firma Minuta]],"yyyy"),"")</f>
        <v>2026</v>
      </c>
      <c r="AW48" s="28" t="str">
        <f>IF(Registro_Ventas[[#This Row],[Fecha Separacion]]&lt;&gt;"",TEXT(Registro_Ventas[[#This Row],[Fecha Separacion]],"yyyy"),"")</f>
        <v>2025</v>
      </c>
      <c r="AX48" s="131">
        <f>IF(Registro_Ventas[[#This Row],[Fecha Separacion]]="","",Registro_Ventas[[#This Row],[Fecha Separacion]]-Registro_Ventas[[#This Row],[Fecha Captacion]])</f>
        <v>0</v>
      </c>
      <c r="AY48" s="131">
        <f>+IF(Registro_Ventas[[#This Row],[Firma Minuta]]="","",Registro_Ventas[[#This Row],[Firma Minuta]]-Registro_Ventas[[#This Row],[Fecha Captacion]])</f>
        <v>72</v>
      </c>
      <c r="AZ48" s="131">
        <f>+IF(Registro_Ventas[[#This Row],[Firma Minuta]]="","",Registro_Ventas[[#This Row],[Firma Minuta]]-Registro_Ventas[[#This Row],[Fecha Separacion]])</f>
        <v>72</v>
      </c>
    </row>
    <row r="49" spans="1:52" x14ac:dyDescent="0.3">
      <c r="A49" s="46" t="str">
        <f>TEXT(Registro_Ventas[[#This Row],[Fecha Captacion]],"Mmmm")</f>
        <v>Setiembre</v>
      </c>
      <c r="B49" s="26">
        <v>45905</v>
      </c>
      <c r="C49" s="26" t="s">
        <v>95</v>
      </c>
      <c r="D49" s="14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49" s="143" t="s">
        <v>31</v>
      </c>
      <c r="F49" s="144" t="s">
        <v>19</v>
      </c>
      <c r="G49" s="143" t="s">
        <v>48</v>
      </c>
      <c r="H49" s="29">
        <v>504</v>
      </c>
      <c r="I49" s="30">
        <v>61</v>
      </c>
      <c r="J49" s="31">
        <v>417700</v>
      </c>
      <c r="K49" s="32"/>
      <c r="L49" s="33"/>
      <c r="M49" s="31"/>
      <c r="N49" s="31"/>
      <c r="O49" s="33"/>
      <c r="P49" s="31"/>
      <c r="Q49" s="14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504</v>
      </c>
      <c r="R49" s="146">
        <f>Registro_Ventas[[#This Row],[Precio Venta Departamento]]+Registro_Ventas[[#This Row],[Precio Venta Estacionamiento]]+Registro_Ventas[[#This Row],[Precio Venta Depósito]]</f>
        <v>417700</v>
      </c>
      <c r="S49" s="147">
        <f t="shared" si="2"/>
        <v>13000</v>
      </c>
      <c r="T49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6847.5409836065573</v>
      </c>
      <c r="U49" s="36">
        <f>IF(Registro_Ventas[[#This Row],[Categoria]]="Cita Agendada","",Registro_Ventas[[#This Row],[M2 PEN]]/3.8)</f>
        <v>1801.9844693701468</v>
      </c>
      <c r="V49" s="148">
        <v>45919</v>
      </c>
      <c r="W49" s="144" t="s">
        <v>249</v>
      </c>
      <c r="X49" s="149">
        <v>72112648</v>
      </c>
      <c r="Y49" s="182"/>
      <c r="Z49" s="150">
        <v>45912</v>
      </c>
      <c r="AA49" s="147">
        <v>3000</v>
      </c>
      <c r="AB49" s="147">
        <v>10000</v>
      </c>
      <c r="AC49" s="143" t="s">
        <v>151</v>
      </c>
      <c r="AD49" s="46"/>
      <c r="AE49" s="151">
        <v>46142</v>
      </c>
      <c r="AF49" s="144" t="s">
        <v>142</v>
      </c>
      <c r="AG49" s="144"/>
      <c r="AH49" s="28"/>
      <c r="AI49" s="173">
        <v>3.5000000000000001E-3</v>
      </c>
      <c r="AJ49" s="35">
        <f>Registro_Ventas[[#This Row],[Precio Venta Unidad(es)]]*Registro_Ventas[[#This Row],[%Comision
Ejecutivo]]</f>
        <v>1461.95</v>
      </c>
      <c r="AK49" s="39">
        <f>Registro_Ventas[[#This Row],[Total Comision]]*50%</f>
        <v>730.97500000000002</v>
      </c>
      <c r="AL49" s="39">
        <f>Registro_Ventas[[#This Row],[Total Comision]]*50%</f>
        <v>730.97500000000002</v>
      </c>
      <c r="AM49" s="28" t="s">
        <v>152</v>
      </c>
      <c r="AN49" s="46">
        <v>45961</v>
      </c>
      <c r="AO49" s="28"/>
      <c r="AP49" s="28"/>
      <c r="AQ49" s="28"/>
      <c r="AR49" s="28"/>
      <c r="AS49" s="144"/>
      <c r="AT49" s="28" t="str">
        <f>IF(Registro_Ventas[[#This Row],[Fecha Separacion]]&lt;&gt;"",TEXT(Registro_Ventas[[#This Row],[Fecha Separacion]],"mmmm"),"")</f>
        <v>Setiembre</v>
      </c>
      <c r="AU49" s="28" t="str">
        <f>IF(Registro_Ventas[[#This Row],[Firma Minuta]]&lt;&gt;"",TEXT(Registro_Ventas[[#This Row],[Firma Minuta]],"mmmm"),"")</f>
        <v>Setiembre</v>
      </c>
      <c r="AV49" s="28" t="str">
        <f>IF(Registro_Ventas[[#This Row],[Firma Minuta]]&lt;&gt;"",TEXT(Registro_Ventas[[#This Row],[Firma Minuta]],"yyyy"),"")</f>
        <v>2025</v>
      </c>
      <c r="AW49" s="28" t="str">
        <f>IF(Registro_Ventas[[#This Row],[Fecha Separacion]]&lt;&gt;"",TEXT(Registro_Ventas[[#This Row],[Fecha Separacion]],"yyyy"),"")</f>
        <v>2025</v>
      </c>
      <c r="AX49" s="131">
        <f>IF(Registro_Ventas[[#This Row],[Fecha Separacion]]="","",Registro_Ventas[[#This Row],[Fecha Separacion]]-Registro_Ventas[[#This Row],[Fecha Captacion]])</f>
        <v>7</v>
      </c>
      <c r="AY49" s="131">
        <f>+IF(Registro_Ventas[[#This Row],[Firma Minuta]]="","",Registro_Ventas[[#This Row],[Firma Minuta]]-Registro_Ventas[[#This Row],[Fecha Captacion]])</f>
        <v>14</v>
      </c>
      <c r="AZ49" s="131">
        <f>+IF(Registro_Ventas[[#This Row],[Firma Minuta]]="","",Registro_Ventas[[#This Row],[Firma Minuta]]-Registro_Ventas[[#This Row],[Fecha Separacion]])</f>
        <v>7</v>
      </c>
    </row>
    <row r="50" spans="1:52" x14ac:dyDescent="0.3">
      <c r="A50" s="46" t="str">
        <f>TEXT(Registro_Ventas[[#This Row],[Fecha Captacion]],"Mmmm")</f>
        <v>Agosto</v>
      </c>
      <c r="B50" s="26">
        <v>45893</v>
      </c>
      <c r="C50" s="26" t="s">
        <v>11</v>
      </c>
      <c r="D50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50" s="27" t="s">
        <v>32</v>
      </c>
      <c r="F50" s="28" t="s">
        <v>24</v>
      </c>
      <c r="G50" s="27" t="s">
        <v>47</v>
      </c>
      <c r="H50" s="29">
        <v>504</v>
      </c>
      <c r="I50" s="30">
        <v>67</v>
      </c>
      <c r="J50" s="31">
        <v>428000</v>
      </c>
      <c r="K50" s="32"/>
      <c r="L50" s="33"/>
      <c r="M50" s="31"/>
      <c r="N50" s="31"/>
      <c r="O50" s="33"/>
      <c r="P50" s="31"/>
      <c r="Q50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504</v>
      </c>
      <c r="R50" s="31">
        <f>Registro_Ventas[[#This Row],[Precio Venta Departamento]]+Registro_Ventas[[#This Row],[Precio Venta Estacionamiento]]+Registro_Ventas[[#This Row],[Precio Venta Depósito]]</f>
        <v>428000</v>
      </c>
      <c r="S50" s="35">
        <f t="shared" si="2"/>
        <v>21680</v>
      </c>
      <c r="T50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6388.059701492537</v>
      </c>
      <c r="U50" s="36">
        <f>IF(Registro_Ventas[[#This Row],[Categoria]]="Cita Agendada","",Registro_Ventas[[#This Row],[M2 PEN]]/3.8)</f>
        <v>1681.0683424980361</v>
      </c>
      <c r="V50" s="37">
        <v>46049</v>
      </c>
      <c r="W50" s="28" t="s">
        <v>250</v>
      </c>
      <c r="X50" s="45">
        <v>16631860</v>
      </c>
      <c r="Y50" s="128"/>
      <c r="Z50" s="38">
        <v>46009</v>
      </c>
      <c r="AA50" s="35">
        <v>3000</v>
      </c>
      <c r="AB50" s="35">
        <v>18680</v>
      </c>
      <c r="AC50" s="27" t="s">
        <v>159</v>
      </c>
      <c r="AD50" s="46"/>
      <c r="AE50" s="43"/>
      <c r="AF50" s="28" t="s">
        <v>251</v>
      </c>
      <c r="AG50" s="28"/>
      <c r="AH50" s="28"/>
      <c r="AI50" s="173">
        <v>4.4999999999999997E-3</v>
      </c>
      <c r="AJ50" s="35">
        <f>Registro_Ventas[[#This Row],[Precio Venta Unidad(es)]]*Registro_Ventas[[#This Row],[%Comision
Ejecutivo]]</f>
        <v>1925.9999999999998</v>
      </c>
      <c r="AK50" s="39">
        <f>Registro_Ventas[[#This Row],[Total Comision]]*30%</f>
        <v>577.79999999999995</v>
      </c>
      <c r="AL50" s="39">
        <f>Registro_Ventas[[#This Row],[Total Comision]]*30%</f>
        <v>577.79999999999995</v>
      </c>
      <c r="AM50" s="28" t="s">
        <v>152</v>
      </c>
      <c r="AN50" s="46">
        <v>46068</v>
      </c>
      <c r="AO50" s="28"/>
      <c r="AP50" s="28"/>
      <c r="AQ50" s="28"/>
      <c r="AR50" s="28"/>
      <c r="AS50" s="28"/>
      <c r="AT50" s="28" t="str">
        <f>IF(Registro_Ventas[[#This Row],[Fecha Separacion]]&lt;&gt;"",TEXT(Registro_Ventas[[#This Row],[Fecha Separacion]],"mmmm"),"")</f>
        <v>Diciembre</v>
      </c>
      <c r="AU50" s="28" t="str">
        <f>IF(Registro_Ventas[[#This Row],[Firma Minuta]]&lt;&gt;"",TEXT(Registro_Ventas[[#This Row],[Firma Minuta]],"mmmm"),"")</f>
        <v>Enero</v>
      </c>
      <c r="AV50" s="28" t="str">
        <f>IF(Registro_Ventas[[#This Row],[Firma Minuta]]&lt;&gt;"",TEXT(Registro_Ventas[[#This Row],[Firma Minuta]],"yyyy"),"")</f>
        <v>2026</v>
      </c>
      <c r="AW50" s="28" t="str">
        <f>IF(Registro_Ventas[[#This Row],[Fecha Separacion]]&lt;&gt;"",TEXT(Registro_Ventas[[#This Row],[Fecha Separacion]],"yyyy"),"")</f>
        <v>2025</v>
      </c>
      <c r="AX50" s="131">
        <f>IF(Registro_Ventas[[#This Row],[Fecha Separacion]]="","",Registro_Ventas[[#This Row],[Fecha Separacion]]-Registro_Ventas[[#This Row],[Fecha Captacion]])</f>
        <v>116</v>
      </c>
      <c r="AY50" s="131">
        <f>+IF(Registro_Ventas[[#This Row],[Firma Minuta]]="","",Registro_Ventas[[#This Row],[Firma Minuta]]-Registro_Ventas[[#This Row],[Fecha Captacion]])</f>
        <v>156</v>
      </c>
      <c r="AZ50" s="131">
        <f>+IF(Registro_Ventas[[#This Row],[Firma Minuta]]="","",Registro_Ventas[[#This Row],[Firma Minuta]]-Registro_Ventas[[#This Row],[Fecha Separacion]])</f>
        <v>40</v>
      </c>
    </row>
    <row r="51" spans="1:52" x14ac:dyDescent="0.3">
      <c r="A51" s="46" t="str">
        <f>TEXT(Registro_Ventas[[#This Row],[Fecha Captacion]],"Mmmm")</f>
        <v>Marzo</v>
      </c>
      <c r="B51" s="26">
        <v>45730</v>
      </c>
      <c r="C51" s="26" t="s">
        <v>11</v>
      </c>
      <c r="D51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51" s="27" t="s">
        <v>30</v>
      </c>
      <c r="F51" s="28" t="s">
        <v>9</v>
      </c>
      <c r="G51" s="27" t="s">
        <v>46</v>
      </c>
      <c r="H51" s="29">
        <v>505</v>
      </c>
      <c r="I51" s="30">
        <v>72</v>
      </c>
      <c r="J51" s="31">
        <v>561500</v>
      </c>
      <c r="K51" s="32" t="s">
        <v>252</v>
      </c>
      <c r="L51" s="33">
        <v>12</v>
      </c>
      <c r="M51" s="31">
        <v>45600</v>
      </c>
      <c r="N51" s="31" t="s">
        <v>253</v>
      </c>
      <c r="O51" s="33">
        <v>4.4000000000000004</v>
      </c>
      <c r="P51" s="31">
        <v>15900</v>
      </c>
      <c r="Q51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505 / E5 / D5</v>
      </c>
      <c r="R51" s="31">
        <f>Registro_Ventas[[#This Row],[Precio Venta Departamento]]+Registro_Ventas[[#This Row],[Precio Venta Estacionamiento]]+Registro_Ventas[[#This Row],[Precio Venta Depósito]]</f>
        <v>623000</v>
      </c>
      <c r="S51" s="35">
        <f t="shared" si="2"/>
        <v>262722.5</v>
      </c>
      <c r="T51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7047.5113122171942</v>
      </c>
      <c r="U51" s="36">
        <f>IF(Registro_Ventas[[#This Row],[Categoria]]="Cita Agendada","",Registro_Ventas[[#This Row],[M2 PEN]]/3.8)</f>
        <v>1854.6082400571565</v>
      </c>
      <c r="V51" s="37">
        <v>45743</v>
      </c>
      <c r="W51" s="28" t="s">
        <v>254</v>
      </c>
      <c r="X51" s="27">
        <v>45587286</v>
      </c>
      <c r="Y51" s="37"/>
      <c r="Z51" s="38">
        <v>45733</v>
      </c>
      <c r="AA51" s="35">
        <v>3000</v>
      </c>
      <c r="AB51" s="35">
        <f>217040+21341.25+21341.25</f>
        <v>259722.5</v>
      </c>
      <c r="AC51" s="27" t="s">
        <v>141</v>
      </c>
      <c r="AD51" s="46"/>
      <c r="AE51" s="43">
        <v>46233</v>
      </c>
      <c r="AF51" s="28"/>
      <c r="AG51" s="28"/>
      <c r="AH51" s="28"/>
      <c r="AI51" s="173"/>
      <c r="AJ51" s="35">
        <f>Registro_Ventas[[#This Row],[Precio Venta Unidad(es)]]*Registro_Ventas[[#This Row],[%Comision
Ejecutivo]]</f>
        <v>0</v>
      </c>
      <c r="AK51" s="39">
        <f>Registro_Ventas[[#This Row],[Total Comision]]*30%</f>
        <v>0</v>
      </c>
      <c r="AL51" s="40"/>
      <c r="AM51" s="28"/>
      <c r="AN51" s="28"/>
      <c r="AO51" s="28"/>
      <c r="AP51" s="28"/>
      <c r="AQ51" s="28"/>
      <c r="AR51" s="28"/>
      <c r="AS51" s="28"/>
      <c r="AT51" s="28" t="str">
        <f>IF(Registro_Ventas[[#This Row],[Fecha Separacion]]&lt;&gt;"",TEXT(Registro_Ventas[[#This Row],[Fecha Separacion]],"mmmm"),"")</f>
        <v>Marzo</v>
      </c>
      <c r="AU51" s="28" t="str">
        <f>IF(Registro_Ventas[[#This Row],[Firma Minuta]]&lt;&gt;"",TEXT(Registro_Ventas[[#This Row],[Firma Minuta]],"mmmm"),"")</f>
        <v>Marzo</v>
      </c>
      <c r="AV51" s="28" t="str">
        <f>IF(Registro_Ventas[[#This Row],[Firma Minuta]]&lt;&gt;"",TEXT(Registro_Ventas[[#This Row],[Firma Minuta]],"yyyy"),"")</f>
        <v>2025</v>
      </c>
      <c r="AW51" s="28" t="str">
        <f>IF(Registro_Ventas[[#This Row],[Fecha Separacion]]&lt;&gt;"",TEXT(Registro_Ventas[[#This Row],[Fecha Separacion]],"yyyy"),"")</f>
        <v>2025</v>
      </c>
      <c r="AX51" s="131">
        <f>IF(Registro_Ventas[[#This Row],[Fecha Separacion]]="","",Registro_Ventas[[#This Row],[Fecha Separacion]]-Registro_Ventas[[#This Row],[Fecha Captacion]])</f>
        <v>3</v>
      </c>
      <c r="AY51" s="131">
        <f>+IF(Registro_Ventas[[#This Row],[Firma Minuta]]="","",Registro_Ventas[[#This Row],[Firma Minuta]]-Registro_Ventas[[#This Row],[Fecha Captacion]])</f>
        <v>13</v>
      </c>
      <c r="AZ51" s="131">
        <f>+IF(Registro_Ventas[[#This Row],[Firma Minuta]]="","",Registro_Ventas[[#This Row],[Firma Minuta]]-Registro_Ventas[[#This Row],[Fecha Separacion]])</f>
        <v>10</v>
      </c>
    </row>
    <row r="52" spans="1:52" x14ac:dyDescent="0.3">
      <c r="A52" s="46" t="str">
        <f>TEXT(Registro_Ventas[[#This Row],[Fecha Captacion]],"Mmmm")</f>
        <v>Setiembre</v>
      </c>
      <c r="B52" s="26">
        <v>45565</v>
      </c>
      <c r="C52" s="26" t="s">
        <v>92</v>
      </c>
      <c r="D52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52" s="27" t="s">
        <v>31</v>
      </c>
      <c r="F52" s="28" t="s">
        <v>12</v>
      </c>
      <c r="G52" s="27" t="s">
        <v>47</v>
      </c>
      <c r="H52" s="29">
        <v>505</v>
      </c>
      <c r="I52" s="30">
        <v>69</v>
      </c>
      <c r="J52" s="31">
        <v>490000</v>
      </c>
      <c r="K52" s="32"/>
      <c r="L52" s="33"/>
      <c r="M52" s="31"/>
      <c r="N52" s="31"/>
      <c r="O52" s="33"/>
      <c r="P52" s="31"/>
      <c r="Q52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505</v>
      </c>
      <c r="R52" s="31">
        <f>Registro_Ventas[[#This Row],[Precio Venta Departamento]]+Registro_Ventas[[#This Row],[Precio Venta Estacionamiento]]+Registro_Ventas[[#This Row],[Precio Venta Depósito]]</f>
        <v>490000</v>
      </c>
      <c r="S52" s="35">
        <f t="shared" si="2"/>
        <v>490000</v>
      </c>
      <c r="T52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7101.449275362319</v>
      </c>
      <c r="U52" s="36">
        <f>IF(Registro_Ventas[[#This Row],[Categoria]]="Cita Agendada","",Registro_Ventas[[#This Row],[M2 PEN]]/3.8)</f>
        <v>1868.802440884821</v>
      </c>
      <c r="V52" s="37">
        <v>45652</v>
      </c>
      <c r="W52" s="28" t="s">
        <v>255</v>
      </c>
      <c r="X52" s="45">
        <v>19907001</v>
      </c>
      <c r="Y52" s="128"/>
      <c r="Z52" s="38">
        <v>45617</v>
      </c>
      <c r="AA52" s="35">
        <v>3000</v>
      </c>
      <c r="AB52" s="35">
        <f>20000+10000+15000+15000+427000</f>
        <v>487000</v>
      </c>
      <c r="AC52" s="27" t="s">
        <v>141</v>
      </c>
      <c r="AD52" s="46"/>
      <c r="AE52" s="43">
        <v>45899</v>
      </c>
      <c r="AF52" s="28" t="s">
        <v>142</v>
      </c>
      <c r="AG52" s="28"/>
      <c r="AH52" s="28"/>
      <c r="AI52" s="173"/>
      <c r="AJ52" s="35">
        <f>Registro_Ventas[[#This Row],[Precio Venta Unidad(es)]]*Registro_Ventas[[#This Row],[%Comision
Ejecutivo]]</f>
        <v>0</v>
      </c>
      <c r="AK52" s="39">
        <f>Registro_Ventas[[#This Row],[Total Comision]]*30%</f>
        <v>0</v>
      </c>
      <c r="AL52" s="40"/>
      <c r="AM52" s="28"/>
      <c r="AN52" s="28"/>
      <c r="AO52" s="28"/>
      <c r="AP52" s="28"/>
      <c r="AQ52" s="28"/>
      <c r="AR52" s="28"/>
      <c r="AS52" s="28"/>
      <c r="AT52" s="28" t="str">
        <f>IF(Registro_Ventas[[#This Row],[Fecha Separacion]]&lt;&gt;"",TEXT(Registro_Ventas[[#This Row],[Fecha Separacion]],"mmmm"),"")</f>
        <v>Noviembre</v>
      </c>
      <c r="AU52" s="28" t="str">
        <f>IF(Registro_Ventas[[#This Row],[Firma Minuta]]&lt;&gt;"",TEXT(Registro_Ventas[[#This Row],[Firma Minuta]],"mmmm"),"")</f>
        <v>Diciembre</v>
      </c>
      <c r="AV52" s="28" t="str">
        <f>IF(Registro_Ventas[[#This Row],[Firma Minuta]]&lt;&gt;"",TEXT(Registro_Ventas[[#This Row],[Firma Minuta]],"yyyy"),"")</f>
        <v>2024</v>
      </c>
      <c r="AW52" s="28" t="str">
        <f>IF(Registro_Ventas[[#This Row],[Fecha Separacion]]&lt;&gt;"",TEXT(Registro_Ventas[[#This Row],[Fecha Separacion]],"yyyy"),"")</f>
        <v>2024</v>
      </c>
      <c r="AX52" s="131">
        <f>IF(Registro_Ventas[[#This Row],[Fecha Separacion]]="","",Registro_Ventas[[#This Row],[Fecha Separacion]]-Registro_Ventas[[#This Row],[Fecha Captacion]])</f>
        <v>52</v>
      </c>
      <c r="AY52" s="131">
        <f>+IF(Registro_Ventas[[#This Row],[Firma Minuta]]="","",Registro_Ventas[[#This Row],[Firma Minuta]]-Registro_Ventas[[#This Row],[Fecha Captacion]])</f>
        <v>87</v>
      </c>
      <c r="AZ52" s="131">
        <f>+IF(Registro_Ventas[[#This Row],[Firma Minuta]]="","",Registro_Ventas[[#This Row],[Firma Minuta]]-Registro_Ventas[[#This Row],[Fecha Separacion]])</f>
        <v>35</v>
      </c>
    </row>
    <row r="53" spans="1:52" x14ac:dyDescent="0.3">
      <c r="A53" s="46" t="str">
        <f>TEXT(Registro_Ventas[[#This Row],[Fecha Captacion]],"Mmmm")</f>
        <v>Octubre</v>
      </c>
      <c r="B53" s="26">
        <v>45953</v>
      </c>
      <c r="C53" s="26" t="s">
        <v>11</v>
      </c>
      <c r="D53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53" s="27" t="s">
        <v>30</v>
      </c>
      <c r="F53" s="28" t="s">
        <v>12</v>
      </c>
      <c r="G53" s="27" t="s">
        <v>47</v>
      </c>
      <c r="H53" s="29">
        <v>601</v>
      </c>
      <c r="I53" s="30">
        <v>70</v>
      </c>
      <c r="J53" s="31">
        <v>504700</v>
      </c>
      <c r="K53" s="32"/>
      <c r="L53" s="33"/>
      <c r="M53" s="31"/>
      <c r="N53" s="31"/>
      <c r="O53" s="33"/>
      <c r="P53" s="31"/>
      <c r="Q53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601</v>
      </c>
      <c r="R53" s="31">
        <f>Registro_Ventas[[#This Row],[Precio Venta Departamento]]+Registro_Ventas[[#This Row],[Precio Venta Estacionamiento]]+Registro_Ventas[[#This Row],[Precio Venta Depósito]]</f>
        <v>504700</v>
      </c>
      <c r="S53" s="35">
        <f t="shared" si="2"/>
        <v>3000</v>
      </c>
      <c r="T5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7210</v>
      </c>
      <c r="U53" s="36">
        <f>IF(Registro_Ventas[[#This Row],[Categoria]]="Cita Agendada","",Registro_Ventas[[#This Row],[M2 PEN]]/3.8)</f>
        <v>1897.3684210526317</v>
      </c>
      <c r="V53" s="37">
        <v>46029</v>
      </c>
      <c r="W53" s="28" t="s">
        <v>256</v>
      </c>
      <c r="X53" s="45">
        <v>40071918</v>
      </c>
      <c r="Y53" s="128"/>
      <c r="Z53" s="38">
        <v>45958</v>
      </c>
      <c r="AA53" s="35">
        <v>2000</v>
      </c>
      <c r="AB53" s="35">
        <v>1000</v>
      </c>
      <c r="AC53" s="27" t="s">
        <v>159</v>
      </c>
      <c r="AD53" s="46"/>
      <c r="AE53" s="43">
        <v>46111</v>
      </c>
      <c r="AF53" s="28" t="s">
        <v>257</v>
      </c>
      <c r="AG53" s="28"/>
      <c r="AH53" s="28"/>
      <c r="AI53" s="173">
        <v>5.0000000000000001E-3</v>
      </c>
      <c r="AJ53" s="35">
        <f>Registro_Ventas[[#This Row],[Precio Venta Unidad(es)]]*Registro_Ventas[[#This Row],[%Comision
Ejecutivo]]</f>
        <v>2523.5</v>
      </c>
      <c r="AK53" s="39">
        <f>Registro_Ventas[[#This Row],[Total Comision]]*0%</f>
        <v>0</v>
      </c>
      <c r="AL53" s="39">
        <f>Registro_Ventas[[#This Row],[Total Comision]]*100%</f>
        <v>2523.5</v>
      </c>
      <c r="AM53" s="28" t="s">
        <v>172</v>
      </c>
      <c r="AN53" s="28"/>
      <c r="AO53" s="28"/>
      <c r="AP53" s="28"/>
      <c r="AQ53" s="28"/>
      <c r="AR53" s="28"/>
      <c r="AS53" s="28"/>
      <c r="AT53" s="28" t="str">
        <f>IF(Registro_Ventas[[#This Row],[Fecha Separacion]]&lt;&gt;"",TEXT(Registro_Ventas[[#This Row],[Fecha Separacion]],"mmmm"),"")</f>
        <v>Octubre</v>
      </c>
      <c r="AU53" s="28" t="str">
        <f>IF(Registro_Ventas[[#This Row],[Firma Minuta]]&lt;&gt;"",TEXT(Registro_Ventas[[#This Row],[Firma Minuta]],"mmmm"),"")</f>
        <v>Enero</v>
      </c>
      <c r="AV53" s="28" t="str">
        <f>IF(Registro_Ventas[[#This Row],[Firma Minuta]]&lt;&gt;"",TEXT(Registro_Ventas[[#This Row],[Firma Minuta]],"yyyy"),"")</f>
        <v>2026</v>
      </c>
      <c r="AW53" s="28" t="str">
        <f>IF(Registro_Ventas[[#This Row],[Fecha Separacion]]&lt;&gt;"",TEXT(Registro_Ventas[[#This Row],[Fecha Separacion]],"yyyy"),"")</f>
        <v>2025</v>
      </c>
      <c r="AX53" s="131">
        <f>IF(Registro_Ventas[[#This Row],[Fecha Separacion]]="","",Registro_Ventas[[#This Row],[Fecha Separacion]]-Registro_Ventas[[#This Row],[Fecha Captacion]])</f>
        <v>5</v>
      </c>
      <c r="AY53" s="131">
        <f>+IF(Registro_Ventas[[#This Row],[Firma Minuta]]="","",Registro_Ventas[[#This Row],[Firma Minuta]]-Registro_Ventas[[#This Row],[Fecha Captacion]])</f>
        <v>76</v>
      </c>
      <c r="AZ53" s="131">
        <f>+IF(Registro_Ventas[[#This Row],[Firma Minuta]]="","",Registro_Ventas[[#This Row],[Firma Minuta]]-Registro_Ventas[[#This Row],[Fecha Separacion]])</f>
        <v>71</v>
      </c>
    </row>
    <row r="54" spans="1:52" x14ac:dyDescent="0.3">
      <c r="A54" s="46" t="str">
        <f>TEXT(Registro_Ventas[[#This Row],[Fecha Captacion]],"Mmmm")</f>
        <v>Junio</v>
      </c>
      <c r="B54" s="26">
        <v>45815</v>
      </c>
      <c r="C54" s="26" t="s">
        <v>11</v>
      </c>
      <c r="D54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54" s="27" t="s">
        <v>32</v>
      </c>
      <c r="F54" s="28" t="s">
        <v>17</v>
      </c>
      <c r="G54" s="27" t="s">
        <v>46</v>
      </c>
      <c r="H54" s="29">
        <v>601</v>
      </c>
      <c r="I54" s="30">
        <v>77.86</v>
      </c>
      <c r="J54" s="31">
        <v>545000</v>
      </c>
      <c r="K54" s="32" t="s">
        <v>258</v>
      </c>
      <c r="L54" s="33">
        <v>14.25</v>
      </c>
      <c r="M54" s="31">
        <v>50800</v>
      </c>
      <c r="N54" s="31"/>
      <c r="O54" s="33"/>
      <c r="P54" s="31"/>
      <c r="Q54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601 / E11</v>
      </c>
      <c r="R54" s="31">
        <f>Registro_Ventas[[#This Row],[Precio Venta Departamento]]+Registro_Ventas[[#This Row],[Precio Venta Estacionamiento]]+Registro_Ventas[[#This Row],[Precio Venta Depósito]]</f>
        <v>595800</v>
      </c>
      <c r="S54" s="35">
        <f t="shared" si="2"/>
        <v>246800</v>
      </c>
      <c r="T5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6468.3530561285424</v>
      </c>
      <c r="U54" s="36">
        <f>IF(Registro_Ventas[[#This Row],[Categoria]]="Cita Agendada","",Registro_Ventas[[#This Row],[M2 PEN]]/3.8)</f>
        <v>1702.198172665406</v>
      </c>
      <c r="V54" s="37">
        <v>45863</v>
      </c>
      <c r="W54" s="28" t="s">
        <v>259</v>
      </c>
      <c r="X54" s="45" t="s">
        <v>260</v>
      </c>
      <c r="Y54" s="128"/>
      <c r="Z54" s="38">
        <v>45831</v>
      </c>
      <c r="AA54" s="35">
        <v>3000</v>
      </c>
      <c r="AB54" s="35">
        <f>95000+72000+70000+6800</f>
        <v>243800</v>
      </c>
      <c r="AC54" s="27" t="s">
        <v>141</v>
      </c>
      <c r="AD54" s="46"/>
      <c r="AE54" s="43"/>
      <c r="AF54" s="28"/>
      <c r="AG54" s="28"/>
      <c r="AH54" s="28"/>
      <c r="AI54" s="173"/>
      <c r="AJ54" s="35">
        <f>Registro_Ventas[[#This Row],[Precio Venta Unidad(es)]]*Registro_Ventas[[#This Row],[%Comision
Ejecutivo]]</f>
        <v>0</v>
      </c>
      <c r="AK54" s="39">
        <f>Registro_Ventas[[#This Row],[Total Comision]]*30%</f>
        <v>0</v>
      </c>
      <c r="AL54" s="40"/>
      <c r="AM54" s="28"/>
      <c r="AN54" s="28"/>
      <c r="AO54" s="28"/>
      <c r="AP54" s="28"/>
      <c r="AQ54" s="28"/>
      <c r="AR54" s="28"/>
      <c r="AS54" s="28"/>
      <c r="AT54" s="28" t="str">
        <f>IF(Registro_Ventas[[#This Row],[Fecha Separacion]]&lt;&gt;"",TEXT(Registro_Ventas[[#This Row],[Fecha Separacion]],"mmmm"),"")</f>
        <v>Junio</v>
      </c>
      <c r="AU54" s="28" t="str">
        <f>IF(Registro_Ventas[[#This Row],[Firma Minuta]]&lt;&gt;"",TEXT(Registro_Ventas[[#This Row],[Firma Minuta]],"mmmm"),"")</f>
        <v>Julio</v>
      </c>
      <c r="AV54" s="28" t="str">
        <f>IF(Registro_Ventas[[#This Row],[Firma Minuta]]&lt;&gt;"",TEXT(Registro_Ventas[[#This Row],[Firma Minuta]],"yyyy"),"")</f>
        <v>2025</v>
      </c>
      <c r="AW54" s="28" t="str">
        <f>IF(Registro_Ventas[[#This Row],[Fecha Separacion]]&lt;&gt;"",TEXT(Registro_Ventas[[#This Row],[Fecha Separacion]],"yyyy"),"")</f>
        <v>2025</v>
      </c>
      <c r="AX54" s="131">
        <f>IF(Registro_Ventas[[#This Row],[Fecha Separacion]]="","",Registro_Ventas[[#This Row],[Fecha Separacion]]-Registro_Ventas[[#This Row],[Fecha Captacion]])</f>
        <v>16</v>
      </c>
      <c r="AY54" s="131">
        <f>+IF(Registro_Ventas[[#This Row],[Firma Minuta]]="","",Registro_Ventas[[#This Row],[Firma Minuta]]-Registro_Ventas[[#This Row],[Fecha Captacion]])</f>
        <v>48</v>
      </c>
      <c r="AZ54" s="131">
        <f>+IF(Registro_Ventas[[#This Row],[Firma Minuta]]="","",Registro_Ventas[[#This Row],[Firma Minuta]]-Registro_Ventas[[#This Row],[Fecha Separacion]])</f>
        <v>32</v>
      </c>
    </row>
    <row r="55" spans="1:52" x14ac:dyDescent="0.3">
      <c r="A55" s="46" t="str">
        <f>TEXT(Registro_Ventas[[#This Row],[Fecha Captacion]],"Mmmm")</f>
        <v>Agosto</v>
      </c>
      <c r="B55" s="26">
        <v>44786</v>
      </c>
      <c r="C55" s="26" t="s">
        <v>88</v>
      </c>
      <c r="D55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55" s="27" t="s">
        <v>31</v>
      </c>
      <c r="F55" s="28" t="s">
        <v>12</v>
      </c>
      <c r="G55" s="27" t="s">
        <v>47</v>
      </c>
      <c r="H55" s="29">
        <v>601</v>
      </c>
      <c r="I55" s="30">
        <v>84</v>
      </c>
      <c r="J55" s="31">
        <v>630000</v>
      </c>
      <c r="K55" s="32" t="s">
        <v>261</v>
      </c>
      <c r="L55" s="33">
        <v>16.899999999999999</v>
      </c>
      <c r="M55" s="31">
        <v>60000</v>
      </c>
      <c r="N55" s="31"/>
      <c r="O55" s="33"/>
      <c r="P55" s="31"/>
      <c r="Q55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601 / E28/D22</v>
      </c>
      <c r="R55" s="31">
        <f>Registro_Ventas[[#This Row],[Precio Venta Departamento]]+Registro_Ventas[[#This Row],[Precio Venta Estacionamiento]]+Registro_Ventas[[#This Row],[Precio Venta Depósito]]</f>
        <v>690000</v>
      </c>
      <c r="S55" s="35">
        <f t="shared" si="2"/>
        <v>690000</v>
      </c>
      <c r="T5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6838.4539147670957</v>
      </c>
      <c r="U55" s="36">
        <f>IF(Registro_Ventas[[#This Row],[Categoria]]="Cita Agendada","",Registro_Ventas[[#This Row],[M2 PEN]]/3.8)</f>
        <v>1799.5931354650252</v>
      </c>
      <c r="V55" s="37">
        <v>45831</v>
      </c>
      <c r="W55" s="28" t="s">
        <v>262</v>
      </c>
      <c r="X55" s="45">
        <v>44062837</v>
      </c>
      <c r="Y55" s="128"/>
      <c r="Z55" s="38">
        <v>45804</v>
      </c>
      <c r="AA55" s="35">
        <v>3000</v>
      </c>
      <c r="AB55" s="35">
        <f>107000+580000</f>
        <v>687000</v>
      </c>
      <c r="AC55" s="27" t="s">
        <v>141</v>
      </c>
      <c r="AD55" s="46"/>
      <c r="AE55" s="43">
        <v>46264</v>
      </c>
      <c r="AF55" s="28" t="s">
        <v>142</v>
      </c>
      <c r="AG55" s="28"/>
      <c r="AH55" s="28"/>
      <c r="AI55" s="173"/>
      <c r="AJ55" s="35">
        <f>Registro_Ventas[[#This Row],[Precio Venta Unidad(es)]]*Registro_Ventas[[#This Row],[%Comision
Ejecutivo]]</f>
        <v>0</v>
      </c>
      <c r="AK55" s="39">
        <f>Registro_Ventas[[#This Row],[Total Comision]]*30%</f>
        <v>0</v>
      </c>
      <c r="AL55" s="40"/>
      <c r="AM55" s="28"/>
      <c r="AN55" s="28"/>
      <c r="AO55" s="28"/>
      <c r="AP55" s="28"/>
      <c r="AQ55" s="28"/>
      <c r="AR55" s="28"/>
      <c r="AS55" s="28"/>
      <c r="AT55" s="28" t="str">
        <f>IF(Registro_Ventas[[#This Row],[Fecha Separacion]]&lt;&gt;"",TEXT(Registro_Ventas[[#This Row],[Fecha Separacion]],"mmmm"),"")</f>
        <v>Mayo</v>
      </c>
      <c r="AU55" s="28" t="str">
        <f>IF(Registro_Ventas[[#This Row],[Firma Minuta]]&lt;&gt;"",TEXT(Registro_Ventas[[#This Row],[Firma Minuta]],"mmmm"),"")</f>
        <v>Junio</v>
      </c>
      <c r="AV55" s="28" t="str">
        <f>IF(Registro_Ventas[[#This Row],[Firma Minuta]]&lt;&gt;"",TEXT(Registro_Ventas[[#This Row],[Firma Minuta]],"yyyy"),"")</f>
        <v>2025</v>
      </c>
      <c r="AW55" s="28" t="str">
        <f>IF(Registro_Ventas[[#This Row],[Fecha Separacion]]&lt;&gt;"",TEXT(Registro_Ventas[[#This Row],[Fecha Separacion]],"yyyy"),"")</f>
        <v>2025</v>
      </c>
      <c r="AX55" s="131">
        <f>IF(Registro_Ventas[[#This Row],[Fecha Separacion]]="","",Registro_Ventas[[#This Row],[Fecha Separacion]]-Registro_Ventas[[#This Row],[Fecha Captacion]])</f>
        <v>1018</v>
      </c>
      <c r="AY55" s="131">
        <f>+IF(Registro_Ventas[[#This Row],[Firma Minuta]]="","",Registro_Ventas[[#This Row],[Firma Minuta]]-Registro_Ventas[[#This Row],[Fecha Captacion]])</f>
        <v>1045</v>
      </c>
      <c r="AZ55" s="131">
        <f>+IF(Registro_Ventas[[#This Row],[Firma Minuta]]="","",Registro_Ventas[[#This Row],[Firma Minuta]]-Registro_Ventas[[#This Row],[Fecha Separacion]])</f>
        <v>27</v>
      </c>
    </row>
    <row r="56" spans="1:52" x14ac:dyDescent="0.3">
      <c r="A56" s="46" t="str">
        <f>TEXT(Registro_Ventas[[#This Row],[Fecha Captacion]],"Mmmm")</f>
        <v>Marzo</v>
      </c>
      <c r="B56" s="26">
        <v>46096</v>
      </c>
      <c r="C56" s="26" t="s">
        <v>66</v>
      </c>
      <c r="D56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56" s="27" t="s">
        <v>31</v>
      </c>
      <c r="F56" s="28" t="s">
        <v>25</v>
      </c>
      <c r="G56" s="27" t="s">
        <v>46</v>
      </c>
      <c r="H56" s="29">
        <v>602</v>
      </c>
      <c r="I56" s="30">
        <v>56</v>
      </c>
      <c r="J56" s="31">
        <v>475000</v>
      </c>
      <c r="K56" s="32"/>
      <c r="L56" s="33"/>
      <c r="M56" s="31"/>
      <c r="N56" s="31"/>
      <c r="O56" s="33"/>
      <c r="P56" s="31"/>
      <c r="Q56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602</v>
      </c>
      <c r="R56" s="31">
        <f>Registro_Ventas[[#This Row],[Precio Venta Departamento]]+Registro_Ventas[[#This Row],[Precio Venta Estacionamiento]]+Registro_Ventas[[#This Row],[Precio Venta Depósito]]</f>
        <v>475000</v>
      </c>
      <c r="S56" s="35">
        <f t="shared" si="2"/>
        <v>237000</v>
      </c>
      <c r="T5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8482.1428571428569</v>
      </c>
      <c r="U56" s="36">
        <f>IF(Registro_Ventas[[#This Row],[Categoria]]="Cita Agendada","",Registro_Ventas[[#This Row],[M2 PEN]]/3.8)</f>
        <v>2232.1428571428573</v>
      </c>
      <c r="V56" s="37">
        <v>46112</v>
      </c>
      <c r="W56" s="28" t="s">
        <v>263</v>
      </c>
      <c r="X56" s="45">
        <v>40910651</v>
      </c>
      <c r="Y56" s="128"/>
      <c r="Z56" s="38">
        <v>46096</v>
      </c>
      <c r="AA56" s="35">
        <v>3000</v>
      </c>
      <c r="AB56" s="35">
        <f>100000+134000</f>
        <v>234000</v>
      </c>
      <c r="AC56" s="27" t="s">
        <v>264</v>
      </c>
      <c r="AD56" s="46"/>
      <c r="AE56" s="43"/>
      <c r="AF56" s="28"/>
      <c r="AG56" s="28"/>
      <c r="AH56" s="28"/>
      <c r="AI56" s="41"/>
      <c r="AJ56" s="35">
        <f>Registro_Ventas[[#This Row],[Precio Venta Unidad(es)]]*Registro_Ventas[[#This Row],[%Comision
Ejecutivo]]</f>
        <v>0</v>
      </c>
      <c r="AK56" s="39">
        <f>Registro_Ventas[[#This Row],[Total Comision]]*30%</f>
        <v>0</v>
      </c>
      <c r="AL56" s="178"/>
      <c r="AM56" s="28"/>
      <c r="AN56" s="28"/>
      <c r="AO56" s="28"/>
      <c r="AP56" s="28"/>
      <c r="AQ56" s="28"/>
      <c r="AR56" s="28"/>
      <c r="AS56" s="28"/>
      <c r="AT56" s="28" t="str">
        <f>IF(Registro_Ventas[[#This Row],[Fecha Separacion]]&lt;&gt;"",TEXT(Registro_Ventas[[#This Row],[Fecha Separacion]],"mmmm"),"")</f>
        <v>Marzo</v>
      </c>
      <c r="AU56" s="28" t="str">
        <f>IF(Registro_Ventas[[#This Row],[Firma Minuta]]&lt;&gt;"",TEXT(Registro_Ventas[[#This Row],[Firma Minuta]],"mmmm"),"")</f>
        <v>Marzo</v>
      </c>
      <c r="AV56" s="28" t="str">
        <f>IF(Registro_Ventas[[#This Row],[Firma Minuta]]&lt;&gt;"",TEXT(Registro_Ventas[[#This Row],[Firma Minuta]],"yyyy"),"")</f>
        <v>2026</v>
      </c>
      <c r="AW56" s="28" t="str">
        <f>IF(Registro_Ventas[[#This Row],[Fecha Separacion]]&lt;&gt;"",TEXT(Registro_Ventas[[#This Row],[Fecha Separacion]],"yyyy"),"")</f>
        <v>2026</v>
      </c>
      <c r="AX56" s="131">
        <f>IF(Registro_Ventas[[#This Row],[Fecha Separacion]]="","",Registro_Ventas[[#This Row],[Fecha Separacion]]-Registro_Ventas[[#This Row],[Fecha Captacion]])</f>
        <v>0</v>
      </c>
      <c r="AY56" s="131">
        <f>+IF(Registro_Ventas[[#This Row],[Firma Minuta]]="","",Registro_Ventas[[#This Row],[Firma Minuta]]-Registro_Ventas[[#This Row],[Fecha Captacion]])</f>
        <v>16</v>
      </c>
      <c r="AZ56" s="131">
        <f>+IF(Registro_Ventas[[#This Row],[Firma Minuta]]="","",Registro_Ventas[[#This Row],[Firma Minuta]]-Registro_Ventas[[#This Row],[Fecha Separacion]])</f>
        <v>16</v>
      </c>
    </row>
    <row r="57" spans="1:52" x14ac:dyDescent="0.3">
      <c r="A57" s="46" t="str">
        <f>TEXT(Registro_Ventas[[#This Row],[Fecha Captacion]],"Mmmm")</f>
        <v>Julio</v>
      </c>
      <c r="B57" s="26">
        <v>45858</v>
      </c>
      <c r="C57" s="26" t="s">
        <v>11</v>
      </c>
      <c r="D57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57" s="27" t="s">
        <v>32</v>
      </c>
      <c r="F57" s="28" t="s">
        <v>15</v>
      </c>
      <c r="G57" s="27" t="s">
        <v>47</v>
      </c>
      <c r="H57" s="29">
        <v>602</v>
      </c>
      <c r="I57" s="30">
        <v>83.42</v>
      </c>
      <c r="J57" s="31">
        <v>573000</v>
      </c>
      <c r="K57" s="32"/>
      <c r="L57" s="33"/>
      <c r="M57" s="31"/>
      <c r="N57" s="31"/>
      <c r="O57" s="33"/>
      <c r="P57" s="31"/>
      <c r="Q57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602</v>
      </c>
      <c r="R57" s="31">
        <f>Registro_Ventas[[#This Row],[Precio Venta Departamento]]+Registro_Ventas[[#This Row],[Precio Venta Estacionamiento]]+Registro_Ventas[[#This Row],[Precio Venta Depósito]]</f>
        <v>573000</v>
      </c>
      <c r="S57" s="35">
        <f t="shared" si="2"/>
        <v>57300</v>
      </c>
      <c r="T57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6868.8563893550709</v>
      </c>
      <c r="U57" s="36">
        <f>IF(Registro_Ventas[[#This Row],[Categoria]]="Cita Agendada","",Registro_Ventas[[#This Row],[M2 PEN]]/3.8)</f>
        <v>1807.5937866723871</v>
      </c>
      <c r="V57" s="37">
        <v>45898</v>
      </c>
      <c r="W57" s="28" t="s">
        <v>265</v>
      </c>
      <c r="X57" s="45">
        <v>26707781</v>
      </c>
      <c r="Y57" s="128"/>
      <c r="Z57" s="38">
        <v>45871</v>
      </c>
      <c r="AA57" s="35">
        <v>3000</v>
      </c>
      <c r="AB57" s="35">
        <v>54300</v>
      </c>
      <c r="AC57" s="27" t="s">
        <v>141</v>
      </c>
      <c r="AD57" s="46"/>
      <c r="AE57" s="43"/>
      <c r="AF57" s="28"/>
      <c r="AG57" s="28"/>
      <c r="AH57" s="28"/>
      <c r="AI57" s="173"/>
      <c r="AJ57" s="35">
        <f>Registro_Ventas[[#This Row],[Precio Venta Unidad(es)]]*Registro_Ventas[[#This Row],[%Comision
Ejecutivo]]</f>
        <v>0</v>
      </c>
      <c r="AK57" s="39">
        <f>Registro_Ventas[[#This Row],[Total Comision]]*30%</f>
        <v>0</v>
      </c>
      <c r="AL57" s="40"/>
      <c r="AM57" s="28"/>
      <c r="AN57" s="28"/>
      <c r="AO57" s="28"/>
      <c r="AP57" s="28"/>
      <c r="AQ57" s="28"/>
      <c r="AR57" s="28"/>
      <c r="AS57" s="28"/>
      <c r="AT57" s="28" t="str">
        <f>IF(Registro_Ventas[[#This Row],[Fecha Separacion]]&lt;&gt;"",TEXT(Registro_Ventas[[#This Row],[Fecha Separacion]],"mmmm"),"")</f>
        <v>Agosto</v>
      </c>
      <c r="AU57" s="28" t="str">
        <f>IF(Registro_Ventas[[#This Row],[Firma Minuta]]&lt;&gt;"",TEXT(Registro_Ventas[[#This Row],[Firma Minuta]],"mmmm"),"")</f>
        <v>Agosto</v>
      </c>
      <c r="AV57" s="28" t="str">
        <f>IF(Registro_Ventas[[#This Row],[Firma Minuta]]&lt;&gt;"",TEXT(Registro_Ventas[[#This Row],[Firma Minuta]],"yyyy"),"")</f>
        <v>2025</v>
      </c>
      <c r="AW57" s="28" t="str">
        <f>IF(Registro_Ventas[[#This Row],[Fecha Separacion]]&lt;&gt;"",TEXT(Registro_Ventas[[#This Row],[Fecha Separacion]],"yyyy"),"")</f>
        <v>2025</v>
      </c>
      <c r="AX57" s="131">
        <f>IF(Registro_Ventas[[#This Row],[Fecha Separacion]]="","",Registro_Ventas[[#This Row],[Fecha Separacion]]-Registro_Ventas[[#This Row],[Fecha Captacion]])</f>
        <v>13</v>
      </c>
      <c r="AY57" s="131">
        <f>+IF(Registro_Ventas[[#This Row],[Firma Minuta]]="","",Registro_Ventas[[#This Row],[Firma Minuta]]-Registro_Ventas[[#This Row],[Fecha Captacion]])</f>
        <v>40</v>
      </c>
      <c r="AZ57" s="131">
        <f>+IF(Registro_Ventas[[#This Row],[Firma Minuta]]="","",Registro_Ventas[[#This Row],[Firma Minuta]]-Registro_Ventas[[#This Row],[Fecha Separacion]])</f>
        <v>27</v>
      </c>
    </row>
    <row r="58" spans="1:52" x14ac:dyDescent="0.3">
      <c r="A58" s="46" t="str">
        <f>TEXT(Registro_Ventas[[#This Row],[Fecha Captacion]],"Mmmm")</f>
        <v>Febrero</v>
      </c>
      <c r="B58" s="26">
        <v>46073</v>
      </c>
      <c r="C58" s="26" t="s">
        <v>16</v>
      </c>
      <c r="D58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58" s="27" t="s">
        <v>31</v>
      </c>
      <c r="F58" s="28" t="s">
        <v>25</v>
      </c>
      <c r="G58" s="27" t="s">
        <v>47</v>
      </c>
      <c r="H58" s="29">
        <v>602</v>
      </c>
      <c r="I58" s="30">
        <v>57</v>
      </c>
      <c r="J58" s="31">
        <v>467000</v>
      </c>
      <c r="K58" s="32" t="s">
        <v>266</v>
      </c>
      <c r="L58" s="33">
        <v>15.86</v>
      </c>
      <c r="M58" s="31">
        <v>55800</v>
      </c>
      <c r="N58" s="31" t="s">
        <v>267</v>
      </c>
      <c r="O58" s="33"/>
      <c r="P58" s="31"/>
      <c r="Q58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602 / E41 / D32</v>
      </c>
      <c r="R58" s="31">
        <f>Registro_Ventas[[#This Row],[Precio Venta Departamento]]+Registro_Ventas[[#This Row],[Precio Venta Estacionamiento]]+Registro_Ventas[[#This Row],[Precio Venta Depósito]]</f>
        <v>522800</v>
      </c>
      <c r="S58" s="35">
        <f t="shared" si="2"/>
        <v>3000</v>
      </c>
      <c r="T58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7175.4048860828989</v>
      </c>
      <c r="U58" s="36">
        <f>IF(Registro_Ventas[[#This Row],[Categoria]]="Cita Agendada","",Registro_Ventas[[#This Row],[M2 PEN]]/3.8)</f>
        <v>1888.2644437060262</v>
      </c>
      <c r="V58" s="37"/>
      <c r="W58" s="28" t="s">
        <v>268</v>
      </c>
      <c r="X58" s="45" t="s">
        <v>269</v>
      </c>
      <c r="Y58" s="37"/>
      <c r="Z58" s="38">
        <v>46085</v>
      </c>
      <c r="AA58" s="35">
        <v>3000</v>
      </c>
      <c r="AB58" s="35"/>
      <c r="AC58" s="27" t="s">
        <v>189</v>
      </c>
      <c r="AD58" s="46"/>
      <c r="AE58" s="43"/>
      <c r="AF58" s="28" t="s">
        <v>142</v>
      </c>
      <c r="AG58" s="28"/>
      <c r="AH58" s="28"/>
      <c r="AI58" s="169"/>
      <c r="AJ58" s="35">
        <f>Registro_Ventas[[#This Row],[Precio Venta Unidad(es)]]*Registro_Ventas[[#This Row],[%Comision
Ejecutivo]]</f>
        <v>0</v>
      </c>
      <c r="AK58" s="39">
        <f>Registro_Ventas[[#This Row],[Total Comision]]*30%</f>
        <v>0</v>
      </c>
      <c r="AL58" s="40"/>
      <c r="AM58" s="28"/>
      <c r="AN58" s="28"/>
      <c r="AO58" s="28"/>
      <c r="AP58" s="28" t="s">
        <v>270</v>
      </c>
      <c r="AQ58" s="28"/>
      <c r="AR58" s="28"/>
      <c r="AS58" s="28" t="s">
        <v>201</v>
      </c>
      <c r="AT58" s="28" t="str">
        <f>IF(Registro_Ventas[[#This Row],[Fecha Separacion]]&lt;&gt;"",TEXT(Registro_Ventas[[#This Row],[Fecha Separacion]],"mmmm"),"")</f>
        <v>Marzo</v>
      </c>
      <c r="AU58" s="28" t="str">
        <f>IF(Registro_Ventas[[#This Row],[Firma Minuta]]&lt;&gt;"",TEXT(Registro_Ventas[[#This Row],[Firma Minuta]],"mmmm"),"")</f>
        <v/>
      </c>
      <c r="AV58" s="28" t="str">
        <f>IF(Registro_Ventas[[#This Row],[Firma Minuta]]&lt;&gt;"",TEXT(Registro_Ventas[[#This Row],[Firma Minuta]],"yyyy"),"")</f>
        <v/>
      </c>
      <c r="AW58" s="28" t="str">
        <f>IF(Registro_Ventas[[#This Row],[Fecha Separacion]]&lt;&gt;"",TEXT(Registro_Ventas[[#This Row],[Fecha Separacion]],"yyyy"),"")</f>
        <v>2026</v>
      </c>
      <c r="AX58" s="131">
        <f>IF(Registro_Ventas[[#This Row],[Fecha Separacion]]="","",Registro_Ventas[[#This Row],[Fecha Separacion]]-Registro_Ventas[[#This Row],[Fecha Captacion]])</f>
        <v>12</v>
      </c>
      <c r="AY58" s="131" t="str">
        <f>+IF(Registro_Ventas[[#This Row],[Firma Minuta]]="","",Registro_Ventas[[#This Row],[Firma Minuta]]-Registro_Ventas[[#This Row],[Fecha Captacion]])</f>
        <v/>
      </c>
      <c r="AZ58" s="131" t="str">
        <f>+IF(Registro_Ventas[[#This Row],[Firma Minuta]]="","",Registro_Ventas[[#This Row],[Firma Minuta]]-Registro_Ventas[[#This Row],[Fecha Separacion]])</f>
        <v/>
      </c>
    </row>
    <row r="59" spans="1:52" x14ac:dyDescent="0.3">
      <c r="A59" s="46" t="str">
        <f>TEXT(Registro_Ventas[[#This Row],[Fecha Captacion]],"Mmmm")</f>
        <v>Junio</v>
      </c>
      <c r="B59" s="26">
        <v>45467</v>
      </c>
      <c r="C59" s="26" t="s">
        <v>88</v>
      </c>
      <c r="D59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59" s="27" t="s">
        <v>31</v>
      </c>
      <c r="F59" s="28" t="s">
        <v>12</v>
      </c>
      <c r="G59" s="27" t="s">
        <v>47</v>
      </c>
      <c r="H59" s="29">
        <v>603</v>
      </c>
      <c r="I59" s="30">
        <v>88.27</v>
      </c>
      <c r="J59" s="31">
        <v>654000</v>
      </c>
      <c r="K59" s="32"/>
      <c r="L59" s="33"/>
      <c r="M59" s="31"/>
      <c r="N59" s="31"/>
      <c r="O59" s="33"/>
      <c r="P59" s="31"/>
      <c r="Q59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603</v>
      </c>
      <c r="R59" s="31">
        <f>Registro_Ventas[[#This Row],[Precio Venta Departamento]]+Registro_Ventas[[#This Row],[Precio Venta Estacionamiento]]+Registro_Ventas[[#This Row],[Precio Venta Depósito]]</f>
        <v>654000</v>
      </c>
      <c r="S59" s="35">
        <f t="shared" si="2"/>
        <v>654000</v>
      </c>
      <c r="T59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7409.0857596012238</v>
      </c>
      <c r="U59" s="36">
        <f>IF(Registro_Ventas[[#This Row],[Categoria]]="Cita Agendada","",Registro_Ventas[[#This Row],[M2 PEN]]/3.8)</f>
        <v>1949.7594104213747</v>
      </c>
      <c r="V59" s="37">
        <v>45567</v>
      </c>
      <c r="W59" s="28" t="s">
        <v>271</v>
      </c>
      <c r="X59" s="45">
        <v>43953371</v>
      </c>
      <c r="Y59" s="128"/>
      <c r="Z59" s="38">
        <v>45477</v>
      </c>
      <c r="AA59" s="35">
        <v>3000</v>
      </c>
      <c r="AB59" s="35">
        <f>25000+37400+588600</f>
        <v>651000</v>
      </c>
      <c r="AC59" s="27" t="s">
        <v>141</v>
      </c>
      <c r="AD59" s="46"/>
      <c r="AE59" s="43">
        <v>45746</v>
      </c>
      <c r="AF59" s="28"/>
      <c r="AG59" s="28"/>
      <c r="AH59" s="28"/>
      <c r="AI59" s="173"/>
      <c r="AJ59" s="35">
        <f>Registro_Ventas[[#This Row],[Precio Venta Unidad(es)]]*Registro_Ventas[[#This Row],[%Comision
Ejecutivo]]</f>
        <v>0</v>
      </c>
      <c r="AK59" s="39">
        <f>Registro_Ventas[[#This Row],[Total Comision]]*30%</f>
        <v>0</v>
      </c>
      <c r="AL59" s="40"/>
      <c r="AM59" s="28"/>
      <c r="AN59" s="28"/>
      <c r="AO59" s="28"/>
      <c r="AP59" s="28"/>
      <c r="AQ59" s="28"/>
      <c r="AR59" s="28"/>
      <c r="AS59" s="28"/>
      <c r="AT59" s="28" t="str">
        <f>IF(Registro_Ventas[[#This Row],[Fecha Separacion]]&lt;&gt;"",TEXT(Registro_Ventas[[#This Row],[Fecha Separacion]],"mmmm"),"")</f>
        <v>Julio</v>
      </c>
      <c r="AU59" s="28" t="str">
        <f>IF(Registro_Ventas[[#This Row],[Firma Minuta]]&lt;&gt;"",TEXT(Registro_Ventas[[#This Row],[Firma Minuta]],"mmmm"),"")</f>
        <v>Octubre</v>
      </c>
      <c r="AV59" s="28" t="str">
        <f>IF(Registro_Ventas[[#This Row],[Firma Minuta]]&lt;&gt;"",TEXT(Registro_Ventas[[#This Row],[Firma Minuta]],"yyyy"),"")</f>
        <v>2024</v>
      </c>
      <c r="AW59" s="28" t="str">
        <f>IF(Registro_Ventas[[#This Row],[Fecha Separacion]]&lt;&gt;"",TEXT(Registro_Ventas[[#This Row],[Fecha Separacion]],"yyyy"),"")</f>
        <v>2024</v>
      </c>
      <c r="AX59" s="131">
        <f>IF(Registro_Ventas[[#This Row],[Fecha Separacion]]="","",Registro_Ventas[[#This Row],[Fecha Separacion]]-Registro_Ventas[[#This Row],[Fecha Captacion]])</f>
        <v>10</v>
      </c>
      <c r="AY59" s="131">
        <f>+IF(Registro_Ventas[[#This Row],[Firma Minuta]]="","",Registro_Ventas[[#This Row],[Firma Minuta]]-Registro_Ventas[[#This Row],[Fecha Captacion]])</f>
        <v>100</v>
      </c>
      <c r="AZ59" s="131">
        <f>+IF(Registro_Ventas[[#This Row],[Firma Minuta]]="","",Registro_Ventas[[#This Row],[Firma Minuta]]-Registro_Ventas[[#This Row],[Fecha Separacion]])</f>
        <v>90</v>
      </c>
    </row>
    <row r="60" spans="1:52" x14ac:dyDescent="0.3">
      <c r="A60" s="46" t="str">
        <f>TEXT(Registro_Ventas[[#This Row],[Fecha Captacion]],"Mmmm")</f>
        <v>Marzo</v>
      </c>
      <c r="B60" s="26">
        <v>46086</v>
      </c>
      <c r="C60" s="26" t="s">
        <v>18</v>
      </c>
      <c r="D60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60" s="27" t="s">
        <v>30</v>
      </c>
      <c r="F60" s="28" t="s">
        <v>12</v>
      </c>
      <c r="G60" s="27" t="s">
        <v>48</v>
      </c>
      <c r="H60" s="29">
        <v>602</v>
      </c>
      <c r="I60" s="30">
        <v>57</v>
      </c>
      <c r="J60" s="31">
        <v>400000</v>
      </c>
      <c r="K60" s="32"/>
      <c r="L60" s="33"/>
      <c r="M60" s="31"/>
      <c r="N60" s="31"/>
      <c r="O60" s="33"/>
      <c r="P60" s="31"/>
      <c r="Q60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602</v>
      </c>
      <c r="R60" s="31">
        <f>Registro_Ventas[[#This Row],[Precio Venta Departamento]]+Registro_Ventas[[#This Row],[Precio Venta Estacionamiento]]+Registro_Ventas[[#This Row],[Precio Venta Depósito]]</f>
        <v>400000</v>
      </c>
      <c r="S60" s="35">
        <f t="shared" si="2"/>
        <v>23000</v>
      </c>
      <c r="T60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7017.5438596491231</v>
      </c>
      <c r="U60" s="36">
        <f>IF(Registro_Ventas[[#This Row],[Categoria]]="Cita Agendada","",Registro_Ventas[[#This Row],[M2 PEN]]/3.8)</f>
        <v>1846.7220683287167</v>
      </c>
      <c r="V60" s="37">
        <v>46112</v>
      </c>
      <c r="W60" s="28" t="s">
        <v>272</v>
      </c>
      <c r="X60" s="27">
        <v>74477120</v>
      </c>
      <c r="Y60" s="37"/>
      <c r="Z60" s="38">
        <v>46101</v>
      </c>
      <c r="AA60" s="35">
        <v>3000</v>
      </c>
      <c r="AB60" s="35">
        <v>20000</v>
      </c>
      <c r="AC60" s="27" t="s">
        <v>151</v>
      </c>
      <c r="AD60" s="43"/>
      <c r="AE60" s="43"/>
      <c r="AF60" s="28"/>
      <c r="AG60" s="28"/>
      <c r="AH60" s="28"/>
      <c r="AI60" s="169"/>
      <c r="AJ60" s="35">
        <f>Registro_Ventas[[#This Row],[Precio Venta Unidad(es)]]*Registro_Ventas[[#This Row],[%Comision
Ejecutivo]]</f>
        <v>0</v>
      </c>
      <c r="AK60" s="39">
        <f>Registro_Ventas[[#This Row],[Total Comision]]*30%</f>
        <v>0</v>
      </c>
      <c r="AL60" s="40"/>
      <c r="AM60" s="28"/>
      <c r="AN60" s="28"/>
      <c r="AO60" s="28"/>
      <c r="AP60" s="28"/>
      <c r="AQ60" s="28"/>
      <c r="AR60" s="28"/>
      <c r="AS60" s="28"/>
      <c r="AT60" s="28" t="str">
        <f>IF(Registro_Ventas[[#This Row],[Fecha Separacion]]&lt;&gt;"",TEXT(Registro_Ventas[[#This Row],[Fecha Separacion]],"mmmm"),"")</f>
        <v>Marzo</v>
      </c>
      <c r="AU60" s="28" t="str">
        <f>IF(Registro_Ventas[[#This Row],[Firma Minuta]]&lt;&gt;"",TEXT(Registro_Ventas[[#This Row],[Firma Minuta]],"mmmm"),"")</f>
        <v>Marzo</v>
      </c>
      <c r="AV60" s="28" t="str">
        <f>IF(Registro_Ventas[[#This Row],[Firma Minuta]]&lt;&gt;"",TEXT(Registro_Ventas[[#This Row],[Firma Minuta]],"yyyy"),"")</f>
        <v>2026</v>
      </c>
      <c r="AW60" s="28" t="str">
        <f>IF(Registro_Ventas[[#This Row],[Fecha Separacion]]&lt;&gt;"",TEXT(Registro_Ventas[[#This Row],[Fecha Separacion]],"yyyy"),"")</f>
        <v>2026</v>
      </c>
      <c r="AX60" s="131">
        <f>IF(Registro_Ventas[[#This Row],[Fecha Separacion]]="","",Registro_Ventas[[#This Row],[Fecha Separacion]]-Registro_Ventas[[#This Row],[Fecha Captacion]])</f>
        <v>15</v>
      </c>
      <c r="AY60" s="131">
        <f>+IF(Registro_Ventas[[#This Row],[Firma Minuta]]="","",Registro_Ventas[[#This Row],[Firma Minuta]]-Registro_Ventas[[#This Row],[Fecha Captacion]])</f>
        <v>26</v>
      </c>
      <c r="AZ60" s="131">
        <f>+IF(Registro_Ventas[[#This Row],[Firma Minuta]]="","",Registro_Ventas[[#This Row],[Firma Minuta]]-Registro_Ventas[[#This Row],[Fecha Separacion]])</f>
        <v>11</v>
      </c>
    </row>
    <row r="61" spans="1:52" s="162" customFormat="1" x14ac:dyDescent="0.3">
      <c r="A61" s="46" t="str">
        <f>TEXT(Registro_Ventas[[#This Row],[Fecha Captacion]],"Mmmm")</f>
        <v>Marzo</v>
      </c>
      <c r="B61" s="26">
        <v>46096</v>
      </c>
      <c r="C61" s="26" t="s">
        <v>66</v>
      </c>
      <c r="D61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61" s="27" t="s">
        <v>30</v>
      </c>
      <c r="F61" s="28" t="s">
        <v>12</v>
      </c>
      <c r="G61" s="27" t="s">
        <v>46</v>
      </c>
      <c r="H61" s="29">
        <v>603</v>
      </c>
      <c r="I61" s="30">
        <v>68</v>
      </c>
      <c r="J61" s="31">
        <v>478000</v>
      </c>
      <c r="K61" s="32" t="s">
        <v>273</v>
      </c>
      <c r="L61" s="33">
        <v>12.5</v>
      </c>
      <c r="M61" s="31">
        <v>50000</v>
      </c>
      <c r="N61" s="31" t="s">
        <v>274</v>
      </c>
      <c r="O61" s="33">
        <v>2.78</v>
      </c>
      <c r="P61" s="31"/>
      <c r="Q61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603 / E37 / D23</v>
      </c>
      <c r="R61" s="31">
        <f>Registro_Ventas[[#This Row],[Precio Venta Departamento]]+Registro_Ventas[[#This Row],[Precio Venta Estacionamiento]]+Registro_Ventas[[#This Row],[Precio Venta Depósito]]</f>
        <v>528000</v>
      </c>
      <c r="S61" s="35">
        <f t="shared" si="2"/>
        <v>103000</v>
      </c>
      <c r="T61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6340.0576368876082</v>
      </c>
      <c r="U61" s="36">
        <f>IF(Registro_Ventas[[#This Row],[Categoria]]="Cita Agendada","",Registro_Ventas[[#This Row],[M2 PEN]]/3.8)</f>
        <v>1668.4362202335813</v>
      </c>
      <c r="V61" s="37">
        <v>46112</v>
      </c>
      <c r="W61" s="28" t="s">
        <v>275</v>
      </c>
      <c r="X61" s="45" t="s">
        <v>276</v>
      </c>
      <c r="Y61" s="128"/>
      <c r="Z61" s="38">
        <v>46096</v>
      </c>
      <c r="AA61" s="35">
        <v>3000</v>
      </c>
      <c r="AB61" s="35">
        <v>100000</v>
      </c>
      <c r="AC61" s="27"/>
      <c r="AD61" s="46"/>
      <c r="AE61" s="43"/>
      <c r="AF61" s="28"/>
      <c r="AG61" s="28"/>
      <c r="AH61" s="28"/>
      <c r="AI61" s="41"/>
      <c r="AJ61" s="35">
        <f>Registro_Ventas[[#This Row],[Precio Venta Unidad(es)]]*Registro_Ventas[[#This Row],[%Comision
Ejecutivo]]</f>
        <v>0</v>
      </c>
      <c r="AK61" s="39">
        <f>Registro_Ventas[[#This Row],[Total Comision]]*30%</f>
        <v>0</v>
      </c>
      <c r="AL61" s="178"/>
      <c r="AM61" s="28"/>
      <c r="AN61" s="28"/>
      <c r="AO61" s="28"/>
      <c r="AP61" s="28"/>
      <c r="AQ61" s="28"/>
      <c r="AR61" s="28"/>
      <c r="AS61" s="28"/>
      <c r="AT61" s="28" t="str">
        <f>IF(Registro_Ventas[[#This Row],[Fecha Separacion]]&lt;&gt;"",TEXT(Registro_Ventas[[#This Row],[Fecha Separacion]],"mmmm"),"")</f>
        <v>Marzo</v>
      </c>
      <c r="AU61" s="28" t="str">
        <f>IF(Registro_Ventas[[#This Row],[Firma Minuta]]&lt;&gt;"",TEXT(Registro_Ventas[[#This Row],[Firma Minuta]],"mmmm"),"")</f>
        <v>Marzo</v>
      </c>
      <c r="AV61" s="28" t="str">
        <f>IF(Registro_Ventas[[#This Row],[Firma Minuta]]&lt;&gt;"",TEXT(Registro_Ventas[[#This Row],[Firma Minuta]],"yyyy"),"")</f>
        <v>2026</v>
      </c>
      <c r="AW61" s="28" t="str">
        <f>IF(Registro_Ventas[[#This Row],[Fecha Separacion]]&lt;&gt;"",TEXT(Registro_Ventas[[#This Row],[Fecha Separacion]],"yyyy"),"")</f>
        <v>2026</v>
      </c>
      <c r="AX61" s="131">
        <f>IF(Registro_Ventas[[#This Row],[Fecha Separacion]]="","",Registro_Ventas[[#This Row],[Fecha Separacion]]-Registro_Ventas[[#This Row],[Fecha Captacion]])</f>
        <v>0</v>
      </c>
      <c r="AY61" s="131">
        <f>+IF(Registro_Ventas[[#This Row],[Firma Minuta]]="","",Registro_Ventas[[#This Row],[Firma Minuta]]-Registro_Ventas[[#This Row],[Fecha Captacion]])</f>
        <v>16</v>
      </c>
      <c r="AZ61" s="131">
        <f>+IF(Registro_Ventas[[#This Row],[Firma Minuta]]="","",Registro_Ventas[[#This Row],[Firma Minuta]]-Registro_Ventas[[#This Row],[Fecha Separacion]])</f>
        <v>16</v>
      </c>
    </row>
    <row r="62" spans="1:52" x14ac:dyDescent="0.3">
      <c r="A62" s="46" t="str">
        <f>TEXT(Registro_Ventas[[#This Row],[Fecha Captacion]],"Mmmm")</f>
        <v>Marzo</v>
      </c>
      <c r="B62" s="26">
        <v>46096</v>
      </c>
      <c r="C62" s="26" t="s">
        <v>66</v>
      </c>
      <c r="D62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Separación</v>
      </c>
      <c r="E62" s="27" t="s">
        <v>31</v>
      </c>
      <c r="F62" s="28" t="s">
        <v>25</v>
      </c>
      <c r="G62" s="27" t="s">
        <v>47</v>
      </c>
      <c r="H62" s="29">
        <v>604</v>
      </c>
      <c r="I62" s="30">
        <v>61</v>
      </c>
      <c r="J62" s="31">
        <v>423000</v>
      </c>
      <c r="K62" s="32"/>
      <c r="L62" s="33"/>
      <c r="M62" s="31"/>
      <c r="N62" s="31"/>
      <c r="O62" s="33"/>
      <c r="P62" s="31"/>
      <c r="Q62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604</v>
      </c>
      <c r="R62" s="31">
        <f>Registro_Ventas[[#This Row],[Precio Venta Departamento]]+Registro_Ventas[[#This Row],[Precio Venta Estacionamiento]]+Registro_Ventas[[#This Row],[Precio Venta Depósito]]</f>
        <v>423000</v>
      </c>
      <c r="S62" s="35">
        <f t="shared" si="2"/>
        <v>3000</v>
      </c>
      <c r="T62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6934.4262295081971</v>
      </c>
      <c r="U62" s="36">
        <f>IF(Registro_Ventas[[#This Row],[Categoria]]="Cita Agendada","",Registro_Ventas[[#This Row],[M2 PEN]]/3.8)</f>
        <v>1824.849007765315</v>
      </c>
      <c r="V62" s="37"/>
      <c r="W62" s="28" t="s">
        <v>277</v>
      </c>
      <c r="X62" s="45">
        <v>45149889</v>
      </c>
      <c r="Y62" s="128"/>
      <c r="Z62" s="38">
        <v>46096</v>
      </c>
      <c r="AA62" s="35">
        <v>3000</v>
      </c>
      <c r="AB62" s="35"/>
      <c r="AC62" s="27" t="s">
        <v>189</v>
      </c>
      <c r="AD62" s="46"/>
      <c r="AE62" s="43"/>
      <c r="AF62" s="28" t="s">
        <v>142</v>
      </c>
      <c r="AG62" s="28"/>
      <c r="AH62" s="28"/>
      <c r="AI62" s="41"/>
      <c r="AJ62" s="35">
        <f>Registro_Ventas[[#This Row],[Precio Venta Unidad(es)]]*Registro_Ventas[[#This Row],[%Comision
Ejecutivo]]</f>
        <v>0</v>
      </c>
      <c r="AK62" s="39">
        <f>Registro_Ventas[[#This Row],[Total Comision]]*30%</f>
        <v>0</v>
      </c>
      <c r="AL62" s="178"/>
      <c r="AM62" s="28"/>
      <c r="AN62" s="28"/>
      <c r="AO62" s="28"/>
      <c r="AP62" s="28"/>
      <c r="AQ62" s="28"/>
      <c r="AR62" s="28"/>
      <c r="AS62" s="28"/>
      <c r="AT62" s="28" t="str">
        <f>IF(Registro_Ventas[[#This Row],[Fecha Separacion]]&lt;&gt;"",TEXT(Registro_Ventas[[#This Row],[Fecha Separacion]],"mmmm"),"")</f>
        <v>Marzo</v>
      </c>
      <c r="AU62" s="28" t="str">
        <f>IF(Registro_Ventas[[#This Row],[Firma Minuta]]&lt;&gt;"",TEXT(Registro_Ventas[[#This Row],[Firma Minuta]],"mmmm"),"")</f>
        <v/>
      </c>
      <c r="AV62" s="28" t="str">
        <f>IF(Registro_Ventas[[#This Row],[Firma Minuta]]&lt;&gt;"",TEXT(Registro_Ventas[[#This Row],[Firma Minuta]],"yyyy"),"")</f>
        <v/>
      </c>
      <c r="AW62" s="28" t="str">
        <f>IF(Registro_Ventas[[#This Row],[Fecha Separacion]]&lt;&gt;"",TEXT(Registro_Ventas[[#This Row],[Fecha Separacion]],"yyyy"),"")</f>
        <v>2026</v>
      </c>
      <c r="AX62" s="131">
        <f>IF(Registro_Ventas[[#This Row],[Fecha Separacion]]="","",Registro_Ventas[[#This Row],[Fecha Separacion]]-Registro_Ventas[[#This Row],[Fecha Captacion]])</f>
        <v>0</v>
      </c>
      <c r="AY62" s="131" t="str">
        <f>+IF(Registro_Ventas[[#This Row],[Firma Minuta]]="","",Registro_Ventas[[#This Row],[Firma Minuta]]-Registro_Ventas[[#This Row],[Fecha Captacion]])</f>
        <v/>
      </c>
      <c r="AZ62" s="131" t="str">
        <f>+IF(Registro_Ventas[[#This Row],[Firma Minuta]]="","",Registro_Ventas[[#This Row],[Firma Minuta]]-Registro_Ventas[[#This Row],[Fecha Separacion]])</f>
        <v/>
      </c>
    </row>
    <row r="63" spans="1:52" x14ac:dyDescent="0.3">
      <c r="A63" s="46" t="str">
        <f>TEXT(Registro_Ventas[[#This Row],[Fecha Captacion]],"Mmmm")</f>
        <v>Marzo</v>
      </c>
      <c r="B63" s="26">
        <v>45721</v>
      </c>
      <c r="C63" s="26" t="s">
        <v>11</v>
      </c>
      <c r="D63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63" s="27" t="s">
        <v>30</v>
      </c>
      <c r="F63" s="28" t="s">
        <v>9</v>
      </c>
      <c r="G63" s="27" t="s">
        <v>46</v>
      </c>
      <c r="H63" s="29">
        <v>604</v>
      </c>
      <c r="I63" s="30">
        <v>67</v>
      </c>
      <c r="J63" s="31">
        <v>460000</v>
      </c>
      <c r="K63" s="32" t="s">
        <v>258</v>
      </c>
      <c r="L63" s="33">
        <v>12.5</v>
      </c>
      <c r="M63" s="31">
        <v>47500</v>
      </c>
      <c r="N63" s="31" t="s">
        <v>278</v>
      </c>
      <c r="O63" s="33">
        <v>6</v>
      </c>
      <c r="P63" s="31">
        <v>21700</v>
      </c>
      <c r="Q63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604 / E11 / D6</v>
      </c>
      <c r="R63" s="31">
        <f>Registro_Ventas[[#This Row],[Precio Venta Departamento]]+Registro_Ventas[[#This Row],[Precio Venta Estacionamiento]]+Registro_Ventas[[#This Row],[Precio Venta Depósito]]</f>
        <v>529200</v>
      </c>
      <c r="S63" s="35">
        <f t="shared" si="2"/>
        <v>338688</v>
      </c>
      <c r="T6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6189.4736842105267</v>
      </c>
      <c r="U63" s="36">
        <f>IF(Registro_Ventas[[#This Row],[Categoria]]="Cita Agendada","",Registro_Ventas[[#This Row],[M2 PEN]]/3.8)</f>
        <v>1628.8088642659282</v>
      </c>
      <c r="V63" s="37">
        <v>45761</v>
      </c>
      <c r="W63" s="28" t="s">
        <v>279</v>
      </c>
      <c r="X63" s="27" t="s">
        <v>280</v>
      </c>
      <c r="Y63" s="37"/>
      <c r="Z63" s="38">
        <v>45756</v>
      </c>
      <c r="AA63" s="35">
        <v>3000</v>
      </c>
      <c r="AB63" s="35">
        <f>104340+104340+21168+21168+21168+21168+21168+21168</f>
        <v>335688</v>
      </c>
      <c r="AC63" s="27" t="s">
        <v>141</v>
      </c>
      <c r="AD63" s="46"/>
      <c r="AE63" s="43">
        <v>46264</v>
      </c>
      <c r="AF63" s="28"/>
      <c r="AG63" s="28"/>
      <c r="AH63" s="28"/>
      <c r="AI63" s="173"/>
      <c r="AJ63" s="35">
        <f>Registro_Ventas[[#This Row],[Precio Venta Unidad(es)]]*Registro_Ventas[[#This Row],[%Comision
Ejecutivo]]</f>
        <v>0</v>
      </c>
      <c r="AK63" s="39">
        <f>Registro_Ventas[[#This Row],[Total Comision]]*30%</f>
        <v>0</v>
      </c>
      <c r="AL63" s="40"/>
      <c r="AM63" s="28"/>
      <c r="AN63" s="28"/>
      <c r="AO63" s="28"/>
      <c r="AP63" s="28"/>
      <c r="AQ63" s="28"/>
      <c r="AR63" s="28"/>
      <c r="AS63" s="28"/>
      <c r="AT63" s="28" t="str">
        <f>IF(Registro_Ventas[[#This Row],[Fecha Separacion]]&lt;&gt;"",TEXT(Registro_Ventas[[#This Row],[Fecha Separacion]],"mmmm"),"")</f>
        <v>Abril</v>
      </c>
      <c r="AU63" s="28" t="str">
        <f>IF(Registro_Ventas[[#This Row],[Firma Minuta]]&lt;&gt;"",TEXT(Registro_Ventas[[#This Row],[Firma Minuta]],"mmmm"),"")</f>
        <v>Abril</v>
      </c>
      <c r="AV63" s="28" t="str">
        <f>IF(Registro_Ventas[[#This Row],[Firma Minuta]]&lt;&gt;"",TEXT(Registro_Ventas[[#This Row],[Firma Minuta]],"yyyy"),"")</f>
        <v>2025</v>
      </c>
      <c r="AW63" s="28" t="str">
        <f>IF(Registro_Ventas[[#This Row],[Fecha Separacion]]&lt;&gt;"",TEXT(Registro_Ventas[[#This Row],[Fecha Separacion]],"yyyy"),"")</f>
        <v>2025</v>
      </c>
      <c r="AX63" s="131">
        <f>IF(Registro_Ventas[[#This Row],[Fecha Separacion]]="","",Registro_Ventas[[#This Row],[Fecha Separacion]]-Registro_Ventas[[#This Row],[Fecha Captacion]])</f>
        <v>35</v>
      </c>
      <c r="AY63" s="131">
        <f>+IF(Registro_Ventas[[#This Row],[Firma Minuta]]="","",Registro_Ventas[[#This Row],[Firma Minuta]]-Registro_Ventas[[#This Row],[Fecha Captacion]])</f>
        <v>40</v>
      </c>
      <c r="AZ63" s="131">
        <f>+IF(Registro_Ventas[[#This Row],[Firma Minuta]]="","",Registro_Ventas[[#This Row],[Firma Minuta]]-Registro_Ventas[[#This Row],[Fecha Separacion]])</f>
        <v>5</v>
      </c>
    </row>
    <row r="64" spans="1:52" x14ac:dyDescent="0.3">
      <c r="A64" s="46" t="str">
        <f>TEXT(Registro_Ventas[[#This Row],[Fecha Captacion]],"Mmmm")</f>
        <v>Febrero</v>
      </c>
      <c r="B64" s="26">
        <v>45697</v>
      </c>
      <c r="C64" s="26" t="s">
        <v>11</v>
      </c>
      <c r="D64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64" s="27" t="s">
        <v>31</v>
      </c>
      <c r="F64" s="28" t="s">
        <v>12</v>
      </c>
      <c r="G64" s="27" t="s">
        <v>47</v>
      </c>
      <c r="H64" s="29">
        <v>605</v>
      </c>
      <c r="I64" s="30">
        <v>69</v>
      </c>
      <c r="J64" s="31">
        <v>501000</v>
      </c>
      <c r="K64" s="32" t="s">
        <v>281</v>
      </c>
      <c r="L64" s="33">
        <v>17.53</v>
      </c>
      <c r="M64" s="31">
        <v>57300</v>
      </c>
      <c r="N64" s="31"/>
      <c r="O64" s="33"/>
      <c r="P64" s="31"/>
      <c r="Q64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605 / E07/D05</v>
      </c>
      <c r="R64" s="31">
        <f>Registro_Ventas[[#This Row],[Precio Venta Departamento]]+Registro_Ventas[[#This Row],[Precio Venta Estacionamiento]]+Registro_Ventas[[#This Row],[Precio Venta Depósito]]</f>
        <v>558300</v>
      </c>
      <c r="S64" s="35">
        <f t="shared" si="2"/>
        <v>558300</v>
      </c>
      <c r="T6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6452.0975384259791</v>
      </c>
      <c r="U64" s="36">
        <f>IF(Registro_Ventas[[#This Row],[Categoria]]="Cita Agendada","",Registro_Ventas[[#This Row],[M2 PEN]]/3.8)</f>
        <v>1697.9204048489419</v>
      </c>
      <c r="V64" s="37">
        <v>45709</v>
      </c>
      <c r="W64" s="28" t="s">
        <v>282</v>
      </c>
      <c r="X64" s="45">
        <v>49073756</v>
      </c>
      <c r="Y64" s="128"/>
      <c r="Z64" s="38">
        <v>45698</v>
      </c>
      <c r="AA64" s="35">
        <v>3000</v>
      </c>
      <c r="AB64" s="35">
        <f>52830+502470</f>
        <v>555300</v>
      </c>
      <c r="AC64" s="27" t="s">
        <v>141</v>
      </c>
      <c r="AD64" s="46"/>
      <c r="AE64" s="43">
        <v>45777</v>
      </c>
      <c r="AF64" s="28"/>
      <c r="AG64" s="28"/>
      <c r="AH64" s="28"/>
      <c r="AI64" s="173"/>
      <c r="AJ64" s="35">
        <f>Registro_Ventas[[#This Row],[Precio Venta Unidad(es)]]*Registro_Ventas[[#This Row],[%Comision
Ejecutivo]]</f>
        <v>0</v>
      </c>
      <c r="AK64" s="39">
        <f>Registro_Ventas[[#This Row],[Total Comision]]*30%</f>
        <v>0</v>
      </c>
      <c r="AL64" s="40"/>
      <c r="AM64" s="28"/>
      <c r="AN64" s="28"/>
      <c r="AO64" s="28"/>
      <c r="AP64" s="28"/>
      <c r="AQ64" s="28"/>
      <c r="AR64" s="28"/>
      <c r="AS64" s="28"/>
      <c r="AT64" s="28" t="str">
        <f>IF(Registro_Ventas[[#This Row],[Fecha Separacion]]&lt;&gt;"",TEXT(Registro_Ventas[[#This Row],[Fecha Separacion]],"mmmm"),"")</f>
        <v>Febrero</v>
      </c>
      <c r="AU64" s="28" t="str">
        <f>IF(Registro_Ventas[[#This Row],[Firma Minuta]]&lt;&gt;"",TEXT(Registro_Ventas[[#This Row],[Firma Minuta]],"mmmm"),"")</f>
        <v>Febrero</v>
      </c>
      <c r="AV64" s="28" t="str">
        <f>IF(Registro_Ventas[[#This Row],[Firma Minuta]]&lt;&gt;"",TEXT(Registro_Ventas[[#This Row],[Firma Minuta]],"yyyy"),"")</f>
        <v>2025</v>
      </c>
      <c r="AW64" s="28" t="str">
        <f>IF(Registro_Ventas[[#This Row],[Fecha Separacion]]&lt;&gt;"",TEXT(Registro_Ventas[[#This Row],[Fecha Separacion]],"yyyy"),"")</f>
        <v>2025</v>
      </c>
      <c r="AX64" s="131">
        <f>IF(Registro_Ventas[[#This Row],[Fecha Separacion]]="","",Registro_Ventas[[#This Row],[Fecha Separacion]]-Registro_Ventas[[#This Row],[Fecha Captacion]])</f>
        <v>1</v>
      </c>
      <c r="AY64" s="131">
        <f>+IF(Registro_Ventas[[#This Row],[Firma Minuta]]="","",Registro_Ventas[[#This Row],[Firma Minuta]]-Registro_Ventas[[#This Row],[Fecha Captacion]])</f>
        <v>12</v>
      </c>
      <c r="AZ64" s="131">
        <f>+IF(Registro_Ventas[[#This Row],[Firma Minuta]]="","",Registro_Ventas[[#This Row],[Firma Minuta]]-Registro_Ventas[[#This Row],[Fecha Separacion]])</f>
        <v>11</v>
      </c>
    </row>
    <row r="65" spans="1:52" s="162" customFormat="1" x14ac:dyDescent="0.3">
      <c r="A65" s="46" t="str">
        <f>TEXT(Registro_Ventas[[#This Row],[Fecha Captacion]],"Mmmm")</f>
        <v>Julio</v>
      </c>
      <c r="B65" s="26">
        <v>45843</v>
      </c>
      <c r="C65" s="26" t="s">
        <v>11</v>
      </c>
      <c r="D65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65" s="27" t="s">
        <v>30</v>
      </c>
      <c r="F65" s="28" t="s">
        <v>12</v>
      </c>
      <c r="G65" s="27" t="s">
        <v>48</v>
      </c>
      <c r="H65" s="29">
        <v>605</v>
      </c>
      <c r="I65" s="30">
        <v>72</v>
      </c>
      <c r="J65" s="31">
        <v>495000</v>
      </c>
      <c r="K65" s="32"/>
      <c r="L65" s="33"/>
      <c r="M65" s="31"/>
      <c r="N65" s="31"/>
      <c r="O65" s="33"/>
      <c r="P65" s="31"/>
      <c r="Q65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605</v>
      </c>
      <c r="R65" s="31">
        <f>Registro_Ventas[[#This Row],[Precio Venta Departamento]]+Registro_Ventas[[#This Row],[Precio Venta Estacionamiento]]+Registro_Ventas[[#This Row],[Precio Venta Depósito]]</f>
        <v>495000</v>
      </c>
      <c r="S65" s="35">
        <f t="shared" si="2"/>
        <v>53000</v>
      </c>
      <c r="T6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6875</v>
      </c>
      <c r="U65" s="36">
        <f>IF(Registro_Ventas[[#This Row],[Categoria]]="Cita Agendada","",Registro_Ventas[[#This Row],[M2 PEN]]/3.8)</f>
        <v>1809.2105263157896</v>
      </c>
      <c r="V65" s="37">
        <v>45868</v>
      </c>
      <c r="W65" s="28" t="s">
        <v>283</v>
      </c>
      <c r="X65" s="45">
        <v>73214647</v>
      </c>
      <c r="Y65" s="128"/>
      <c r="Z65" s="38">
        <v>45844</v>
      </c>
      <c r="AA65" s="35">
        <v>3000</v>
      </c>
      <c r="AB65" s="35">
        <v>50000</v>
      </c>
      <c r="AC65" s="27" t="s">
        <v>151</v>
      </c>
      <c r="AD65" s="46">
        <v>46081</v>
      </c>
      <c r="AE65" s="43">
        <v>46142</v>
      </c>
      <c r="AF65" s="28" t="s">
        <v>160</v>
      </c>
      <c r="AG65" s="28"/>
      <c r="AH65" s="28"/>
      <c r="AI65" s="173"/>
      <c r="AJ65" s="35">
        <f>Registro_Ventas[[#This Row],[Precio Venta Unidad(es)]]*Registro_Ventas[[#This Row],[%Comision
Ejecutivo]]</f>
        <v>0</v>
      </c>
      <c r="AK65" s="39">
        <f>Registro_Ventas[[#This Row],[Total Comision]]*30%</f>
        <v>0</v>
      </c>
      <c r="AL65" s="40"/>
      <c r="AM65" s="28"/>
      <c r="AN65" s="28"/>
      <c r="AO65" s="28"/>
      <c r="AP65" s="28"/>
      <c r="AQ65" s="28"/>
      <c r="AR65" s="28"/>
      <c r="AS65" s="28"/>
      <c r="AT65" s="28" t="str">
        <f>IF(Registro_Ventas[[#This Row],[Fecha Separacion]]&lt;&gt;"",TEXT(Registro_Ventas[[#This Row],[Fecha Separacion]],"mmmm"),"")</f>
        <v>Julio</v>
      </c>
      <c r="AU65" s="28" t="str">
        <f>IF(Registro_Ventas[[#This Row],[Firma Minuta]]&lt;&gt;"",TEXT(Registro_Ventas[[#This Row],[Firma Minuta]],"mmmm"),"")</f>
        <v>Julio</v>
      </c>
      <c r="AV65" s="28" t="str">
        <f>IF(Registro_Ventas[[#This Row],[Firma Minuta]]&lt;&gt;"",TEXT(Registro_Ventas[[#This Row],[Firma Minuta]],"yyyy"),"")</f>
        <v>2025</v>
      </c>
      <c r="AW65" s="28" t="str">
        <f>IF(Registro_Ventas[[#This Row],[Fecha Separacion]]&lt;&gt;"",TEXT(Registro_Ventas[[#This Row],[Fecha Separacion]],"yyyy"),"")</f>
        <v>2025</v>
      </c>
      <c r="AX65" s="131">
        <f>IF(Registro_Ventas[[#This Row],[Fecha Separacion]]="","",Registro_Ventas[[#This Row],[Fecha Separacion]]-Registro_Ventas[[#This Row],[Fecha Captacion]])</f>
        <v>1</v>
      </c>
      <c r="AY65" s="131">
        <f>+IF(Registro_Ventas[[#This Row],[Firma Minuta]]="","",Registro_Ventas[[#This Row],[Firma Minuta]]-Registro_Ventas[[#This Row],[Fecha Captacion]])</f>
        <v>25</v>
      </c>
      <c r="AZ65" s="131">
        <f>+IF(Registro_Ventas[[#This Row],[Firma Minuta]]="","",Registro_Ventas[[#This Row],[Firma Minuta]]-Registro_Ventas[[#This Row],[Fecha Separacion]])</f>
        <v>24</v>
      </c>
    </row>
    <row r="66" spans="1:52" s="152" customFormat="1" x14ac:dyDescent="0.3">
      <c r="A66" s="46" t="str">
        <f>TEXT(Registro_Ventas[[#This Row],[Fecha Captacion]],"Mmmm")</f>
        <v>Octubre</v>
      </c>
      <c r="B66" s="26">
        <v>45592</v>
      </c>
      <c r="C66" s="26" t="s">
        <v>93</v>
      </c>
      <c r="D66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66" s="27" t="s">
        <v>31</v>
      </c>
      <c r="F66" s="28" t="s">
        <v>12</v>
      </c>
      <c r="G66" s="27" t="s">
        <v>47</v>
      </c>
      <c r="H66" s="29">
        <v>701</v>
      </c>
      <c r="I66" s="30">
        <v>84</v>
      </c>
      <c r="J66" s="31">
        <v>592500</v>
      </c>
      <c r="K66" s="32"/>
      <c r="L66" s="33"/>
      <c r="M66" s="31"/>
      <c r="N66" s="31"/>
      <c r="O66" s="33"/>
      <c r="P66" s="31"/>
      <c r="Q66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701</v>
      </c>
      <c r="R66" s="31">
        <f>Registro_Ventas[[#This Row],[Precio Venta Departamento]]+Registro_Ventas[[#This Row],[Precio Venta Estacionamiento]]+Registro_Ventas[[#This Row],[Precio Venta Depósito]]</f>
        <v>592500</v>
      </c>
      <c r="S66" s="35">
        <f t="shared" si="2"/>
        <v>592500</v>
      </c>
      <c r="T6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7053.5714285714284</v>
      </c>
      <c r="U66" s="36">
        <f>IF(Registro_Ventas[[#This Row],[Categoria]]="Cita Agendada","",Registro_Ventas[[#This Row],[M2 PEN]]/3.8)</f>
        <v>1856.203007518797</v>
      </c>
      <c r="V66" s="37">
        <v>45618</v>
      </c>
      <c r="W66" s="28" t="s">
        <v>284</v>
      </c>
      <c r="X66" s="45">
        <v>10606793</v>
      </c>
      <c r="Y66" s="128"/>
      <c r="Z66" s="38">
        <v>45593</v>
      </c>
      <c r="AA66" s="35">
        <v>3000</v>
      </c>
      <c r="AB66" s="35">
        <f>48000+8250+533250</f>
        <v>589500</v>
      </c>
      <c r="AC66" s="27" t="s">
        <v>141</v>
      </c>
      <c r="AD66" s="46"/>
      <c r="AE66" s="43">
        <v>45657</v>
      </c>
      <c r="AF66" s="28"/>
      <c r="AG66" s="28"/>
      <c r="AH66" s="28"/>
      <c r="AI66" s="173"/>
      <c r="AJ66" s="35">
        <f>Registro_Ventas[[#This Row],[Precio Venta Unidad(es)]]*Registro_Ventas[[#This Row],[%Comision
Ejecutivo]]</f>
        <v>0</v>
      </c>
      <c r="AK66" s="39">
        <f>Registro_Ventas[[#This Row],[Total Comision]]*30%</f>
        <v>0</v>
      </c>
      <c r="AL66" s="40"/>
      <c r="AM66" s="28"/>
      <c r="AN66" s="28"/>
      <c r="AO66" s="28"/>
      <c r="AP66" s="28"/>
      <c r="AQ66" s="28"/>
      <c r="AR66" s="28"/>
      <c r="AS66" s="28"/>
      <c r="AT66" s="28" t="str">
        <f>IF(Registro_Ventas[[#This Row],[Fecha Separacion]]&lt;&gt;"",TEXT(Registro_Ventas[[#This Row],[Fecha Separacion]],"mmmm"),"")</f>
        <v>Octubre</v>
      </c>
      <c r="AU66" s="28" t="str">
        <f>IF(Registro_Ventas[[#This Row],[Firma Minuta]]&lt;&gt;"",TEXT(Registro_Ventas[[#This Row],[Firma Minuta]],"mmmm"),"")</f>
        <v>Noviembre</v>
      </c>
      <c r="AV66" s="28" t="str">
        <f>IF(Registro_Ventas[[#This Row],[Firma Minuta]]&lt;&gt;"",TEXT(Registro_Ventas[[#This Row],[Firma Minuta]],"yyyy"),"")</f>
        <v>2024</v>
      </c>
      <c r="AW66" s="28" t="str">
        <f>IF(Registro_Ventas[[#This Row],[Fecha Separacion]]&lt;&gt;"",TEXT(Registro_Ventas[[#This Row],[Fecha Separacion]],"yyyy"),"")</f>
        <v>2024</v>
      </c>
      <c r="AX66" s="131">
        <f>IF(Registro_Ventas[[#This Row],[Fecha Separacion]]="","",Registro_Ventas[[#This Row],[Fecha Separacion]]-Registro_Ventas[[#This Row],[Fecha Captacion]])</f>
        <v>1</v>
      </c>
      <c r="AY66" s="131">
        <f>+IF(Registro_Ventas[[#This Row],[Firma Minuta]]="","",Registro_Ventas[[#This Row],[Firma Minuta]]-Registro_Ventas[[#This Row],[Fecha Captacion]])</f>
        <v>26</v>
      </c>
      <c r="AZ66" s="131">
        <f>+IF(Registro_Ventas[[#This Row],[Firma Minuta]]="","",Registro_Ventas[[#This Row],[Firma Minuta]]-Registro_Ventas[[#This Row],[Fecha Separacion]])</f>
        <v>25</v>
      </c>
    </row>
    <row r="67" spans="1:52" s="142" customFormat="1" ht="13.95" customHeight="1" x14ac:dyDescent="0.3">
      <c r="A67" s="46" t="str">
        <f>TEXT(Registro_Ventas[[#This Row],[Fecha Captacion]],"Mmmm")</f>
        <v>Enero</v>
      </c>
      <c r="B67" s="26">
        <v>45688</v>
      </c>
      <c r="C67" s="26" t="s">
        <v>16</v>
      </c>
      <c r="D67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67" s="27" t="s">
        <v>32</v>
      </c>
      <c r="F67" s="28" t="s">
        <v>24</v>
      </c>
      <c r="G67" s="27" t="s">
        <v>48</v>
      </c>
      <c r="H67" s="29">
        <v>701</v>
      </c>
      <c r="I67" s="30">
        <v>78</v>
      </c>
      <c r="J67" s="31">
        <v>561000</v>
      </c>
      <c r="K67" s="32"/>
      <c r="L67" s="33"/>
      <c r="M67" s="31"/>
      <c r="N67" s="31"/>
      <c r="O67" s="33"/>
      <c r="P67" s="31"/>
      <c r="Q67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701</v>
      </c>
      <c r="R67" s="31">
        <f>Registro_Ventas[[#This Row],[Precio Venta Departamento]]+Registro_Ventas[[#This Row],[Precio Venta Estacionamiento]]+Registro_Ventas[[#This Row],[Precio Venta Depósito]]</f>
        <v>561000</v>
      </c>
      <c r="S67" s="35">
        <f t="shared" si="2"/>
        <v>21900</v>
      </c>
      <c r="T67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7192.3076923076924</v>
      </c>
      <c r="U67" s="36">
        <f>IF(Registro_Ventas[[#This Row],[Categoria]]="Cita Agendada","",Registro_Ventas[[#This Row],[M2 PEN]]/3.8)</f>
        <v>1892.7125506072875</v>
      </c>
      <c r="V67" s="37">
        <v>46050</v>
      </c>
      <c r="W67" s="28" t="s">
        <v>285</v>
      </c>
      <c r="X67" s="45">
        <v>76840101</v>
      </c>
      <c r="Y67" s="128"/>
      <c r="Z67" s="38">
        <v>46039</v>
      </c>
      <c r="AA67" s="35">
        <v>3000</v>
      </c>
      <c r="AB67" s="35">
        <v>18900</v>
      </c>
      <c r="AC67" s="27" t="s">
        <v>151</v>
      </c>
      <c r="AD67" s="46"/>
      <c r="AE67" s="43"/>
      <c r="AF67" s="28" t="s">
        <v>142</v>
      </c>
      <c r="AG67" s="28"/>
      <c r="AH67" s="28"/>
      <c r="AI67" s="173">
        <v>4.4999999999999997E-3</v>
      </c>
      <c r="AJ67" s="35">
        <f>Registro_Ventas[[#This Row],[Precio Venta Unidad(es)]]*Registro_Ventas[[#This Row],[%Comision
Ejecutivo]]</f>
        <v>2524.5</v>
      </c>
      <c r="AK67" s="39">
        <f>Registro_Ventas[[#This Row],[Total Comision]]*30%</f>
        <v>757.35</v>
      </c>
      <c r="AL67" s="39">
        <f>Registro_Ventas[[#This Row],[Total Comision]]*30%</f>
        <v>757.35</v>
      </c>
      <c r="AM67" s="28" t="s">
        <v>152</v>
      </c>
      <c r="AN67" s="46">
        <v>46068</v>
      </c>
      <c r="AO67" s="28"/>
      <c r="AP67" s="28"/>
      <c r="AQ67" s="28"/>
      <c r="AR67" s="28"/>
      <c r="AS67" s="28"/>
      <c r="AT67" s="28" t="str">
        <f>IF(Registro_Ventas[[#This Row],[Fecha Separacion]]&lt;&gt;"",TEXT(Registro_Ventas[[#This Row],[Fecha Separacion]],"mmmm"),"")</f>
        <v>Enero</v>
      </c>
      <c r="AU67" s="28" t="str">
        <f>IF(Registro_Ventas[[#This Row],[Firma Minuta]]&lt;&gt;"",TEXT(Registro_Ventas[[#This Row],[Firma Minuta]],"mmmm"),"")</f>
        <v>Enero</v>
      </c>
      <c r="AV67" s="28" t="str">
        <f>IF(Registro_Ventas[[#This Row],[Firma Minuta]]&lt;&gt;"",TEXT(Registro_Ventas[[#This Row],[Firma Minuta]],"yyyy"),"")</f>
        <v>2026</v>
      </c>
      <c r="AW67" s="28" t="str">
        <f>IF(Registro_Ventas[[#This Row],[Fecha Separacion]]&lt;&gt;"",TEXT(Registro_Ventas[[#This Row],[Fecha Separacion]],"yyyy"),"")</f>
        <v>2026</v>
      </c>
      <c r="AX67" s="131">
        <f>IF(Registro_Ventas[[#This Row],[Fecha Separacion]]="","",Registro_Ventas[[#This Row],[Fecha Separacion]]-Registro_Ventas[[#This Row],[Fecha Captacion]])</f>
        <v>351</v>
      </c>
      <c r="AY67" s="131">
        <f>+IF(Registro_Ventas[[#This Row],[Firma Minuta]]="","",Registro_Ventas[[#This Row],[Firma Minuta]]-Registro_Ventas[[#This Row],[Fecha Captacion]])</f>
        <v>362</v>
      </c>
      <c r="AZ67" s="131">
        <f>+IF(Registro_Ventas[[#This Row],[Firma Minuta]]="","",Registro_Ventas[[#This Row],[Firma Minuta]]-Registro_Ventas[[#This Row],[Fecha Separacion]])</f>
        <v>11</v>
      </c>
    </row>
    <row r="68" spans="1:52" x14ac:dyDescent="0.3">
      <c r="A68" s="46" t="str">
        <f>TEXT(Registro_Ventas[[#This Row],[Fecha Captacion]],"Mmmm")</f>
        <v>Diciembre</v>
      </c>
      <c r="B68" s="26">
        <v>45997</v>
      </c>
      <c r="C68" s="26" t="s">
        <v>11</v>
      </c>
      <c r="D68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68" s="27" t="s">
        <v>30</v>
      </c>
      <c r="F68" s="28" t="s">
        <v>12</v>
      </c>
      <c r="G68" s="27" t="s">
        <v>48</v>
      </c>
      <c r="H68" s="29">
        <v>701</v>
      </c>
      <c r="I68" s="30">
        <v>70</v>
      </c>
      <c r="J68" s="31">
        <v>475000</v>
      </c>
      <c r="K68" s="32" t="s">
        <v>191</v>
      </c>
      <c r="L68" s="33">
        <v>12.5</v>
      </c>
      <c r="M68" s="31">
        <v>46800</v>
      </c>
      <c r="N68" s="31"/>
      <c r="O68" s="33"/>
      <c r="P68" s="31"/>
      <c r="Q68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701 / E17</v>
      </c>
      <c r="R68" s="31">
        <f>Registro_Ventas[[#This Row],[Precio Venta Departamento]]+Registro_Ventas[[#This Row],[Precio Venta Estacionamiento]]+Registro_Ventas[[#This Row],[Precio Venta Depósito]]</f>
        <v>521800</v>
      </c>
      <c r="S68" s="35">
        <f t="shared" si="2"/>
        <v>89440</v>
      </c>
      <c r="T68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6324.848484848485</v>
      </c>
      <c r="U68" s="36">
        <f>IF(Registro_Ventas[[#This Row],[Categoria]]="Cita Agendada","",Registro_Ventas[[#This Row],[M2 PEN]]/3.8)</f>
        <v>1664.4338118022329</v>
      </c>
      <c r="V68" s="37">
        <v>46003</v>
      </c>
      <c r="W68" s="28" t="s">
        <v>286</v>
      </c>
      <c r="X68" s="45">
        <v>43780263</v>
      </c>
      <c r="Y68" s="128"/>
      <c r="Z68" s="38">
        <v>45997</v>
      </c>
      <c r="AA68" s="35">
        <v>3000</v>
      </c>
      <c r="AB68" s="35">
        <v>86440</v>
      </c>
      <c r="AC68" s="27" t="s">
        <v>151</v>
      </c>
      <c r="AD68" s="46">
        <v>46142</v>
      </c>
      <c r="AE68" s="43">
        <v>46203</v>
      </c>
      <c r="AF68" s="28" t="s">
        <v>236</v>
      </c>
      <c r="AG68" s="28"/>
      <c r="AH68" s="28"/>
      <c r="AI68" s="173">
        <v>5.0000000000000001E-3</v>
      </c>
      <c r="AJ68" s="35">
        <f>Registro_Ventas[[#This Row],[Precio Venta Unidad(es)]]*Registro_Ventas[[#This Row],[%Comision
Ejecutivo]]</f>
        <v>2609</v>
      </c>
      <c r="AK68" s="39">
        <f>Registro_Ventas[[#This Row],[Total Comision]]*0%</f>
        <v>0</v>
      </c>
      <c r="AL68" s="39">
        <f>Registro_Ventas[[#This Row],[Total Comision]]*100%</f>
        <v>2609</v>
      </c>
      <c r="AM68" s="28" t="s">
        <v>172</v>
      </c>
      <c r="AN68" s="28"/>
      <c r="AO68" s="28"/>
      <c r="AP68" s="28"/>
      <c r="AQ68" s="28"/>
      <c r="AR68" s="28"/>
      <c r="AS68" s="28"/>
      <c r="AT68" s="28" t="str">
        <f>IF(Registro_Ventas[[#This Row],[Fecha Separacion]]&lt;&gt;"",TEXT(Registro_Ventas[[#This Row],[Fecha Separacion]],"mmmm"),"")</f>
        <v>Diciembre</v>
      </c>
      <c r="AU68" s="28" t="str">
        <f>IF(Registro_Ventas[[#This Row],[Firma Minuta]]&lt;&gt;"",TEXT(Registro_Ventas[[#This Row],[Firma Minuta]],"mmmm"),"")</f>
        <v>Diciembre</v>
      </c>
      <c r="AV68" s="28" t="str">
        <f>IF(Registro_Ventas[[#This Row],[Firma Minuta]]&lt;&gt;"",TEXT(Registro_Ventas[[#This Row],[Firma Minuta]],"yyyy"),"")</f>
        <v>2025</v>
      </c>
      <c r="AW68" s="28" t="str">
        <f>IF(Registro_Ventas[[#This Row],[Fecha Separacion]]&lt;&gt;"",TEXT(Registro_Ventas[[#This Row],[Fecha Separacion]],"yyyy"),"")</f>
        <v>2025</v>
      </c>
      <c r="AX68" s="131">
        <f>IF(Registro_Ventas[[#This Row],[Fecha Separacion]]="","",Registro_Ventas[[#This Row],[Fecha Separacion]]-Registro_Ventas[[#This Row],[Fecha Captacion]])</f>
        <v>0</v>
      </c>
      <c r="AY68" s="131">
        <f>+IF(Registro_Ventas[[#This Row],[Firma Minuta]]="","",Registro_Ventas[[#This Row],[Firma Minuta]]-Registro_Ventas[[#This Row],[Fecha Captacion]])</f>
        <v>6</v>
      </c>
      <c r="AZ68" s="131">
        <f>+IF(Registro_Ventas[[#This Row],[Firma Minuta]]="","",Registro_Ventas[[#This Row],[Firma Minuta]]-Registro_Ventas[[#This Row],[Fecha Separacion]])</f>
        <v>6</v>
      </c>
    </row>
    <row r="69" spans="1:52" s="162" customFormat="1" x14ac:dyDescent="0.3">
      <c r="A69" s="46" t="str">
        <f>TEXT(Registro_Ventas[[#This Row],[Fecha Captacion]],"Mmmm")</f>
        <v>Julio</v>
      </c>
      <c r="B69" s="26">
        <v>45840</v>
      </c>
      <c r="C69" s="26" t="s">
        <v>11</v>
      </c>
      <c r="D69" s="29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69" s="29" t="s">
        <v>32</v>
      </c>
      <c r="F69" s="28" t="s">
        <v>24</v>
      </c>
      <c r="G69" s="27" t="s">
        <v>46</v>
      </c>
      <c r="H69" s="29">
        <v>702</v>
      </c>
      <c r="I69" s="30">
        <v>83</v>
      </c>
      <c r="J69" s="31">
        <v>585000</v>
      </c>
      <c r="K69" s="32" t="s">
        <v>287</v>
      </c>
      <c r="L69" s="33">
        <v>15.4</v>
      </c>
      <c r="M69" s="31">
        <v>54000</v>
      </c>
      <c r="N69" s="31"/>
      <c r="O69" s="33"/>
      <c r="P69" s="31"/>
      <c r="Q69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702 / E10</v>
      </c>
      <c r="R69" s="88">
        <f>Registro_Ventas[[#This Row],[Precio Venta Departamento]]+Registro_Ventas[[#This Row],[Precio Venta Estacionamiento]]+Registro_Ventas[[#This Row],[Precio Venta Depósito]]</f>
        <v>639000</v>
      </c>
      <c r="S69" s="89">
        <f t="shared" si="2"/>
        <v>3000</v>
      </c>
      <c r="T69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6493.9024390243894</v>
      </c>
      <c r="U69" s="36">
        <f>IF(Registro_Ventas[[#This Row],[Categoria]]="Cita Agendada","",Registro_Ventas[[#This Row],[M2 PEN]]/3.8)</f>
        <v>1708.9216944801026</v>
      </c>
      <c r="V69" s="37"/>
      <c r="W69" s="154" t="s">
        <v>288</v>
      </c>
      <c r="X69" s="45" t="s">
        <v>289</v>
      </c>
      <c r="Y69" s="128"/>
      <c r="Z69" s="38">
        <v>46026</v>
      </c>
      <c r="AA69" s="35">
        <v>3000</v>
      </c>
      <c r="AB69" s="35"/>
      <c r="AC69" s="27" t="s">
        <v>290</v>
      </c>
      <c r="AD69" s="46"/>
      <c r="AE69" s="43"/>
      <c r="AF69" s="87"/>
      <c r="AG69" s="87"/>
      <c r="AH69" s="28"/>
      <c r="AI69" s="173"/>
      <c r="AJ69" s="35">
        <f>Registro_Ventas[[#This Row],[Precio Venta Unidad(es)]]*Registro_Ventas[[#This Row],[%Comision
Ejecutivo]]</f>
        <v>0</v>
      </c>
      <c r="AK69" s="39">
        <f>Registro_Ventas[[#This Row],[Total Comision]]*30%</f>
        <v>0</v>
      </c>
      <c r="AL69" s="40"/>
      <c r="AM69" s="28"/>
      <c r="AN69" s="28"/>
      <c r="AO69" s="28"/>
      <c r="AP69" s="28" t="s">
        <v>291</v>
      </c>
      <c r="AQ69" s="28"/>
      <c r="AR69" s="28"/>
      <c r="AS69" s="28"/>
      <c r="AT69" s="28" t="str">
        <f>IF(Registro_Ventas[[#This Row],[Fecha Separacion]]&lt;&gt;"",TEXT(Registro_Ventas[[#This Row],[Fecha Separacion]],"mmmm"),"")</f>
        <v>Enero</v>
      </c>
      <c r="AU69" s="28" t="str">
        <f>IF(Registro_Ventas[[#This Row],[Firma Minuta]]&lt;&gt;"",TEXT(Registro_Ventas[[#This Row],[Firma Minuta]],"mmmm"),"")</f>
        <v/>
      </c>
      <c r="AV69" s="28" t="str">
        <f>IF(Registro_Ventas[[#This Row],[Firma Minuta]]&lt;&gt;"",TEXT(Registro_Ventas[[#This Row],[Firma Minuta]],"yyyy"),"")</f>
        <v/>
      </c>
      <c r="AW69" s="28" t="str">
        <f>IF(Registro_Ventas[[#This Row],[Fecha Separacion]]&lt;&gt;"",TEXT(Registro_Ventas[[#This Row],[Fecha Separacion]],"yyyy"),"")</f>
        <v>2026</v>
      </c>
      <c r="AX69" s="131">
        <f>IF(Registro_Ventas[[#This Row],[Fecha Separacion]]="","",Registro_Ventas[[#This Row],[Fecha Separacion]]-Registro_Ventas[[#This Row],[Fecha Captacion]])</f>
        <v>186</v>
      </c>
      <c r="AY69" s="131" t="str">
        <f>+IF(Registro_Ventas[[#This Row],[Firma Minuta]]="","",Registro_Ventas[[#This Row],[Firma Minuta]]-Registro_Ventas[[#This Row],[Fecha Captacion]])</f>
        <v/>
      </c>
      <c r="AZ69" s="131" t="str">
        <f>+IF(Registro_Ventas[[#This Row],[Firma Minuta]]="","",Registro_Ventas[[#This Row],[Firma Minuta]]-Registro_Ventas[[#This Row],[Fecha Separacion]])</f>
        <v/>
      </c>
    </row>
    <row r="70" spans="1:52" s="86" customFormat="1" x14ac:dyDescent="0.3">
      <c r="A70" s="46" t="str">
        <f>TEXT(Registro_Ventas[[#This Row],[Fecha Captacion]],"Mmmm")</f>
        <v>Febrero</v>
      </c>
      <c r="B70" s="26">
        <v>46054</v>
      </c>
      <c r="C70" s="26" t="s">
        <v>11</v>
      </c>
      <c r="D70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70" s="27" t="s">
        <v>32</v>
      </c>
      <c r="F70" s="28" t="s">
        <v>24</v>
      </c>
      <c r="G70" s="27" t="s">
        <v>47</v>
      </c>
      <c r="H70" s="29">
        <v>702</v>
      </c>
      <c r="I70" s="30">
        <v>83</v>
      </c>
      <c r="J70" s="31">
        <v>623000</v>
      </c>
      <c r="K70" s="32"/>
      <c r="L70" s="33"/>
      <c r="M70" s="31"/>
      <c r="N70" s="31"/>
      <c r="O70" s="33"/>
      <c r="P70" s="31"/>
      <c r="Q70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702</v>
      </c>
      <c r="R70" s="31">
        <f>Registro_Ventas[[#This Row],[Precio Venta Departamento]]+Registro_Ventas[[#This Row],[Precio Venta Estacionamiento]]+Registro_Ventas[[#This Row],[Precio Venta Depósito]]</f>
        <v>623000</v>
      </c>
      <c r="S70" s="35">
        <f t="shared" si="2"/>
        <v>3000</v>
      </c>
      <c r="T70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7506.0240963855422</v>
      </c>
      <c r="U70" s="36">
        <f>IF(Registro_Ventas[[#This Row],[Categoria]]="Cita Agendada","",Registro_Ventas[[#This Row],[M2 PEN]]/3.8)</f>
        <v>1975.2694990488269</v>
      </c>
      <c r="V70" s="37"/>
      <c r="W70" s="154" t="s">
        <v>292</v>
      </c>
      <c r="X70" s="45">
        <v>45408840</v>
      </c>
      <c r="Y70" s="128"/>
      <c r="Z70" s="38">
        <v>46054</v>
      </c>
      <c r="AA70" s="35">
        <v>3000</v>
      </c>
      <c r="AB70" s="35"/>
      <c r="AC70" s="27" t="s">
        <v>293</v>
      </c>
      <c r="AD70" s="46"/>
      <c r="AE70" s="43"/>
      <c r="AF70" s="28"/>
      <c r="AG70" s="28"/>
      <c r="AH70" s="28"/>
      <c r="AI70" s="173"/>
      <c r="AJ70" s="35">
        <f>Registro_Ventas[[#This Row],[Precio Venta Unidad(es)]]*Registro_Ventas[[#This Row],[%Comision
Ejecutivo]]</f>
        <v>0</v>
      </c>
      <c r="AK70" s="39">
        <f>Registro_Ventas[[#This Row],[Total Comision]]*30%</f>
        <v>0</v>
      </c>
      <c r="AL70" s="40"/>
      <c r="AM70" s="28"/>
      <c r="AN70" s="28"/>
      <c r="AO70" s="28"/>
      <c r="AP70" s="28" t="s">
        <v>294</v>
      </c>
      <c r="AQ70" s="28" t="s">
        <v>295</v>
      </c>
      <c r="AR70" s="28"/>
      <c r="AS70" s="28"/>
      <c r="AT70" s="28" t="str">
        <f>IF(Registro_Ventas[[#This Row],[Fecha Separacion]]&lt;&gt;"",TEXT(Registro_Ventas[[#This Row],[Fecha Separacion]],"mmmm"),"")</f>
        <v>Febrero</v>
      </c>
      <c r="AU70" s="28" t="str">
        <f>IF(Registro_Ventas[[#This Row],[Firma Minuta]]&lt;&gt;"",TEXT(Registro_Ventas[[#This Row],[Firma Minuta]],"mmmm"),"")</f>
        <v/>
      </c>
      <c r="AV70" s="28" t="str">
        <f>IF(Registro_Ventas[[#This Row],[Firma Minuta]]&lt;&gt;"",TEXT(Registro_Ventas[[#This Row],[Firma Minuta]],"yyyy"),"")</f>
        <v/>
      </c>
      <c r="AW70" s="28" t="str">
        <f>IF(Registro_Ventas[[#This Row],[Fecha Separacion]]&lt;&gt;"",TEXT(Registro_Ventas[[#This Row],[Fecha Separacion]],"yyyy"),"")</f>
        <v>2026</v>
      </c>
      <c r="AX70" s="131">
        <f>IF(Registro_Ventas[[#This Row],[Fecha Separacion]]="","",Registro_Ventas[[#This Row],[Fecha Separacion]]-Registro_Ventas[[#This Row],[Fecha Captacion]])</f>
        <v>0</v>
      </c>
      <c r="AY70" s="131" t="str">
        <f>+IF(Registro_Ventas[[#This Row],[Firma Minuta]]="","",Registro_Ventas[[#This Row],[Firma Minuta]]-Registro_Ventas[[#This Row],[Fecha Captacion]])</f>
        <v/>
      </c>
      <c r="AZ70" s="131" t="str">
        <f>+IF(Registro_Ventas[[#This Row],[Firma Minuta]]="","",Registro_Ventas[[#This Row],[Firma Minuta]]-Registro_Ventas[[#This Row],[Fecha Separacion]])</f>
        <v/>
      </c>
    </row>
    <row r="71" spans="1:52" s="152" customFormat="1" x14ac:dyDescent="0.3">
      <c r="A71" s="46" t="str">
        <f>TEXT(Registro_Ventas[[#This Row],[Fecha Captacion]],"Mmmm")</f>
        <v>Enero</v>
      </c>
      <c r="B71" s="26">
        <v>46050</v>
      </c>
      <c r="C71" s="26" t="s">
        <v>16</v>
      </c>
      <c r="D71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71" s="27" t="s">
        <v>31</v>
      </c>
      <c r="F71" s="28" t="s">
        <v>25</v>
      </c>
      <c r="G71" s="27" t="s">
        <v>47</v>
      </c>
      <c r="H71" s="29">
        <v>702</v>
      </c>
      <c r="I71" s="30">
        <v>55</v>
      </c>
      <c r="J71" s="31">
        <v>454000</v>
      </c>
      <c r="K71" s="32" t="s">
        <v>296</v>
      </c>
      <c r="L71" s="33">
        <v>12.5</v>
      </c>
      <c r="M71" s="31">
        <v>46000</v>
      </c>
      <c r="N71" s="31"/>
      <c r="O71" s="33"/>
      <c r="P71" s="31"/>
      <c r="Q71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702 / E50</v>
      </c>
      <c r="R71" s="31">
        <f>Registro_Ventas[[#This Row],[Precio Venta Departamento]]+Registro_Ventas[[#This Row],[Precio Venta Estacionamiento]]+Registro_Ventas[[#This Row],[Precio Venta Depósito]]</f>
        <v>500000</v>
      </c>
      <c r="S71" s="35">
        <f t="shared" si="2"/>
        <v>100000</v>
      </c>
      <c r="T71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7407.4074074074078</v>
      </c>
      <c r="U71" s="36">
        <f>IF(Registro_Ventas[[#This Row],[Categoria]]="Cita Agendada","",Registro_Ventas[[#This Row],[M2 PEN]]/3.8)</f>
        <v>1949.3177387914232</v>
      </c>
      <c r="V71" s="37">
        <v>46076</v>
      </c>
      <c r="W71" s="28" t="s">
        <v>297</v>
      </c>
      <c r="X71" s="45">
        <v>45957413</v>
      </c>
      <c r="Y71" s="128"/>
      <c r="Z71" s="38">
        <v>46059</v>
      </c>
      <c r="AA71" s="35">
        <v>3000</v>
      </c>
      <c r="AB71" s="35">
        <v>97000</v>
      </c>
      <c r="AC71" s="27" t="s">
        <v>159</v>
      </c>
      <c r="AD71" s="46"/>
      <c r="AE71" s="43">
        <v>46111</v>
      </c>
      <c r="AF71" s="28" t="s">
        <v>142</v>
      </c>
      <c r="AG71" s="28"/>
      <c r="AH71" s="28"/>
      <c r="AI71" s="173">
        <v>3.5000000000000001E-3</v>
      </c>
      <c r="AJ71" s="35">
        <f>Registro_Ventas[[#This Row],[Precio Venta Unidad(es)]]*Registro_Ventas[[#This Row],[%Comision
Ejecutivo]]</f>
        <v>1750</v>
      </c>
      <c r="AK71" s="39">
        <f>Registro_Ventas[[#This Row],[Total Comision]]*50%</f>
        <v>875</v>
      </c>
      <c r="AL71" s="39">
        <f>Registro_Ventas[[#This Row],[Total Comision]]*50%</f>
        <v>875</v>
      </c>
      <c r="AM71" s="28" t="s">
        <v>152</v>
      </c>
      <c r="AN71" s="46">
        <v>46108</v>
      </c>
      <c r="AO71" s="28"/>
      <c r="AP71" s="28"/>
      <c r="AQ71" s="28"/>
      <c r="AR71" s="28"/>
      <c r="AS71" s="28" t="s">
        <v>201</v>
      </c>
      <c r="AT71" s="28" t="str">
        <f>IF(Registro_Ventas[[#This Row],[Fecha Separacion]]&lt;&gt;"",TEXT(Registro_Ventas[[#This Row],[Fecha Separacion]],"mmmm"),"")</f>
        <v>Febrero</v>
      </c>
      <c r="AU71" s="28" t="str">
        <f>IF(Registro_Ventas[[#This Row],[Firma Minuta]]&lt;&gt;"",TEXT(Registro_Ventas[[#This Row],[Firma Minuta]],"mmmm"),"")</f>
        <v>Febrero</v>
      </c>
      <c r="AV71" s="28" t="str">
        <f>IF(Registro_Ventas[[#This Row],[Firma Minuta]]&lt;&gt;"",TEXT(Registro_Ventas[[#This Row],[Firma Minuta]],"yyyy"),"")</f>
        <v>2026</v>
      </c>
      <c r="AW71" s="28" t="str">
        <f>IF(Registro_Ventas[[#This Row],[Fecha Separacion]]&lt;&gt;"",TEXT(Registro_Ventas[[#This Row],[Fecha Separacion]],"yyyy"),"")</f>
        <v>2026</v>
      </c>
      <c r="AX71" s="131">
        <f>IF(Registro_Ventas[[#This Row],[Fecha Separacion]]="","",Registro_Ventas[[#This Row],[Fecha Separacion]]-Registro_Ventas[[#This Row],[Fecha Captacion]])</f>
        <v>9</v>
      </c>
      <c r="AY71" s="131">
        <f>+IF(Registro_Ventas[[#This Row],[Firma Minuta]]="","",Registro_Ventas[[#This Row],[Firma Minuta]]-Registro_Ventas[[#This Row],[Fecha Captacion]])</f>
        <v>26</v>
      </c>
      <c r="AZ71" s="131">
        <f>+IF(Registro_Ventas[[#This Row],[Firma Minuta]]="","",Registro_Ventas[[#This Row],[Firma Minuta]]-Registro_Ventas[[#This Row],[Fecha Separacion]])</f>
        <v>17</v>
      </c>
    </row>
    <row r="72" spans="1:52" s="152" customFormat="1" x14ac:dyDescent="0.3">
      <c r="A72" s="46" t="str">
        <f>TEXT(Registro_Ventas[[#This Row],[Fecha Captacion]],"Mmmm")</f>
        <v>Noviembre</v>
      </c>
      <c r="B72" s="26">
        <v>45980</v>
      </c>
      <c r="C72" s="26" t="s">
        <v>16</v>
      </c>
      <c r="D72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72" s="27" t="s">
        <v>32</v>
      </c>
      <c r="F72" s="28" t="s">
        <v>19</v>
      </c>
      <c r="G72" s="27" t="s">
        <v>47</v>
      </c>
      <c r="H72" s="29">
        <v>703</v>
      </c>
      <c r="I72" s="30">
        <v>63</v>
      </c>
      <c r="J72" s="31">
        <v>403000</v>
      </c>
      <c r="K72" s="32"/>
      <c r="L72" s="33"/>
      <c r="M72" s="31"/>
      <c r="N72" s="31"/>
      <c r="O72" s="33"/>
      <c r="P72" s="31"/>
      <c r="Q72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703</v>
      </c>
      <c r="R72" s="31">
        <f>Registro_Ventas[[#This Row],[Precio Venta Departamento]]+Registro_Ventas[[#This Row],[Precio Venta Estacionamiento]]+Registro_Ventas[[#This Row],[Precio Venta Depósito]]</f>
        <v>403000</v>
      </c>
      <c r="S72" s="35">
        <f t="shared" ref="S72:S106" si="3">AA72+AB72</f>
        <v>3000</v>
      </c>
      <c r="T72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6396.8253968253966</v>
      </c>
      <c r="U72" s="36">
        <f>IF(Registro_Ventas[[#This Row],[Categoria]]="Cita Agendada","",Registro_Ventas[[#This Row],[M2 PEN]]/3.8)</f>
        <v>1683.375104427736</v>
      </c>
      <c r="V72" s="37"/>
      <c r="W72" s="28" t="s">
        <v>298</v>
      </c>
      <c r="X72" s="45">
        <v>75067358</v>
      </c>
      <c r="Y72" s="128"/>
      <c r="Z72" s="38">
        <v>45983</v>
      </c>
      <c r="AA72" s="35">
        <v>3000</v>
      </c>
      <c r="AB72" s="35"/>
      <c r="AC72" s="27" t="s">
        <v>240</v>
      </c>
      <c r="AD72" s="46"/>
      <c r="AE72" s="43"/>
      <c r="AF72" s="28"/>
      <c r="AG72" s="28"/>
      <c r="AH72" s="28"/>
      <c r="AI72" s="173"/>
      <c r="AJ72" s="35">
        <f>Registro_Ventas[[#This Row],[Precio Venta Unidad(es)]]*Registro_Ventas[[#This Row],[%Comision
Ejecutivo]]</f>
        <v>0</v>
      </c>
      <c r="AK72" s="39">
        <f>Registro_Ventas[[#This Row],[Total Comision]]*30%</f>
        <v>0</v>
      </c>
      <c r="AL72" s="40"/>
      <c r="AM72" s="28"/>
      <c r="AN72" s="28"/>
      <c r="AO72" s="28"/>
      <c r="AP72" s="28" t="s">
        <v>299</v>
      </c>
      <c r="AQ72" s="28" t="s">
        <v>178</v>
      </c>
      <c r="AR72" s="38">
        <v>46052</v>
      </c>
      <c r="AS72" s="28"/>
      <c r="AT72" s="28" t="str">
        <f>IF(Registro_Ventas[[#This Row],[Fecha Separacion]]&lt;&gt;"",TEXT(Registro_Ventas[[#This Row],[Fecha Separacion]],"mmmm"),"")</f>
        <v>Noviembre</v>
      </c>
      <c r="AU72" s="28" t="str">
        <f>IF(Registro_Ventas[[#This Row],[Firma Minuta]]&lt;&gt;"",TEXT(Registro_Ventas[[#This Row],[Firma Minuta]],"mmmm"),"")</f>
        <v/>
      </c>
      <c r="AV72" s="28" t="str">
        <f>IF(Registro_Ventas[[#This Row],[Firma Minuta]]&lt;&gt;"",TEXT(Registro_Ventas[[#This Row],[Firma Minuta]],"yyyy"),"")</f>
        <v/>
      </c>
      <c r="AW72" s="28" t="str">
        <f>IF(Registro_Ventas[[#This Row],[Fecha Separacion]]&lt;&gt;"",TEXT(Registro_Ventas[[#This Row],[Fecha Separacion]],"yyyy"),"")</f>
        <v>2025</v>
      </c>
      <c r="AX72" s="131">
        <f>IF(Registro_Ventas[[#This Row],[Fecha Separacion]]="","",Registro_Ventas[[#This Row],[Fecha Separacion]]-Registro_Ventas[[#This Row],[Fecha Captacion]])</f>
        <v>3</v>
      </c>
      <c r="AY72" s="131" t="str">
        <f>+IF(Registro_Ventas[[#This Row],[Firma Minuta]]="","",Registro_Ventas[[#This Row],[Firma Minuta]]-Registro_Ventas[[#This Row],[Fecha Captacion]])</f>
        <v/>
      </c>
      <c r="AZ72" s="131" t="str">
        <f>+IF(Registro_Ventas[[#This Row],[Firma Minuta]]="","",Registro_Ventas[[#This Row],[Firma Minuta]]-Registro_Ventas[[#This Row],[Fecha Separacion]])</f>
        <v/>
      </c>
    </row>
    <row r="73" spans="1:52" s="162" customFormat="1" x14ac:dyDescent="0.3">
      <c r="A73" s="46" t="str">
        <f>TEXT(Registro_Ventas[[#This Row],[Fecha Captacion]],"Mmmm")</f>
        <v>Diciembre</v>
      </c>
      <c r="B73" s="26">
        <v>45654</v>
      </c>
      <c r="C73" s="26" t="s">
        <v>11</v>
      </c>
      <c r="D73" s="15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73" s="153" t="s">
        <v>31</v>
      </c>
      <c r="F73" s="154" t="s">
        <v>12</v>
      </c>
      <c r="G73" s="153" t="s">
        <v>46</v>
      </c>
      <c r="H73" s="29">
        <v>703</v>
      </c>
      <c r="I73" s="30">
        <v>88</v>
      </c>
      <c r="J73" s="31">
        <v>654000</v>
      </c>
      <c r="K73" s="32" t="s">
        <v>300</v>
      </c>
      <c r="L73" s="33">
        <v>18.2</v>
      </c>
      <c r="M73" s="31">
        <v>57500</v>
      </c>
      <c r="N73" s="31"/>
      <c r="O73" s="33"/>
      <c r="P73" s="31"/>
      <c r="Q73" s="15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703 / E06/D04</v>
      </c>
      <c r="R73" s="156">
        <f>Registro_Ventas[[#This Row],[Precio Venta Departamento]]+Registro_Ventas[[#This Row],[Precio Venta Estacionamiento]]+Registro_Ventas[[#This Row],[Precio Venta Depósito]]</f>
        <v>711500</v>
      </c>
      <c r="S73" s="157">
        <f t="shared" si="3"/>
        <v>711500</v>
      </c>
      <c r="T7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6699.623352165725</v>
      </c>
      <c r="U73" s="36">
        <f>IF(Registro_Ventas[[#This Row],[Categoria]]="Cita Agendada","",Registro_Ventas[[#This Row],[M2 PEN]]/3.8)</f>
        <v>1763.0587768857172</v>
      </c>
      <c r="V73" s="158">
        <v>45687</v>
      </c>
      <c r="W73" s="154" t="s">
        <v>301</v>
      </c>
      <c r="X73" s="159">
        <v>41844906</v>
      </c>
      <c r="Y73" s="180"/>
      <c r="Z73" s="160">
        <v>45655</v>
      </c>
      <c r="AA73" s="157">
        <v>3000</v>
      </c>
      <c r="AB73" s="157">
        <f>291500+34750+34750+34750+34750+34750+34750+34750+34750+34750+34750+34750+34750</f>
        <v>708500</v>
      </c>
      <c r="AC73" s="153" t="s">
        <v>141</v>
      </c>
      <c r="AD73" s="46"/>
      <c r="AE73" s="161">
        <v>46050</v>
      </c>
      <c r="AF73" s="154"/>
      <c r="AG73" s="154"/>
      <c r="AH73" s="28"/>
      <c r="AI73" s="173"/>
      <c r="AJ73" s="35">
        <f>Registro_Ventas[[#This Row],[Precio Venta Unidad(es)]]*Registro_Ventas[[#This Row],[%Comision
Ejecutivo]]</f>
        <v>0</v>
      </c>
      <c r="AK73" s="39">
        <f>Registro_Ventas[[#This Row],[Total Comision]]*30%</f>
        <v>0</v>
      </c>
      <c r="AL73" s="40"/>
      <c r="AM73" s="28"/>
      <c r="AN73" s="28"/>
      <c r="AO73" s="28"/>
      <c r="AP73" s="28"/>
      <c r="AQ73" s="28"/>
      <c r="AR73" s="28"/>
      <c r="AS73" s="154"/>
      <c r="AT73" s="28" t="str">
        <f>IF(Registro_Ventas[[#This Row],[Fecha Separacion]]&lt;&gt;"",TEXT(Registro_Ventas[[#This Row],[Fecha Separacion]],"mmmm"),"")</f>
        <v>Diciembre</v>
      </c>
      <c r="AU73" s="28" t="str">
        <f>IF(Registro_Ventas[[#This Row],[Firma Minuta]]&lt;&gt;"",TEXT(Registro_Ventas[[#This Row],[Firma Minuta]],"mmmm"),"")</f>
        <v>Enero</v>
      </c>
      <c r="AV73" s="28" t="str">
        <f>IF(Registro_Ventas[[#This Row],[Firma Minuta]]&lt;&gt;"",TEXT(Registro_Ventas[[#This Row],[Firma Minuta]],"yyyy"),"")</f>
        <v>2025</v>
      </c>
      <c r="AW73" s="28" t="str">
        <f>IF(Registro_Ventas[[#This Row],[Fecha Separacion]]&lt;&gt;"",TEXT(Registro_Ventas[[#This Row],[Fecha Separacion]],"yyyy"),"")</f>
        <v>2024</v>
      </c>
      <c r="AX73" s="131">
        <f>IF(Registro_Ventas[[#This Row],[Fecha Separacion]]="","",Registro_Ventas[[#This Row],[Fecha Separacion]]-Registro_Ventas[[#This Row],[Fecha Captacion]])</f>
        <v>1</v>
      </c>
      <c r="AY73" s="131">
        <f>+IF(Registro_Ventas[[#This Row],[Firma Minuta]]="","",Registro_Ventas[[#This Row],[Firma Minuta]]-Registro_Ventas[[#This Row],[Fecha Captacion]])</f>
        <v>33</v>
      </c>
      <c r="AZ73" s="131">
        <f>+IF(Registro_Ventas[[#This Row],[Firma Minuta]]="","",Registro_Ventas[[#This Row],[Firma Minuta]]-Registro_Ventas[[#This Row],[Fecha Separacion]])</f>
        <v>32</v>
      </c>
    </row>
    <row r="74" spans="1:52" x14ac:dyDescent="0.3">
      <c r="A74" s="46" t="str">
        <f>TEXT(Registro_Ventas[[#This Row],[Fecha Captacion]],"Mmmm")</f>
        <v>Diciembre</v>
      </c>
      <c r="B74" s="26">
        <v>46000</v>
      </c>
      <c r="C74" s="27" t="s">
        <v>11</v>
      </c>
      <c r="D74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74" s="27" t="s">
        <v>30</v>
      </c>
      <c r="F74" s="28" t="s">
        <v>12</v>
      </c>
      <c r="G74" s="29" t="s">
        <v>47</v>
      </c>
      <c r="H74" s="29">
        <v>702</v>
      </c>
      <c r="I74" s="30">
        <v>57</v>
      </c>
      <c r="J74" s="32">
        <v>382000</v>
      </c>
      <c r="K74" s="33"/>
      <c r="L74" s="31"/>
      <c r="M74" s="31"/>
      <c r="N74" s="33"/>
      <c r="O74" s="31"/>
      <c r="P74" s="34"/>
      <c r="Q74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702</v>
      </c>
      <c r="R74" s="35">
        <f>Registro_Ventas[[#This Row],[Precio Venta Departamento]]+Registro_Ventas[[#This Row],[Precio Venta Estacionamiento]]+Registro_Ventas[[#This Row],[Precio Venta Depósito]]</f>
        <v>382000</v>
      </c>
      <c r="S74" s="35">
        <f t="shared" si="3"/>
        <v>38200</v>
      </c>
      <c r="T7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6701.7543859649122</v>
      </c>
      <c r="U74" s="36">
        <f>IF(Registro_Ventas[[#This Row],[Categoria]]="Cita Agendada","",Registro_Ventas[[#This Row],[M2 PEN]]/3.8)</f>
        <v>1763.6195752539243</v>
      </c>
      <c r="V74" s="37">
        <v>46031</v>
      </c>
      <c r="W74" s="28" t="s">
        <v>302</v>
      </c>
      <c r="X74" s="27">
        <v>73229140</v>
      </c>
      <c r="Y74" s="37"/>
      <c r="Z74" s="43">
        <v>46011</v>
      </c>
      <c r="AA74" s="35">
        <v>3000</v>
      </c>
      <c r="AB74" s="35">
        <f>20000+7000+8200</f>
        <v>35200</v>
      </c>
      <c r="AC74" s="27" t="s">
        <v>159</v>
      </c>
      <c r="AD74" s="46"/>
      <c r="AE74" s="43">
        <v>46142</v>
      </c>
      <c r="AF74" s="28" t="s">
        <v>303</v>
      </c>
      <c r="AG74" s="28"/>
      <c r="AH74" s="28"/>
      <c r="AI74" s="173">
        <v>5.0000000000000001E-3</v>
      </c>
      <c r="AJ74" s="35">
        <f>Registro_Ventas[[#This Row],[Precio Venta Unidad(es)]]*Registro_Ventas[[#This Row],[%Comision
Ejecutivo]]</f>
        <v>1910</v>
      </c>
      <c r="AK74" s="39">
        <f>Registro_Ventas[[#This Row],[Total Comision]]*0%</f>
        <v>0</v>
      </c>
      <c r="AL74" s="39">
        <f>Registro_Ventas[[#This Row],[Total Comision]]*100%</f>
        <v>1910</v>
      </c>
      <c r="AM74" s="28" t="s">
        <v>172</v>
      </c>
      <c r="AN74" s="28"/>
      <c r="AO74" s="28"/>
      <c r="AP74" s="28"/>
      <c r="AQ74" s="28"/>
      <c r="AR74" s="28"/>
      <c r="AS74" s="28"/>
      <c r="AT74" t="str">
        <f>IF(Registro_Ventas[[#This Row],[Fecha Separacion]]&lt;&gt;"",TEXT(Registro_Ventas[[#This Row],[Fecha Separacion]],"mmmm"),"")</f>
        <v>Diciembre</v>
      </c>
      <c r="AU74" t="str">
        <f>IF(Registro_Ventas[[#This Row],[Firma Minuta]]&lt;&gt;"",TEXT(Registro_Ventas[[#This Row],[Firma Minuta]],"mmmm"),"")</f>
        <v>Enero</v>
      </c>
      <c r="AV74" t="str">
        <f>IF(Registro_Ventas[[#This Row],[Firma Minuta]]&lt;&gt;"",TEXT(Registro_Ventas[[#This Row],[Firma Minuta]],"yyyy"),"")</f>
        <v>2026</v>
      </c>
      <c r="AW74" s="28" t="str">
        <f>IF(Registro_Ventas[[#This Row],[Fecha Separacion]]&lt;&gt;"",TEXT(Registro_Ventas[[#This Row],[Fecha Separacion]],"yyyy"),"")</f>
        <v>2025</v>
      </c>
      <c r="AX74" s="131">
        <f>IF(Registro_Ventas[[#This Row],[Fecha Separacion]]="","",Registro_Ventas[[#This Row],[Fecha Separacion]]-Registro_Ventas[[#This Row],[Fecha Captacion]])</f>
        <v>11</v>
      </c>
      <c r="AY74" s="131">
        <f>+IF(Registro_Ventas[[#This Row],[Firma Minuta]]="","",Registro_Ventas[[#This Row],[Firma Minuta]]-Registro_Ventas[[#This Row],[Fecha Captacion]])</f>
        <v>31</v>
      </c>
      <c r="AZ74" s="131">
        <f>+IF(Registro_Ventas[[#This Row],[Firma Minuta]]="","",Registro_Ventas[[#This Row],[Firma Minuta]]-Registro_Ventas[[#This Row],[Fecha Separacion]])</f>
        <v>20</v>
      </c>
    </row>
    <row r="75" spans="1:52" s="152" customFormat="1" x14ac:dyDescent="0.3">
      <c r="A75" s="46" t="str">
        <f>TEXT(Registro_Ventas[[#This Row],[Fecha Captacion]],"Mmmm")</f>
        <v>Julio</v>
      </c>
      <c r="B75" s="26">
        <v>45858</v>
      </c>
      <c r="C75" s="26" t="s">
        <v>94</v>
      </c>
      <c r="D75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75" s="27" t="s">
        <v>31</v>
      </c>
      <c r="F75" s="28" t="s">
        <v>19</v>
      </c>
      <c r="G75" s="27" t="s">
        <v>47</v>
      </c>
      <c r="H75" s="29">
        <v>704</v>
      </c>
      <c r="I75" s="30">
        <v>61</v>
      </c>
      <c r="J75" s="31">
        <v>417700</v>
      </c>
      <c r="K75" s="32"/>
      <c r="L75" s="33"/>
      <c r="M75" s="31"/>
      <c r="N75" s="31"/>
      <c r="O75" s="33"/>
      <c r="P75" s="31"/>
      <c r="Q75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704</v>
      </c>
      <c r="R75" s="31">
        <f>Registro_Ventas[[#This Row],[Precio Venta Departamento]]+Registro_Ventas[[#This Row],[Precio Venta Estacionamiento]]+Registro_Ventas[[#This Row],[Precio Venta Depósito]]</f>
        <v>417700</v>
      </c>
      <c r="S75" s="35">
        <f t="shared" si="3"/>
        <v>417700</v>
      </c>
      <c r="T7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6847.5409836065573</v>
      </c>
      <c r="U75" s="36">
        <f>IF(Registro_Ventas[[#This Row],[Categoria]]="Cita Agendada","",Registro_Ventas[[#This Row],[M2 PEN]]/3.8)</f>
        <v>1801.9844693701468</v>
      </c>
      <c r="V75" s="37">
        <v>45887</v>
      </c>
      <c r="W75" s="28" t="s">
        <v>304</v>
      </c>
      <c r="X75" s="45">
        <v>458711226</v>
      </c>
      <c r="Y75" s="128"/>
      <c r="Z75" s="38">
        <v>45861</v>
      </c>
      <c r="AA75" s="35">
        <v>3000</v>
      </c>
      <c r="AB75" s="35">
        <f>47000+367700</f>
        <v>414700</v>
      </c>
      <c r="AC75" s="27" t="s">
        <v>141</v>
      </c>
      <c r="AD75" s="46"/>
      <c r="AE75" s="43">
        <v>45899</v>
      </c>
      <c r="AF75" s="28" t="s">
        <v>142</v>
      </c>
      <c r="AG75" s="28"/>
      <c r="AH75" s="28"/>
      <c r="AI75" s="173">
        <v>3.5000000000000001E-3</v>
      </c>
      <c r="AJ75" s="35">
        <f>Registro_Ventas[[#This Row],[Precio Venta Unidad(es)]]*Registro_Ventas[[#This Row],[%Comision
Ejecutivo]]</f>
        <v>1461.95</v>
      </c>
      <c r="AK75" s="39">
        <f>Registro_Ventas[[#This Row],[Total Comision]]*0%</f>
        <v>0</v>
      </c>
      <c r="AL75" s="39">
        <f>Registro_Ventas[[#This Row],[Total Comision]]*100%</f>
        <v>1461.95</v>
      </c>
      <c r="AM75" s="28" t="s">
        <v>152</v>
      </c>
      <c r="AN75" s="174">
        <v>45930</v>
      </c>
      <c r="AO75" s="28"/>
      <c r="AP75" s="28"/>
      <c r="AQ75" s="28"/>
      <c r="AR75" s="28"/>
      <c r="AS75" s="28"/>
      <c r="AT75" s="28" t="str">
        <f>IF(Registro_Ventas[[#This Row],[Fecha Separacion]]&lt;&gt;"",TEXT(Registro_Ventas[[#This Row],[Fecha Separacion]],"mmmm"),"")</f>
        <v>Julio</v>
      </c>
      <c r="AU75" s="28" t="str">
        <f>IF(Registro_Ventas[[#This Row],[Firma Minuta]]&lt;&gt;"",TEXT(Registro_Ventas[[#This Row],[Firma Minuta]],"mmmm"),"")</f>
        <v>Agosto</v>
      </c>
      <c r="AV75" s="28" t="str">
        <f>IF(Registro_Ventas[[#This Row],[Firma Minuta]]&lt;&gt;"",TEXT(Registro_Ventas[[#This Row],[Firma Minuta]],"yyyy"),"")</f>
        <v>2025</v>
      </c>
      <c r="AW75" s="28" t="str">
        <f>IF(Registro_Ventas[[#This Row],[Fecha Separacion]]&lt;&gt;"",TEXT(Registro_Ventas[[#This Row],[Fecha Separacion]],"yyyy"),"")</f>
        <v>2025</v>
      </c>
      <c r="AX75" s="131">
        <f>IF(Registro_Ventas[[#This Row],[Fecha Separacion]]="","",Registro_Ventas[[#This Row],[Fecha Separacion]]-Registro_Ventas[[#This Row],[Fecha Captacion]])</f>
        <v>3</v>
      </c>
      <c r="AY75" s="131">
        <f>+IF(Registro_Ventas[[#This Row],[Firma Minuta]]="","",Registro_Ventas[[#This Row],[Firma Minuta]]-Registro_Ventas[[#This Row],[Fecha Captacion]])</f>
        <v>29</v>
      </c>
      <c r="AZ75" s="131">
        <f>+IF(Registro_Ventas[[#This Row],[Firma Minuta]]="","",Registro_Ventas[[#This Row],[Firma Minuta]]-Registro_Ventas[[#This Row],[Fecha Separacion]])</f>
        <v>26</v>
      </c>
    </row>
    <row r="76" spans="1:52" s="152" customFormat="1" x14ac:dyDescent="0.3">
      <c r="A76" s="46" t="str">
        <f>TEXT(Registro_Ventas[[#This Row],[Fecha Captacion]],"Mmmm")</f>
        <v>Noviembre</v>
      </c>
      <c r="B76" s="26">
        <v>45968</v>
      </c>
      <c r="C76" s="26" t="s">
        <v>93</v>
      </c>
      <c r="D76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76" s="27" t="s">
        <v>32</v>
      </c>
      <c r="F76" s="28" t="s">
        <v>22</v>
      </c>
      <c r="G76" s="27" t="s">
        <v>47</v>
      </c>
      <c r="H76" s="29">
        <v>704</v>
      </c>
      <c r="I76" s="30">
        <v>67</v>
      </c>
      <c r="J76" s="31">
        <v>438000</v>
      </c>
      <c r="K76" s="32"/>
      <c r="L76" s="33"/>
      <c r="M76" s="31"/>
      <c r="N76" s="31"/>
      <c r="O76" s="33"/>
      <c r="P76" s="31"/>
      <c r="Q76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704</v>
      </c>
      <c r="R76" s="31">
        <f>Registro_Ventas[[#This Row],[Precio Venta Departamento]]+Registro_Ventas[[#This Row],[Precio Venta Estacionamiento]]+Registro_Ventas[[#This Row],[Precio Venta Depósito]]</f>
        <v>438000</v>
      </c>
      <c r="S76" s="35">
        <f t="shared" si="3"/>
        <v>23000</v>
      </c>
      <c r="T7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6537.313432835821</v>
      </c>
      <c r="U76" s="36">
        <f>IF(Registro_Ventas[[#This Row],[Categoria]]="Cita Agendada","",Registro_Ventas[[#This Row],[M2 PEN]]/3.8)</f>
        <v>1720.3456402199529</v>
      </c>
      <c r="V76" s="37">
        <v>46004</v>
      </c>
      <c r="W76" s="28" t="s">
        <v>305</v>
      </c>
      <c r="X76" s="45">
        <v>41469279</v>
      </c>
      <c r="Y76" s="128"/>
      <c r="Z76" s="38">
        <v>45972</v>
      </c>
      <c r="AA76" s="35">
        <v>3000</v>
      </c>
      <c r="AB76" s="35">
        <v>20000</v>
      </c>
      <c r="AC76" s="27" t="s">
        <v>141</v>
      </c>
      <c r="AD76" s="46"/>
      <c r="AE76" s="43"/>
      <c r="AF76" s="28" t="s">
        <v>142</v>
      </c>
      <c r="AG76" s="28"/>
      <c r="AH76" s="28"/>
      <c r="AI76" s="173"/>
      <c r="AJ76" s="35">
        <f>Registro_Ventas[[#This Row],[Precio Venta Unidad(es)]]*Registro_Ventas[[#This Row],[%Comision
Ejecutivo]]</f>
        <v>0</v>
      </c>
      <c r="AK76" s="39">
        <f>Registro_Ventas[[#This Row],[Total Comision]]*30%</f>
        <v>0</v>
      </c>
      <c r="AL76" s="40"/>
      <c r="AM76" s="28"/>
      <c r="AN76" s="28"/>
      <c r="AO76" s="28"/>
      <c r="AP76" s="28"/>
      <c r="AQ76" s="28"/>
      <c r="AR76" s="28"/>
      <c r="AS76" s="28"/>
      <c r="AT76" s="28" t="str">
        <f>IF(Registro_Ventas[[#This Row],[Fecha Separacion]]&lt;&gt;"",TEXT(Registro_Ventas[[#This Row],[Fecha Separacion]],"mmmm"),"")</f>
        <v>Noviembre</v>
      </c>
      <c r="AU76" s="28" t="str">
        <f>IF(Registro_Ventas[[#This Row],[Firma Minuta]]&lt;&gt;"",TEXT(Registro_Ventas[[#This Row],[Firma Minuta]],"mmmm"),"")</f>
        <v>Diciembre</v>
      </c>
      <c r="AV76" s="28" t="str">
        <f>IF(Registro_Ventas[[#This Row],[Firma Minuta]]&lt;&gt;"",TEXT(Registro_Ventas[[#This Row],[Firma Minuta]],"yyyy"),"")</f>
        <v>2025</v>
      </c>
      <c r="AW76" s="28" t="str">
        <f>IF(Registro_Ventas[[#This Row],[Fecha Separacion]]&lt;&gt;"",TEXT(Registro_Ventas[[#This Row],[Fecha Separacion]],"yyyy"),"")</f>
        <v>2025</v>
      </c>
      <c r="AX76" s="131">
        <f>IF(Registro_Ventas[[#This Row],[Fecha Separacion]]="","",Registro_Ventas[[#This Row],[Fecha Separacion]]-Registro_Ventas[[#This Row],[Fecha Captacion]])</f>
        <v>4</v>
      </c>
      <c r="AY76" s="131">
        <f>+IF(Registro_Ventas[[#This Row],[Firma Minuta]]="","",Registro_Ventas[[#This Row],[Firma Minuta]]-Registro_Ventas[[#This Row],[Fecha Captacion]])</f>
        <v>36</v>
      </c>
      <c r="AZ76" s="131">
        <f>+IF(Registro_Ventas[[#This Row],[Firma Minuta]]="","",Registro_Ventas[[#This Row],[Firma Minuta]]-Registro_Ventas[[#This Row],[Fecha Separacion]])</f>
        <v>32</v>
      </c>
    </row>
    <row r="77" spans="1:52" s="142" customFormat="1" x14ac:dyDescent="0.3">
      <c r="A77" s="46" t="str">
        <f>TEXT(Registro_Ventas[[#This Row],[Fecha Captacion]],"Mmmm")</f>
        <v>Febrero</v>
      </c>
      <c r="B77" s="26">
        <v>46067</v>
      </c>
      <c r="C77" s="26" t="s">
        <v>16</v>
      </c>
      <c r="D77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77" s="27" t="s">
        <v>30</v>
      </c>
      <c r="F77" s="28" t="s">
        <v>25</v>
      </c>
      <c r="G77" s="27" t="s">
        <v>47</v>
      </c>
      <c r="H77" s="29">
        <v>703</v>
      </c>
      <c r="I77" s="30">
        <v>68</v>
      </c>
      <c r="J77" s="31">
        <v>474700</v>
      </c>
      <c r="K77" s="32"/>
      <c r="L77" s="33"/>
      <c r="M77" s="31"/>
      <c r="N77" s="31"/>
      <c r="O77" s="33"/>
      <c r="P77" s="31"/>
      <c r="Q77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703</v>
      </c>
      <c r="R77" s="31">
        <f>Registro_Ventas[[#This Row],[Precio Venta Departamento]]+Registro_Ventas[[#This Row],[Precio Venta Estacionamiento]]+Registro_Ventas[[#This Row],[Precio Venta Depósito]]</f>
        <v>474700</v>
      </c>
      <c r="S77" s="35">
        <f t="shared" si="3"/>
        <v>23567.5</v>
      </c>
      <c r="T77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6980.8823529411766</v>
      </c>
      <c r="U77" s="36">
        <f>IF(Registro_Ventas[[#This Row],[Categoria]]="Cita Agendada","",Registro_Ventas[[#This Row],[M2 PEN]]/3.8)</f>
        <v>1837.0743034055729</v>
      </c>
      <c r="V77" s="37">
        <v>46081</v>
      </c>
      <c r="W77" s="28" t="s">
        <v>306</v>
      </c>
      <c r="X77" s="27">
        <v>41639626</v>
      </c>
      <c r="Y77" s="128"/>
      <c r="Z77" s="38">
        <v>46075</v>
      </c>
      <c r="AA77" s="35">
        <v>2500</v>
      </c>
      <c r="AB77" s="35">
        <f>5000+16067.5</f>
        <v>21067.5</v>
      </c>
      <c r="AC77" s="27" t="s">
        <v>159</v>
      </c>
      <c r="AD77" s="46"/>
      <c r="AE77" s="43">
        <v>46142</v>
      </c>
      <c r="AF77" s="28" t="s">
        <v>160</v>
      </c>
      <c r="AG77" s="28"/>
      <c r="AH77" s="28"/>
      <c r="AI77" s="173">
        <v>3.5000000000000001E-3</v>
      </c>
      <c r="AJ77" s="35">
        <f>Registro_Ventas[[#This Row],[Precio Venta Unidad(es)]]*Registro_Ventas[[#This Row],[%Comision
Ejecutivo]]</f>
        <v>1661.45</v>
      </c>
      <c r="AK77" s="39">
        <f>Registro_Ventas[[#This Row],[Total Comision]]*50%</f>
        <v>830.72500000000002</v>
      </c>
      <c r="AL77" s="39">
        <f>Registro_Ventas[[#This Row],[Total Comision]]*50%</f>
        <v>830.72500000000002</v>
      </c>
      <c r="AM77" s="28" t="s">
        <v>152</v>
      </c>
      <c r="AN77" s="46">
        <v>46108</v>
      </c>
      <c r="AO77" s="28"/>
      <c r="AP77" s="28"/>
      <c r="AQ77" s="28"/>
      <c r="AR77" s="28"/>
      <c r="AS77" s="28"/>
      <c r="AT77" s="28" t="str">
        <f>IF(Registro_Ventas[[#This Row],[Fecha Separacion]]&lt;&gt;"",TEXT(Registro_Ventas[[#This Row],[Fecha Separacion]],"mmmm"),"")</f>
        <v>Febrero</v>
      </c>
      <c r="AU77" s="28" t="str">
        <f>IF(Registro_Ventas[[#This Row],[Firma Minuta]]&lt;&gt;"",TEXT(Registro_Ventas[[#This Row],[Firma Minuta]],"mmmm"),"")</f>
        <v>Febrero</v>
      </c>
      <c r="AV77" s="28" t="str">
        <f>IF(Registro_Ventas[[#This Row],[Firma Minuta]]&lt;&gt;"",TEXT(Registro_Ventas[[#This Row],[Firma Minuta]],"yyyy"),"")</f>
        <v>2026</v>
      </c>
      <c r="AW77" s="28" t="str">
        <f>IF(Registro_Ventas[[#This Row],[Fecha Separacion]]&lt;&gt;"",TEXT(Registro_Ventas[[#This Row],[Fecha Separacion]],"yyyy"),"")</f>
        <v>2026</v>
      </c>
      <c r="AX77" s="131">
        <f>IF(Registro_Ventas[[#This Row],[Fecha Separacion]]="","",Registro_Ventas[[#This Row],[Fecha Separacion]]-Registro_Ventas[[#This Row],[Fecha Captacion]])</f>
        <v>8</v>
      </c>
      <c r="AY77" s="131">
        <f>+IF(Registro_Ventas[[#This Row],[Firma Minuta]]="","",Registro_Ventas[[#This Row],[Firma Minuta]]-Registro_Ventas[[#This Row],[Fecha Captacion]])</f>
        <v>14</v>
      </c>
      <c r="AZ77" s="131">
        <f>+IF(Registro_Ventas[[#This Row],[Firma Minuta]]="","",Registro_Ventas[[#This Row],[Firma Minuta]]-Registro_Ventas[[#This Row],[Fecha Separacion]])</f>
        <v>6</v>
      </c>
    </row>
    <row r="78" spans="1:52" x14ac:dyDescent="0.3">
      <c r="A78" s="46" t="str">
        <f>TEXT(Registro_Ventas[[#This Row],[Fecha Captacion]],"Mmmm")</f>
        <v>Octubre</v>
      </c>
      <c r="B78" s="26">
        <v>45582</v>
      </c>
      <c r="C78" s="26" t="s">
        <v>11</v>
      </c>
      <c r="D78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78" s="27" t="s">
        <v>31</v>
      </c>
      <c r="F78" s="28" t="s">
        <v>12</v>
      </c>
      <c r="G78" s="27" t="s">
        <v>48</v>
      </c>
      <c r="H78" s="29">
        <v>705</v>
      </c>
      <c r="I78" s="30">
        <v>69</v>
      </c>
      <c r="J78" s="31">
        <v>496000</v>
      </c>
      <c r="K78" s="32"/>
      <c r="L78" s="33"/>
      <c r="M78" s="31"/>
      <c r="N78" s="31"/>
      <c r="O78" s="33"/>
      <c r="P78" s="31"/>
      <c r="Q78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705</v>
      </c>
      <c r="R78" s="31">
        <f>Registro_Ventas[[#This Row],[Precio Venta Departamento]]+Registro_Ventas[[#This Row],[Precio Venta Estacionamiento]]+Registro_Ventas[[#This Row],[Precio Venta Depósito]]</f>
        <v>496000</v>
      </c>
      <c r="S78" s="35">
        <f t="shared" si="3"/>
        <v>496000</v>
      </c>
      <c r="T78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7188.405797101449</v>
      </c>
      <c r="U78" s="36">
        <f>IF(Registro_Ventas[[#This Row],[Categoria]]="Cita Agendada","",Registro_Ventas[[#This Row],[M2 PEN]]/3.8)</f>
        <v>1891.6857360793288</v>
      </c>
      <c r="V78" s="37">
        <v>45721</v>
      </c>
      <c r="W78" s="28" t="s">
        <v>307</v>
      </c>
      <c r="X78" s="45">
        <v>70270427</v>
      </c>
      <c r="Y78" s="128"/>
      <c r="Z78" s="38">
        <v>45586</v>
      </c>
      <c r="AA78" s="35">
        <v>200</v>
      </c>
      <c r="AB78" s="35">
        <f>2800+25000+7000+24800+436200</f>
        <v>495800</v>
      </c>
      <c r="AC78" s="27" t="s">
        <v>141</v>
      </c>
      <c r="AD78" s="46"/>
      <c r="AE78" s="43">
        <v>45869</v>
      </c>
      <c r="AF78" s="28"/>
      <c r="AG78" s="28"/>
      <c r="AH78" s="28"/>
      <c r="AI78" s="173"/>
      <c r="AJ78" s="35">
        <f>Registro_Ventas[[#This Row],[Precio Venta Unidad(es)]]*Registro_Ventas[[#This Row],[%Comision
Ejecutivo]]</f>
        <v>0</v>
      </c>
      <c r="AK78" s="39">
        <f>Registro_Ventas[[#This Row],[Total Comision]]*30%</f>
        <v>0</v>
      </c>
      <c r="AL78" s="40"/>
      <c r="AM78" s="28"/>
      <c r="AN78" s="28"/>
      <c r="AO78" s="28"/>
      <c r="AP78" s="28"/>
      <c r="AQ78" s="28"/>
      <c r="AR78" s="28"/>
      <c r="AS78" s="28"/>
      <c r="AT78" s="28" t="str">
        <f>IF(Registro_Ventas[[#This Row],[Fecha Separacion]]&lt;&gt;"",TEXT(Registro_Ventas[[#This Row],[Fecha Separacion]],"mmmm"),"")</f>
        <v>Octubre</v>
      </c>
      <c r="AU78" s="28" t="str">
        <f>IF(Registro_Ventas[[#This Row],[Firma Minuta]]&lt;&gt;"",TEXT(Registro_Ventas[[#This Row],[Firma Minuta]],"mmmm"),"")</f>
        <v>Marzo</v>
      </c>
      <c r="AV78" s="28" t="str">
        <f>IF(Registro_Ventas[[#This Row],[Firma Minuta]]&lt;&gt;"",TEXT(Registro_Ventas[[#This Row],[Firma Minuta]],"yyyy"),"")</f>
        <v>2025</v>
      </c>
      <c r="AW78" s="28" t="str">
        <f>IF(Registro_Ventas[[#This Row],[Fecha Separacion]]&lt;&gt;"",TEXT(Registro_Ventas[[#This Row],[Fecha Separacion]],"yyyy"),"")</f>
        <v>2024</v>
      </c>
      <c r="AX78" s="131">
        <f>IF(Registro_Ventas[[#This Row],[Fecha Separacion]]="","",Registro_Ventas[[#This Row],[Fecha Separacion]]-Registro_Ventas[[#This Row],[Fecha Captacion]])</f>
        <v>4</v>
      </c>
      <c r="AY78" s="131">
        <f>+IF(Registro_Ventas[[#This Row],[Firma Minuta]]="","",Registro_Ventas[[#This Row],[Firma Minuta]]-Registro_Ventas[[#This Row],[Fecha Captacion]])</f>
        <v>139</v>
      </c>
      <c r="AZ78" s="131">
        <f>+IF(Registro_Ventas[[#This Row],[Firma Minuta]]="","",Registro_Ventas[[#This Row],[Firma Minuta]]-Registro_Ventas[[#This Row],[Fecha Separacion]])</f>
        <v>135</v>
      </c>
    </row>
    <row r="79" spans="1:52" s="162" customFormat="1" x14ac:dyDescent="0.3">
      <c r="A79" s="46" t="str">
        <f>TEXT(Registro_Ventas[[#This Row],[Fecha Captacion]],"Mmmm")</f>
        <v>Junio</v>
      </c>
      <c r="B79" s="26">
        <v>45815</v>
      </c>
      <c r="C79" s="26" t="s">
        <v>11</v>
      </c>
      <c r="D79" s="15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79" s="153" t="s">
        <v>31</v>
      </c>
      <c r="F79" s="154" t="s">
        <v>12</v>
      </c>
      <c r="G79" s="153" t="s">
        <v>48</v>
      </c>
      <c r="H79" s="29">
        <v>801</v>
      </c>
      <c r="I79" s="30">
        <v>84</v>
      </c>
      <c r="J79" s="31">
        <v>630000</v>
      </c>
      <c r="K79" s="32"/>
      <c r="L79" s="33"/>
      <c r="M79" s="31"/>
      <c r="N79" s="31"/>
      <c r="O79" s="33"/>
      <c r="P79" s="31"/>
      <c r="Q79" s="15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801</v>
      </c>
      <c r="R79" s="156">
        <f>Registro_Ventas[[#This Row],[Precio Venta Departamento]]+Registro_Ventas[[#This Row],[Precio Venta Estacionamiento]]+Registro_Ventas[[#This Row],[Precio Venta Depósito]]</f>
        <v>630000</v>
      </c>
      <c r="S79" s="157">
        <f t="shared" si="3"/>
        <v>630000</v>
      </c>
      <c r="T79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7500</v>
      </c>
      <c r="U79" s="36">
        <f>IF(Registro_Ventas[[#This Row],[Categoria]]="Cita Agendada","",Registro_Ventas[[#This Row],[M2 PEN]]/3.8)</f>
        <v>1973.6842105263158</v>
      </c>
      <c r="V79" s="158">
        <v>45880</v>
      </c>
      <c r="W79" s="154" t="s">
        <v>308</v>
      </c>
      <c r="X79" s="159">
        <v>44457800</v>
      </c>
      <c r="Y79" s="180"/>
      <c r="Z79" s="160">
        <v>45829</v>
      </c>
      <c r="AA79" s="157">
        <v>3000</v>
      </c>
      <c r="AB79" s="157">
        <f>50000+50000+23000+504000</f>
        <v>627000</v>
      </c>
      <c r="AC79" s="153" t="s">
        <v>141</v>
      </c>
      <c r="AD79" s="46"/>
      <c r="AE79" s="161">
        <v>46021</v>
      </c>
      <c r="AF79" s="154"/>
      <c r="AG79" s="154"/>
      <c r="AH79" s="28"/>
      <c r="AI79" s="173"/>
      <c r="AJ79" s="35">
        <f>Registro_Ventas[[#This Row],[Precio Venta Unidad(es)]]*Registro_Ventas[[#This Row],[%Comision
Ejecutivo]]</f>
        <v>0</v>
      </c>
      <c r="AK79" s="39">
        <f>Registro_Ventas[[#This Row],[Total Comision]]*30%</f>
        <v>0</v>
      </c>
      <c r="AL79" s="40"/>
      <c r="AM79" s="28"/>
      <c r="AN79" s="28"/>
      <c r="AO79" s="28"/>
      <c r="AP79" s="28"/>
      <c r="AQ79" s="28"/>
      <c r="AR79" s="28"/>
      <c r="AS79" s="154"/>
      <c r="AT79" s="28" t="str">
        <f>IF(Registro_Ventas[[#This Row],[Fecha Separacion]]&lt;&gt;"",TEXT(Registro_Ventas[[#This Row],[Fecha Separacion]],"mmmm"),"")</f>
        <v>Junio</v>
      </c>
      <c r="AU79" s="28" t="str">
        <f>IF(Registro_Ventas[[#This Row],[Firma Minuta]]&lt;&gt;"",TEXT(Registro_Ventas[[#This Row],[Firma Minuta]],"mmmm"),"")</f>
        <v>Agosto</v>
      </c>
      <c r="AV79" s="28" t="str">
        <f>IF(Registro_Ventas[[#This Row],[Firma Minuta]]&lt;&gt;"",TEXT(Registro_Ventas[[#This Row],[Firma Minuta]],"yyyy"),"")</f>
        <v>2025</v>
      </c>
      <c r="AW79" s="28" t="str">
        <f>IF(Registro_Ventas[[#This Row],[Fecha Separacion]]&lt;&gt;"",TEXT(Registro_Ventas[[#This Row],[Fecha Separacion]],"yyyy"),"")</f>
        <v>2025</v>
      </c>
      <c r="AX79" s="131">
        <f>IF(Registro_Ventas[[#This Row],[Fecha Separacion]]="","",Registro_Ventas[[#This Row],[Fecha Separacion]]-Registro_Ventas[[#This Row],[Fecha Captacion]])</f>
        <v>14</v>
      </c>
      <c r="AY79" s="131">
        <f>+IF(Registro_Ventas[[#This Row],[Firma Minuta]]="","",Registro_Ventas[[#This Row],[Firma Minuta]]-Registro_Ventas[[#This Row],[Fecha Captacion]])</f>
        <v>65</v>
      </c>
      <c r="AZ79" s="131">
        <f>+IF(Registro_Ventas[[#This Row],[Firma Minuta]]="","",Registro_Ventas[[#This Row],[Firma Minuta]]-Registro_Ventas[[#This Row],[Fecha Separacion]])</f>
        <v>51</v>
      </c>
    </row>
    <row r="80" spans="1:52" x14ac:dyDescent="0.3">
      <c r="A80" s="46" t="str">
        <f>TEXT(Registro_Ventas[[#This Row],[Fecha Captacion]],"Mmmm")</f>
        <v>Mayo</v>
      </c>
      <c r="B80" s="26">
        <v>45787</v>
      </c>
      <c r="C80" s="26" t="s">
        <v>11</v>
      </c>
      <c r="D80" s="14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80" s="143" t="s">
        <v>31</v>
      </c>
      <c r="F80" s="144" t="s">
        <v>12</v>
      </c>
      <c r="G80" s="143" t="s">
        <v>48</v>
      </c>
      <c r="H80" s="29">
        <v>802</v>
      </c>
      <c r="I80" s="30">
        <v>56</v>
      </c>
      <c r="J80" s="31">
        <v>420000</v>
      </c>
      <c r="K80" s="32"/>
      <c r="L80" s="33"/>
      <c r="M80" s="31"/>
      <c r="N80" s="31"/>
      <c r="O80" s="33"/>
      <c r="P80" s="31"/>
      <c r="Q80" s="14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802</v>
      </c>
      <c r="R80" s="146">
        <f>Registro_Ventas[[#This Row],[Precio Venta Departamento]]+Registro_Ventas[[#This Row],[Precio Venta Estacionamiento]]+Registro_Ventas[[#This Row],[Precio Venta Depósito]]</f>
        <v>420000</v>
      </c>
      <c r="S80" s="147">
        <f t="shared" si="3"/>
        <v>12400</v>
      </c>
      <c r="T80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7500</v>
      </c>
      <c r="U80" s="36">
        <f>IF(Registro_Ventas[[#This Row],[Categoria]]="Cita Agendada","",Registro_Ventas[[#This Row],[M2 PEN]]/3.8)</f>
        <v>1973.6842105263158</v>
      </c>
      <c r="V80" s="148">
        <v>45831</v>
      </c>
      <c r="W80" s="144" t="s">
        <v>309</v>
      </c>
      <c r="X80" s="149">
        <v>42539680</v>
      </c>
      <c r="Y80" s="182"/>
      <c r="Z80" s="150">
        <v>45815</v>
      </c>
      <c r="AA80" s="147">
        <v>3000</v>
      </c>
      <c r="AB80" s="147">
        <v>9400</v>
      </c>
      <c r="AC80" s="143" t="s">
        <v>141</v>
      </c>
      <c r="AD80" s="46"/>
      <c r="AE80" s="151">
        <v>46021</v>
      </c>
      <c r="AF80" s="144" t="s">
        <v>142</v>
      </c>
      <c r="AG80" s="144"/>
      <c r="AH80" s="28"/>
      <c r="AI80" s="173"/>
      <c r="AJ80" s="35">
        <f>Registro_Ventas[[#This Row],[Precio Venta Unidad(es)]]*Registro_Ventas[[#This Row],[%Comision
Ejecutivo]]</f>
        <v>0</v>
      </c>
      <c r="AK80" s="39">
        <f>Registro_Ventas[[#This Row],[Total Comision]]*30%</f>
        <v>0</v>
      </c>
      <c r="AL80" s="40"/>
      <c r="AM80" s="28"/>
      <c r="AN80" s="28"/>
      <c r="AO80" s="28"/>
      <c r="AP80" s="28"/>
      <c r="AQ80" s="28"/>
      <c r="AR80" s="28"/>
      <c r="AS80" s="144"/>
      <c r="AT80" s="28" t="str">
        <f>IF(Registro_Ventas[[#This Row],[Fecha Separacion]]&lt;&gt;"",TEXT(Registro_Ventas[[#This Row],[Fecha Separacion]],"mmmm"),"")</f>
        <v>Junio</v>
      </c>
      <c r="AU80" s="28" t="str">
        <f>IF(Registro_Ventas[[#This Row],[Firma Minuta]]&lt;&gt;"",TEXT(Registro_Ventas[[#This Row],[Firma Minuta]],"mmmm"),"")</f>
        <v>Junio</v>
      </c>
      <c r="AV80" s="28" t="str">
        <f>IF(Registro_Ventas[[#This Row],[Firma Minuta]]&lt;&gt;"",TEXT(Registro_Ventas[[#This Row],[Firma Minuta]],"yyyy"),"")</f>
        <v>2025</v>
      </c>
      <c r="AW80" s="28" t="str">
        <f>IF(Registro_Ventas[[#This Row],[Fecha Separacion]]&lt;&gt;"",TEXT(Registro_Ventas[[#This Row],[Fecha Separacion]],"yyyy"),"")</f>
        <v>2025</v>
      </c>
      <c r="AX80" s="131">
        <f>IF(Registro_Ventas[[#This Row],[Fecha Separacion]]="","",Registro_Ventas[[#This Row],[Fecha Separacion]]-Registro_Ventas[[#This Row],[Fecha Captacion]])</f>
        <v>28</v>
      </c>
      <c r="AY80" s="131">
        <f>+IF(Registro_Ventas[[#This Row],[Firma Minuta]]="","",Registro_Ventas[[#This Row],[Firma Minuta]]-Registro_Ventas[[#This Row],[Fecha Captacion]])</f>
        <v>44</v>
      </c>
      <c r="AZ80" s="131">
        <f>+IF(Registro_Ventas[[#This Row],[Firma Minuta]]="","",Registro_Ventas[[#This Row],[Firma Minuta]]-Registro_Ventas[[#This Row],[Fecha Separacion]])</f>
        <v>16</v>
      </c>
    </row>
    <row r="81" spans="1:52" x14ac:dyDescent="0.3">
      <c r="A81" s="46" t="str">
        <f>TEXT(Registro_Ventas[[#This Row],[Fecha Captacion]],"Mmmm")</f>
        <v>Junio</v>
      </c>
      <c r="B81" s="26">
        <v>45812</v>
      </c>
      <c r="C81" s="26" t="s">
        <v>11</v>
      </c>
      <c r="D81" s="134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81" s="134" t="s">
        <v>31</v>
      </c>
      <c r="F81" s="135" t="s">
        <v>17</v>
      </c>
      <c r="G81" s="134" t="s">
        <v>46</v>
      </c>
      <c r="H81" s="29">
        <v>803</v>
      </c>
      <c r="I81" s="30">
        <v>88</v>
      </c>
      <c r="J81" s="31">
        <v>654000</v>
      </c>
      <c r="K81" s="32" t="s">
        <v>310</v>
      </c>
      <c r="L81" s="33">
        <f>15.3+19.5</f>
        <v>34.799999999999997</v>
      </c>
      <c r="M81" s="31">
        <f>55800+60000</f>
        <v>115800</v>
      </c>
      <c r="N81" s="31"/>
      <c r="O81" s="33"/>
      <c r="P81" s="31"/>
      <c r="Q81" s="136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803 / E32/D24/E33/D25</v>
      </c>
      <c r="R81" s="137">
        <f>Registro_Ventas[[#This Row],[Precio Venta Departamento]]+Registro_Ventas[[#This Row],[Precio Venta Estacionamiento]]+Registro_Ventas[[#This Row],[Precio Venta Depósito]]</f>
        <v>769800</v>
      </c>
      <c r="S81" s="138">
        <f t="shared" si="3"/>
        <v>637834.29999999993</v>
      </c>
      <c r="T81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6268.7296416938116</v>
      </c>
      <c r="U81" s="36">
        <f>IF(Registro_Ventas[[#This Row],[Categoria]]="Cita Agendada","",Registro_Ventas[[#This Row],[M2 PEN]]/3.8)</f>
        <v>1649.6656951825821</v>
      </c>
      <c r="V81" s="139">
        <v>45863</v>
      </c>
      <c r="W81" s="135" t="s">
        <v>311</v>
      </c>
      <c r="X81" s="140">
        <v>22079563</v>
      </c>
      <c r="Y81" s="181"/>
      <c r="Z81" s="141">
        <v>45813</v>
      </c>
      <c r="AA81" s="138">
        <v>3000</v>
      </c>
      <c r="AB81" s="138">
        <f>249200+55720+65982.86+65982.86+65982.86+65982.86+65982.86</f>
        <v>634834.29999999993</v>
      </c>
      <c r="AC81" s="134" t="s">
        <v>141</v>
      </c>
      <c r="AD81" s="46"/>
      <c r="AE81" s="91">
        <v>46096</v>
      </c>
      <c r="AF81" s="135"/>
      <c r="AG81" s="135"/>
      <c r="AH81" s="28"/>
      <c r="AI81" s="173"/>
      <c r="AJ81" s="35">
        <f>Registro_Ventas[[#This Row],[Precio Venta Unidad(es)]]*Registro_Ventas[[#This Row],[%Comision
Ejecutivo]]</f>
        <v>0</v>
      </c>
      <c r="AK81" s="39">
        <f>Registro_Ventas[[#This Row],[Total Comision]]*30%</f>
        <v>0</v>
      </c>
      <c r="AL81" s="40"/>
      <c r="AM81" s="28"/>
      <c r="AN81" s="28"/>
      <c r="AO81" s="28"/>
      <c r="AP81" s="28"/>
      <c r="AQ81" s="28"/>
      <c r="AR81" s="28"/>
      <c r="AS81" s="135"/>
      <c r="AT81" s="28" t="str">
        <f>IF(Registro_Ventas[[#This Row],[Fecha Separacion]]&lt;&gt;"",TEXT(Registro_Ventas[[#This Row],[Fecha Separacion]],"mmmm"),"")</f>
        <v>Junio</v>
      </c>
      <c r="AU81" s="28" t="str">
        <f>IF(Registro_Ventas[[#This Row],[Firma Minuta]]&lt;&gt;"",TEXT(Registro_Ventas[[#This Row],[Firma Minuta]],"mmmm"),"")</f>
        <v>Julio</v>
      </c>
      <c r="AV81" s="28" t="str">
        <f>IF(Registro_Ventas[[#This Row],[Firma Minuta]]&lt;&gt;"",TEXT(Registro_Ventas[[#This Row],[Firma Minuta]],"yyyy"),"")</f>
        <v>2025</v>
      </c>
      <c r="AW81" s="28" t="str">
        <f>IF(Registro_Ventas[[#This Row],[Fecha Separacion]]&lt;&gt;"",TEXT(Registro_Ventas[[#This Row],[Fecha Separacion]],"yyyy"),"")</f>
        <v>2025</v>
      </c>
      <c r="AX81" s="131">
        <f>IF(Registro_Ventas[[#This Row],[Fecha Separacion]]="","",Registro_Ventas[[#This Row],[Fecha Separacion]]-Registro_Ventas[[#This Row],[Fecha Captacion]])</f>
        <v>1</v>
      </c>
      <c r="AY81" s="131">
        <f>+IF(Registro_Ventas[[#This Row],[Firma Minuta]]="","",Registro_Ventas[[#This Row],[Firma Minuta]]-Registro_Ventas[[#This Row],[Fecha Captacion]])</f>
        <v>51</v>
      </c>
      <c r="AZ81" s="131">
        <f>+IF(Registro_Ventas[[#This Row],[Firma Minuta]]="","",Registro_Ventas[[#This Row],[Firma Minuta]]-Registro_Ventas[[#This Row],[Fecha Separacion]])</f>
        <v>50</v>
      </c>
    </row>
    <row r="82" spans="1:52" x14ac:dyDescent="0.3">
      <c r="A82" s="46" t="str">
        <f>TEXT(Registro_Ventas[[#This Row],[Fecha Captacion]],"Mmmm")</f>
        <v>Febrero</v>
      </c>
      <c r="B82" s="26">
        <v>46067</v>
      </c>
      <c r="C82" s="26" t="s">
        <v>16</v>
      </c>
      <c r="D82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82" s="27" t="s">
        <v>30</v>
      </c>
      <c r="F82" s="28" t="s">
        <v>25</v>
      </c>
      <c r="G82" s="27" t="s">
        <v>47</v>
      </c>
      <c r="H82" s="29">
        <v>704</v>
      </c>
      <c r="I82" s="30">
        <v>67</v>
      </c>
      <c r="J82" s="31">
        <v>468000</v>
      </c>
      <c r="K82" s="32"/>
      <c r="L82" s="33"/>
      <c r="M82" s="31"/>
      <c r="N82" s="31"/>
      <c r="O82" s="33"/>
      <c r="P82" s="31"/>
      <c r="Q82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704</v>
      </c>
      <c r="R82" s="31">
        <f>Registro_Ventas[[#This Row],[Precio Venta Departamento]]+Registro_Ventas[[#This Row],[Precio Venta Estacionamiento]]+Registro_Ventas[[#This Row],[Precio Venta Depósito]]</f>
        <v>468000</v>
      </c>
      <c r="S82" s="35">
        <f t="shared" si="3"/>
        <v>23567.5</v>
      </c>
      <c r="T82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6985.0746268656712</v>
      </c>
      <c r="U82" s="36">
        <f>IF(Registro_Ventas[[#This Row],[Categoria]]="Cita Agendada","",Registro_Ventas[[#This Row],[M2 PEN]]/3.8)</f>
        <v>1838.1775333857031</v>
      </c>
      <c r="V82" s="37">
        <v>46081</v>
      </c>
      <c r="W82" s="28" t="s">
        <v>306</v>
      </c>
      <c r="X82" s="27">
        <v>41639626</v>
      </c>
      <c r="Y82" s="37"/>
      <c r="Z82" s="38">
        <v>46075</v>
      </c>
      <c r="AA82" s="35">
        <v>2500</v>
      </c>
      <c r="AB82" s="35">
        <f>5000+16067.5</f>
        <v>21067.5</v>
      </c>
      <c r="AC82" s="27" t="s">
        <v>159</v>
      </c>
      <c r="AD82" s="46"/>
      <c r="AE82" s="43">
        <v>46142</v>
      </c>
      <c r="AF82" s="28" t="s">
        <v>160</v>
      </c>
      <c r="AG82" s="28"/>
      <c r="AH82" s="28"/>
      <c r="AI82" s="173">
        <v>3.5000000000000001E-3</v>
      </c>
      <c r="AJ82" s="35">
        <f>Registro_Ventas[[#This Row],[Precio Venta Unidad(es)]]*Registro_Ventas[[#This Row],[%Comision
Ejecutivo]]</f>
        <v>1638</v>
      </c>
      <c r="AK82" s="39">
        <f>Registro_Ventas[[#This Row],[Total Comision]]*50%</f>
        <v>819</v>
      </c>
      <c r="AL82" s="39">
        <f>Registro_Ventas[[#This Row],[Total Comision]]*50%</f>
        <v>819</v>
      </c>
      <c r="AM82" s="28" t="s">
        <v>152</v>
      </c>
      <c r="AN82" s="46">
        <v>46108</v>
      </c>
      <c r="AO82" s="28"/>
      <c r="AP82" s="28"/>
      <c r="AQ82" s="28"/>
      <c r="AR82" s="28"/>
      <c r="AS82" s="28"/>
      <c r="AT82" s="28" t="str">
        <f>IF(Registro_Ventas[[#This Row],[Fecha Separacion]]&lt;&gt;"",TEXT(Registro_Ventas[[#This Row],[Fecha Separacion]],"mmmm"),"")</f>
        <v>Febrero</v>
      </c>
      <c r="AU82" s="28" t="str">
        <f>IF(Registro_Ventas[[#This Row],[Firma Minuta]]&lt;&gt;"",TEXT(Registro_Ventas[[#This Row],[Firma Minuta]],"mmmm"),"")</f>
        <v>Febrero</v>
      </c>
      <c r="AV82" s="28" t="str">
        <f>IF(Registro_Ventas[[#This Row],[Firma Minuta]]&lt;&gt;"",TEXT(Registro_Ventas[[#This Row],[Firma Minuta]],"yyyy"),"")</f>
        <v>2026</v>
      </c>
      <c r="AW82" s="28" t="str">
        <f>IF(Registro_Ventas[[#This Row],[Fecha Separacion]]&lt;&gt;"",TEXT(Registro_Ventas[[#This Row],[Fecha Separacion]],"yyyy"),"")</f>
        <v>2026</v>
      </c>
      <c r="AX82" s="131">
        <f>IF(Registro_Ventas[[#This Row],[Fecha Separacion]]="","",Registro_Ventas[[#This Row],[Fecha Separacion]]-Registro_Ventas[[#This Row],[Fecha Captacion]])</f>
        <v>8</v>
      </c>
      <c r="AY82" s="131">
        <f>+IF(Registro_Ventas[[#This Row],[Firma Minuta]]="","",Registro_Ventas[[#This Row],[Firma Minuta]]-Registro_Ventas[[#This Row],[Fecha Captacion]])</f>
        <v>14</v>
      </c>
      <c r="AZ82" s="131">
        <f>+IF(Registro_Ventas[[#This Row],[Firma Minuta]]="","",Registro_Ventas[[#This Row],[Firma Minuta]]-Registro_Ventas[[#This Row],[Fecha Separacion]])</f>
        <v>6</v>
      </c>
    </row>
    <row r="83" spans="1:52" x14ac:dyDescent="0.3">
      <c r="A83" s="46" t="str">
        <f>TEXT(Registro_Ventas[[#This Row],[Fecha Captacion]],"Mmmm")</f>
        <v>Febrero</v>
      </c>
      <c r="B83" s="26">
        <v>46079</v>
      </c>
      <c r="C83" s="26" t="s">
        <v>18</v>
      </c>
      <c r="D83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Desiste</v>
      </c>
      <c r="E83" s="27" t="s">
        <v>31</v>
      </c>
      <c r="F83" s="28" t="s">
        <v>25</v>
      </c>
      <c r="G83" s="27" t="s">
        <v>46</v>
      </c>
      <c r="H83" s="29">
        <v>804</v>
      </c>
      <c r="I83" s="30">
        <v>61</v>
      </c>
      <c r="J83" s="31">
        <v>430200</v>
      </c>
      <c r="K83" s="32" t="s">
        <v>312</v>
      </c>
      <c r="L83" s="33">
        <v>12.5</v>
      </c>
      <c r="M83" s="31">
        <v>48500</v>
      </c>
      <c r="N83" s="31" t="s">
        <v>313</v>
      </c>
      <c r="O83" s="33">
        <v>1.3</v>
      </c>
      <c r="P83" s="31"/>
      <c r="Q83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804 / E45 / D34</v>
      </c>
      <c r="R83" s="31">
        <f>Registro_Ventas[[#This Row],[Precio Venta Departamento]]+Registro_Ventas[[#This Row],[Precio Venta Estacionamiento]]+Registro_Ventas[[#This Row],[Precio Venta Depósito]]</f>
        <v>478700</v>
      </c>
      <c r="S83" s="35">
        <f t="shared" si="3"/>
        <v>3000</v>
      </c>
      <c r="T8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6399.7326203208559</v>
      </c>
      <c r="U83" s="36">
        <f>IF(Registro_Ventas[[#This Row],[Categoria]]="Cita Agendada","",Registro_Ventas[[#This Row],[M2 PEN]]/3.8)</f>
        <v>1684.1401632423306</v>
      </c>
      <c r="V83" s="37"/>
      <c r="W83" s="28" t="s">
        <v>314</v>
      </c>
      <c r="X83" s="27">
        <v>49052986</v>
      </c>
      <c r="Y83" s="37"/>
      <c r="Z83" s="38">
        <v>46088</v>
      </c>
      <c r="AA83" s="35">
        <v>3000</v>
      </c>
      <c r="AB83" s="35"/>
      <c r="AC83" s="27"/>
      <c r="AD83" s="46"/>
      <c r="AE83" s="43"/>
      <c r="AF83" s="28"/>
      <c r="AG83" s="28"/>
      <c r="AH83" s="28"/>
      <c r="AI83" s="169"/>
      <c r="AJ83" s="35">
        <f>Registro_Ventas[[#This Row],[Precio Venta Unidad(es)]]*Registro_Ventas[[#This Row],[%Comision
Ejecutivo]]</f>
        <v>0</v>
      </c>
      <c r="AK83" s="39">
        <f>Registro_Ventas[[#This Row],[Total Comision]]*30%</f>
        <v>0</v>
      </c>
      <c r="AL83" s="40"/>
      <c r="AM83" s="28"/>
      <c r="AN83" s="28"/>
      <c r="AO83" s="28"/>
      <c r="AP83" s="28" t="s">
        <v>315</v>
      </c>
      <c r="AQ83" s="28"/>
      <c r="AR83" s="28"/>
      <c r="AS83" s="28"/>
      <c r="AT83" s="28" t="str">
        <f>IF(Registro_Ventas[[#This Row],[Fecha Separacion]]&lt;&gt;"",TEXT(Registro_Ventas[[#This Row],[Fecha Separacion]],"mmmm"),"")</f>
        <v>Marzo</v>
      </c>
      <c r="AU83" s="28" t="str">
        <f>IF(Registro_Ventas[[#This Row],[Firma Minuta]]&lt;&gt;"",TEXT(Registro_Ventas[[#This Row],[Firma Minuta]],"mmmm"),"")</f>
        <v/>
      </c>
      <c r="AV83" s="28" t="str">
        <f>IF(Registro_Ventas[[#This Row],[Firma Minuta]]&lt;&gt;"",TEXT(Registro_Ventas[[#This Row],[Firma Minuta]],"yyyy"),"")</f>
        <v/>
      </c>
      <c r="AW83" s="28" t="str">
        <f>IF(Registro_Ventas[[#This Row],[Fecha Separacion]]&lt;&gt;"",TEXT(Registro_Ventas[[#This Row],[Fecha Separacion]],"yyyy"),"")</f>
        <v>2026</v>
      </c>
      <c r="AX83" s="131">
        <f>IF(Registro_Ventas[[#This Row],[Fecha Separacion]]="","",Registro_Ventas[[#This Row],[Fecha Separacion]]-Registro_Ventas[[#This Row],[Fecha Captacion]])</f>
        <v>9</v>
      </c>
      <c r="AY83" s="131" t="str">
        <f>+IF(Registro_Ventas[[#This Row],[Firma Minuta]]="","",Registro_Ventas[[#This Row],[Firma Minuta]]-Registro_Ventas[[#This Row],[Fecha Captacion]])</f>
        <v/>
      </c>
      <c r="AZ83" s="131" t="str">
        <f>+IF(Registro_Ventas[[#This Row],[Firma Minuta]]="","",Registro_Ventas[[#This Row],[Firma Minuta]]-Registro_Ventas[[#This Row],[Fecha Separacion]])</f>
        <v/>
      </c>
    </row>
    <row r="84" spans="1:52" x14ac:dyDescent="0.3">
      <c r="A84" s="46" t="str">
        <f>TEXT(Registro_Ventas[[#This Row],[Fecha Captacion]],"Mmmm")</f>
        <v>Junio</v>
      </c>
      <c r="B84" s="26">
        <v>45815</v>
      </c>
      <c r="C84" s="26" t="s">
        <v>11</v>
      </c>
      <c r="D84" s="14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84" s="143" t="s">
        <v>31</v>
      </c>
      <c r="F84" s="144" t="s">
        <v>12</v>
      </c>
      <c r="G84" s="143" t="s">
        <v>48</v>
      </c>
      <c r="H84" s="29">
        <v>805</v>
      </c>
      <c r="I84" s="30">
        <v>69</v>
      </c>
      <c r="J84" s="31">
        <v>470500</v>
      </c>
      <c r="K84" s="32"/>
      <c r="L84" s="33"/>
      <c r="M84" s="31"/>
      <c r="N84" s="31"/>
      <c r="O84" s="33"/>
      <c r="P84" s="31"/>
      <c r="Q84" s="14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805</v>
      </c>
      <c r="R84" s="146">
        <f>Registro_Ventas[[#This Row],[Precio Venta Departamento]]+Registro_Ventas[[#This Row],[Precio Venta Estacionamiento]]+Registro_Ventas[[#This Row],[Precio Venta Depósito]]</f>
        <v>470500</v>
      </c>
      <c r="S84" s="147">
        <f t="shared" si="3"/>
        <v>42000</v>
      </c>
      <c r="T8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6818.840579710145</v>
      </c>
      <c r="U84" s="36">
        <f>IF(Registro_Ventas[[#This Row],[Categoria]]="Cita Agendada","",Registro_Ventas[[#This Row],[M2 PEN]]/3.8)</f>
        <v>1794.4317315026699</v>
      </c>
      <c r="V84" s="148">
        <v>45829</v>
      </c>
      <c r="W84" s="144" t="s">
        <v>316</v>
      </c>
      <c r="X84" s="149">
        <v>46963168</v>
      </c>
      <c r="Y84" s="182"/>
      <c r="Z84" s="150">
        <v>45815</v>
      </c>
      <c r="AA84" s="147">
        <v>3000</v>
      </c>
      <c r="AB84" s="147">
        <v>39000</v>
      </c>
      <c r="AC84" s="143" t="s">
        <v>141</v>
      </c>
      <c r="AD84" s="46"/>
      <c r="AE84" s="151">
        <v>46053</v>
      </c>
      <c r="AF84" s="144" t="s">
        <v>142</v>
      </c>
      <c r="AG84" s="144"/>
      <c r="AH84" s="28"/>
      <c r="AI84" s="173"/>
      <c r="AJ84" s="35">
        <f>Registro_Ventas[[#This Row],[Precio Venta Unidad(es)]]*Registro_Ventas[[#This Row],[%Comision
Ejecutivo]]</f>
        <v>0</v>
      </c>
      <c r="AK84" s="39">
        <f>Registro_Ventas[[#This Row],[Total Comision]]*30%</f>
        <v>0</v>
      </c>
      <c r="AL84" s="40"/>
      <c r="AM84" s="28"/>
      <c r="AN84" s="28"/>
      <c r="AO84" s="28"/>
      <c r="AP84" s="28"/>
      <c r="AQ84" s="28"/>
      <c r="AR84" s="28"/>
      <c r="AS84" s="144"/>
      <c r="AT84" s="28" t="str">
        <f>IF(Registro_Ventas[[#This Row],[Fecha Separacion]]&lt;&gt;"",TEXT(Registro_Ventas[[#This Row],[Fecha Separacion]],"mmmm"),"")</f>
        <v>Junio</v>
      </c>
      <c r="AU84" s="28" t="str">
        <f>IF(Registro_Ventas[[#This Row],[Firma Minuta]]&lt;&gt;"",TEXT(Registro_Ventas[[#This Row],[Firma Minuta]],"mmmm"),"")</f>
        <v>Junio</v>
      </c>
      <c r="AV84" s="28" t="str">
        <f>IF(Registro_Ventas[[#This Row],[Firma Minuta]]&lt;&gt;"",TEXT(Registro_Ventas[[#This Row],[Firma Minuta]],"yyyy"),"")</f>
        <v>2025</v>
      </c>
      <c r="AW84" s="28" t="str">
        <f>IF(Registro_Ventas[[#This Row],[Fecha Separacion]]&lt;&gt;"",TEXT(Registro_Ventas[[#This Row],[Fecha Separacion]],"yyyy"),"")</f>
        <v>2025</v>
      </c>
      <c r="AX84" s="131">
        <f>IF(Registro_Ventas[[#This Row],[Fecha Separacion]]="","",Registro_Ventas[[#This Row],[Fecha Separacion]]-Registro_Ventas[[#This Row],[Fecha Captacion]])</f>
        <v>0</v>
      </c>
      <c r="AY84" s="131">
        <f>+IF(Registro_Ventas[[#This Row],[Firma Minuta]]="","",Registro_Ventas[[#This Row],[Firma Minuta]]-Registro_Ventas[[#This Row],[Fecha Captacion]])</f>
        <v>14</v>
      </c>
      <c r="AZ84" s="131">
        <f>+IF(Registro_Ventas[[#This Row],[Firma Minuta]]="","",Registro_Ventas[[#This Row],[Firma Minuta]]-Registro_Ventas[[#This Row],[Fecha Separacion]])</f>
        <v>14</v>
      </c>
    </row>
    <row r="85" spans="1:52" x14ac:dyDescent="0.3">
      <c r="A85" s="46" t="str">
        <f>TEXT(Registro_Ventas[[#This Row],[Fecha Captacion]],"Mmmm")</f>
        <v>Marzo</v>
      </c>
      <c r="B85" s="26">
        <v>46095</v>
      </c>
      <c r="C85" s="26" t="s">
        <v>66</v>
      </c>
      <c r="D85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85" s="27" t="s">
        <v>30</v>
      </c>
      <c r="F85" s="28" t="s">
        <v>12</v>
      </c>
      <c r="G85" s="27" t="s">
        <v>46</v>
      </c>
      <c r="H85" s="29">
        <v>803</v>
      </c>
      <c r="I85" s="30">
        <v>68</v>
      </c>
      <c r="J85" s="31">
        <v>476700</v>
      </c>
      <c r="K85" s="32" t="s">
        <v>207</v>
      </c>
      <c r="L85" s="33">
        <v>12.5</v>
      </c>
      <c r="M85" s="31">
        <v>48600</v>
      </c>
      <c r="N85" s="31" t="s">
        <v>204</v>
      </c>
      <c r="O85" s="33">
        <v>1.72</v>
      </c>
      <c r="P85" s="31"/>
      <c r="Q85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803 / E28 / D18</v>
      </c>
      <c r="R85" s="31">
        <f>Registro_Ventas[[#This Row],[Precio Venta Departamento]]+Registro_Ventas[[#This Row],[Precio Venta Estacionamiento]]+Registro_Ventas[[#This Row],[Precio Venta Depósito]]</f>
        <v>525300</v>
      </c>
      <c r="S85" s="35">
        <f t="shared" si="3"/>
        <v>157590</v>
      </c>
      <c r="T8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6388.9564582826561</v>
      </c>
      <c r="U85" s="36">
        <f>IF(Registro_Ventas[[#This Row],[Categoria]]="Cita Agendada","",Registro_Ventas[[#This Row],[M2 PEN]]/3.8)</f>
        <v>1681.3043311270148</v>
      </c>
      <c r="V85" s="37">
        <v>46111</v>
      </c>
      <c r="W85" s="28" t="s">
        <v>317</v>
      </c>
      <c r="X85" s="45">
        <v>21458250</v>
      </c>
      <c r="Y85" s="128"/>
      <c r="Z85" s="38">
        <v>46095</v>
      </c>
      <c r="AA85" s="35">
        <v>3000</v>
      </c>
      <c r="AB85" s="35">
        <v>154590</v>
      </c>
      <c r="AC85" s="27" t="s">
        <v>141</v>
      </c>
      <c r="AD85" s="46"/>
      <c r="AE85" s="43"/>
      <c r="AF85" s="28"/>
      <c r="AG85" s="28"/>
      <c r="AH85" s="28"/>
      <c r="AI85" s="41"/>
      <c r="AJ85" s="35">
        <f>Registro_Ventas[[#This Row],[Precio Venta Unidad(es)]]*Registro_Ventas[[#This Row],[%Comision
Ejecutivo]]</f>
        <v>0</v>
      </c>
      <c r="AK85" s="39">
        <f>Registro_Ventas[[#This Row],[Total Comision]]*30%</f>
        <v>0</v>
      </c>
      <c r="AL85" s="178"/>
      <c r="AM85" s="28"/>
      <c r="AN85" s="28"/>
      <c r="AO85" s="28"/>
      <c r="AP85" s="28"/>
      <c r="AQ85" s="28"/>
      <c r="AR85" s="28"/>
      <c r="AS85" s="28"/>
      <c r="AT85" s="28" t="str">
        <f>IF(Registro_Ventas[[#This Row],[Fecha Separacion]]&lt;&gt;"",TEXT(Registro_Ventas[[#This Row],[Fecha Separacion]],"mmmm"),"")</f>
        <v>Marzo</v>
      </c>
      <c r="AU85" s="28" t="str">
        <f>IF(Registro_Ventas[[#This Row],[Firma Minuta]]&lt;&gt;"",TEXT(Registro_Ventas[[#This Row],[Firma Minuta]],"mmmm"),"")</f>
        <v>Marzo</v>
      </c>
      <c r="AV85" s="28" t="str">
        <f>IF(Registro_Ventas[[#This Row],[Firma Minuta]]&lt;&gt;"",TEXT(Registro_Ventas[[#This Row],[Firma Minuta]],"yyyy"),"")</f>
        <v>2026</v>
      </c>
      <c r="AW85" s="28" t="str">
        <f>IF(Registro_Ventas[[#This Row],[Fecha Separacion]]&lt;&gt;"",TEXT(Registro_Ventas[[#This Row],[Fecha Separacion]],"yyyy"),"")</f>
        <v>2026</v>
      </c>
      <c r="AX85" s="131">
        <f>IF(Registro_Ventas[[#This Row],[Fecha Separacion]]="","",Registro_Ventas[[#This Row],[Fecha Separacion]]-Registro_Ventas[[#This Row],[Fecha Captacion]])</f>
        <v>0</v>
      </c>
      <c r="AY85" s="131">
        <f>+IF(Registro_Ventas[[#This Row],[Firma Minuta]]="","",Registro_Ventas[[#This Row],[Firma Minuta]]-Registro_Ventas[[#This Row],[Fecha Captacion]])</f>
        <v>16</v>
      </c>
      <c r="AZ85" s="131">
        <f>+IF(Registro_Ventas[[#This Row],[Firma Minuta]]="","",Registro_Ventas[[#This Row],[Firma Minuta]]-Registro_Ventas[[#This Row],[Fecha Separacion]])</f>
        <v>16</v>
      </c>
    </row>
    <row r="86" spans="1:52" x14ac:dyDescent="0.3">
      <c r="A86" s="46" t="str">
        <f>TEXT(Registro_Ventas[[#This Row],[Fecha Captacion]],"Mmmm")</f>
        <v>Mayo</v>
      </c>
      <c r="B86" s="26">
        <v>45799</v>
      </c>
      <c r="C86" s="26" t="s">
        <v>11</v>
      </c>
      <c r="D86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Separación</v>
      </c>
      <c r="E86" s="27" t="s">
        <v>31</v>
      </c>
      <c r="F86" s="28" t="s">
        <v>12</v>
      </c>
      <c r="G86" s="27" t="s">
        <v>47</v>
      </c>
      <c r="H86" s="29">
        <v>901</v>
      </c>
      <c r="I86" s="30">
        <v>84</v>
      </c>
      <c r="J86" s="31">
        <v>680500</v>
      </c>
      <c r="K86" s="32" t="s">
        <v>318</v>
      </c>
      <c r="L86" s="33">
        <v>15.89</v>
      </c>
      <c r="M86" s="31">
        <v>63000</v>
      </c>
      <c r="N86" s="31" t="s">
        <v>319</v>
      </c>
      <c r="O86" s="33">
        <v>2.31</v>
      </c>
      <c r="P86" s="31"/>
      <c r="Q86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901 / E34 / D26</v>
      </c>
      <c r="R86" s="31">
        <f>Registro_Ventas[[#This Row],[Precio Venta Departamento]]+Registro_Ventas[[#This Row],[Precio Venta Estacionamiento]]+Registro_Ventas[[#This Row],[Precio Venta Depósito]]</f>
        <v>743500</v>
      </c>
      <c r="S86" s="35">
        <f t="shared" si="3"/>
        <v>3000</v>
      </c>
      <c r="T8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7274.9510763209391</v>
      </c>
      <c r="U86" s="36">
        <f>IF(Registro_Ventas[[#This Row],[Categoria]]="Cita Agendada","",Registro_Ventas[[#This Row],[M2 PEN]]/3.8)</f>
        <v>1914.460809558142</v>
      </c>
      <c r="V86" s="37"/>
      <c r="W86" s="28" t="s">
        <v>320</v>
      </c>
      <c r="X86" s="27">
        <v>70332143</v>
      </c>
      <c r="Y86" s="37"/>
      <c r="Z86" s="38">
        <v>45801</v>
      </c>
      <c r="AA86" s="35">
        <v>3000</v>
      </c>
      <c r="AB86" s="35"/>
      <c r="AC86" s="27" t="s">
        <v>189</v>
      </c>
      <c r="AD86" s="43"/>
      <c r="AE86" s="43"/>
      <c r="AF86" s="28" t="s">
        <v>142</v>
      </c>
      <c r="AG86" s="28"/>
      <c r="AH86" s="28"/>
      <c r="AI86" s="169"/>
      <c r="AJ86" s="35">
        <f>Registro_Ventas[[#This Row],[Precio Venta Unidad(es)]]*Registro_Ventas[[#This Row],[%Comision
Ejecutivo]]</f>
        <v>0</v>
      </c>
      <c r="AK86" s="39">
        <f>Registro_Ventas[[#This Row],[Total Comision]]*30%</f>
        <v>0</v>
      </c>
      <c r="AL86" s="178"/>
      <c r="AM86" s="28"/>
      <c r="AN86" s="28"/>
      <c r="AO86" s="28"/>
      <c r="AP86" s="28"/>
      <c r="AQ86" s="28"/>
      <c r="AR86" s="28"/>
      <c r="AS86" s="28"/>
      <c r="AT86" s="28" t="str">
        <f>IF(Registro_Ventas[[#This Row],[Fecha Separacion]]&lt;&gt;"",TEXT(Registro_Ventas[[#This Row],[Fecha Separacion]],"mmmm"),"")</f>
        <v>Mayo</v>
      </c>
      <c r="AU86" s="28" t="str">
        <f>IF(Registro_Ventas[[#This Row],[Firma Minuta]]&lt;&gt;"",TEXT(Registro_Ventas[[#This Row],[Firma Minuta]],"mmmm"),"")</f>
        <v/>
      </c>
      <c r="AV86" s="28" t="str">
        <f>IF(Registro_Ventas[[#This Row],[Firma Minuta]]&lt;&gt;"",TEXT(Registro_Ventas[[#This Row],[Firma Minuta]],"yyyy"),"")</f>
        <v/>
      </c>
      <c r="AW86" s="28" t="str">
        <f>IF(Registro_Ventas[[#This Row],[Fecha Separacion]]&lt;&gt;"",TEXT(Registro_Ventas[[#This Row],[Fecha Separacion]],"yyyy"),"")</f>
        <v>2025</v>
      </c>
      <c r="AX86" s="131">
        <f>IF(Registro_Ventas[[#This Row],[Fecha Separacion]]="","",Registro_Ventas[[#This Row],[Fecha Separacion]]-Registro_Ventas[[#This Row],[Fecha Captacion]])</f>
        <v>2</v>
      </c>
      <c r="AY86" s="131" t="str">
        <f>+IF(Registro_Ventas[[#This Row],[Firma Minuta]]="","",Registro_Ventas[[#This Row],[Firma Minuta]]-Registro_Ventas[[#This Row],[Fecha Captacion]])</f>
        <v/>
      </c>
      <c r="AZ86" s="131" t="str">
        <f>+IF(Registro_Ventas[[#This Row],[Firma Minuta]]="","",Registro_Ventas[[#This Row],[Firma Minuta]]-Registro_Ventas[[#This Row],[Fecha Separacion]])</f>
        <v/>
      </c>
    </row>
    <row r="87" spans="1:52" x14ac:dyDescent="0.3">
      <c r="A87" s="46" t="str">
        <f>TEXT(Registro_Ventas[[#This Row],[Fecha Captacion]],"Mmmm")</f>
        <v>Noviembre</v>
      </c>
      <c r="B87" s="26">
        <v>45980</v>
      </c>
      <c r="C87" s="26" t="s">
        <v>88</v>
      </c>
      <c r="D87" s="153" t="s">
        <v>1</v>
      </c>
      <c r="E87" s="153" t="s">
        <v>31</v>
      </c>
      <c r="F87" s="154" t="s">
        <v>19</v>
      </c>
      <c r="G87" s="153" t="s">
        <v>47</v>
      </c>
      <c r="H87" s="29">
        <v>902</v>
      </c>
      <c r="I87" s="30">
        <v>56</v>
      </c>
      <c r="J87" s="31">
        <v>433500</v>
      </c>
      <c r="K87" s="32" t="s">
        <v>321</v>
      </c>
      <c r="L87" s="33">
        <v>13.27</v>
      </c>
      <c r="M87" s="31">
        <v>50500</v>
      </c>
      <c r="N87" s="31"/>
      <c r="O87" s="33"/>
      <c r="P87" s="31"/>
      <c r="Q87" s="15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902 / E43</v>
      </c>
      <c r="R87" s="156">
        <f>Registro_Ventas[[#This Row],[Precio Venta Departamento]]+Registro_Ventas[[#This Row],[Precio Venta Estacionamiento]]+Registro_Ventas[[#This Row],[Precio Venta Depósito]]</f>
        <v>484000</v>
      </c>
      <c r="S87" s="157">
        <f t="shared" si="3"/>
        <v>484000</v>
      </c>
      <c r="T87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6987.1517251335363</v>
      </c>
      <c r="U87" s="36">
        <f>IF(Registro_Ventas[[#This Row],[Categoria]]="Cita Agendada","",Registro_Ventas[[#This Row],[M2 PEN]]/3.8)</f>
        <v>1838.724138193036</v>
      </c>
      <c r="V87" s="158">
        <v>46008</v>
      </c>
      <c r="W87" s="154" t="s">
        <v>322</v>
      </c>
      <c r="X87" s="159">
        <v>76121899</v>
      </c>
      <c r="Y87" s="180"/>
      <c r="Z87" s="160">
        <v>45985</v>
      </c>
      <c r="AA87" s="157">
        <v>3000</v>
      </c>
      <c r="AB87" s="157">
        <f>45400+435600</f>
        <v>481000</v>
      </c>
      <c r="AC87" s="153" t="s">
        <v>159</v>
      </c>
      <c r="AD87" s="46"/>
      <c r="AE87" s="161">
        <v>46052</v>
      </c>
      <c r="AF87" s="154" t="s">
        <v>142</v>
      </c>
      <c r="AG87" s="154"/>
      <c r="AH87" s="28"/>
      <c r="AI87" s="173">
        <v>3.5000000000000001E-3</v>
      </c>
      <c r="AJ87" s="35">
        <f>Registro_Ventas[[#This Row],[Precio Venta Unidad(es)]]*Registro_Ventas[[#This Row],[%Comision
Ejecutivo]]</f>
        <v>1694</v>
      </c>
      <c r="AK87" s="39">
        <f>Registro_Ventas[[#This Row],[Total Comision]]*0%</f>
        <v>0</v>
      </c>
      <c r="AL87" s="39">
        <f>Registro_Ventas[[#This Row],[Total Comision]]*100%</f>
        <v>1694</v>
      </c>
      <c r="AM87" s="28" t="s">
        <v>155</v>
      </c>
      <c r="AN87" s="46">
        <v>46101</v>
      </c>
      <c r="AO87" s="28"/>
      <c r="AP87" s="28"/>
      <c r="AQ87" s="28"/>
      <c r="AR87" s="28"/>
      <c r="AS87" s="154"/>
      <c r="AT87" s="28" t="str">
        <f>IF(Registro_Ventas[[#This Row],[Fecha Separacion]]&lt;&gt;"",TEXT(Registro_Ventas[[#This Row],[Fecha Separacion]],"mmmm"),"")</f>
        <v>Noviembre</v>
      </c>
      <c r="AU87" s="28" t="str">
        <f>IF(Registro_Ventas[[#This Row],[Firma Minuta]]&lt;&gt;"",TEXT(Registro_Ventas[[#This Row],[Firma Minuta]],"mmmm"),"")</f>
        <v>Diciembre</v>
      </c>
      <c r="AV87" s="28" t="str">
        <f>IF(Registro_Ventas[[#This Row],[Firma Minuta]]&lt;&gt;"",TEXT(Registro_Ventas[[#This Row],[Firma Minuta]],"yyyy"),"")</f>
        <v>2025</v>
      </c>
      <c r="AW87" s="28" t="str">
        <f>IF(Registro_Ventas[[#This Row],[Fecha Separacion]]&lt;&gt;"",TEXT(Registro_Ventas[[#This Row],[Fecha Separacion]],"yyyy"),"")</f>
        <v>2025</v>
      </c>
      <c r="AX87" s="131">
        <f>IF(Registro_Ventas[[#This Row],[Fecha Separacion]]="","",Registro_Ventas[[#This Row],[Fecha Separacion]]-Registro_Ventas[[#This Row],[Fecha Captacion]])</f>
        <v>5</v>
      </c>
      <c r="AY87" s="131">
        <f>+IF(Registro_Ventas[[#This Row],[Firma Minuta]]="","",Registro_Ventas[[#This Row],[Firma Minuta]]-Registro_Ventas[[#This Row],[Fecha Captacion]])</f>
        <v>28</v>
      </c>
      <c r="AZ87" s="131">
        <f>+IF(Registro_Ventas[[#This Row],[Firma Minuta]]="","",Registro_Ventas[[#This Row],[Firma Minuta]]-Registro_Ventas[[#This Row],[Fecha Separacion]])</f>
        <v>23</v>
      </c>
    </row>
    <row r="88" spans="1:52" x14ac:dyDescent="0.3">
      <c r="A88" s="46" t="str">
        <f>TEXT(Registro_Ventas[[#This Row],[Fecha Captacion]],"Mmmm")</f>
        <v>Enero</v>
      </c>
      <c r="B88" s="26">
        <v>45676</v>
      </c>
      <c r="C88" s="26" t="s">
        <v>11</v>
      </c>
      <c r="D88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88" s="27" t="s">
        <v>31</v>
      </c>
      <c r="F88" s="28" t="s">
        <v>12</v>
      </c>
      <c r="G88" s="27" t="s">
        <v>47</v>
      </c>
      <c r="H88" s="29">
        <v>903</v>
      </c>
      <c r="I88" s="30">
        <v>88</v>
      </c>
      <c r="J88" s="31">
        <v>692000</v>
      </c>
      <c r="K88" s="32"/>
      <c r="L88" s="33"/>
      <c r="M88" s="31"/>
      <c r="N88" s="31"/>
      <c r="O88" s="33"/>
      <c r="P88" s="31"/>
      <c r="Q88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903</v>
      </c>
      <c r="R88" s="31">
        <f>Registro_Ventas[[#This Row],[Precio Venta Departamento]]+Registro_Ventas[[#This Row],[Precio Venta Estacionamiento]]+Registro_Ventas[[#This Row],[Precio Venta Depósito]]</f>
        <v>692000</v>
      </c>
      <c r="S88" s="35">
        <f t="shared" si="3"/>
        <v>692000</v>
      </c>
      <c r="T88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7863.636363636364</v>
      </c>
      <c r="U88" s="36">
        <f>IF(Registro_Ventas[[#This Row],[Categoria]]="Cita Agendada","",Registro_Ventas[[#This Row],[M2 PEN]]/3.8)</f>
        <v>2069.377990430622</v>
      </c>
      <c r="V88" s="37">
        <v>45734</v>
      </c>
      <c r="W88" s="28" t="s">
        <v>323</v>
      </c>
      <c r="X88" s="45">
        <v>40065933</v>
      </c>
      <c r="Y88" s="128"/>
      <c r="Z88" s="38">
        <v>45680</v>
      </c>
      <c r="AA88" s="35">
        <v>3000</v>
      </c>
      <c r="AB88" s="35">
        <f>82100+53300+553600</f>
        <v>689000</v>
      </c>
      <c r="AC88" s="27" t="s">
        <v>141</v>
      </c>
      <c r="AD88" s="46"/>
      <c r="AE88" s="43">
        <v>45833</v>
      </c>
      <c r="AF88" s="28"/>
      <c r="AG88" s="28"/>
      <c r="AH88" s="28"/>
      <c r="AI88" s="173"/>
      <c r="AJ88" s="35">
        <f>Registro_Ventas[[#This Row],[Precio Venta Unidad(es)]]*Registro_Ventas[[#This Row],[%Comision
Ejecutivo]]</f>
        <v>0</v>
      </c>
      <c r="AK88" s="39">
        <f>Registro_Ventas[[#This Row],[Total Comision]]*30%</f>
        <v>0</v>
      </c>
      <c r="AL88" s="40"/>
      <c r="AM88" s="28"/>
      <c r="AN88" s="28"/>
      <c r="AO88" s="28"/>
      <c r="AP88" s="28"/>
      <c r="AQ88" s="28"/>
      <c r="AR88" s="28"/>
      <c r="AS88" s="28"/>
      <c r="AT88" s="28" t="str">
        <f>IF(Registro_Ventas[[#This Row],[Fecha Separacion]]&lt;&gt;"",TEXT(Registro_Ventas[[#This Row],[Fecha Separacion]],"mmmm"),"")</f>
        <v>Enero</v>
      </c>
      <c r="AU88" s="28" t="str">
        <f>IF(Registro_Ventas[[#This Row],[Firma Minuta]]&lt;&gt;"",TEXT(Registro_Ventas[[#This Row],[Firma Minuta]],"mmmm"),"")</f>
        <v>Marzo</v>
      </c>
      <c r="AV88" s="28" t="str">
        <f>IF(Registro_Ventas[[#This Row],[Firma Minuta]]&lt;&gt;"",TEXT(Registro_Ventas[[#This Row],[Firma Minuta]],"yyyy"),"")</f>
        <v>2025</v>
      </c>
      <c r="AW88" s="28" t="str">
        <f>IF(Registro_Ventas[[#This Row],[Fecha Separacion]]&lt;&gt;"",TEXT(Registro_Ventas[[#This Row],[Fecha Separacion]],"yyyy"),"")</f>
        <v>2025</v>
      </c>
      <c r="AX88" s="131">
        <f>IF(Registro_Ventas[[#This Row],[Fecha Separacion]]="","",Registro_Ventas[[#This Row],[Fecha Separacion]]-Registro_Ventas[[#This Row],[Fecha Captacion]])</f>
        <v>4</v>
      </c>
      <c r="AY88" s="131">
        <f>+IF(Registro_Ventas[[#This Row],[Firma Minuta]]="","",Registro_Ventas[[#This Row],[Firma Minuta]]-Registro_Ventas[[#This Row],[Fecha Captacion]])</f>
        <v>58</v>
      </c>
      <c r="AZ88" s="131">
        <f>+IF(Registro_Ventas[[#This Row],[Firma Minuta]]="","",Registro_Ventas[[#This Row],[Firma Minuta]]-Registro_Ventas[[#This Row],[Fecha Separacion]])</f>
        <v>54</v>
      </c>
    </row>
    <row r="89" spans="1:52" x14ac:dyDescent="0.3">
      <c r="A89" s="46" t="str">
        <f>TEXT(Registro_Ventas[[#This Row],[Fecha Captacion]],"Mmmm")</f>
        <v>Diciembre</v>
      </c>
      <c r="B89" s="26">
        <v>46000</v>
      </c>
      <c r="C89" s="26" t="s">
        <v>16</v>
      </c>
      <c r="D89" s="14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89" s="143" t="s">
        <v>31</v>
      </c>
      <c r="F89" s="144" t="s">
        <v>22</v>
      </c>
      <c r="G89" s="143" t="s">
        <v>48</v>
      </c>
      <c r="H89" s="29">
        <v>904</v>
      </c>
      <c r="I89" s="30">
        <v>61</v>
      </c>
      <c r="J89" s="31">
        <v>417500</v>
      </c>
      <c r="K89" s="32"/>
      <c r="L89" s="33"/>
      <c r="M89" s="31"/>
      <c r="N89" s="31"/>
      <c r="O89" s="33"/>
      <c r="P89" s="31"/>
      <c r="Q89" s="14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904</v>
      </c>
      <c r="R89" s="146">
        <f>Registro_Ventas[[#This Row],[Precio Venta Departamento]]+Registro_Ventas[[#This Row],[Precio Venta Estacionamiento]]+Registro_Ventas[[#This Row],[Precio Venta Depósito]]</f>
        <v>417500</v>
      </c>
      <c r="S89" s="147">
        <f t="shared" si="3"/>
        <v>60000</v>
      </c>
      <c r="T89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6844.2622950819668</v>
      </c>
      <c r="U89" s="36">
        <f>IF(Registro_Ventas[[#This Row],[Categoria]]="Cita Agendada","",Registro_Ventas[[#This Row],[M2 PEN]]/3.8)</f>
        <v>1801.1216566005178</v>
      </c>
      <c r="V89" s="148">
        <v>46053</v>
      </c>
      <c r="W89" s="144" t="s">
        <v>324</v>
      </c>
      <c r="X89" s="149">
        <v>42459734</v>
      </c>
      <c r="Y89" s="182"/>
      <c r="Z89" s="150">
        <v>46027</v>
      </c>
      <c r="AA89" s="147">
        <v>30000</v>
      </c>
      <c r="AB89" s="147">
        <v>30000</v>
      </c>
      <c r="AC89" s="143" t="s">
        <v>151</v>
      </c>
      <c r="AD89" s="46"/>
      <c r="AE89" s="151">
        <v>46172</v>
      </c>
      <c r="AF89" s="144" t="s">
        <v>142</v>
      </c>
      <c r="AG89" s="144"/>
      <c r="AH89" s="28"/>
      <c r="AI89" s="173">
        <v>2.3999999999999998E-3</v>
      </c>
      <c r="AJ89" s="35">
        <f>Registro_Ventas[[#This Row],[Precio Venta Unidad(es)]]*Registro_Ventas[[#This Row],[%Comision
Ejecutivo]]</f>
        <v>1001.9999999999999</v>
      </c>
      <c r="AK89" s="39">
        <f>Registro_Ventas[[#This Row],[Total Comision]]*50%</f>
        <v>500.99999999999994</v>
      </c>
      <c r="AL89" s="39">
        <f>Registro_Ventas[[#This Row],[Total Comision]]*50%</f>
        <v>500.99999999999994</v>
      </c>
      <c r="AM89" s="28" t="s">
        <v>152</v>
      </c>
      <c r="AN89" s="46">
        <v>46080</v>
      </c>
      <c r="AO89" s="28"/>
      <c r="AP89" s="28"/>
      <c r="AQ89" s="28"/>
      <c r="AR89" s="28"/>
      <c r="AS89" s="144"/>
      <c r="AT89" s="28" t="str">
        <f>IF(Registro_Ventas[[#This Row],[Fecha Separacion]]&lt;&gt;"",TEXT(Registro_Ventas[[#This Row],[Fecha Separacion]],"mmmm"),"")</f>
        <v>Enero</v>
      </c>
      <c r="AU89" s="28" t="str">
        <f>IF(Registro_Ventas[[#This Row],[Firma Minuta]]&lt;&gt;"",TEXT(Registro_Ventas[[#This Row],[Firma Minuta]],"mmmm"),"")</f>
        <v>Enero</v>
      </c>
      <c r="AV89" s="28" t="str">
        <f>IF(Registro_Ventas[[#This Row],[Firma Minuta]]&lt;&gt;"",TEXT(Registro_Ventas[[#This Row],[Firma Minuta]],"yyyy"),"")</f>
        <v>2026</v>
      </c>
      <c r="AW89" s="28" t="str">
        <f>IF(Registro_Ventas[[#This Row],[Fecha Separacion]]&lt;&gt;"",TEXT(Registro_Ventas[[#This Row],[Fecha Separacion]],"yyyy"),"")</f>
        <v>2026</v>
      </c>
      <c r="AX89" s="131">
        <f>IF(Registro_Ventas[[#This Row],[Fecha Separacion]]="","",Registro_Ventas[[#This Row],[Fecha Separacion]]-Registro_Ventas[[#This Row],[Fecha Captacion]])</f>
        <v>27</v>
      </c>
      <c r="AY89" s="131">
        <f>+IF(Registro_Ventas[[#This Row],[Firma Minuta]]="","",Registro_Ventas[[#This Row],[Firma Minuta]]-Registro_Ventas[[#This Row],[Fecha Captacion]])</f>
        <v>53</v>
      </c>
      <c r="AZ89" s="131">
        <f>+IF(Registro_Ventas[[#This Row],[Firma Minuta]]="","",Registro_Ventas[[#This Row],[Firma Minuta]]-Registro_Ventas[[#This Row],[Fecha Separacion]])</f>
        <v>26</v>
      </c>
    </row>
    <row r="90" spans="1:52" x14ac:dyDescent="0.3">
      <c r="A90" s="46" t="str">
        <f>TEXT(Registro_Ventas[[#This Row],[Fecha Captacion]],"Mmmm")</f>
        <v>Enero</v>
      </c>
      <c r="B90" s="26">
        <v>46026</v>
      </c>
      <c r="C90" s="26" t="s">
        <v>11</v>
      </c>
      <c r="D90" s="16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90" s="163" t="s">
        <v>31</v>
      </c>
      <c r="F90" s="154" t="s">
        <v>24</v>
      </c>
      <c r="G90" s="153" t="s">
        <v>47</v>
      </c>
      <c r="H90" s="29">
        <v>905</v>
      </c>
      <c r="I90" s="30">
        <v>69</v>
      </c>
      <c r="J90" s="31">
        <f>535000-46000</f>
        <v>489000</v>
      </c>
      <c r="K90" s="32" t="s">
        <v>325</v>
      </c>
      <c r="L90" s="33">
        <v>12.51</v>
      </c>
      <c r="M90" s="31">
        <v>46000</v>
      </c>
      <c r="N90" s="31"/>
      <c r="O90" s="33"/>
      <c r="P90" s="31"/>
      <c r="Q90" s="15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905 / E36</v>
      </c>
      <c r="R90" s="164">
        <f>Registro_Ventas[[#This Row],[Precio Venta Departamento]]+Registro_Ventas[[#This Row],[Precio Venta Estacionamiento]]+Registro_Ventas[[#This Row],[Precio Venta Depósito]]</f>
        <v>535000</v>
      </c>
      <c r="S90" s="165">
        <f t="shared" si="3"/>
        <v>535000</v>
      </c>
      <c r="T90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6563.6118267697211</v>
      </c>
      <c r="U90" s="36">
        <f>IF(Registro_Ventas[[#This Row],[Categoria]]="Cita Agendada","",Registro_Ventas[[#This Row],[M2 PEN]]/3.8)</f>
        <v>1727.2662702025582</v>
      </c>
      <c r="V90" s="158">
        <v>46034</v>
      </c>
      <c r="W90" s="154" t="s">
        <v>326</v>
      </c>
      <c r="X90" s="159" t="s">
        <v>327</v>
      </c>
      <c r="Y90" s="180"/>
      <c r="Z90" s="160">
        <v>46026</v>
      </c>
      <c r="AA90" s="157">
        <v>3000</v>
      </c>
      <c r="AB90" s="157">
        <f>50500+481500</f>
        <v>532000</v>
      </c>
      <c r="AC90" s="153" t="s">
        <v>159</v>
      </c>
      <c r="AD90" s="46"/>
      <c r="AE90" s="161">
        <v>46052</v>
      </c>
      <c r="AF90" s="166" t="s">
        <v>328</v>
      </c>
      <c r="AG90" s="166"/>
      <c r="AH90" s="28"/>
      <c r="AI90" s="173">
        <v>4.4999999999999997E-3</v>
      </c>
      <c r="AJ90" s="35">
        <f>Registro_Ventas[[#This Row],[Precio Venta Unidad(es)]]*Registro_Ventas[[#This Row],[%Comision
Ejecutivo]]</f>
        <v>2407.5</v>
      </c>
      <c r="AK90" s="39">
        <f>Registro_Ventas[[#This Row],[Total Comision]]*100%</f>
        <v>2407.5</v>
      </c>
      <c r="AL90" s="39">
        <f>Registro_Ventas[[#This Row],[Total Comision]]*0%</f>
        <v>0</v>
      </c>
      <c r="AM90" s="28" t="s">
        <v>152</v>
      </c>
      <c r="AN90" s="46">
        <v>46068</v>
      </c>
      <c r="AO90" s="28"/>
      <c r="AP90" s="28"/>
      <c r="AQ90" s="28"/>
      <c r="AR90" s="28"/>
      <c r="AS90" s="154"/>
      <c r="AT90" s="28" t="str">
        <f>IF(Registro_Ventas[[#This Row],[Fecha Separacion]]&lt;&gt;"",TEXT(Registro_Ventas[[#This Row],[Fecha Separacion]],"mmmm"),"")</f>
        <v>Enero</v>
      </c>
      <c r="AU90" s="28" t="str">
        <f>IF(Registro_Ventas[[#This Row],[Firma Minuta]]&lt;&gt;"",TEXT(Registro_Ventas[[#This Row],[Firma Minuta]],"mmmm"),"")</f>
        <v>Enero</v>
      </c>
      <c r="AV90" s="28" t="str">
        <f>IF(Registro_Ventas[[#This Row],[Firma Minuta]]&lt;&gt;"",TEXT(Registro_Ventas[[#This Row],[Firma Minuta]],"yyyy"),"")</f>
        <v>2026</v>
      </c>
      <c r="AW90" s="28" t="str">
        <f>IF(Registro_Ventas[[#This Row],[Fecha Separacion]]&lt;&gt;"",TEXT(Registro_Ventas[[#This Row],[Fecha Separacion]],"yyyy"),"")</f>
        <v>2026</v>
      </c>
      <c r="AX90" s="131">
        <f>IF(Registro_Ventas[[#This Row],[Fecha Separacion]]="","",Registro_Ventas[[#This Row],[Fecha Separacion]]-Registro_Ventas[[#This Row],[Fecha Captacion]])</f>
        <v>0</v>
      </c>
      <c r="AY90" s="131">
        <f>+IF(Registro_Ventas[[#This Row],[Firma Minuta]]="","",Registro_Ventas[[#This Row],[Firma Minuta]]-Registro_Ventas[[#This Row],[Fecha Captacion]])</f>
        <v>8</v>
      </c>
      <c r="AZ90" s="131">
        <f>+IF(Registro_Ventas[[#This Row],[Firma Minuta]]="","",Registro_Ventas[[#This Row],[Firma Minuta]]-Registro_Ventas[[#This Row],[Fecha Separacion]])</f>
        <v>8</v>
      </c>
    </row>
    <row r="91" spans="1:52" x14ac:dyDescent="0.3">
      <c r="A91" s="46" t="str">
        <f>TEXT(Registro_Ventas[[#This Row],[Fecha Captacion]],"Mmmm")</f>
        <v>Diciembre</v>
      </c>
      <c r="B91" s="26">
        <v>46007</v>
      </c>
      <c r="C91" s="26" t="s">
        <v>16</v>
      </c>
      <c r="D91" s="29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91" s="29" t="s">
        <v>30</v>
      </c>
      <c r="F91" s="28" t="s">
        <v>12</v>
      </c>
      <c r="G91" s="27" t="s">
        <v>47</v>
      </c>
      <c r="H91" s="29">
        <v>805</v>
      </c>
      <c r="I91" s="30">
        <v>72</v>
      </c>
      <c r="J91" s="31">
        <f>532100-46800</f>
        <v>485300</v>
      </c>
      <c r="K91" s="32" t="s">
        <v>329</v>
      </c>
      <c r="L91" s="33">
        <v>12.5</v>
      </c>
      <c r="M91" s="31">
        <v>46800</v>
      </c>
      <c r="N91" s="31"/>
      <c r="O91" s="33"/>
      <c r="P91" s="31"/>
      <c r="Q91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805 / E18</v>
      </c>
      <c r="R91" s="88">
        <f>Registro_Ventas[[#This Row],[Precio Venta Departamento]]+Registro_Ventas[[#This Row],[Precio Venta Estacionamiento]]+Registro_Ventas[[#This Row],[Precio Venta Depósito]]</f>
        <v>532100</v>
      </c>
      <c r="S91" s="89">
        <f t="shared" si="3"/>
        <v>53210</v>
      </c>
      <c r="T91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6297.041420118343</v>
      </c>
      <c r="U91" s="36">
        <f>IF(Registro_Ventas[[#This Row],[Categoria]]="Cita Agendada","",Registro_Ventas[[#This Row],[M2 PEN]]/3.8)</f>
        <v>1657.1161631890377</v>
      </c>
      <c r="V91" s="37">
        <v>46039</v>
      </c>
      <c r="W91" s="28" t="s">
        <v>330</v>
      </c>
      <c r="X91" s="45">
        <v>40870103</v>
      </c>
      <c r="Y91" s="128"/>
      <c r="Z91" s="38">
        <v>46017</v>
      </c>
      <c r="AA91" s="35">
        <v>3000</v>
      </c>
      <c r="AB91" s="35">
        <f>20210+30000</f>
        <v>50210</v>
      </c>
      <c r="AC91" s="27" t="s">
        <v>159</v>
      </c>
      <c r="AD91" s="46"/>
      <c r="AE91" s="43">
        <v>46111</v>
      </c>
      <c r="AF91" s="87" t="s">
        <v>331</v>
      </c>
      <c r="AG91" s="87"/>
      <c r="AH91" s="28"/>
      <c r="AI91" s="173">
        <v>5.0000000000000001E-3</v>
      </c>
      <c r="AJ91" s="35">
        <f>Registro_Ventas[[#This Row],[Precio Venta Unidad(es)]]*Registro_Ventas[[#This Row],[%Comision
Ejecutivo]]</f>
        <v>2660.5</v>
      </c>
      <c r="AK91" s="39">
        <f>Registro_Ventas[[#This Row],[Total Comision]]*0%</f>
        <v>0</v>
      </c>
      <c r="AL91" s="39">
        <f>Registro_Ventas[[#This Row],[Total Comision]]*100%</f>
        <v>2660.5</v>
      </c>
      <c r="AM91" s="28" t="s">
        <v>172</v>
      </c>
      <c r="AN91" s="28"/>
      <c r="AO91" s="28"/>
      <c r="AP91" s="28"/>
      <c r="AQ91" s="28"/>
      <c r="AR91" s="28"/>
      <c r="AS91" s="28"/>
      <c r="AT91" s="28" t="str">
        <f>IF(Registro_Ventas[[#This Row],[Fecha Separacion]]&lt;&gt;"",TEXT(Registro_Ventas[[#This Row],[Fecha Separacion]],"mmmm"),"")</f>
        <v>Diciembre</v>
      </c>
      <c r="AU91" s="28" t="str">
        <f>IF(Registro_Ventas[[#This Row],[Firma Minuta]]&lt;&gt;"",TEXT(Registro_Ventas[[#This Row],[Firma Minuta]],"mmmm"),"")</f>
        <v>Enero</v>
      </c>
      <c r="AV91" s="28" t="str">
        <f>IF(Registro_Ventas[[#This Row],[Firma Minuta]]&lt;&gt;"",TEXT(Registro_Ventas[[#This Row],[Firma Minuta]],"yyyy"),"")</f>
        <v>2026</v>
      </c>
      <c r="AW91" s="28" t="str">
        <f>IF(Registro_Ventas[[#This Row],[Fecha Separacion]]&lt;&gt;"",TEXT(Registro_Ventas[[#This Row],[Fecha Separacion]],"yyyy"),"")</f>
        <v>2025</v>
      </c>
      <c r="AX91" s="131">
        <f>IF(Registro_Ventas[[#This Row],[Fecha Separacion]]="","",Registro_Ventas[[#This Row],[Fecha Separacion]]-Registro_Ventas[[#This Row],[Fecha Captacion]])</f>
        <v>10</v>
      </c>
      <c r="AY91" s="131">
        <f>+IF(Registro_Ventas[[#This Row],[Firma Minuta]]="","",Registro_Ventas[[#This Row],[Firma Minuta]]-Registro_Ventas[[#This Row],[Fecha Captacion]])</f>
        <v>32</v>
      </c>
      <c r="AZ91" s="131">
        <f>+IF(Registro_Ventas[[#This Row],[Firma Minuta]]="","",Registro_Ventas[[#This Row],[Firma Minuta]]-Registro_Ventas[[#This Row],[Fecha Separacion]])</f>
        <v>22</v>
      </c>
    </row>
    <row r="92" spans="1:52" x14ac:dyDescent="0.3">
      <c r="A92" s="46" t="str">
        <f>TEXT(Registro_Ventas[[#This Row],[Fecha Captacion]],"Mmmm")</f>
        <v>Abril</v>
      </c>
      <c r="B92" s="26">
        <v>45767</v>
      </c>
      <c r="C92" s="26" t="s">
        <v>16</v>
      </c>
      <c r="D92" s="15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92" s="153" t="s">
        <v>31</v>
      </c>
      <c r="F92" s="154" t="s">
        <v>19</v>
      </c>
      <c r="G92" s="153" t="s">
        <v>48</v>
      </c>
      <c r="H92" s="29">
        <v>1001</v>
      </c>
      <c r="I92" s="30">
        <v>83</v>
      </c>
      <c r="J92" s="31">
        <v>615000</v>
      </c>
      <c r="K92" s="32"/>
      <c r="L92" s="33"/>
      <c r="M92" s="31"/>
      <c r="N92" s="31"/>
      <c r="O92" s="33"/>
      <c r="P92" s="31"/>
      <c r="Q92" s="15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1001</v>
      </c>
      <c r="R92" s="156">
        <f>Registro_Ventas[[#This Row],[Precio Venta Departamento]]+Registro_Ventas[[#This Row],[Precio Venta Estacionamiento]]+Registro_Ventas[[#This Row],[Precio Venta Depósito]]</f>
        <v>615000</v>
      </c>
      <c r="S92" s="157">
        <f t="shared" si="3"/>
        <v>97000</v>
      </c>
      <c r="T92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7409.6385542168673</v>
      </c>
      <c r="U92" s="36">
        <f>IF(Registro_Ventas[[#This Row],[Categoria]]="Cita Agendada","",Registro_Ventas[[#This Row],[M2 PEN]]/3.8)</f>
        <v>1949.9048826886494</v>
      </c>
      <c r="V92" s="158">
        <v>45885</v>
      </c>
      <c r="W92" s="154" t="s">
        <v>332</v>
      </c>
      <c r="X92" s="159">
        <v>47474967</v>
      </c>
      <c r="Y92" s="180"/>
      <c r="Z92" s="150">
        <v>45867</v>
      </c>
      <c r="AA92" s="147">
        <v>3000</v>
      </c>
      <c r="AB92" s="147">
        <f>10000+50000+34000</f>
        <v>94000</v>
      </c>
      <c r="AC92" s="153" t="s">
        <v>333</v>
      </c>
      <c r="AD92" s="46"/>
      <c r="AE92" s="161">
        <v>46081</v>
      </c>
      <c r="AF92" s="154" t="s">
        <v>142</v>
      </c>
      <c r="AG92" s="154"/>
      <c r="AH92" s="154"/>
      <c r="AI92" s="175">
        <v>3.5000000000000001E-3</v>
      </c>
      <c r="AJ92" s="157">
        <f>Registro_Ventas[[#This Row],[Precio Venta Unidad(es)]]*Registro_Ventas[[#This Row],[%Comision
Ejecutivo]]</f>
        <v>2152.5</v>
      </c>
      <c r="AK92" s="176">
        <f>Registro_Ventas[[#This Row],[Total Comision]]*50%</f>
        <v>1076.25</v>
      </c>
      <c r="AL92" s="176">
        <f>Registro_Ventas[[#This Row],[Total Comision]]*50%</f>
        <v>1076.25</v>
      </c>
      <c r="AM92" s="154" t="s">
        <v>155</v>
      </c>
      <c r="AN92" s="177">
        <v>46101</v>
      </c>
      <c r="AO92" s="154"/>
      <c r="AP92" s="154"/>
      <c r="AQ92" s="154"/>
      <c r="AR92" s="154"/>
      <c r="AS92" s="154"/>
      <c r="AT92" s="28" t="str">
        <f>IF(Registro_Ventas[[#This Row],[Fecha Separacion]]&lt;&gt;"",TEXT(Registro_Ventas[[#This Row],[Fecha Separacion]],"mmmm"),"")</f>
        <v>Julio</v>
      </c>
      <c r="AU92" s="28" t="str">
        <f>IF(Registro_Ventas[[#This Row],[Firma Minuta]]&lt;&gt;"",TEXT(Registro_Ventas[[#This Row],[Firma Minuta]],"mmmm"),"")</f>
        <v>Agosto</v>
      </c>
      <c r="AV92" s="28" t="str">
        <f>IF(Registro_Ventas[[#This Row],[Firma Minuta]]&lt;&gt;"",TEXT(Registro_Ventas[[#This Row],[Firma Minuta]],"yyyy"),"")</f>
        <v>2025</v>
      </c>
      <c r="AW92" s="28" t="str">
        <f>IF(Registro_Ventas[[#This Row],[Fecha Separacion]]&lt;&gt;"",TEXT(Registro_Ventas[[#This Row],[Fecha Separacion]],"yyyy"),"")</f>
        <v>2025</v>
      </c>
      <c r="AX92" s="131">
        <f>IF(Registro_Ventas[[#This Row],[Fecha Separacion]]="","",Registro_Ventas[[#This Row],[Fecha Separacion]]-Registro_Ventas[[#This Row],[Fecha Captacion]])</f>
        <v>100</v>
      </c>
      <c r="AY92" s="131">
        <f>+IF(Registro_Ventas[[#This Row],[Firma Minuta]]="","",Registro_Ventas[[#This Row],[Firma Minuta]]-Registro_Ventas[[#This Row],[Fecha Captacion]])</f>
        <v>118</v>
      </c>
      <c r="AZ92" s="131">
        <f>+IF(Registro_Ventas[[#This Row],[Firma Minuta]]="","",Registro_Ventas[[#This Row],[Firma Minuta]]-Registro_Ventas[[#This Row],[Fecha Separacion]])</f>
        <v>18</v>
      </c>
    </row>
    <row r="93" spans="1:52" x14ac:dyDescent="0.3">
      <c r="A93" s="46" t="str">
        <f>TEXT(Registro_Ventas[[#This Row],[Fecha Captacion]],"Mmmm")</f>
        <v>Marzo</v>
      </c>
      <c r="B93" s="26">
        <v>46096</v>
      </c>
      <c r="C93" s="26" t="s">
        <v>66</v>
      </c>
      <c r="D93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Separación</v>
      </c>
      <c r="E93" s="27" t="s">
        <v>32</v>
      </c>
      <c r="F93" s="28" t="s">
        <v>12</v>
      </c>
      <c r="G93" s="27" t="s">
        <v>47</v>
      </c>
      <c r="H93" s="29">
        <v>1001</v>
      </c>
      <c r="I93" s="30">
        <v>148</v>
      </c>
      <c r="J93" s="31">
        <v>888000</v>
      </c>
      <c r="K93" s="32"/>
      <c r="L93" s="33"/>
      <c r="M93" s="31"/>
      <c r="N93" s="31"/>
      <c r="O93" s="33"/>
      <c r="P93" s="31"/>
      <c r="Q93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1001</v>
      </c>
      <c r="R93" s="31">
        <f>Registro_Ventas[[#This Row],[Precio Venta Departamento]]+Registro_Ventas[[#This Row],[Precio Venta Estacionamiento]]+Registro_Ventas[[#This Row],[Precio Venta Depósito]]</f>
        <v>888000</v>
      </c>
      <c r="S93" s="35">
        <f t="shared" si="3"/>
        <v>3000</v>
      </c>
      <c r="T9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6000</v>
      </c>
      <c r="U93" s="36">
        <f>IF(Registro_Ventas[[#This Row],[Categoria]]="Cita Agendada","",Registro_Ventas[[#This Row],[M2 PEN]]/3.8)</f>
        <v>1578.9473684210527</v>
      </c>
      <c r="V93" s="37"/>
      <c r="W93" s="28" t="s">
        <v>334</v>
      </c>
      <c r="X93" s="45" t="s">
        <v>335</v>
      </c>
      <c r="Y93" s="128"/>
      <c r="Z93" s="38">
        <v>46096</v>
      </c>
      <c r="AA93" s="35">
        <v>3000</v>
      </c>
      <c r="AB93" s="35"/>
      <c r="AC93" s="27"/>
      <c r="AD93" s="46"/>
      <c r="AE93" s="43"/>
      <c r="AF93" s="28"/>
      <c r="AG93" s="28"/>
      <c r="AH93" s="28"/>
      <c r="AI93" s="41"/>
      <c r="AJ93" s="35">
        <f>Registro_Ventas[[#This Row],[Precio Venta Unidad(es)]]*Registro_Ventas[[#This Row],[%Comision
Ejecutivo]]</f>
        <v>0</v>
      </c>
      <c r="AK93" s="39">
        <f>Registro_Ventas[[#This Row],[Total Comision]]*30%</f>
        <v>0</v>
      </c>
      <c r="AL93" s="178"/>
      <c r="AM93" s="28"/>
      <c r="AN93" s="28"/>
      <c r="AO93" s="28"/>
      <c r="AP93" s="28"/>
      <c r="AQ93" s="28"/>
      <c r="AR93" s="28"/>
      <c r="AS93" s="28"/>
      <c r="AT93" s="28" t="str">
        <f>IF(Registro_Ventas[[#This Row],[Fecha Separacion]]&lt;&gt;"",TEXT(Registro_Ventas[[#This Row],[Fecha Separacion]],"mmmm"),"")</f>
        <v>Marzo</v>
      </c>
      <c r="AU93" s="28" t="str">
        <f>IF(Registro_Ventas[[#This Row],[Firma Minuta]]&lt;&gt;"",TEXT(Registro_Ventas[[#This Row],[Firma Minuta]],"mmmm"),"")</f>
        <v/>
      </c>
      <c r="AV93" s="28" t="str">
        <f>IF(Registro_Ventas[[#This Row],[Firma Minuta]]&lt;&gt;"",TEXT(Registro_Ventas[[#This Row],[Firma Minuta]],"yyyy"),"")</f>
        <v/>
      </c>
      <c r="AW93" s="28" t="str">
        <f>IF(Registro_Ventas[[#This Row],[Fecha Separacion]]&lt;&gt;"",TEXT(Registro_Ventas[[#This Row],[Fecha Separacion]],"yyyy"),"")</f>
        <v>2026</v>
      </c>
      <c r="AX93" s="131">
        <f>IF(Registro_Ventas[[#This Row],[Fecha Separacion]]="","",Registro_Ventas[[#This Row],[Fecha Separacion]]-Registro_Ventas[[#This Row],[Fecha Captacion]])</f>
        <v>0</v>
      </c>
      <c r="AY93" s="131" t="str">
        <f>+IF(Registro_Ventas[[#This Row],[Firma Minuta]]="","",Registro_Ventas[[#This Row],[Firma Minuta]]-Registro_Ventas[[#This Row],[Fecha Captacion]])</f>
        <v/>
      </c>
      <c r="AZ93" s="131" t="str">
        <f>+IF(Registro_Ventas[[#This Row],[Firma Minuta]]="","",Registro_Ventas[[#This Row],[Firma Minuta]]-Registro_Ventas[[#This Row],[Fecha Separacion]])</f>
        <v/>
      </c>
    </row>
    <row r="94" spans="1:52" x14ac:dyDescent="0.3">
      <c r="A94" s="46" t="str">
        <f>TEXT(Registro_Ventas[[#This Row],[Fecha Captacion]],"Mmmm")</f>
        <v>Agosto</v>
      </c>
      <c r="B94" s="26">
        <v>45871</v>
      </c>
      <c r="C94" s="26" t="s">
        <v>88</v>
      </c>
      <c r="D94" s="14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94" s="143" t="s">
        <v>31</v>
      </c>
      <c r="F94" s="144" t="s">
        <v>19</v>
      </c>
      <c r="G94" s="143" t="s">
        <v>47</v>
      </c>
      <c r="H94" s="29">
        <v>1002</v>
      </c>
      <c r="I94" s="30">
        <v>56</v>
      </c>
      <c r="J94" s="31">
        <v>415000</v>
      </c>
      <c r="K94" s="32"/>
      <c r="L94" s="33"/>
      <c r="M94" s="31"/>
      <c r="N94" s="31"/>
      <c r="O94" s="33"/>
      <c r="P94" s="31"/>
      <c r="Q94" s="145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1002</v>
      </c>
      <c r="R94" s="146">
        <f>Registro_Ventas[[#This Row],[Precio Venta Departamento]]+Registro_Ventas[[#This Row],[Precio Venta Estacionamiento]]+Registro_Ventas[[#This Row],[Precio Venta Depósito]]</f>
        <v>415000</v>
      </c>
      <c r="S94" s="147">
        <f t="shared" si="3"/>
        <v>41500</v>
      </c>
      <c r="T9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7410.7142857142853</v>
      </c>
      <c r="U94" s="36">
        <f>IF(Registro_Ventas[[#This Row],[Categoria]]="Cita Agendada","",Registro_Ventas[[#This Row],[M2 PEN]]/3.8)</f>
        <v>1950.187969924812</v>
      </c>
      <c r="V94" s="148">
        <v>45993</v>
      </c>
      <c r="W94" s="144" t="s">
        <v>336</v>
      </c>
      <c r="X94" s="149">
        <v>72190258</v>
      </c>
      <c r="Y94" s="182"/>
      <c r="Z94" s="150">
        <v>45921</v>
      </c>
      <c r="AA94" s="147">
        <v>3000</v>
      </c>
      <c r="AB94" s="147">
        <v>38500</v>
      </c>
      <c r="AC94" s="143" t="s">
        <v>151</v>
      </c>
      <c r="AD94" s="46"/>
      <c r="AE94" s="151">
        <v>46111</v>
      </c>
      <c r="AF94" s="144" t="s">
        <v>142</v>
      </c>
      <c r="AG94" s="144"/>
      <c r="AH94" s="28"/>
      <c r="AI94" s="173">
        <v>3.5000000000000001E-3</v>
      </c>
      <c r="AJ94" s="35">
        <f>Registro_Ventas[[#This Row],[Precio Venta Unidad(es)]]*Registro_Ventas[[#This Row],[%Comision
Ejecutivo]]</f>
        <v>1452.5</v>
      </c>
      <c r="AK94" s="39">
        <f>Registro_Ventas[[#This Row],[Total Comision]]*0%</f>
        <v>0</v>
      </c>
      <c r="AL94" s="39">
        <f>Registro_Ventas[[#This Row],[Total Comision]]*100%</f>
        <v>1452.5</v>
      </c>
      <c r="AM94" s="28" t="s">
        <v>155</v>
      </c>
      <c r="AN94" s="46"/>
      <c r="AO94" s="28"/>
      <c r="AP94" s="28"/>
      <c r="AQ94" s="28"/>
      <c r="AR94" s="28"/>
      <c r="AS94" s="144"/>
      <c r="AT94" s="28" t="str">
        <f>IF(Registro_Ventas[[#This Row],[Fecha Separacion]]&lt;&gt;"",TEXT(Registro_Ventas[[#This Row],[Fecha Separacion]],"mmmm"),"")</f>
        <v>Setiembre</v>
      </c>
      <c r="AU94" s="28" t="str">
        <f>IF(Registro_Ventas[[#This Row],[Firma Minuta]]&lt;&gt;"",TEXT(Registro_Ventas[[#This Row],[Firma Minuta]],"mmmm"),"")</f>
        <v>Diciembre</v>
      </c>
      <c r="AV94" s="28" t="str">
        <f>IF(Registro_Ventas[[#This Row],[Firma Minuta]]&lt;&gt;"",TEXT(Registro_Ventas[[#This Row],[Firma Minuta]],"yyyy"),"")</f>
        <v>2025</v>
      </c>
      <c r="AW94" s="28" t="str">
        <f>IF(Registro_Ventas[[#This Row],[Fecha Separacion]]&lt;&gt;"",TEXT(Registro_Ventas[[#This Row],[Fecha Separacion]],"yyyy"),"")</f>
        <v>2025</v>
      </c>
      <c r="AX94" s="131">
        <f>IF(Registro_Ventas[[#This Row],[Fecha Separacion]]="","",Registro_Ventas[[#This Row],[Fecha Separacion]]-Registro_Ventas[[#This Row],[Fecha Captacion]])</f>
        <v>50</v>
      </c>
      <c r="AY94" s="131">
        <f>+IF(Registro_Ventas[[#This Row],[Firma Minuta]]="","",Registro_Ventas[[#This Row],[Firma Minuta]]-Registro_Ventas[[#This Row],[Fecha Captacion]])</f>
        <v>122</v>
      </c>
      <c r="AZ94" s="131">
        <f>+IF(Registro_Ventas[[#This Row],[Firma Minuta]]="","",Registro_Ventas[[#This Row],[Firma Minuta]]-Registro_Ventas[[#This Row],[Fecha Separacion]])</f>
        <v>72</v>
      </c>
    </row>
    <row r="95" spans="1:52" x14ac:dyDescent="0.3">
      <c r="A95" s="46" t="str">
        <f>TEXT(Registro_Ventas[[#This Row],[Fecha Captacion]],"Mmmm")</f>
        <v>Febrero</v>
      </c>
      <c r="B95" s="26">
        <v>45704</v>
      </c>
      <c r="C95" s="26" t="s">
        <v>11</v>
      </c>
      <c r="D95" s="153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95" s="153" t="s">
        <v>31</v>
      </c>
      <c r="F95" s="154" t="s">
        <v>22</v>
      </c>
      <c r="G95" s="153" t="s">
        <v>47</v>
      </c>
      <c r="H95" s="29">
        <v>1003</v>
      </c>
      <c r="I95" s="30">
        <v>88</v>
      </c>
      <c r="J95" s="31">
        <v>675000</v>
      </c>
      <c r="K95" s="32" t="s">
        <v>337</v>
      </c>
      <c r="L95" s="33">
        <v>16.3</v>
      </c>
      <c r="M95" s="31">
        <v>60400</v>
      </c>
      <c r="N95" s="31"/>
      <c r="O95" s="33"/>
      <c r="P95" s="31"/>
      <c r="Q95" s="136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1003 / E11/D08</v>
      </c>
      <c r="R95" s="137">
        <f>Registro_Ventas[[#This Row],[Precio Venta Departamento]]+Registro_Ventas[[#This Row],[Precio Venta Estacionamiento]]+Registro_Ventas[[#This Row],[Precio Venta Depósito]]</f>
        <v>735400</v>
      </c>
      <c r="S95" s="138">
        <f t="shared" si="3"/>
        <v>471171.42000000004</v>
      </c>
      <c r="T9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7050.8149568552253</v>
      </c>
      <c r="U95" s="36">
        <f>IF(Registro_Ventas[[#This Row],[Categoria]]="Cita Agendada","",Registro_Ventas[[#This Row],[M2 PEN]]/3.8)</f>
        <v>1855.4776202250594</v>
      </c>
      <c r="V95" s="139">
        <v>45985</v>
      </c>
      <c r="W95" s="135" t="s">
        <v>338</v>
      </c>
      <c r="X95" s="140" t="s">
        <v>339</v>
      </c>
      <c r="Y95" s="181"/>
      <c r="Z95" s="141">
        <v>45835</v>
      </c>
      <c r="AA95" s="138">
        <v>3000</v>
      </c>
      <c r="AB95" s="138">
        <f>270000+66057.14+66057.14+66057.14</f>
        <v>468171.42000000004</v>
      </c>
      <c r="AC95" s="134" t="s">
        <v>141</v>
      </c>
      <c r="AD95" s="46"/>
      <c r="AE95" s="91">
        <v>46203</v>
      </c>
      <c r="AF95" s="135"/>
      <c r="AG95" s="135"/>
      <c r="AH95" s="28"/>
      <c r="AI95" s="173"/>
      <c r="AJ95" s="35">
        <f>Registro_Ventas[[#This Row],[Precio Venta Unidad(es)]]*Registro_Ventas[[#This Row],[%Comision
Ejecutivo]]</f>
        <v>0</v>
      </c>
      <c r="AK95" s="39">
        <f>Registro_Ventas[[#This Row],[Total Comision]]*30%</f>
        <v>0</v>
      </c>
      <c r="AL95" s="40"/>
      <c r="AM95" s="28"/>
      <c r="AN95" s="28"/>
      <c r="AO95" s="28"/>
      <c r="AP95" s="28"/>
      <c r="AQ95" s="28"/>
      <c r="AR95" s="28"/>
      <c r="AS95" s="135"/>
      <c r="AT95" s="28" t="str">
        <f>IF(Registro_Ventas[[#This Row],[Fecha Separacion]]&lt;&gt;"",TEXT(Registro_Ventas[[#This Row],[Fecha Separacion]],"mmmm"),"")</f>
        <v>Junio</v>
      </c>
      <c r="AU95" s="28" t="str">
        <f>IF(Registro_Ventas[[#This Row],[Firma Minuta]]&lt;&gt;"",TEXT(Registro_Ventas[[#This Row],[Firma Minuta]],"mmmm"),"")</f>
        <v>Noviembre</v>
      </c>
      <c r="AV95" s="28" t="str">
        <f>IF(Registro_Ventas[[#This Row],[Firma Minuta]]&lt;&gt;"",TEXT(Registro_Ventas[[#This Row],[Firma Minuta]],"yyyy"),"")</f>
        <v>2025</v>
      </c>
      <c r="AW95" s="28" t="str">
        <f>IF(Registro_Ventas[[#This Row],[Fecha Separacion]]&lt;&gt;"",TEXT(Registro_Ventas[[#This Row],[Fecha Separacion]],"yyyy"),"")</f>
        <v>2025</v>
      </c>
      <c r="AX95" s="131">
        <f>IF(Registro_Ventas[[#This Row],[Fecha Separacion]]="","",Registro_Ventas[[#This Row],[Fecha Separacion]]-Registro_Ventas[[#This Row],[Fecha Captacion]])</f>
        <v>131</v>
      </c>
      <c r="AY95" s="131">
        <f>+IF(Registro_Ventas[[#This Row],[Firma Minuta]]="","",Registro_Ventas[[#This Row],[Firma Minuta]]-Registro_Ventas[[#This Row],[Fecha Captacion]])</f>
        <v>281</v>
      </c>
      <c r="AZ95" s="131">
        <f>+IF(Registro_Ventas[[#This Row],[Firma Minuta]]="","",Registro_Ventas[[#This Row],[Firma Minuta]]-Registro_Ventas[[#This Row],[Fecha Separacion]])</f>
        <v>150</v>
      </c>
    </row>
    <row r="96" spans="1:52" x14ac:dyDescent="0.3">
      <c r="A96" s="46" t="str">
        <f>TEXT(Registro_Ventas[[#This Row],[Fecha Captacion]],"Mmmm")</f>
        <v>Febrero</v>
      </c>
      <c r="B96" s="26">
        <v>46062</v>
      </c>
      <c r="C96" s="26" t="s">
        <v>11</v>
      </c>
      <c r="D96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Separación</v>
      </c>
      <c r="E96" s="27" t="s">
        <v>31</v>
      </c>
      <c r="F96" s="28" t="s">
        <v>12</v>
      </c>
      <c r="G96" s="27" t="s">
        <v>47</v>
      </c>
      <c r="H96" s="29">
        <v>1004</v>
      </c>
      <c r="I96" s="30">
        <v>61</v>
      </c>
      <c r="J96" s="31">
        <v>417700</v>
      </c>
      <c r="K96" s="32"/>
      <c r="L96" s="33"/>
      <c r="M96" s="31"/>
      <c r="N96" s="31"/>
      <c r="O96" s="33"/>
      <c r="P96" s="31"/>
      <c r="Q96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1004</v>
      </c>
      <c r="R96" s="31">
        <f>Registro_Ventas[[#This Row],[Precio Venta Departamento]]+Registro_Ventas[[#This Row],[Precio Venta Estacionamiento]]+Registro_Ventas[[#This Row],[Precio Venta Depósito]]</f>
        <v>417700</v>
      </c>
      <c r="S96" s="35">
        <f t="shared" si="3"/>
        <v>3000</v>
      </c>
      <c r="T9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6847.5409836065573</v>
      </c>
      <c r="U96" s="36">
        <f>IF(Registro_Ventas[[#This Row],[Categoria]]="Cita Agendada","",Registro_Ventas[[#This Row],[M2 PEN]]/3.8)</f>
        <v>1801.9844693701468</v>
      </c>
      <c r="V96" s="37"/>
      <c r="W96" s="28" t="s">
        <v>340</v>
      </c>
      <c r="X96" s="45" t="s">
        <v>341</v>
      </c>
      <c r="Y96" s="37"/>
      <c r="Z96" s="38">
        <v>46090</v>
      </c>
      <c r="AA96" s="35">
        <v>3000</v>
      </c>
      <c r="AB96" s="35"/>
      <c r="AC96" s="27" t="s">
        <v>189</v>
      </c>
      <c r="AD96" s="46"/>
      <c r="AE96" s="43"/>
      <c r="AF96" s="28" t="s">
        <v>142</v>
      </c>
      <c r="AG96" s="28"/>
      <c r="AH96" s="28"/>
      <c r="AI96" s="169"/>
      <c r="AJ96" s="35">
        <f>Registro_Ventas[[#This Row],[Precio Venta Unidad(es)]]*Registro_Ventas[[#This Row],[%Comision
Ejecutivo]]</f>
        <v>0</v>
      </c>
      <c r="AK96" s="39">
        <f>Registro_Ventas[[#This Row],[Total Comision]]*30%</f>
        <v>0</v>
      </c>
      <c r="AL96" s="40"/>
      <c r="AM96" s="28"/>
      <c r="AN96" s="28"/>
      <c r="AO96" s="28"/>
      <c r="AP96" s="28"/>
      <c r="AQ96" s="28"/>
      <c r="AR96" s="28"/>
      <c r="AS96" s="28"/>
      <c r="AT96" s="28" t="str">
        <f>IF(Registro_Ventas[[#This Row],[Fecha Separacion]]&lt;&gt;"",TEXT(Registro_Ventas[[#This Row],[Fecha Separacion]],"mmmm"),"")</f>
        <v>Marzo</v>
      </c>
      <c r="AU96" s="28" t="str">
        <f>IF(Registro_Ventas[[#This Row],[Firma Minuta]]&lt;&gt;"",TEXT(Registro_Ventas[[#This Row],[Firma Minuta]],"mmmm"),"")</f>
        <v/>
      </c>
      <c r="AV96" s="28" t="str">
        <f>IF(Registro_Ventas[[#This Row],[Firma Minuta]]&lt;&gt;"",TEXT(Registro_Ventas[[#This Row],[Firma Minuta]],"yyyy"),"")</f>
        <v/>
      </c>
      <c r="AW96" s="28" t="str">
        <f>IF(Registro_Ventas[[#This Row],[Fecha Separacion]]&lt;&gt;"",TEXT(Registro_Ventas[[#This Row],[Fecha Separacion]],"yyyy"),"")</f>
        <v>2026</v>
      </c>
      <c r="AX96" s="131">
        <f>IF(Registro_Ventas[[#This Row],[Fecha Separacion]]="","",Registro_Ventas[[#This Row],[Fecha Separacion]]-Registro_Ventas[[#This Row],[Fecha Captacion]])</f>
        <v>28</v>
      </c>
      <c r="AY96" s="131" t="str">
        <f>+IF(Registro_Ventas[[#This Row],[Firma Minuta]]="","",Registro_Ventas[[#This Row],[Firma Minuta]]-Registro_Ventas[[#This Row],[Fecha Captacion]])</f>
        <v/>
      </c>
      <c r="AZ96" s="131" t="str">
        <f>+IF(Registro_Ventas[[#This Row],[Firma Minuta]]="","",Registro_Ventas[[#This Row],[Firma Minuta]]-Registro_Ventas[[#This Row],[Fecha Separacion]])</f>
        <v/>
      </c>
    </row>
    <row r="97" spans="1:52" x14ac:dyDescent="0.3">
      <c r="A97" s="46" t="str">
        <f>TEXT(Registro_Ventas[[#This Row],[Fecha Captacion]],"Mmmm")</f>
        <v>Agosto</v>
      </c>
      <c r="B97" s="26">
        <v>45877</v>
      </c>
      <c r="C97" s="26" t="s">
        <v>16</v>
      </c>
      <c r="D97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97" s="27" t="s">
        <v>32</v>
      </c>
      <c r="F97" s="28" t="s">
        <v>15</v>
      </c>
      <c r="G97" s="27" t="s">
        <v>48</v>
      </c>
      <c r="H97" s="29">
        <v>1005</v>
      </c>
      <c r="I97" s="30">
        <v>68</v>
      </c>
      <c r="J97" s="31">
        <v>372000</v>
      </c>
      <c r="K97" s="32"/>
      <c r="L97" s="33"/>
      <c r="M97" s="31"/>
      <c r="N97" s="31"/>
      <c r="O97" s="33"/>
      <c r="P97" s="31"/>
      <c r="Q97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1005</v>
      </c>
      <c r="R97" s="31">
        <f>Registro_Ventas[[#This Row],[Precio Venta Departamento]]+Registro_Ventas[[#This Row],[Precio Venta Estacionamiento]]+Registro_Ventas[[#This Row],[Precio Venta Depósito]]</f>
        <v>372000</v>
      </c>
      <c r="S97" s="35">
        <f t="shared" si="3"/>
        <v>18600</v>
      </c>
      <c r="T97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5470.588235294118</v>
      </c>
      <c r="U97" s="36">
        <f>IF(Registro_Ventas[[#This Row],[Categoria]]="Cita Agendada","",Registro_Ventas[[#This Row],[M2 PEN]]/3.8)</f>
        <v>1439.6284829721365</v>
      </c>
      <c r="V97" s="37">
        <v>45878</v>
      </c>
      <c r="W97" s="28" t="s">
        <v>342</v>
      </c>
      <c r="X97" s="45">
        <v>46120415</v>
      </c>
      <c r="Y97" s="128"/>
      <c r="Z97" s="38">
        <v>45878</v>
      </c>
      <c r="AA97" s="35">
        <v>3000</v>
      </c>
      <c r="AB97" s="35">
        <f>15600</f>
        <v>15600</v>
      </c>
      <c r="AC97" s="27" t="s">
        <v>159</v>
      </c>
      <c r="AD97" s="46"/>
      <c r="AE97" s="43"/>
      <c r="AF97" s="28"/>
      <c r="AG97" s="28"/>
      <c r="AH97" s="28"/>
      <c r="AI97" s="173"/>
      <c r="AJ97" s="35">
        <f>Registro_Ventas[[#This Row],[Precio Venta Unidad(es)]]*Registro_Ventas[[#This Row],[%Comision
Ejecutivo]]</f>
        <v>0</v>
      </c>
      <c r="AK97" s="39">
        <f>Registro_Ventas[[#This Row],[Total Comision]]*30%</f>
        <v>0</v>
      </c>
      <c r="AL97" s="40"/>
      <c r="AM97" s="28"/>
      <c r="AN97" s="28"/>
      <c r="AO97" s="28"/>
      <c r="AP97" s="28"/>
      <c r="AQ97" s="28"/>
      <c r="AR97" s="28"/>
      <c r="AS97" s="28"/>
      <c r="AT97" s="28" t="str">
        <f>IF(Registro_Ventas[[#This Row],[Fecha Separacion]]&lt;&gt;"",TEXT(Registro_Ventas[[#This Row],[Fecha Separacion]],"mmmm"),"")</f>
        <v>Agosto</v>
      </c>
      <c r="AU97" s="28" t="str">
        <f>IF(Registro_Ventas[[#This Row],[Firma Minuta]]&lt;&gt;"",TEXT(Registro_Ventas[[#This Row],[Firma Minuta]],"mmmm"),"")</f>
        <v>Agosto</v>
      </c>
      <c r="AV97" s="28" t="str">
        <f>IF(Registro_Ventas[[#This Row],[Firma Minuta]]&lt;&gt;"",TEXT(Registro_Ventas[[#This Row],[Firma Minuta]],"yyyy"),"")</f>
        <v>2025</v>
      </c>
      <c r="AW97" s="28" t="str">
        <f>IF(Registro_Ventas[[#This Row],[Fecha Separacion]]&lt;&gt;"",TEXT(Registro_Ventas[[#This Row],[Fecha Separacion]],"yyyy"),"")</f>
        <v>2025</v>
      </c>
      <c r="AX97" s="131">
        <f>IF(Registro_Ventas[[#This Row],[Fecha Separacion]]="","",Registro_Ventas[[#This Row],[Fecha Separacion]]-Registro_Ventas[[#This Row],[Fecha Captacion]])</f>
        <v>1</v>
      </c>
      <c r="AY97" s="131">
        <f>+IF(Registro_Ventas[[#This Row],[Firma Minuta]]="","",Registro_Ventas[[#This Row],[Firma Minuta]]-Registro_Ventas[[#This Row],[Fecha Captacion]])</f>
        <v>1</v>
      </c>
      <c r="AZ97" s="131">
        <f>+IF(Registro_Ventas[[#This Row],[Firma Minuta]]="","",Registro_Ventas[[#This Row],[Firma Minuta]]-Registro_Ventas[[#This Row],[Fecha Separacion]])</f>
        <v>0</v>
      </c>
    </row>
    <row r="98" spans="1:52" x14ac:dyDescent="0.3">
      <c r="A98" s="46" t="str">
        <f>TEXT(Registro_Ventas[[#This Row],[Fecha Captacion]],"Mmmm")</f>
        <v>Marzo</v>
      </c>
      <c r="B98" s="26">
        <v>46109</v>
      </c>
      <c r="C98" s="26" t="s">
        <v>11</v>
      </c>
      <c r="D98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98" s="27" t="s">
        <v>31</v>
      </c>
      <c r="F98" s="28" t="s">
        <v>25</v>
      </c>
      <c r="G98" s="27" t="s">
        <v>48</v>
      </c>
      <c r="H98" s="29">
        <v>1005</v>
      </c>
      <c r="I98" s="30">
        <v>69</v>
      </c>
      <c r="J98" s="31">
        <v>480000</v>
      </c>
      <c r="K98" s="32"/>
      <c r="L98" s="33"/>
      <c r="M98" s="31"/>
      <c r="N98" s="31"/>
      <c r="O98" s="33"/>
      <c r="P98" s="31"/>
      <c r="Q98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1005</v>
      </c>
      <c r="R98" s="31">
        <f>Registro_Ventas[[#This Row],[Precio Venta Departamento]]+Registro_Ventas[[#This Row],[Precio Venta Estacionamiento]]+Registro_Ventas[[#This Row],[Precio Venta Depósito]]</f>
        <v>480000</v>
      </c>
      <c r="S98" s="35">
        <f t="shared" si="3"/>
        <v>13000</v>
      </c>
      <c r="T98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6956.521739130435</v>
      </c>
      <c r="U98" s="36">
        <f>IF(Registro_Ventas[[#This Row],[Categoria]]="Cita Agendada","",Registro_Ventas[[#This Row],[M2 PEN]]/3.8)</f>
        <v>1830.6636155606409</v>
      </c>
      <c r="V98" s="37">
        <v>46112</v>
      </c>
      <c r="W98" s="28" t="s">
        <v>343</v>
      </c>
      <c r="X98" s="27">
        <v>70292339</v>
      </c>
      <c r="Y98" s="37"/>
      <c r="Z98" s="38">
        <v>46111</v>
      </c>
      <c r="AA98" s="35">
        <v>3000</v>
      </c>
      <c r="AB98" s="35">
        <v>10000</v>
      </c>
      <c r="AC98" s="27" t="s">
        <v>344</v>
      </c>
      <c r="AD98" s="43">
        <v>45747</v>
      </c>
      <c r="AE98" s="43">
        <v>46203</v>
      </c>
      <c r="AF98" s="28" t="s">
        <v>142</v>
      </c>
      <c r="AG98" s="28"/>
      <c r="AH98" s="28"/>
      <c r="AI98" s="169"/>
      <c r="AJ98" s="35">
        <f>Registro_Ventas[[#This Row],[Precio Venta Unidad(es)]]*Registro_Ventas[[#This Row],[%Comision
Ejecutivo]]</f>
        <v>0</v>
      </c>
      <c r="AK98" s="39">
        <f>Registro_Ventas[[#This Row],[Total Comision]]*30%</f>
        <v>0</v>
      </c>
      <c r="AL98" s="40"/>
      <c r="AM98" s="28"/>
      <c r="AN98" s="28"/>
      <c r="AO98" s="28"/>
      <c r="AP98" s="28"/>
      <c r="AQ98" s="28"/>
      <c r="AR98" s="28"/>
      <c r="AS98" s="28"/>
      <c r="AT98" s="28" t="str">
        <f>IF(Registro_Ventas[[#This Row],[Fecha Separacion]]&lt;&gt;"",TEXT(Registro_Ventas[[#This Row],[Fecha Separacion]],"mmmm"),"")</f>
        <v>Marzo</v>
      </c>
      <c r="AU98" s="28" t="str">
        <f>IF(Registro_Ventas[[#This Row],[Firma Minuta]]&lt;&gt;"",TEXT(Registro_Ventas[[#This Row],[Firma Minuta]],"mmmm"),"")</f>
        <v>Marzo</v>
      </c>
      <c r="AV98" s="28" t="str">
        <f>IF(Registro_Ventas[[#This Row],[Firma Minuta]]&lt;&gt;"",TEXT(Registro_Ventas[[#This Row],[Firma Minuta]],"yyyy"),"")</f>
        <v>2026</v>
      </c>
      <c r="AW98" s="28" t="str">
        <f>IF(Registro_Ventas[[#This Row],[Fecha Separacion]]&lt;&gt;"",TEXT(Registro_Ventas[[#This Row],[Fecha Separacion]],"yyyy"),"")</f>
        <v>2026</v>
      </c>
      <c r="AX98" s="131">
        <f>IF(Registro_Ventas[[#This Row],[Fecha Separacion]]="","",Registro_Ventas[[#This Row],[Fecha Separacion]]-Registro_Ventas[[#This Row],[Fecha Captacion]])</f>
        <v>2</v>
      </c>
      <c r="AY98" s="131">
        <f>+IF(Registro_Ventas[[#This Row],[Firma Minuta]]="","",Registro_Ventas[[#This Row],[Firma Minuta]]-Registro_Ventas[[#This Row],[Fecha Captacion]])</f>
        <v>3</v>
      </c>
      <c r="AZ98" s="131">
        <f>+IF(Registro_Ventas[[#This Row],[Firma Minuta]]="","",Registro_Ventas[[#This Row],[Firma Minuta]]-Registro_Ventas[[#This Row],[Fecha Separacion]])</f>
        <v>1</v>
      </c>
    </row>
    <row r="99" spans="1:52" x14ac:dyDescent="0.3">
      <c r="A99" s="46" t="str">
        <f>TEXT(Registro_Ventas[[#This Row],[Fecha Captacion]],"Mmmm")</f>
        <v>Febrero</v>
      </c>
      <c r="B99" s="26">
        <v>45697</v>
      </c>
      <c r="C99" s="26" t="s">
        <v>11</v>
      </c>
      <c r="D99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99" s="27" t="s">
        <v>31</v>
      </c>
      <c r="F99" s="28" t="s">
        <v>12</v>
      </c>
      <c r="G99" s="27" t="s">
        <v>47</v>
      </c>
      <c r="H99" s="29">
        <v>1104</v>
      </c>
      <c r="I99" s="30">
        <v>61</v>
      </c>
      <c r="J99" s="31">
        <v>397000</v>
      </c>
      <c r="K99" s="32"/>
      <c r="L99" s="33"/>
      <c r="M99" s="31"/>
      <c r="N99" s="31"/>
      <c r="O99" s="33"/>
      <c r="P99" s="31"/>
      <c r="Q99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1104</v>
      </c>
      <c r="R99" s="31">
        <f>Registro_Ventas[[#This Row],[Precio Venta Departamento]]+Registro_Ventas[[#This Row],[Precio Venta Estacionamiento]]+Registro_Ventas[[#This Row],[Precio Venta Depósito]]</f>
        <v>397000</v>
      </c>
      <c r="S99" s="35">
        <f t="shared" si="3"/>
        <v>397000</v>
      </c>
      <c r="T99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6508.1967213114758</v>
      </c>
      <c r="U99" s="36">
        <f>IF(Registro_Ventas[[#This Row],[Categoria]]="Cita Agendada","",Registro_Ventas[[#This Row],[M2 PEN]]/3.8)</f>
        <v>1712.6833477135463</v>
      </c>
      <c r="V99" s="37">
        <v>45730</v>
      </c>
      <c r="W99" s="28" t="s">
        <v>345</v>
      </c>
      <c r="X99" s="45" t="s">
        <v>346</v>
      </c>
      <c r="Y99" s="128"/>
      <c r="Z99" s="38">
        <v>45703</v>
      </c>
      <c r="AA99" s="35">
        <v>3000</v>
      </c>
      <c r="AB99" s="35">
        <f>23450+78000+34500+258050</f>
        <v>394000</v>
      </c>
      <c r="AC99" s="27" t="s">
        <v>141</v>
      </c>
      <c r="AD99" s="46"/>
      <c r="AE99" s="43">
        <v>45747</v>
      </c>
      <c r="AF99" s="28"/>
      <c r="AG99" s="28"/>
      <c r="AH99" s="28"/>
      <c r="AI99" s="173"/>
      <c r="AJ99" s="35">
        <f>Registro_Ventas[[#This Row],[Precio Venta Unidad(es)]]*Registro_Ventas[[#This Row],[%Comision
Ejecutivo]]</f>
        <v>0</v>
      </c>
      <c r="AK99" s="39">
        <f>Registro_Ventas[[#This Row],[Total Comision]]*30%</f>
        <v>0</v>
      </c>
      <c r="AL99" s="40"/>
      <c r="AM99" s="28"/>
      <c r="AN99" s="28"/>
      <c r="AO99" s="28"/>
      <c r="AP99" s="28"/>
      <c r="AQ99" s="28"/>
      <c r="AR99" s="28"/>
      <c r="AS99" s="28"/>
      <c r="AT99" s="28" t="str">
        <f>IF(Registro_Ventas[[#This Row],[Fecha Separacion]]&lt;&gt;"",TEXT(Registro_Ventas[[#This Row],[Fecha Separacion]],"mmmm"),"")</f>
        <v>Febrero</v>
      </c>
      <c r="AU99" s="28" t="str">
        <f>IF(Registro_Ventas[[#This Row],[Firma Minuta]]&lt;&gt;"",TEXT(Registro_Ventas[[#This Row],[Firma Minuta]],"mmmm"),"")</f>
        <v>Marzo</v>
      </c>
      <c r="AV99" s="28" t="str">
        <f>IF(Registro_Ventas[[#This Row],[Firma Minuta]]&lt;&gt;"",TEXT(Registro_Ventas[[#This Row],[Firma Minuta]],"yyyy"),"")</f>
        <v>2025</v>
      </c>
      <c r="AW99" s="28" t="str">
        <f>IF(Registro_Ventas[[#This Row],[Fecha Separacion]]&lt;&gt;"",TEXT(Registro_Ventas[[#This Row],[Fecha Separacion]],"yyyy"),"")</f>
        <v>2025</v>
      </c>
      <c r="AX99" s="131">
        <f>IF(Registro_Ventas[[#This Row],[Fecha Separacion]]="","",Registro_Ventas[[#This Row],[Fecha Separacion]]-Registro_Ventas[[#This Row],[Fecha Captacion]])</f>
        <v>6</v>
      </c>
      <c r="AY99" s="131">
        <f>+IF(Registro_Ventas[[#This Row],[Firma Minuta]]="","",Registro_Ventas[[#This Row],[Firma Minuta]]-Registro_Ventas[[#This Row],[Fecha Captacion]])</f>
        <v>33</v>
      </c>
      <c r="AZ99" s="131">
        <f>+IF(Registro_Ventas[[#This Row],[Firma Minuta]]="","",Registro_Ventas[[#This Row],[Firma Minuta]]-Registro_Ventas[[#This Row],[Fecha Separacion]])</f>
        <v>27</v>
      </c>
    </row>
    <row r="100" spans="1:52" x14ac:dyDescent="0.3">
      <c r="A100" s="46" t="str">
        <f>TEXT(Registro_Ventas[[#This Row],[Fecha Captacion]],"Mmmm")</f>
        <v>Marzo</v>
      </c>
      <c r="B100" s="26">
        <v>46101</v>
      </c>
      <c r="C100" s="26" t="s">
        <v>11</v>
      </c>
      <c r="D100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00" s="27" t="s">
        <v>31</v>
      </c>
      <c r="F100" s="28" t="s">
        <v>25</v>
      </c>
      <c r="G100" s="27" t="s">
        <v>47</v>
      </c>
      <c r="H100" s="29">
        <v>1105</v>
      </c>
      <c r="I100" s="30">
        <v>62</v>
      </c>
      <c r="J100" s="31">
        <v>429000</v>
      </c>
      <c r="K100" s="32"/>
      <c r="L100" s="33"/>
      <c r="M100" s="31"/>
      <c r="N100" s="31"/>
      <c r="O100" s="33"/>
      <c r="P100" s="31"/>
      <c r="Q100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1105</v>
      </c>
      <c r="R100" s="31">
        <f>Registro_Ventas[[#This Row],[Precio Venta Departamento]]+Registro_Ventas[[#This Row],[Precio Venta Estacionamiento]]+Registro_Ventas[[#This Row],[Precio Venta Depósito]]</f>
        <v>429000</v>
      </c>
      <c r="S100" s="35">
        <f t="shared" si="3"/>
        <v>42900</v>
      </c>
      <c r="T100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6919.3548387096771</v>
      </c>
      <c r="U100" s="36">
        <f>IF(Registro_Ventas[[#This Row],[Categoria]]="Cita Agendada","",Registro_Ventas[[#This Row],[M2 PEN]]/3.8)</f>
        <v>1820.8828522920203</v>
      </c>
      <c r="V100" s="37">
        <v>46112</v>
      </c>
      <c r="W100" s="28" t="s">
        <v>347</v>
      </c>
      <c r="X100" s="27">
        <v>74307522</v>
      </c>
      <c r="Y100" s="37"/>
      <c r="Z100" s="38">
        <v>46103</v>
      </c>
      <c r="AA100" s="35">
        <v>3000</v>
      </c>
      <c r="AB100" s="35">
        <f>30000+9900</f>
        <v>39900</v>
      </c>
      <c r="AC100" s="27" t="s">
        <v>348</v>
      </c>
      <c r="AD100" s="43"/>
      <c r="AE100" s="43"/>
      <c r="AF100" s="28" t="s">
        <v>142</v>
      </c>
      <c r="AG100" s="28"/>
      <c r="AH100" s="28"/>
      <c r="AI100" s="169"/>
      <c r="AJ100" s="35">
        <f>Registro_Ventas[[#This Row],[Precio Venta Unidad(es)]]*Registro_Ventas[[#This Row],[%Comision
Ejecutivo]]</f>
        <v>0</v>
      </c>
      <c r="AK100" s="39">
        <f>Registro_Ventas[[#This Row],[Total Comision]]*30%</f>
        <v>0</v>
      </c>
      <c r="AL100" s="40"/>
      <c r="AM100" s="28"/>
      <c r="AN100" s="28"/>
      <c r="AO100" s="28"/>
      <c r="AP100" s="28"/>
      <c r="AQ100" s="28"/>
      <c r="AR100" s="28"/>
      <c r="AS100" s="28"/>
      <c r="AT100" s="28" t="str">
        <f>IF(Registro_Ventas[[#This Row],[Fecha Separacion]]&lt;&gt;"",TEXT(Registro_Ventas[[#This Row],[Fecha Separacion]],"mmmm"),"")</f>
        <v>Marzo</v>
      </c>
      <c r="AU100" s="28" t="str">
        <f>IF(Registro_Ventas[[#This Row],[Firma Minuta]]&lt;&gt;"",TEXT(Registro_Ventas[[#This Row],[Firma Minuta]],"mmmm"),"")</f>
        <v>Marzo</v>
      </c>
      <c r="AV100" s="28" t="str">
        <f>IF(Registro_Ventas[[#This Row],[Firma Minuta]]&lt;&gt;"",TEXT(Registro_Ventas[[#This Row],[Firma Minuta]],"yyyy"),"")</f>
        <v>2026</v>
      </c>
      <c r="AW100" s="28" t="str">
        <f>IF(Registro_Ventas[[#This Row],[Fecha Separacion]]&lt;&gt;"",TEXT(Registro_Ventas[[#This Row],[Fecha Separacion]],"yyyy"),"")</f>
        <v>2026</v>
      </c>
      <c r="AX100" s="131">
        <f>IF(Registro_Ventas[[#This Row],[Fecha Separacion]]="","",Registro_Ventas[[#This Row],[Fecha Separacion]]-Registro_Ventas[[#This Row],[Fecha Captacion]])</f>
        <v>2</v>
      </c>
      <c r="AY100" s="131">
        <f>+IF(Registro_Ventas[[#This Row],[Firma Minuta]]="","",Registro_Ventas[[#This Row],[Firma Minuta]]-Registro_Ventas[[#This Row],[Fecha Captacion]])</f>
        <v>11</v>
      </c>
      <c r="AZ100" s="131">
        <f>+IF(Registro_Ventas[[#This Row],[Firma Minuta]]="","",Registro_Ventas[[#This Row],[Firma Minuta]]-Registro_Ventas[[#This Row],[Fecha Separacion]])</f>
        <v>9</v>
      </c>
    </row>
    <row r="101" spans="1:52" x14ac:dyDescent="0.3">
      <c r="A101" s="46" t="str">
        <f>TEXT(Registro_Ventas[[#This Row],[Fecha Captacion]],"Mmmm")</f>
        <v>Junio</v>
      </c>
      <c r="B101" s="26">
        <v>45829</v>
      </c>
      <c r="C101" s="26" t="s">
        <v>16</v>
      </c>
      <c r="D101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01" s="27" t="s">
        <v>30</v>
      </c>
      <c r="F101" s="28" t="s">
        <v>12</v>
      </c>
      <c r="G101" s="27" t="s">
        <v>47</v>
      </c>
      <c r="H101" s="29">
        <v>1001</v>
      </c>
      <c r="I101" s="30">
        <v>70</v>
      </c>
      <c r="J101" s="31">
        <v>518500</v>
      </c>
      <c r="K101" s="32"/>
      <c r="L101" s="33"/>
      <c r="M101" s="31"/>
      <c r="N101" s="31"/>
      <c r="O101" s="33"/>
      <c r="P101" s="31"/>
      <c r="Q101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1001</v>
      </c>
      <c r="R101" s="31">
        <f>Registro_Ventas[[#This Row],[Precio Venta Departamento]]+Registro_Ventas[[#This Row],[Precio Venta Estacionamiento]]+Registro_Ventas[[#This Row],[Precio Venta Depósito]]</f>
        <v>518500</v>
      </c>
      <c r="S101" s="35">
        <f t="shared" si="3"/>
        <v>39725</v>
      </c>
      <c r="T101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7407.1428571428569</v>
      </c>
      <c r="U101" s="36">
        <f>IF(Registro_Ventas[[#This Row],[Categoria]]="Cita Agendada","",Registro_Ventas[[#This Row],[M2 PEN]]/3.8)</f>
        <v>1949.2481203007519</v>
      </c>
      <c r="V101" s="37">
        <v>45870</v>
      </c>
      <c r="W101" s="28" t="s">
        <v>349</v>
      </c>
      <c r="X101" s="45">
        <v>43216992</v>
      </c>
      <c r="Y101" s="128"/>
      <c r="Z101" s="38">
        <v>45855</v>
      </c>
      <c r="AA101" s="35">
        <v>3000</v>
      </c>
      <c r="AB101" s="35">
        <f>22925+13800</f>
        <v>36725</v>
      </c>
      <c r="AC101" s="27" t="s">
        <v>159</v>
      </c>
      <c r="AD101" s="46">
        <v>46021</v>
      </c>
      <c r="AE101" s="43">
        <v>46052</v>
      </c>
      <c r="AF101" s="28" t="s">
        <v>350</v>
      </c>
      <c r="AG101" s="28"/>
      <c r="AH101" s="28"/>
      <c r="AI101" s="173"/>
      <c r="AJ101" s="35">
        <f>Registro_Ventas[[#This Row],[Precio Venta Unidad(es)]]*Registro_Ventas[[#This Row],[%Comision
Ejecutivo]]</f>
        <v>0</v>
      </c>
      <c r="AK101" s="39">
        <f>Registro_Ventas[[#This Row],[Total Comision]]*30%</f>
        <v>0</v>
      </c>
      <c r="AL101" s="40"/>
      <c r="AM101" s="28"/>
      <c r="AN101" s="28"/>
      <c r="AO101" s="28"/>
      <c r="AP101" s="28"/>
      <c r="AQ101" s="28"/>
      <c r="AR101" s="28"/>
      <c r="AS101" s="28"/>
      <c r="AT101" s="28" t="str">
        <f>IF(Registro_Ventas[[#This Row],[Fecha Separacion]]&lt;&gt;"",TEXT(Registro_Ventas[[#This Row],[Fecha Separacion]],"mmmm"),"")</f>
        <v>Julio</v>
      </c>
      <c r="AU101" s="28" t="str">
        <f>IF(Registro_Ventas[[#This Row],[Firma Minuta]]&lt;&gt;"",TEXT(Registro_Ventas[[#This Row],[Firma Minuta]],"mmmm"),"")</f>
        <v>Agosto</v>
      </c>
      <c r="AV101" s="28" t="str">
        <f>IF(Registro_Ventas[[#This Row],[Firma Minuta]]&lt;&gt;"",TEXT(Registro_Ventas[[#This Row],[Firma Minuta]],"yyyy"),"")</f>
        <v>2025</v>
      </c>
      <c r="AW101" s="28" t="str">
        <f>IF(Registro_Ventas[[#This Row],[Fecha Separacion]]&lt;&gt;"",TEXT(Registro_Ventas[[#This Row],[Fecha Separacion]],"yyyy"),"")</f>
        <v>2025</v>
      </c>
      <c r="AX101" s="131">
        <f>IF(Registro_Ventas[[#This Row],[Fecha Separacion]]="","",Registro_Ventas[[#This Row],[Fecha Separacion]]-Registro_Ventas[[#This Row],[Fecha Captacion]])</f>
        <v>26</v>
      </c>
      <c r="AY101" s="131">
        <f>+IF(Registro_Ventas[[#This Row],[Firma Minuta]]="","",Registro_Ventas[[#This Row],[Firma Minuta]]-Registro_Ventas[[#This Row],[Fecha Captacion]])</f>
        <v>41</v>
      </c>
      <c r="AZ101" s="131">
        <f>+IF(Registro_Ventas[[#This Row],[Firma Minuta]]="","",Registro_Ventas[[#This Row],[Firma Minuta]]-Registro_Ventas[[#This Row],[Fecha Separacion]])</f>
        <v>15</v>
      </c>
    </row>
    <row r="102" spans="1:52" x14ac:dyDescent="0.3">
      <c r="A102" s="46" t="str">
        <f>TEXT(Registro_Ventas[[#This Row],[Fecha Captacion]],"Mmmm")</f>
        <v>Enero</v>
      </c>
      <c r="B102" s="26">
        <v>45687</v>
      </c>
      <c r="C102" s="26" t="s">
        <v>11</v>
      </c>
      <c r="D102" s="29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02" s="29" t="s">
        <v>30</v>
      </c>
      <c r="F102" s="28" t="s">
        <v>12</v>
      </c>
      <c r="G102" s="27" t="s">
        <v>46</v>
      </c>
      <c r="H102" s="29">
        <v>1202</v>
      </c>
      <c r="I102" s="30">
        <v>57</v>
      </c>
      <c r="J102" s="31">
        <v>370000</v>
      </c>
      <c r="K102" s="32"/>
      <c r="L102" s="33"/>
      <c r="M102" s="31"/>
      <c r="N102" s="31"/>
      <c r="O102" s="33"/>
      <c r="P102" s="31"/>
      <c r="Q102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1202</v>
      </c>
      <c r="R102" s="88">
        <f>Registro_Ventas[[#This Row],[Precio Venta Departamento]]+Registro_Ventas[[#This Row],[Precio Venta Estacionamiento]]+Registro_Ventas[[#This Row],[Precio Venta Depósito]]</f>
        <v>370000</v>
      </c>
      <c r="S102" s="89">
        <f t="shared" si="3"/>
        <v>10000</v>
      </c>
      <c r="T102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6491.2280701754389</v>
      </c>
      <c r="U102" s="36">
        <f>IF(Registro_Ventas[[#This Row],[Categoria]]="Cita Agendada","",Registro_Ventas[[#This Row],[M2 PEN]]/3.8)</f>
        <v>1708.2179132040631</v>
      </c>
      <c r="V102" s="37">
        <v>46079</v>
      </c>
      <c r="W102" s="28" t="s">
        <v>351</v>
      </c>
      <c r="X102" s="45">
        <v>47198881</v>
      </c>
      <c r="Y102" s="128"/>
      <c r="Z102" s="38">
        <v>46025</v>
      </c>
      <c r="AA102" s="35">
        <v>5000</v>
      </c>
      <c r="AB102" s="35">
        <v>5000</v>
      </c>
      <c r="AC102" s="27" t="s">
        <v>352</v>
      </c>
      <c r="AD102" s="46"/>
      <c r="AE102" s="43"/>
      <c r="AF102" s="87"/>
      <c r="AG102" s="87"/>
      <c r="AH102" s="28"/>
      <c r="AI102" s="173">
        <v>5.0000000000000001E-3</v>
      </c>
      <c r="AJ102" s="35">
        <f>Registro_Ventas[[#This Row],[Precio Venta Unidad(es)]]*Registro_Ventas[[#This Row],[%Comision
Ejecutivo]]</f>
        <v>1850</v>
      </c>
      <c r="AK102" s="39">
        <f>Registro_Ventas[[#This Row],[Total Comision]]*0%</f>
        <v>0</v>
      </c>
      <c r="AL102" s="39">
        <f>Registro_Ventas[[#This Row],[Total Comision]]*100%</f>
        <v>1850</v>
      </c>
      <c r="AM102" s="28" t="s">
        <v>172</v>
      </c>
      <c r="AN102" s="28"/>
      <c r="AO102" s="28"/>
      <c r="AP102" s="28"/>
      <c r="AQ102" s="28"/>
      <c r="AR102" s="28"/>
      <c r="AS102" s="28" t="s">
        <v>201</v>
      </c>
      <c r="AT102" s="28" t="str">
        <f>IF(Registro_Ventas[[#This Row],[Fecha Separacion]]&lt;&gt;"",TEXT(Registro_Ventas[[#This Row],[Fecha Separacion]],"mmmm"),"")</f>
        <v>Enero</v>
      </c>
      <c r="AU102" s="28" t="str">
        <f>IF(Registro_Ventas[[#This Row],[Firma Minuta]]&lt;&gt;"",TEXT(Registro_Ventas[[#This Row],[Firma Minuta]],"mmmm"),"")</f>
        <v>Febrero</v>
      </c>
      <c r="AV102" s="28" t="str">
        <f>IF(Registro_Ventas[[#This Row],[Firma Minuta]]&lt;&gt;"",TEXT(Registro_Ventas[[#This Row],[Firma Minuta]],"yyyy"),"")</f>
        <v>2026</v>
      </c>
      <c r="AW102" s="28" t="str">
        <f>IF(Registro_Ventas[[#This Row],[Fecha Separacion]]&lt;&gt;"",TEXT(Registro_Ventas[[#This Row],[Fecha Separacion]],"yyyy"),"")</f>
        <v>2026</v>
      </c>
      <c r="AX102" s="131">
        <f>IF(Registro_Ventas[[#This Row],[Fecha Separacion]]="","",Registro_Ventas[[#This Row],[Fecha Separacion]]-Registro_Ventas[[#This Row],[Fecha Captacion]])</f>
        <v>338</v>
      </c>
      <c r="AY102" s="131">
        <f>+IF(Registro_Ventas[[#This Row],[Firma Minuta]]="","",Registro_Ventas[[#This Row],[Firma Minuta]]-Registro_Ventas[[#This Row],[Fecha Captacion]])</f>
        <v>392</v>
      </c>
      <c r="AZ102" s="131">
        <f>+IF(Registro_Ventas[[#This Row],[Firma Minuta]]="","",Registro_Ventas[[#This Row],[Firma Minuta]]-Registro_Ventas[[#This Row],[Fecha Separacion]])</f>
        <v>54</v>
      </c>
    </row>
    <row r="103" spans="1:52" x14ac:dyDescent="0.3">
      <c r="A103" s="46" t="str">
        <f>TEXT(Registro_Ventas[[#This Row],[Fecha Captacion]],"Mmmm")</f>
        <v>Diciembre</v>
      </c>
      <c r="B103" s="26">
        <v>46001</v>
      </c>
      <c r="C103" s="26" t="s">
        <v>88</v>
      </c>
      <c r="D103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03" s="27" t="s">
        <v>30</v>
      </c>
      <c r="F103" s="28" t="s">
        <v>22</v>
      </c>
      <c r="G103" s="27" t="s">
        <v>46</v>
      </c>
      <c r="H103" s="29">
        <v>1205</v>
      </c>
      <c r="I103" s="30">
        <v>72</v>
      </c>
      <c r="J103" s="31">
        <v>467100</v>
      </c>
      <c r="K103" s="32"/>
      <c r="L103" s="33"/>
      <c r="M103" s="31"/>
      <c r="N103" s="31"/>
      <c r="O103" s="33"/>
      <c r="P103" s="31"/>
      <c r="Q103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1205</v>
      </c>
      <c r="R103" s="31">
        <f>Registro_Ventas[[#This Row],[Precio Venta Departamento]]+Registro_Ventas[[#This Row],[Precio Venta Estacionamiento]]+Registro_Ventas[[#This Row],[Precio Venta Depósito]]</f>
        <v>467100</v>
      </c>
      <c r="S103" s="35">
        <f t="shared" si="3"/>
        <v>49470</v>
      </c>
      <c r="T103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6487.5</v>
      </c>
      <c r="U103" s="36">
        <f>IF(Registro_Ventas[[#This Row],[Categoria]]="Cita Agendada","",Registro_Ventas[[#This Row],[M2 PEN]]/3.8)</f>
        <v>1707.2368421052633</v>
      </c>
      <c r="V103" s="37">
        <v>46055</v>
      </c>
      <c r="W103" s="28" t="s">
        <v>353</v>
      </c>
      <c r="X103" s="45" t="s">
        <v>354</v>
      </c>
      <c r="Y103" s="128"/>
      <c r="Z103" s="38">
        <v>46032</v>
      </c>
      <c r="AA103" s="35">
        <v>3000</v>
      </c>
      <c r="AB103" s="35">
        <f>30000+16470</f>
        <v>46470</v>
      </c>
      <c r="AC103" s="27" t="s">
        <v>141</v>
      </c>
      <c r="AD103" s="46"/>
      <c r="AE103" s="43"/>
      <c r="AF103" s="28"/>
      <c r="AG103" s="28"/>
      <c r="AH103" s="28"/>
      <c r="AI103" s="173">
        <v>2.1410000000000001E-3</v>
      </c>
      <c r="AJ103" s="35">
        <v>1000</v>
      </c>
      <c r="AK103" s="39">
        <f>Registro_Ventas[[#This Row],[Total Comision]]*100%</f>
        <v>1000</v>
      </c>
      <c r="AL103" s="39">
        <v>0</v>
      </c>
      <c r="AM103" s="28" t="s">
        <v>152</v>
      </c>
      <c r="AN103" s="46">
        <v>46108</v>
      </c>
      <c r="AO103" s="28"/>
      <c r="AP103" s="28"/>
      <c r="AQ103" s="28"/>
      <c r="AR103" s="28"/>
      <c r="AS103" s="28"/>
      <c r="AT103" s="28" t="str">
        <f>IF(Registro_Ventas[[#This Row],[Fecha Separacion]]&lt;&gt;"",TEXT(Registro_Ventas[[#This Row],[Fecha Separacion]],"mmmm"),"")</f>
        <v>Enero</v>
      </c>
      <c r="AU103" s="28" t="str">
        <f>IF(Registro_Ventas[[#This Row],[Firma Minuta]]&lt;&gt;"",TEXT(Registro_Ventas[[#This Row],[Firma Minuta]],"mmmm"),"")</f>
        <v>Febrero</v>
      </c>
      <c r="AV103" s="28" t="str">
        <f>IF(Registro_Ventas[[#This Row],[Firma Minuta]]&lt;&gt;"",TEXT(Registro_Ventas[[#This Row],[Firma Minuta]],"yyyy"),"")</f>
        <v>2026</v>
      </c>
      <c r="AW103" s="28" t="str">
        <f>IF(Registro_Ventas[[#This Row],[Fecha Separacion]]&lt;&gt;"",TEXT(Registro_Ventas[[#This Row],[Fecha Separacion]],"yyyy"),"")</f>
        <v>2026</v>
      </c>
      <c r="AX103" s="131">
        <f>IF(Registro_Ventas[[#This Row],[Fecha Separacion]]="","",Registro_Ventas[[#This Row],[Fecha Separacion]]-Registro_Ventas[[#This Row],[Fecha Captacion]])</f>
        <v>31</v>
      </c>
      <c r="AY103" s="131">
        <f>+IF(Registro_Ventas[[#This Row],[Firma Minuta]]="","",Registro_Ventas[[#This Row],[Firma Minuta]]-Registro_Ventas[[#This Row],[Fecha Captacion]])</f>
        <v>54</v>
      </c>
      <c r="AZ103" s="131">
        <f>+IF(Registro_Ventas[[#This Row],[Firma Minuta]]="","",Registro_Ventas[[#This Row],[Firma Minuta]]-Registro_Ventas[[#This Row],[Fecha Separacion]])</f>
        <v>23</v>
      </c>
    </row>
    <row r="104" spans="1:52" x14ac:dyDescent="0.3">
      <c r="A104" s="46" t="str">
        <f>TEXT(Registro_Ventas[[#This Row],[Fecha Captacion]],"Mmmm")</f>
        <v>Noviembre</v>
      </c>
      <c r="B104" s="26">
        <v>45986</v>
      </c>
      <c r="C104" s="26" t="s">
        <v>16</v>
      </c>
      <c r="D104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04" s="27" t="s">
        <v>30</v>
      </c>
      <c r="F104" s="28" t="s">
        <v>25</v>
      </c>
      <c r="G104" s="27" t="s">
        <v>48</v>
      </c>
      <c r="H104" s="29">
        <v>1301</v>
      </c>
      <c r="I104" s="30">
        <v>70</v>
      </c>
      <c r="J104" s="31">
        <v>455500</v>
      </c>
      <c r="K104" s="32"/>
      <c r="L104" s="33"/>
      <c r="M104" s="31"/>
      <c r="N104" s="31"/>
      <c r="O104" s="33"/>
      <c r="P104" s="31"/>
      <c r="Q104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1301</v>
      </c>
      <c r="R104" s="31">
        <f>Registro_Ventas[[#This Row],[Precio Venta Departamento]]+Registro_Ventas[[#This Row],[Precio Venta Estacionamiento]]+Registro_Ventas[[#This Row],[Precio Venta Depósito]]</f>
        <v>455500</v>
      </c>
      <c r="S104" s="35">
        <f t="shared" si="3"/>
        <v>13888</v>
      </c>
      <c r="T104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6507.1428571428569</v>
      </c>
      <c r="U104" s="36">
        <f>IF(Registro_Ventas[[#This Row],[Categoria]]="Cita Agendada","",Registro_Ventas[[#This Row],[M2 PEN]]/3.8)</f>
        <v>1712.406015037594</v>
      </c>
      <c r="V104" s="37">
        <v>46101</v>
      </c>
      <c r="W104" s="28" t="s">
        <v>355</v>
      </c>
      <c r="X104" s="27">
        <v>44350777</v>
      </c>
      <c r="Y104" s="37"/>
      <c r="Z104" s="38">
        <v>46066</v>
      </c>
      <c r="AA104" s="35">
        <v>5000</v>
      </c>
      <c r="AB104" s="35">
        <v>8888</v>
      </c>
      <c r="AC104" s="27" t="s">
        <v>222</v>
      </c>
      <c r="AD104" s="46"/>
      <c r="AE104" s="43"/>
      <c r="AF104" s="28" t="s">
        <v>160</v>
      </c>
      <c r="AG104" s="28"/>
      <c r="AH104" s="28"/>
      <c r="AI104" s="173"/>
      <c r="AJ104" s="35">
        <f>Registro_Ventas[[#This Row],[Precio Venta Unidad(es)]]*Registro_Ventas[[#This Row],[%Comision
Ejecutivo]]</f>
        <v>0</v>
      </c>
      <c r="AK104" s="39">
        <f>Registro_Ventas[[#This Row],[Total Comision]]*30%</f>
        <v>0</v>
      </c>
      <c r="AL104" s="40"/>
      <c r="AM104" s="28"/>
      <c r="AN104" s="28"/>
      <c r="AO104" s="28"/>
      <c r="AP104" s="28"/>
      <c r="AQ104" s="28"/>
      <c r="AR104" s="28"/>
      <c r="AS104" s="28"/>
      <c r="AT104" s="28" t="str">
        <f>IF(Registro_Ventas[[#This Row],[Fecha Separacion]]&lt;&gt;"",TEXT(Registro_Ventas[[#This Row],[Fecha Separacion]],"mmmm"),"")</f>
        <v>Febrero</v>
      </c>
      <c r="AU104" s="28" t="str">
        <f>IF(Registro_Ventas[[#This Row],[Firma Minuta]]&lt;&gt;"",TEXT(Registro_Ventas[[#This Row],[Firma Minuta]],"mmmm"),"")</f>
        <v>Marzo</v>
      </c>
      <c r="AV104" s="28" t="str">
        <f>IF(Registro_Ventas[[#This Row],[Firma Minuta]]&lt;&gt;"",TEXT(Registro_Ventas[[#This Row],[Firma Minuta]],"yyyy"),"")</f>
        <v>2026</v>
      </c>
      <c r="AW104" s="28" t="str">
        <f>IF(Registro_Ventas[[#This Row],[Fecha Separacion]]&lt;&gt;"",TEXT(Registro_Ventas[[#This Row],[Fecha Separacion]],"yyyy"),"")</f>
        <v>2026</v>
      </c>
      <c r="AX104" s="131">
        <f>IF(Registro_Ventas[[#This Row],[Fecha Separacion]]="","",Registro_Ventas[[#This Row],[Fecha Separacion]]-Registro_Ventas[[#This Row],[Fecha Captacion]])</f>
        <v>80</v>
      </c>
      <c r="AY104" s="131">
        <f>+IF(Registro_Ventas[[#This Row],[Firma Minuta]]="","",Registro_Ventas[[#This Row],[Firma Minuta]]-Registro_Ventas[[#This Row],[Fecha Captacion]])</f>
        <v>115</v>
      </c>
      <c r="AZ104" s="131">
        <f>+IF(Registro_Ventas[[#This Row],[Firma Minuta]]="","",Registro_Ventas[[#This Row],[Firma Minuta]]-Registro_Ventas[[#This Row],[Fecha Separacion]])</f>
        <v>35</v>
      </c>
    </row>
    <row r="105" spans="1:52" x14ac:dyDescent="0.3">
      <c r="A105" s="46" t="str">
        <f>TEXT(Registro_Ventas[[#This Row],[Fecha Captacion]],"Mmmm")</f>
        <v>Julio</v>
      </c>
      <c r="B105" s="26">
        <v>45844</v>
      </c>
      <c r="C105" s="26" t="s">
        <v>11</v>
      </c>
      <c r="D105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05" s="27" t="s">
        <v>30</v>
      </c>
      <c r="F105" s="28" t="s">
        <v>12</v>
      </c>
      <c r="G105" s="27" t="s">
        <v>47</v>
      </c>
      <c r="H105" s="29">
        <v>1306</v>
      </c>
      <c r="I105" s="30">
        <v>40</v>
      </c>
      <c r="J105" s="31">
        <v>265000</v>
      </c>
      <c r="K105" s="32"/>
      <c r="L105" s="33"/>
      <c r="M105" s="31"/>
      <c r="N105" s="31"/>
      <c r="O105" s="33"/>
      <c r="P105" s="31"/>
      <c r="Q105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1306</v>
      </c>
      <c r="R105" s="31">
        <f>Registro_Ventas[[#This Row],[Precio Venta Departamento]]+Registro_Ventas[[#This Row],[Precio Venta Estacionamiento]]+Registro_Ventas[[#This Row],[Precio Venta Depósito]]</f>
        <v>265000</v>
      </c>
      <c r="S105" s="35">
        <f t="shared" si="3"/>
        <v>68600</v>
      </c>
      <c r="T105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6625</v>
      </c>
      <c r="U105" s="36">
        <f>IF(Registro_Ventas[[#This Row],[Categoria]]="Cita Agendada","",Registro_Ventas[[#This Row],[M2 PEN]]/3.8)</f>
        <v>1743.421052631579</v>
      </c>
      <c r="V105" s="37">
        <v>45904</v>
      </c>
      <c r="W105" s="28" t="s">
        <v>356</v>
      </c>
      <c r="X105" s="45">
        <v>43608980</v>
      </c>
      <c r="Y105" s="128"/>
      <c r="Z105" s="38">
        <v>45866</v>
      </c>
      <c r="AA105" s="35">
        <v>3000</v>
      </c>
      <c r="AB105" s="35">
        <v>65600</v>
      </c>
      <c r="AC105" s="27" t="s">
        <v>159</v>
      </c>
      <c r="AD105" s="46"/>
      <c r="AE105" s="43">
        <v>46111</v>
      </c>
      <c r="AF105" s="28" t="s">
        <v>236</v>
      </c>
      <c r="AG105" s="28"/>
      <c r="AH105" s="28"/>
      <c r="AI105" s="173"/>
      <c r="AJ105" s="35">
        <f>Registro_Ventas[[#This Row],[Precio Venta Unidad(es)]]*Registro_Ventas[[#This Row],[%Comision
Ejecutivo]]</f>
        <v>0</v>
      </c>
      <c r="AK105" s="39">
        <f>Registro_Ventas[[#This Row],[Total Comision]]*30%</f>
        <v>0</v>
      </c>
      <c r="AL105" s="40"/>
      <c r="AM105" s="28"/>
      <c r="AN105" s="28"/>
      <c r="AO105" s="28"/>
      <c r="AP105" s="28"/>
      <c r="AQ105" s="28"/>
      <c r="AR105" s="28"/>
      <c r="AS105" s="28"/>
      <c r="AT105" s="28" t="str">
        <f>IF(Registro_Ventas[[#This Row],[Fecha Separacion]]&lt;&gt;"",TEXT(Registro_Ventas[[#This Row],[Fecha Separacion]],"mmmm"),"")</f>
        <v>Julio</v>
      </c>
      <c r="AU105" s="28" t="str">
        <f>IF(Registro_Ventas[[#This Row],[Firma Minuta]]&lt;&gt;"",TEXT(Registro_Ventas[[#This Row],[Firma Minuta]],"mmmm"),"")</f>
        <v>Setiembre</v>
      </c>
      <c r="AV105" s="28" t="str">
        <f>IF(Registro_Ventas[[#This Row],[Firma Minuta]]&lt;&gt;"",TEXT(Registro_Ventas[[#This Row],[Firma Minuta]],"yyyy"),"")</f>
        <v>2025</v>
      </c>
      <c r="AW105" s="28" t="str">
        <f>IF(Registro_Ventas[[#This Row],[Fecha Separacion]]&lt;&gt;"",TEXT(Registro_Ventas[[#This Row],[Fecha Separacion]],"yyyy"),"")</f>
        <v>2025</v>
      </c>
      <c r="AX105" s="131">
        <f>IF(Registro_Ventas[[#This Row],[Fecha Separacion]]="","",Registro_Ventas[[#This Row],[Fecha Separacion]]-Registro_Ventas[[#This Row],[Fecha Captacion]])</f>
        <v>22</v>
      </c>
      <c r="AY105" s="131">
        <f>+IF(Registro_Ventas[[#This Row],[Firma Minuta]]="","",Registro_Ventas[[#This Row],[Firma Minuta]]-Registro_Ventas[[#This Row],[Fecha Captacion]])</f>
        <v>60</v>
      </c>
      <c r="AZ105" s="131">
        <f>+IF(Registro_Ventas[[#This Row],[Firma Minuta]]="","",Registro_Ventas[[#This Row],[Firma Minuta]]-Registro_Ventas[[#This Row],[Fecha Separacion]])</f>
        <v>38</v>
      </c>
    </row>
    <row r="106" spans="1:52" x14ac:dyDescent="0.3">
      <c r="A106" s="46" t="str">
        <f>TEXT(Registro_Ventas[[#This Row],[Fecha Captacion]],"Mmmm")</f>
        <v>Enero</v>
      </c>
      <c r="B106" s="26">
        <v>46035</v>
      </c>
      <c r="C106" s="26" t="s">
        <v>18</v>
      </c>
      <c r="D106" s="27" t="str">
        <f xml:space="preserve">
IF(Registro_Ventas[[#This Row],[Desistimiento]]="",
IF(AND(Registro_Ventas[[#This Row],[Firma Minuta]]&lt;&gt;"",Registro_Ventas[[#This Row],[Cuota Inicial]]&gt;0),"Vendido",
IF(AND(Registro_Ventas[[#This Row],[Fecha Separacion]]&lt;&gt;"",Registro_Ventas[[#This Row],[Valor Separacion]]&lt;&gt;""),"Separación",
IF(AND(Registro_Ventas[[#This Row],[Fecha de Cita]]&lt;&gt;""),"Cita Agendada",
IF(AND(Registro_Ventas[[#This Row],[Cliente]]&lt;&gt;"",Registro_Ventas[[#This Row],[Documento]]&lt;&gt;""),"Prospecto","Revisar")))),"Desiste")</f>
        <v>Vendido</v>
      </c>
      <c r="E106" s="27" t="s">
        <v>30</v>
      </c>
      <c r="F106" s="28" t="s">
        <v>12</v>
      </c>
      <c r="G106" s="27" t="s">
        <v>46</v>
      </c>
      <c r="H106" s="29">
        <v>1502</v>
      </c>
      <c r="I106" s="30">
        <v>57</v>
      </c>
      <c r="J106" s="31">
        <v>422000</v>
      </c>
      <c r="K106" s="32" t="s">
        <v>357</v>
      </c>
      <c r="L106" s="33">
        <v>12.5</v>
      </c>
      <c r="M106" s="31">
        <v>43200</v>
      </c>
      <c r="N106" s="31"/>
      <c r="O106" s="33"/>
      <c r="P106" s="31"/>
      <c r="Q106" s="34" t="str">
        <f>Registro_Ventas[[#This Row],[N° UI Departamento]]&amp;IF(Registro_Ventas[[#This Row],[N° UI Estacionamiento]]&lt;&gt;""," / "&amp;Registro_Ventas[[#This Row],[N° UI Estacionamiento]],"")&amp;IF(Registro_Ventas[[#This Row],[N° UI Depósito]]&lt;&gt;""," / "&amp;Registro_Ventas[[#This Row],[N° UI Depósito]],"")</f>
        <v>1502 / E39</v>
      </c>
      <c r="R106" s="31">
        <f>Registro_Ventas[[#This Row],[Precio Venta Departamento]]+Registro_Ventas[[#This Row],[Precio Venta Estacionamiento]]+Registro_Ventas[[#This Row],[Precio Venta Depósito]]</f>
        <v>465200</v>
      </c>
      <c r="S106" s="35">
        <f t="shared" si="3"/>
        <v>33000</v>
      </c>
      <c r="T106" s="35">
        <f>IF(Registro_Ventas[[#This Row],[Categoria]]="Cita Agendada","",SUM(Registro_Ventas[[#This Row],[Precio Venta Departamento]],Registro_Ventas[[#This Row],[Precio Venta Estacionamiento]],Registro_Ventas[[#This Row],[Precio Venta Depósito]])/
SUM(Registro_Ventas[[#This Row],[Área Ocupada Departamento]],Registro_Ventas[[#This Row],[Área Ocupada Estacionamiento]],Registro_Ventas[[#This Row],[Área Ocupada Depósito]]))</f>
        <v>6693.5251798561148</v>
      </c>
      <c r="U106" s="36">
        <f>IF(Registro_Ventas[[#This Row],[Categoria]]="Cita Agendada","",Registro_Ventas[[#This Row],[M2 PEN]]/3.8)</f>
        <v>1761.4539946989776</v>
      </c>
      <c r="V106" s="37">
        <v>46046</v>
      </c>
      <c r="W106" s="28" t="s">
        <v>358</v>
      </c>
      <c r="X106" s="45">
        <v>47824606</v>
      </c>
      <c r="Y106" s="128"/>
      <c r="Z106" s="38">
        <v>46036</v>
      </c>
      <c r="AA106" s="35">
        <v>3000</v>
      </c>
      <c r="AB106" s="35">
        <v>30000</v>
      </c>
      <c r="AC106" s="27" t="s">
        <v>359</v>
      </c>
      <c r="AD106" s="43"/>
      <c r="AE106" s="43"/>
      <c r="AF106" s="28"/>
      <c r="AG106" s="28"/>
      <c r="AH106" s="28"/>
      <c r="AI106" s="173">
        <v>5.0000000000000001E-3</v>
      </c>
      <c r="AJ106" s="35">
        <f>Registro_Ventas[[#This Row],[Precio Venta Unidad(es)]]*Registro_Ventas[[#This Row],[%Comision
Ejecutivo]]</f>
        <v>2326</v>
      </c>
      <c r="AK106" s="39">
        <f>Registro_Ventas[[#This Row],[Total Comision]]*0%</f>
        <v>0</v>
      </c>
      <c r="AL106" s="39">
        <f>Registro_Ventas[[#This Row],[Total Comision]]*100%</f>
        <v>2326</v>
      </c>
      <c r="AM106" s="28" t="s">
        <v>172</v>
      </c>
      <c r="AN106" s="28"/>
      <c r="AO106" s="28"/>
      <c r="AP106" s="28"/>
      <c r="AQ106" s="28"/>
      <c r="AR106" s="28"/>
      <c r="AS106" s="28" t="s">
        <v>201</v>
      </c>
      <c r="AT106" s="28" t="str">
        <f>IF(Registro_Ventas[[#This Row],[Fecha Separacion]]&lt;&gt;"",TEXT(Registro_Ventas[[#This Row],[Fecha Separacion]],"mmmm"),"")</f>
        <v>Enero</v>
      </c>
      <c r="AU106" s="28" t="str">
        <f>IF(Registro_Ventas[[#This Row],[Firma Minuta]]&lt;&gt;"",TEXT(Registro_Ventas[[#This Row],[Firma Minuta]],"mmmm"),"")</f>
        <v>Enero</v>
      </c>
      <c r="AV106" s="28" t="str">
        <f>IF(Registro_Ventas[[#This Row],[Firma Minuta]]&lt;&gt;"",TEXT(Registro_Ventas[[#This Row],[Firma Minuta]],"yyyy"),"")</f>
        <v>2026</v>
      </c>
      <c r="AW106" s="28" t="str">
        <f>IF(Registro_Ventas[[#This Row],[Fecha Separacion]]&lt;&gt;"",TEXT(Registro_Ventas[[#This Row],[Fecha Separacion]],"yyyy"),"")</f>
        <v>2026</v>
      </c>
      <c r="AX106" s="131">
        <f>IF(Registro_Ventas[[#This Row],[Fecha Separacion]]="","",Registro_Ventas[[#This Row],[Fecha Separacion]]-Registro_Ventas[[#This Row],[Fecha Captacion]])</f>
        <v>1</v>
      </c>
      <c r="AY106" s="131">
        <f>+IF(Registro_Ventas[[#This Row],[Firma Minuta]]="","",Registro_Ventas[[#This Row],[Firma Minuta]]-Registro_Ventas[[#This Row],[Fecha Captacion]])</f>
        <v>11</v>
      </c>
      <c r="AZ106" s="131">
        <f>+IF(Registro_Ventas[[#This Row],[Firma Minuta]]="","",Registro_Ventas[[#This Row],[Firma Minuta]]-Registro_Ventas[[#This Row],[Fecha Separacion]])</f>
        <v>10</v>
      </c>
    </row>
  </sheetData>
  <mergeCells count="1">
    <mergeCell ref="A1:F1"/>
  </mergeCells>
  <phoneticPr fontId="4" type="noConversion"/>
  <dataValidations count="5">
    <dataValidation type="list" allowBlank="1" showInputMessage="1" showErrorMessage="1" sqref="C3:C18 C80:C86" xr:uid="{2996237C-1653-4F6D-8463-976E3E3ED3B0}">
      <formula1>"Nexo Inmobiliario,Facebook Leads,Instagram,Contato Web,Caseta de Venta, Urbania,Web Scotiabank,Feria Nexo,Feria Urbania,Referido,"</formula1>
    </dataValidation>
    <dataValidation type="list" allowBlank="1" showInputMessage="1" showErrorMessage="1" sqref="G3:G106" xr:uid="{12CD909A-BD98-475E-9BFF-FE5FF6673F38}">
      <formula1>"CD,CH,PA,CO,DESISTE"</formula1>
    </dataValidation>
    <dataValidation type="list" allowBlank="1" showInputMessage="1" showErrorMessage="1" sqref="E3:E106" xr:uid="{A32BB235-FA02-4ACF-BA01-07B09DA278FC}">
      <formula1>"Prada,Beyond,Venecia"</formula1>
    </dataValidation>
    <dataValidation type="list" allowBlank="1" showInputMessage="1" showErrorMessage="1" sqref="F2:F106" xr:uid="{B42EB72D-8D71-4170-8367-8952DB467B0E}">
      <formula1>"Vanessa Leiva,Rocio Cordero,Addriela Rojas,Kenny Salazar,Carla Michue,Renzo Salinas,Diana Urcia,Administracion,Kary Gutierrez,Juli Vila,Magaly Guevara"</formula1>
    </dataValidation>
    <dataValidation type="list" allowBlank="1" showInputMessage="1" showErrorMessage="1" sqref="C96:C101" xr:uid="{5525C14F-407B-44C9-96AC-703C6A3F0039}">
      <mc:AlternateContent xmlns:x12ac="http://schemas.microsoft.com/office/spreadsheetml/2011/1/ac" xmlns:mc="http://schemas.openxmlformats.org/markup-compatibility/2006">
        <mc:Choice Requires="x12ac">
          <x12ac:list>"Feria Nexo,Feria Urbania,Nexo Inmobiliario",Facebook Leads,Instagram,Contato Web,Caseta de Venta, Urbania,Web Scotiabank,Feria Nexo,Feria Urbania,Referido,</x12ac:list>
        </mc:Choice>
        <mc:Fallback>
          <formula1>"Feria Nexo,Feria Urbania,Nexo Inmobiliario,Facebook Leads,Instagram,Contato Web,Caseta de Venta, Urbania,Web Scotiabank,Feria Nexo,Feria Urbania,Referido,"</formula1>
        </mc:Fallback>
      </mc:AlternateContent>
    </dataValidation>
  </dataValidations>
  <pageMargins left="0.7" right="0.7" top="0.75" bottom="0.75" header="0.3" footer="0.3"/>
  <pageSetup paperSize="9" scale="19" orientation="landscape" horizontalDpi="1200" verticalDpi="1200" r:id="rId1"/>
  <ignoredErrors>
    <ignoredError sqref="Q2" emptyCellReference="1"/>
    <ignoredError sqref="X4:X7 X20:X44 X10:X19 X45:X61 X63" numberStoredAsText="1"/>
  </ignoredErrors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5734-65D4-4671-9DDB-91E4737D32DB}">
  <dimension ref="A1:AZ7"/>
  <sheetViews>
    <sheetView showGridLines="0" topLeftCell="N1" zoomScale="85" zoomScaleNormal="85" workbookViewId="0">
      <selection activeCell="V11" sqref="V11"/>
    </sheetView>
  </sheetViews>
  <sheetFormatPr baseColWidth="10" defaultColWidth="11.44140625" defaultRowHeight="14.4" outlineLevelCol="1" x14ac:dyDescent="0.3"/>
  <cols>
    <col min="1" max="1" width="10.6640625" hidden="1" customWidth="1" outlineLevel="1"/>
    <col min="2" max="2" width="10.6640625" style="10" hidden="1" customWidth="1" outlineLevel="1"/>
    <col min="3" max="3" width="15" style="10" hidden="1" customWidth="1" outlineLevel="1"/>
    <col min="4" max="4" width="10.6640625" style="3" customWidth="1" collapsed="1"/>
    <col min="5" max="6" width="10.6640625" style="3" customWidth="1"/>
    <col min="7" max="7" width="10.6640625" customWidth="1"/>
    <col min="8" max="9" width="10.6640625" customWidth="1" outlineLevel="1"/>
    <col min="10" max="10" width="18.109375" customWidth="1" outlineLevel="1"/>
    <col min="11" max="11" width="10.6640625" customWidth="1" outlineLevel="1" collapsed="1"/>
    <col min="12" max="12" width="10.6640625" customWidth="1" outlineLevel="1"/>
    <col min="13" max="13" width="15.88671875" customWidth="1" outlineLevel="1"/>
    <col min="14" max="15" width="10.6640625" customWidth="1" outlineLevel="1"/>
    <col min="16" max="16" width="13.6640625" customWidth="1" outlineLevel="1"/>
    <col min="17" max="17" width="15.6640625" customWidth="1"/>
    <col min="18" max="18" width="23" bestFit="1" customWidth="1"/>
    <col min="19" max="19" width="18.109375" bestFit="1" customWidth="1"/>
    <col min="20" max="20" width="16.88671875" customWidth="1" outlineLevel="1"/>
    <col min="21" max="21" width="18.33203125" customWidth="1" outlineLevel="1"/>
    <col min="22" max="22" width="12.6640625" style="9" bestFit="1" customWidth="1"/>
    <col min="23" max="23" width="37.33203125" bestFit="1" customWidth="1"/>
    <col min="24" max="24" width="12.109375" customWidth="1"/>
    <col min="25" max="25" width="10.6640625" customWidth="1"/>
    <col min="26" max="26" width="12.5546875" style="9" customWidth="1" outlineLevel="1"/>
    <col min="27" max="28" width="15.6640625" customWidth="1" outlineLevel="1"/>
    <col min="29" max="29" width="26.6640625" customWidth="1"/>
    <col min="30" max="30" width="21.6640625" style="9" customWidth="1"/>
    <col min="31" max="31" width="15.5546875" bestFit="1" customWidth="1"/>
    <col min="32" max="32" width="10.6640625" customWidth="1"/>
    <col min="33" max="33" width="19.109375" hidden="1" customWidth="1" outlineLevel="1"/>
    <col min="34" max="34" width="12.6640625" hidden="1" customWidth="1" outlineLevel="1"/>
    <col min="35" max="35" width="16" hidden="1" customWidth="1" outlineLevel="1"/>
    <col min="36" max="36" width="15.33203125" hidden="1" customWidth="1" outlineLevel="1"/>
    <col min="37" max="37" width="16.88671875" hidden="1" customWidth="1" outlineLevel="1"/>
    <col min="38" max="38" width="10.33203125" hidden="1" customWidth="1" outlineLevel="1"/>
    <col min="39" max="39" width="19.88671875" hidden="1" customWidth="1" outlineLevel="1"/>
    <col min="40" max="40" width="19.33203125" hidden="1" customWidth="1" outlineLevel="1"/>
    <col min="41" max="41" width="19.33203125" hidden="1" customWidth="1" outlineLevel="1" collapsed="1"/>
    <col min="42" max="43" width="19.33203125" hidden="1" customWidth="1" outlineLevel="1"/>
    <col min="44" max="44" width="40.5546875" bestFit="1" customWidth="1" collapsed="1"/>
    <col min="45" max="48" width="11.44140625" hidden="1" customWidth="1" outlineLevel="1"/>
    <col min="49" max="49" width="11.44140625" style="132" hidden="1" customWidth="1" outlineLevel="1" collapsed="1"/>
    <col min="50" max="51" width="11.44140625" style="132" hidden="1" customWidth="1" outlineLevel="1"/>
    <col min="52" max="52" width="11.44140625" collapsed="1"/>
  </cols>
  <sheetData>
    <row r="1" spans="1:51" s="1" customFormat="1" ht="21" customHeight="1" x14ac:dyDescent="0.4">
      <c r="A1" s="183" t="s">
        <v>97</v>
      </c>
      <c r="B1" s="183"/>
      <c r="C1" s="183"/>
      <c r="D1" s="183"/>
      <c r="E1" s="183"/>
      <c r="F1" s="183"/>
      <c r="V1" s="19"/>
      <c r="Z1" s="19"/>
      <c r="AD1" s="19"/>
      <c r="AW1" s="129"/>
      <c r="AX1" s="129"/>
      <c r="AY1" s="129"/>
    </row>
    <row r="2" spans="1:51" ht="45.75" customHeight="1" x14ac:dyDescent="0.3">
      <c r="A2" s="4" t="s">
        <v>98</v>
      </c>
      <c r="B2" s="14" t="s">
        <v>99</v>
      </c>
      <c r="C2" s="14" t="s">
        <v>53</v>
      </c>
      <c r="D2" s="4" t="s">
        <v>0</v>
      </c>
      <c r="E2" s="4" t="s">
        <v>28</v>
      </c>
      <c r="F2" s="4" t="s">
        <v>3</v>
      </c>
      <c r="G2" s="4" t="s">
        <v>55</v>
      </c>
      <c r="H2" s="4" t="s">
        <v>51</v>
      </c>
      <c r="I2" s="4" t="s">
        <v>100</v>
      </c>
      <c r="J2" s="4" t="s">
        <v>101</v>
      </c>
      <c r="K2" s="4" t="s">
        <v>102</v>
      </c>
      <c r="L2" s="4" t="s">
        <v>103</v>
      </c>
      <c r="M2" s="4" t="s">
        <v>104</v>
      </c>
      <c r="N2" s="4" t="s">
        <v>105</v>
      </c>
      <c r="O2" s="4" t="s">
        <v>106</v>
      </c>
      <c r="P2" s="4" t="s">
        <v>107</v>
      </c>
      <c r="Q2" s="4" t="s">
        <v>108</v>
      </c>
      <c r="R2" s="4" t="s">
        <v>109</v>
      </c>
      <c r="S2" s="5" t="s">
        <v>110</v>
      </c>
      <c r="T2" s="4" t="s">
        <v>111</v>
      </c>
      <c r="U2" s="4" t="s">
        <v>112</v>
      </c>
      <c r="V2" s="14" t="s">
        <v>60</v>
      </c>
      <c r="W2" s="4" t="s">
        <v>113</v>
      </c>
      <c r="X2" s="4" t="s">
        <v>114</v>
      </c>
      <c r="Y2" s="4" t="s">
        <v>115</v>
      </c>
      <c r="Z2" s="14" t="s">
        <v>54</v>
      </c>
      <c r="AA2" s="4" t="s">
        <v>116</v>
      </c>
      <c r="AB2" s="4" t="s">
        <v>117</v>
      </c>
      <c r="AC2" s="4" t="s">
        <v>118</v>
      </c>
      <c r="AD2" s="14" t="s">
        <v>120</v>
      </c>
      <c r="AE2" s="4" t="s">
        <v>121</v>
      </c>
      <c r="AF2" s="4" t="s">
        <v>122</v>
      </c>
      <c r="AG2" s="4" t="s">
        <v>123</v>
      </c>
      <c r="AH2" s="4" t="s">
        <v>124</v>
      </c>
      <c r="AI2" s="6" t="s">
        <v>125</v>
      </c>
      <c r="AJ2" s="4" t="s">
        <v>126</v>
      </c>
      <c r="AK2" s="4" t="s">
        <v>127</v>
      </c>
      <c r="AL2" s="4" t="s">
        <v>128</v>
      </c>
      <c r="AM2" s="4" t="s">
        <v>129</v>
      </c>
      <c r="AN2" s="4" t="s">
        <v>130</v>
      </c>
      <c r="AO2" s="4" t="s">
        <v>131</v>
      </c>
      <c r="AP2" s="4" t="s">
        <v>132</v>
      </c>
      <c r="AQ2" s="4" t="s">
        <v>133</v>
      </c>
      <c r="AR2" s="4" t="s">
        <v>134</v>
      </c>
      <c r="AS2" s="18" t="s">
        <v>135</v>
      </c>
      <c r="AT2" s="18" t="s">
        <v>78</v>
      </c>
      <c r="AU2" s="18" t="s">
        <v>77</v>
      </c>
      <c r="AV2" s="18" t="s">
        <v>136</v>
      </c>
      <c r="AW2" s="130" t="s">
        <v>137</v>
      </c>
      <c r="AX2" s="130" t="s">
        <v>138</v>
      </c>
      <c r="AY2" s="130" t="s">
        <v>139</v>
      </c>
    </row>
    <row r="3" spans="1:51" x14ac:dyDescent="0.3">
      <c r="A3" s="46" t="str">
        <f>TEXT(Registro_Ventas2[[#This Row],[Fecha Captacion]],"Mmmm")</f>
        <v>octubre</v>
      </c>
      <c r="B3" s="26">
        <v>45592</v>
      </c>
      <c r="C3" s="26" t="s">
        <v>11</v>
      </c>
      <c r="D3" s="27" t="str">
        <f xml:space="preserve">
IF(Registro_Ventas2[[#This Row],[Desistimiento]]="",
IF(AND(Registro_Ventas2[[#This Row],[Firma Minuta]]&lt;&gt;"",Registro_Ventas2[[#This Row],[Cuota Inicial]]&gt;0),"Vendido",
IF(AND(Registro_Ventas2[[#This Row],[Fecha Separacion]]&lt;&gt;"",Registro_Ventas2[[#This Row],[Valor Separacion]]&lt;&gt;""),"Separación",
IF(AND(Registro_Ventas2[[#This Row],[Fecha de Cita]]&lt;&gt;""),"Cita Agendada",
IF(AND(Registro_Ventas2[[#This Row],[Cliente]]&lt;&gt;"",Registro_Ventas2[[#This Row],[Documento]]&lt;&gt;""),"Prospecto","Revisar")))),"Desiste")</f>
        <v>Separación</v>
      </c>
      <c r="E3" s="27" t="s">
        <v>31</v>
      </c>
      <c r="F3" s="28" t="s">
        <v>12</v>
      </c>
      <c r="G3" s="27" t="s">
        <v>46</v>
      </c>
      <c r="H3" s="29"/>
      <c r="I3" s="30"/>
      <c r="J3" s="31"/>
      <c r="K3" s="32" t="s">
        <v>329</v>
      </c>
      <c r="L3" s="33">
        <v>14.3</v>
      </c>
      <c r="M3" s="31">
        <v>50500</v>
      </c>
      <c r="N3" s="31" t="s">
        <v>360</v>
      </c>
      <c r="O3" s="33"/>
      <c r="P3" s="31"/>
      <c r="Q3" s="34" t="str">
        <f>Registro_Ventas2[[#This Row],[N° UI Departamento]]&amp;IF(Registro_Ventas2[[#This Row],[N° UI Estacionamiento]]&lt;&gt;""," / "&amp;Registro_Ventas2[[#This Row],[N° UI Estacionamiento]],"")&amp;IF(Registro_Ventas2[[#This Row],[N° UI Depósito]]&lt;&gt;""," / "&amp;Registro_Ventas2[[#This Row],[N° UI Depósito]],"")</f>
        <v xml:space="preserve"> / E18 / D13</v>
      </c>
      <c r="R3" s="31">
        <f>Registro_Ventas2[[#This Row],[Precio Venta Departamento]]+Registro_Ventas2[[#This Row],[Precio Venta Estacionamiento]]+Registro_Ventas2[[#This Row],[Precio Venta Depósito]]</f>
        <v>50500</v>
      </c>
      <c r="S3" s="35">
        <f t="shared" ref="S3" si="0">AA3+AB3</f>
        <v>3000</v>
      </c>
      <c r="T3" s="35"/>
      <c r="U3" s="36"/>
      <c r="V3" s="37"/>
      <c r="W3" s="28" t="s">
        <v>284</v>
      </c>
      <c r="X3" s="27">
        <v>10606793</v>
      </c>
      <c r="Y3" s="27"/>
      <c r="Z3" s="38">
        <v>46044</v>
      </c>
      <c r="AA3" s="35">
        <v>3000</v>
      </c>
      <c r="AB3" s="35"/>
      <c r="AC3" s="27"/>
      <c r="AD3" s="43"/>
      <c r="AE3" s="28"/>
      <c r="AF3" s="28"/>
      <c r="AG3" s="28"/>
      <c r="AH3" s="41"/>
      <c r="AI3" s="35"/>
      <c r="AJ3" s="39"/>
      <c r="AK3" s="40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131"/>
      <c r="AX3" s="131"/>
      <c r="AY3" s="131"/>
    </row>
    <row r="4" spans="1:51" x14ac:dyDescent="0.3">
      <c r="A4" s="46" t="str">
        <f>TEXT(Registro_Ventas2[[#This Row],[Fecha Captacion]],"Mmmm")</f>
        <v>diciembre</v>
      </c>
      <c r="B4" s="26">
        <v>45999</v>
      </c>
      <c r="C4" s="26" t="s">
        <v>11</v>
      </c>
      <c r="D4" s="27" t="str">
        <f xml:space="preserve">
IF(Registro_Ventas2[[#This Row],[Desistimiento]]="",
IF(AND(Registro_Ventas2[[#This Row],[Firma Minuta]]&lt;&gt;"",Registro_Ventas2[[#This Row],[Cuota Inicial]]&gt;0),"Vendido",
IF(AND(Registro_Ventas2[[#This Row],[Fecha Separacion]]&lt;&gt;"",Registro_Ventas2[[#This Row],[Valor Separacion]]&lt;&gt;""),"Separación",
IF(AND(Registro_Ventas2[[#This Row],[Fecha de Cita]]&lt;&gt;""),"Cita Agendada",
IF(AND(Registro_Ventas2[[#This Row],[Cliente]]&lt;&gt;"",Registro_Ventas2[[#This Row],[Documento]]&lt;&gt;""),"Prospecto","Revisar")))),"Desiste")</f>
        <v>Prospecto</v>
      </c>
      <c r="E4" s="27" t="s">
        <v>30</v>
      </c>
      <c r="F4" s="28" t="s">
        <v>12</v>
      </c>
      <c r="G4" s="27" t="s">
        <v>46</v>
      </c>
      <c r="H4" s="29"/>
      <c r="I4" s="30"/>
      <c r="J4" s="31"/>
      <c r="K4" s="32" t="s">
        <v>223</v>
      </c>
      <c r="L4" s="33">
        <v>12</v>
      </c>
      <c r="M4" s="31">
        <v>50000</v>
      </c>
      <c r="N4" s="31"/>
      <c r="O4" s="33"/>
      <c r="P4" s="31"/>
      <c r="Q4" s="34" t="str">
        <f>Registro_Ventas2[[#This Row],[N° UI Departamento]]&amp;IF(Registro_Ventas2[[#This Row],[N° UI Estacionamiento]]&lt;&gt;""," / "&amp;Registro_Ventas2[[#This Row],[N° UI Estacionamiento]],"")&amp;IF(Registro_Ventas2[[#This Row],[N° UI Depósito]]&lt;&gt;""," / "&amp;Registro_Ventas2[[#This Row],[N° UI Depósito]],"")</f>
        <v xml:space="preserve"> / E06</v>
      </c>
      <c r="R4" s="31">
        <f>Registro_Ventas2[[#This Row],[Precio Venta Departamento]]+Registro_Ventas2[[#This Row],[Precio Venta Estacionamiento]]+Registro_Ventas2[[#This Row],[Precio Venta Depósito]]</f>
        <v>50000</v>
      </c>
      <c r="S4" s="35">
        <f t="shared" ref="S4" si="1">AA4+AB4</f>
        <v>0</v>
      </c>
      <c r="T4" s="35">
        <f>IF(Registro_Ventas2[[#This Row],[Categoria]]="Cita Agendada","",SUM(Registro_Ventas2[[#This Row],[Precio Venta Departamento]],Registro_Ventas2[[#This Row],[Precio Venta Estacionamiento]],Registro_Ventas2[[#This Row],[Precio Venta Depósito]])/
SUM(Registro_Ventas2[[#This Row],[Área Ocupada Departamento]],Registro_Ventas2[[#This Row],[Área Ocupada Estacionamiento]],Registro_Ventas2[[#This Row],[Área Ocupada Depósito]]))</f>
        <v>4166.666666666667</v>
      </c>
      <c r="U4" s="36">
        <f>IF(Registro_Ventas2[[#This Row],[Categoria]]="Cita Agendada","",Registro_Ventas2[[#This Row],[M2 PEN]]/3.8)</f>
        <v>1096.4912280701756</v>
      </c>
      <c r="V4" s="37"/>
      <c r="W4" s="28" t="s">
        <v>224</v>
      </c>
      <c r="X4" s="45">
        <v>40642153</v>
      </c>
      <c r="Y4" s="128"/>
      <c r="Z4" s="38"/>
      <c r="AA4" s="35"/>
      <c r="AB4" s="35"/>
      <c r="AC4" s="27" t="s">
        <v>361</v>
      </c>
      <c r="AD4" s="43"/>
      <c r="AE4" s="28"/>
      <c r="AF4" s="28"/>
      <c r="AG4" s="28"/>
      <c r="AH4" s="41"/>
      <c r="AI4" s="35">
        <f>Registro_Ventas2[[#This Row],[Precio Venta Unidad(es)]]*Registro_Ventas2[[#This Row],[%Comision
Ejecutivo]]</f>
        <v>0</v>
      </c>
      <c r="AJ4" s="39">
        <f>Registro_Ventas2[[#This Row],[Total Comision]]*30%</f>
        <v>0</v>
      </c>
      <c r="AK4" s="40"/>
      <c r="AL4" s="28"/>
      <c r="AM4" s="28"/>
      <c r="AN4" s="28"/>
      <c r="AO4" s="28"/>
      <c r="AP4" s="28"/>
      <c r="AQ4" s="28"/>
      <c r="AR4" s="28"/>
      <c r="AS4" s="28" t="str">
        <f>IF(Registro_Ventas2[[#This Row],[Fecha Separacion]]&lt;&gt;"",TEXT(Registro_Ventas2[[#This Row],[Fecha Separacion]],"mmmm"),"")</f>
        <v/>
      </c>
      <c r="AT4" s="28" t="str">
        <f>IF(Registro_Ventas2[[#This Row],[Firma Minuta]]&lt;&gt;"",TEXT(Registro_Ventas2[[#This Row],[Firma Minuta]],"mmmm"),"")</f>
        <v/>
      </c>
      <c r="AU4" s="28" t="str">
        <f>IF(Registro_Ventas2[[#This Row],[Firma Minuta]]&lt;&gt;"",TEXT(Registro_Ventas2[[#This Row],[Firma Minuta]],"yyyy"),"")</f>
        <v/>
      </c>
      <c r="AV4" s="28" t="str">
        <f>IF(Registro_Ventas2[[#This Row],[Fecha Separacion]]&lt;&gt;"",TEXT(Registro_Ventas2[[#This Row],[Fecha Separacion]],"yyyy"),"")</f>
        <v/>
      </c>
      <c r="AW4" s="131" t="str">
        <f>IF(Registro_Ventas2[[#This Row],[Fecha Separacion]]="","",Registro_Ventas2[[#This Row],[Fecha Separacion]]-Registro_Ventas2[[#This Row],[Fecha Captacion]])</f>
        <v/>
      </c>
      <c r="AX4" s="131" t="str">
        <f>+IF(Registro_Ventas2[[#This Row],[Firma Minuta]]="","",Registro_Ventas2[[#This Row],[Firma Minuta]]-Registro_Ventas2[[#This Row],[Fecha Captacion]])</f>
        <v/>
      </c>
      <c r="AY4" s="131" t="str">
        <f>+IF(Registro_Ventas2[[#This Row],[Firma Minuta]]="","",Registro_Ventas2[[#This Row],[Firma Minuta]]-Registro_Ventas2[[#This Row],[Fecha Separacion]])</f>
        <v/>
      </c>
    </row>
    <row r="5" spans="1:51" x14ac:dyDescent="0.3">
      <c r="A5" s="46" t="str">
        <f>TEXT(Registro_Ventas2[[#This Row],[Fecha Captacion]],"Mmmm")</f>
        <v>marzo</v>
      </c>
      <c r="B5" s="26">
        <v>46096</v>
      </c>
      <c r="C5" s="26" t="s">
        <v>66</v>
      </c>
      <c r="D5" s="27" t="str">
        <f xml:space="preserve">
IF(Registro_Ventas2[[#This Row],[Desistimiento]]="",
IF(AND(Registro_Ventas2[[#This Row],[Firma Minuta]]&lt;&gt;"",Registro_Ventas2[[#This Row],[Cuota Inicial]]&gt;0),"Vendido",
IF(AND(Registro_Ventas2[[#This Row],[Fecha Separacion]]&lt;&gt;"",Registro_Ventas2[[#This Row],[Valor Separacion]]&lt;&gt;""),"Separación",
IF(AND(Registro_Ventas2[[#This Row],[Fecha de Cita]]&lt;&gt;""),"Cita Agendada",
IF(AND(Registro_Ventas2[[#This Row],[Cliente]]&lt;&gt;"",Registro_Ventas2[[#This Row],[Documento]]&lt;&gt;""),"Prospecto","Revisar")))),"Desiste")</f>
        <v>Prospecto</v>
      </c>
      <c r="E5" s="27" t="s">
        <v>30</v>
      </c>
      <c r="F5" s="28" t="s">
        <v>12</v>
      </c>
      <c r="G5" s="27" t="s">
        <v>46</v>
      </c>
      <c r="H5" s="29" t="s">
        <v>362</v>
      </c>
      <c r="I5" s="30">
        <v>12.5</v>
      </c>
      <c r="J5" s="31">
        <v>48500</v>
      </c>
      <c r="K5" s="32"/>
      <c r="L5" s="33"/>
      <c r="M5" s="31"/>
      <c r="N5" s="31" t="s">
        <v>319</v>
      </c>
      <c r="O5" s="33">
        <v>2.4500000000000002</v>
      </c>
      <c r="P5" s="31"/>
      <c r="Q5" s="34" t="str">
        <f>Registro_Ventas2[[#This Row],[N° UI Departamento]]&amp;IF(Registro_Ventas2[[#This Row],[N° UI Estacionamiento]]&lt;&gt;""," / "&amp;Registro_Ventas2[[#This Row],[N° UI Estacionamiento]],"")&amp;IF(Registro_Ventas2[[#This Row],[N° UI Depósito]]&lt;&gt;""," / "&amp;Registro_Ventas2[[#This Row],[N° UI Depósito]],"")</f>
        <v>E44 / D26</v>
      </c>
      <c r="R5" s="31">
        <f>Registro_Ventas2[[#This Row],[Precio Venta Departamento]]+Registro_Ventas2[[#This Row],[Precio Venta Estacionamiento]]+Registro_Ventas2[[#This Row],[Precio Venta Depósito]]</f>
        <v>48500</v>
      </c>
      <c r="S5" s="35">
        <f>AA5+AB5</f>
        <v>0</v>
      </c>
      <c r="T5" s="35">
        <f>IF(Registro_Ventas2[[#This Row],[Categoria]]="Cita Agendada","",SUM(Registro_Ventas2[[#This Row],[Precio Venta Departamento]],Registro_Ventas2[[#This Row],[Precio Venta Estacionamiento]],Registro_Ventas2[[#This Row],[Precio Venta Depósito]])/
SUM(Registro_Ventas2[[#This Row],[Área Ocupada Departamento]],Registro_Ventas2[[#This Row],[Área Ocupada Estacionamiento]],Registro_Ventas2[[#This Row],[Área Ocupada Depósito]]))</f>
        <v>3244.1471571906354</v>
      </c>
      <c r="U5" s="36">
        <f>IF(Registro_Ventas2[[#This Row],[Categoria]]="Cita Agendada","",Registro_Ventas2[[#This Row],[M2 PEN]]/3.8)</f>
        <v>853.72293610279883</v>
      </c>
      <c r="V5" s="37"/>
      <c r="W5" s="28" t="s">
        <v>220</v>
      </c>
      <c r="X5" s="45" t="s">
        <v>221</v>
      </c>
      <c r="Y5" s="128"/>
      <c r="Z5" s="38"/>
      <c r="AA5" s="35"/>
      <c r="AB5" s="35"/>
      <c r="AC5" s="27"/>
      <c r="AD5" s="43"/>
      <c r="AE5" s="28"/>
      <c r="AF5" s="28"/>
      <c r="AG5" s="28"/>
      <c r="AH5" s="41"/>
      <c r="AI5" s="35">
        <f>Registro_Ventas2[[#This Row],[Precio Venta Unidad(es)]]*Registro_Ventas2[[#This Row],[%Comision
Ejecutivo]]</f>
        <v>0</v>
      </c>
      <c r="AJ5" s="39">
        <f>Registro_Ventas2[[#This Row],[Total Comision]]*30%</f>
        <v>0</v>
      </c>
      <c r="AK5" s="40"/>
      <c r="AL5" s="28"/>
      <c r="AM5" s="28"/>
      <c r="AN5" s="28"/>
      <c r="AO5" s="28"/>
      <c r="AP5" s="28"/>
      <c r="AQ5" s="28"/>
      <c r="AR5" s="28"/>
      <c r="AS5" s="28" t="str">
        <f>IF(Registro_Ventas2[[#This Row],[Fecha Separacion]]&lt;&gt;"",TEXT(Registro_Ventas2[[#This Row],[Fecha Separacion]],"mmmm"),"")</f>
        <v/>
      </c>
      <c r="AT5" s="28" t="str">
        <f>IF(Registro_Ventas2[[#This Row],[Firma Minuta]]&lt;&gt;"",TEXT(Registro_Ventas2[[#This Row],[Firma Minuta]],"mmmm"),"")</f>
        <v/>
      </c>
      <c r="AU5" s="28" t="str">
        <f>IF(Registro_Ventas2[[#This Row],[Firma Minuta]]&lt;&gt;"",TEXT(Registro_Ventas2[[#This Row],[Firma Minuta]],"yyyy"),"")</f>
        <v/>
      </c>
      <c r="AV5" s="28" t="str">
        <f>IF(Registro_Ventas2[[#This Row],[Fecha Separacion]]&lt;&gt;"",TEXT(Registro_Ventas2[[#This Row],[Fecha Separacion]],"yyyy"),"")</f>
        <v/>
      </c>
      <c r="AW5" s="131" t="str">
        <f>IF(Registro_Ventas2[[#This Row],[Fecha Separacion]]="","",Registro_Ventas2[[#This Row],[Fecha Separacion]]-Registro_Ventas2[[#This Row],[Fecha Captacion]])</f>
        <v/>
      </c>
      <c r="AX5" s="131" t="str">
        <f>+IF(Registro_Ventas2[[#This Row],[Firma Minuta]]="","",Registro_Ventas2[[#This Row],[Firma Minuta]]-Registro_Ventas2[[#This Row],[Fecha Captacion]])</f>
        <v/>
      </c>
      <c r="AY5" s="131" t="str">
        <f>+IF(Registro_Ventas2[[#This Row],[Firma Minuta]]="","",Registro_Ventas2[[#This Row],[Firma Minuta]]-Registro_Ventas2[[#This Row],[Fecha Separacion]])</f>
        <v/>
      </c>
    </row>
    <row r="6" spans="1:51" ht="15" thickBot="1" x14ac:dyDescent="0.35">
      <c r="AJ6" s="44" t="e">
        <f>#REF!+#REF!</f>
        <v>#REF!</v>
      </c>
    </row>
    <row r="7" spans="1:51" ht="15" thickTop="1" x14ac:dyDescent="0.3"/>
  </sheetData>
  <mergeCells count="1">
    <mergeCell ref="A1:F1"/>
  </mergeCells>
  <dataValidations count="4">
    <dataValidation type="list" allowBlank="1" showInputMessage="1" showErrorMessage="1" sqref="C3:C5" xr:uid="{549E0F7A-BA99-4774-B25D-7970C6AA0D38}">
      <formula1>"Nexo Inmobiliario,Facebook Leads,Instagram,Contato Web,Caseta de Venta, Urbania,Web Scotiabank,Feria Nexo,Feria Urbania,Referido,"</formula1>
    </dataValidation>
    <dataValidation type="list" allowBlank="1" showInputMessage="1" showErrorMessage="1" sqref="F2:F5" xr:uid="{938A63FC-024D-4C1E-B1E6-170653380310}">
      <formula1>"Addriela Rojas,Kenny Salazar,Carla Michue,Renzo Salinas,Diana Urcia,Administracion,Kary Gutierrez,Juli Vila,Magaly Guevara"</formula1>
    </dataValidation>
    <dataValidation type="list" allowBlank="1" showInputMessage="1" showErrorMessage="1" sqref="E3:E5" xr:uid="{D6C95A4E-EF8E-4E54-8AD6-105A98015BF8}">
      <formula1>"Prada,Beyond,Venecia"</formula1>
    </dataValidation>
    <dataValidation type="list" allowBlank="1" showInputMessage="1" showErrorMessage="1" sqref="G3:G5" xr:uid="{41E13F4D-6D50-4403-857D-F1675F73FD3E}">
      <formula1>"CD,CH,PA,CO,DESISTE"</formula1>
    </dataValidation>
  </dataValidations>
  <pageMargins left="0.7" right="0.7" top="0.75" bottom="0.75" header="0.3" footer="0.3"/>
  <pageSetup orientation="portrait" horizontalDpi="1200" verticalDpi="1200" r:id="rId1"/>
  <ignoredErrors>
    <ignoredError sqref="X5" numberStoredAsText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46AA-D932-4D55-A89D-F56FFEB0C718}">
  <sheetPr codeName="Hoja3"/>
  <dimension ref="A2:N36"/>
  <sheetViews>
    <sheetView showGridLines="0" topLeftCell="A6" zoomScale="70" zoomScaleNormal="70" workbookViewId="0">
      <selection activeCell="N31" sqref="A26:N31"/>
    </sheetView>
  </sheetViews>
  <sheetFormatPr baseColWidth="10" defaultColWidth="11.44140625" defaultRowHeight="14.4" x14ac:dyDescent="0.3"/>
  <cols>
    <col min="1" max="1" width="22.88671875" bestFit="1" customWidth="1"/>
    <col min="2" max="5" width="23.109375" bestFit="1" customWidth="1"/>
    <col min="6" max="6" width="10.6640625" bestFit="1" customWidth="1"/>
    <col min="7" max="9" width="23.109375" bestFit="1" customWidth="1"/>
    <col min="10" max="10" width="22.88671875" bestFit="1" customWidth="1"/>
    <col min="11" max="11" width="23.109375" bestFit="1" customWidth="1"/>
    <col min="12" max="13" width="22.88671875" bestFit="1" customWidth="1"/>
    <col min="14" max="14" width="25.109375" bestFit="1" customWidth="1"/>
  </cols>
  <sheetData>
    <row r="2" spans="1:14" ht="24" thickBot="1" x14ac:dyDescent="0.35">
      <c r="A2" s="187">
        <v>2024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67"/>
    </row>
    <row r="3" spans="1:14" ht="24" thickBot="1" x14ac:dyDescent="0.35">
      <c r="A3" s="20" t="s">
        <v>363</v>
      </c>
      <c r="B3" s="20" t="s">
        <v>13</v>
      </c>
      <c r="C3" s="20" t="s">
        <v>82</v>
      </c>
      <c r="D3" s="20" t="s">
        <v>85</v>
      </c>
      <c r="E3" s="20" t="s">
        <v>86</v>
      </c>
      <c r="F3" s="20" t="s">
        <v>364</v>
      </c>
      <c r="G3" s="20" t="s">
        <v>90</v>
      </c>
      <c r="H3" s="20" t="s">
        <v>79</v>
      </c>
      <c r="I3" s="20" t="s">
        <v>87</v>
      </c>
      <c r="J3" s="20" t="s">
        <v>80</v>
      </c>
      <c r="K3" s="20" t="s">
        <v>83</v>
      </c>
      <c r="L3" s="20" t="s">
        <v>84</v>
      </c>
      <c r="M3" s="20" t="s">
        <v>81</v>
      </c>
      <c r="N3" s="167"/>
    </row>
    <row r="4" spans="1:14" ht="18" x14ac:dyDescent="0.3">
      <c r="A4" s="47" t="s">
        <v>31</v>
      </c>
      <c r="B4" s="23">
        <f>SUMIFS(Registro_Ventas[Precio Venta Unidad(es)],Registro_Ventas[Proyecto],$A4,Registro_Ventas[Año Minuta],$A2,Registro_Ventas[Mes Minuta],B$3,Registro_Ventas[Categoria],"VENDIDO")</f>
        <v>0</v>
      </c>
      <c r="C4" s="23">
        <f>SUMIFS(Registro_Ventas[Precio Venta Unidad(es)],Registro_Ventas[Proyecto],$A4,Registro_Ventas[Año Minuta],$A2,Registro_Ventas[Mes Minuta],C$3,Registro_Ventas[Categoria],"VENDIDO")</f>
        <v>0</v>
      </c>
      <c r="D4" s="23">
        <f>SUMIFS(Registro_Ventas[Precio Venta Unidad(es)],Registro_Ventas[Proyecto],$A4,Registro_Ventas[Año Minuta],$A2,Registro_Ventas[Mes Minuta],D$3,Registro_Ventas[Categoria],"VENDIDO")</f>
        <v>0</v>
      </c>
      <c r="E4" s="23">
        <f>SUMIFS(Registro_Ventas[Precio Venta Unidad(es)],Registro_Ventas[Proyecto],$A4,Registro_Ventas[Año Minuta],$A2,Registro_Ventas[Mes Minuta],E$3,Registro_Ventas[Categoria],"VENDIDO")</f>
        <v>0</v>
      </c>
      <c r="F4" s="23">
        <f>SUMIFS(Registro_Ventas[Precio Venta Unidad(es)],Registro_Ventas[Proyecto],$A4,Registro_Ventas[Año Minuta],$A2,Registro_Ventas[Mes Minuta],F$3,Registro_Ventas[Categoria],"VENDIDO")</f>
        <v>0</v>
      </c>
      <c r="G4" s="23">
        <f>SUMIFS(Registro_Ventas[Precio Venta Unidad(es)],Registro_Ventas[Proyecto],$A4,Registro_Ventas[Año Minuta],$A2,Registro_Ventas[Mes Minuta],G$3,Registro_Ventas[Categoria],"VENDIDO")</f>
        <v>0</v>
      </c>
      <c r="H4" s="23">
        <f>SUMIFS(Registro_Ventas[Precio Venta Unidad(es)],Registro_Ventas[Proyecto],$A4,Registro_Ventas[Año Minuta],$A2,Registro_Ventas[Mes Minuta],H$3,Registro_Ventas[Categoria],"VENDIDO")</f>
        <v>1058000</v>
      </c>
      <c r="I4" s="23">
        <f>SUMIFS(Registro_Ventas[Precio Venta Unidad(es)],Registro_Ventas[Proyecto],$A4,Registro_Ventas[Año Minuta],$A2,Registro_Ventas[Mes Minuta],I$3,Registro_Ventas[Categoria],"VENDIDO")</f>
        <v>0</v>
      </c>
      <c r="J4" s="23">
        <f>SUMIFS(Registro_Ventas[Precio Venta Unidad(es)],Registro_Ventas[Proyecto],$A4,Registro_Ventas[Año Minuta],$A2,Registro_Ventas[Mes Minuta],J$3,Registro_Ventas[Categoria],"VENDIDO")</f>
        <v>1996000</v>
      </c>
      <c r="K4" s="23">
        <f>SUMIFS(Registro_Ventas[Precio Venta Unidad(es)],Registro_Ventas[Proyecto],$A4,Registro_Ventas[Año Minuta],$A2,Registro_Ventas[Mes Minuta],K$3,Registro_Ventas[Categoria],"VENDIDO")</f>
        <v>654000</v>
      </c>
      <c r="L4" s="23">
        <f>SUMIFS(Registro_Ventas[Precio Venta Unidad(es)],Registro_Ventas[Proyecto],$A4,Registro_Ventas[Año Minuta],$A2,Registro_Ventas[Mes Minuta],L$3,Registro_Ventas[Categoria],"VENDIDO")</f>
        <v>1883500</v>
      </c>
      <c r="M4" s="23">
        <f>SUMIFS(Registro_Ventas[Precio Venta Unidad(es)],Registro_Ventas[Proyecto],$A4,Registro_Ventas[Año Minuta],$A2,Registro_Ventas[Mes Minuta],M$3,Registro_Ventas[Categoria],"VENDIDO")</f>
        <v>490000</v>
      </c>
      <c r="N4" s="23"/>
    </row>
    <row r="5" spans="1:14" ht="18" x14ac:dyDescent="0.3">
      <c r="A5" s="17" t="s">
        <v>30</v>
      </c>
      <c r="B5" s="23">
        <f>SUMIFS(Registro_Ventas[Precio Venta Unidad(es)],Registro_Ventas[Proyecto],$A5,Registro_Ventas[Año Minuta],$A2,Registro_Ventas[Mes Minuta],B$3,Registro_Ventas[Categoria],"VENDIDO")</f>
        <v>0</v>
      </c>
      <c r="C5" s="23">
        <f>SUMIFS(Registro_Ventas[Precio Venta Unidad(es)],Registro_Ventas[Proyecto],$A5,Registro_Ventas[Año Minuta],$A2,Registro_Ventas[Mes Minuta],C$3,Registro_Ventas[Categoria],"VENDIDO")</f>
        <v>0</v>
      </c>
      <c r="D5" s="23">
        <f>SUMIFS(Registro_Ventas[Precio Venta Unidad(es)],Registro_Ventas[Proyecto],$A5,Registro_Ventas[Año Minuta],$A2,Registro_Ventas[Mes Minuta],D$3,Registro_Ventas[Categoria],"VENDIDO")</f>
        <v>0</v>
      </c>
      <c r="E5" s="23">
        <f>SUMIFS(Registro_Ventas[Precio Venta Unidad(es)],Registro_Ventas[Proyecto],$A5,Registro_Ventas[Año Minuta],$A2,Registro_Ventas[Mes Minuta],E$3,Registro_Ventas[Categoria],"VENDIDO")</f>
        <v>0</v>
      </c>
      <c r="F5" s="23">
        <f>SUMIFS(Registro_Ventas[Precio Venta Unidad(es)],Registro_Ventas[Proyecto],$A5,Registro_Ventas[Año Minuta],$A2,Registro_Ventas[Mes Minuta],F$3,Registro_Ventas[Categoria],"VENDIDO")</f>
        <v>0</v>
      </c>
      <c r="G5" s="23">
        <f>SUMIFS(Registro_Ventas[Precio Venta Unidad(es)],Registro_Ventas[Proyecto],$A5,Registro_Ventas[Año Minuta],$A2,Registro_Ventas[Mes Minuta],G$3,Registro_Ventas[Categoria],"VENDIDO")</f>
        <v>0</v>
      </c>
      <c r="H5" s="23">
        <f>SUMIFS(Registro_Ventas[Precio Venta Unidad(es)],Registro_Ventas[Proyecto],$A5,Registro_Ventas[Año Minuta],$A2,Registro_Ventas[Mes Minuta],H$3,Registro_Ventas[Categoria],"VENDIDO")</f>
        <v>0</v>
      </c>
      <c r="I5" s="23">
        <f>SUMIFS(Registro_Ventas[Precio Venta Unidad(es)],Registro_Ventas[Proyecto],$A5,Registro_Ventas[Año Minuta],$A2,Registro_Ventas[Mes Minuta],I$3,Registro_Ventas[Categoria],"VENDIDO")</f>
        <v>0</v>
      </c>
      <c r="J5" s="23">
        <f>SUMIFS(Registro_Ventas[Precio Venta Unidad(es)],Registro_Ventas[Proyecto],$A5,Registro_Ventas[Año Minuta],$A2,Registro_Ventas[Mes Minuta],J$3,Registro_Ventas[Categoria],"VENDIDO")</f>
        <v>0</v>
      </c>
      <c r="K5" s="23">
        <f>SUMIFS(Registro_Ventas[Precio Venta Unidad(es)],Registro_Ventas[Proyecto],$A5,Registro_Ventas[Año Minuta],$A2,Registro_Ventas[Mes Minuta],K$3,Registro_Ventas[Categoria],"VENDIDO")</f>
        <v>0</v>
      </c>
      <c r="L5" s="23">
        <f>SUMIFS(Registro_Ventas[Precio Venta Unidad(es)],Registro_Ventas[Proyecto],$A5,Registro_Ventas[Año Minuta],$A2,Registro_Ventas[Mes Minuta],L$3,Registro_Ventas[Categoria],"VENDIDO")</f>
        <v>0</v>
      </c>
      <c r="M5" s="23">
        <f>SUMIFS(Registro_Ventas[Precio Venta Unidad(es)],Registro_Ventas[Proyecto],$A5,Registro_Ventas[Año Minuta],$A2,Registro_Ventas[Mes Minuta],M$3,Registro_Ventas[Categoria],"VENDIDO")</f>
        <v>0</v>
      </c>
      <c r="N5" s="23"/>
    </row>
    <row r="6" spans="1:14" ht="18.600000000000001" thickBot="1" x14ac:dyDescent="0.35">
      <c r="A6" s="17" t="s">
        <v>32</v>
      </c>
      <c r="B6" s="23">
        <f>SUMIFS(Registro_Ventas[Precio Venta Unidad(es)],Registro_Ventas[Proyecto],$A6,Registro_Ventas[Año Minuta],$A2,Registro_Ventas[Mes Minuta],B$3,Registro_Ventas[Categoria],"VENDIDO")</f>
        <v>0</v>
      </c>
      <c r="C6" s="23">
        <f>SUMIFS(Registro_Ventas[Precio Venta Unidad(es)],Registro_Ventas[Proyecto],$A6,Registro_Ventas[Año Minuta],$A2,Registro_Ventas[Mes Minuta],C$3,Registro_Ventas[Categoria],"VENDIDO")</f>
        <v>0</v>
      </c>
      <c r="D6" s="23">
        <f>SUMIFS(Registro_Ventas[Precio Venta Unidad(es)],Registro_Ventas[Proyecto],$A6,Registro_Ventas[Año Minuta],$A2,Registro_Ventas[Mes Minuta],D$3,Registro_Ventas[Categoria],"VENDIDO")</f>
        <v>0</v>
      </c>
      <c r="E6" s="23">
        <f>SUMIFS(Registro_Ventas[Precio Venta Unidad(es)],Registro_Ventas[Proyecto],$A6,Registro_Ventas[Año Minuta],$A2,Registro_Ventas[Mes Minuta],E$3,Registro_Ventas[Categoria],"VENDIDO")</f>
        <v>0</v>
      </c>
      <c r="F6" s="23">
        <f>SUMIFS(Registro_Ventas[Precio Venta Unidad(es)],Registro_Ventas[Proyecto],$A6,Registro_Ventas[Año Minuta],$A2,Registro_Ventas[Mes Minuta],F$3,Registro_Ventas[Categoria],"VENDIDO")</f>
        <v>0</v>
      </c>
      <c r="G6" s="23">
        <f>SUMIFS(Registro_Ventas[Precio Venta Unidad(es)],Registro_Ventas[Proyecto],$A6,Registro_Ventas[Año Minuta],$A2,Registro_Ventas[Mes Minuta],G$3,Registro_Ventas[Categoria],"VENDIDO")</f>
        <v>0</v>
      </c>
      <c r="H6" s="23">
        <f>SUMIFS(Registro_Ventas[Precio Venta Unidad(es)],Registro_Ventas[Proyecto],$A6,Registro_Ventas[Año Minuta],$A2,Registro_Ventas[Mes Minuta],H$3,Registro_Ventas[Categoria],"VENDIDO")</f>
        <v>0</v>
      </c>
      <c r="I6" s="23">
        <f>SUMIFS(Registro_Ventas[Precio Venta Unidad(es)],Registro_Ventas[Proyecto],$A6,Registro_Ventas[Año Minuta],$A2,Registro_Ventas[Mes Minuta],I$3,Registro_Ventas[Categoria],"VENDIDO")</f>
        <v>0</v>
      </c>
      <c r="J6" s="23">
        <f>SUMIFS(Registro_Ventas[Precio Venta Unidad(es)],Registro_Ventas[Proyecto],$A6,Registro_Ventas[Año Minuta],$A2,Registro_Ventas[Mes Minuta],J$3,Registro_Ventas[Categoria],"VENDIDO")</f>
        <v>0</v>
      </c>
      <c r="K6" s="23">
        <f>SUMIFS(Registro_Ventas[Precio Venta Unidad(es)],Registro_Ventas[Proyecto],$A6,Registro_Ventas[Año Minuta],$A2,Registro_Ventas[Mes Minuta],K$3,Registro_Ventas[Categoria],"VENDIDO")</f>
        <v>0</v>
      </c>
      <c r="L6" s="23">
        <f>SUMIFS(Registro_Ventas[Precio Venta Unidad(es)],Registro_Ventas[Proyecto],$A6,Registro_Ventas[Año Minuta],$A2,Registro_Ventas[Mes Minuta],L$3,Registro_Ventas[Categoria],"VENDIDO")</f>
        <v>0</v>
      </c>
      <c r="M6" s="23">
        <f>SUMIFS(Registro_Ventas[Precio Venta Unidad(es)],Registro_Ventas[Proyecto],$A6,Registro_Ventas[Año Minuta],$A2,Registro_Ventas[Mes Minuta],M$3,Registro_Ventas[Categoria],"VENDIDO")</f>
        <v>0</v>
      </c>
      <c r="N6" s="23"/>
    </row>
    <row r="7" spans="1:14" ht="21.6" thickBot="1" x14ac:dyDescent="0.35">
      <c r="A7" s="25" t="s">
        <v>39</v>
      </c>
      <c r="B7" s="24">
        <f>SUM(B4:B6)</f>
        <v>0</v>
      </c>
      <c r="C7" s="24">
        <f t="shared" ref="C7:M7" si="0">SUM(C4:C6)</f>
        <v>0</v>
      </c>
      <c r="D7" s="24">
        <f t="shared" si="0"/>
        <v>0</v>
      </c>
      <c r="E7" s="24">
        <f t="shared" si="0"/>
        <v>0</v>
      </c>
      <c r="F7" s="24">
        <f t="shared" si="0"/>
        <v>0</v>
      </c>
      <c r="G7" s="24">
        <f t="shared" si="0"/>
        <v>0</v>
      </c>
      <c r="H7" s="24">
        <f t="shared" si="0"/>
        <v>1058000</v>
      </c>
      <c r="I7" s="24">
        <f t="shared" si="0"/>
        <v>0</v>
      </c>
      <c r="J7" s="24">
        <f t="shared" si="0"/>
        <v>1996000</v>
      </c>
      <c r="K7" s="24">
        <f t="shared" si="0"/>
        <v>654000</v>
      </c>
      <c r="L7" s="24">
        <f t="shared" si="0"/>
        <v>1883500</v>
      </c>
      <c r="M7" s="24">
        <f t="shared" si="0"/>
        <v>490000</v>
      </c>
      <c r="N7" s="168"/>
    </row>
    <row r="9" spans="1:14" ht="15" hidden="1" thickBot="1" x14ac:dyDescent="0.35"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4" ht="24" hidden="1" thickBot="1" x14ac:dyDescent="0.35">
      <c r="A10" s="48" t="s">
        <v>365</v>
      </c>
      <c r="B10" s="20" t="s">
        <v>13</v>
      </c>
      <c r="C10" s="20" t="s">
        <v>82</v>
      </c>
      <c r="D10" s="20" t="s">
        <v>85</v>
      </c>
      <c r="E10" s="20" t="s">
        <v>86</v>
      </c>
      <c r="F10" s="20" t="s">
        <v>364</v>
      </c>
      <c r="G10" s="20" t="s">
        <v>90</v>
      </c>
      <c r="H10" s="20" t="s">
        <v>79</v>
      </c>
      <c r="I10" s="20" t="s">
        <v>87</v>
      </c>
      <c r="J10" s="20" t="s">
        <v>366</v>
      </c>
      <c r="K10" s="20" t="s">
        <v>83</v>
      </c>
    </row>
    <row r="11" spans="1:14" ht="18" hidden="1" x14ac:dyDescent="0.3">
      <c r="A11" s="42" t="s">
        <v>367</v>
      </c>
      <c r="B11" s="17">
        <f>COUNTIFS(Registro_Ventas[Mes],B$10)</f>
        <v>12</v>
      </c>
      <c r="C11" s="17">
        <f>COUNTIFS(Registro_Ventas[Mes],C$10)</f>
        <v>11</v>
      </c>
      <c r="D11" s="17">
        <f>COUNTIFS(Registro_Ventas[Mes],D$10)</f>
        <v>12</v>
      </c>
      <c r="E11" s="17">
        <f>COUNTIFS(Registro_Ventas[Mes],E$10)</f>
        <v>1</v>
      </c>
      <c r="F11" s="17">
        <f>COUNTIFS(Registro_Ventas[Mes],F$10)</f>
        <v>7</v>
      </c>
      <c r="G11" s="17">
        <f>COUNTIFS(Registro_Ventas[Mes],G$10)</f>
        <v>11</v>
      </c>
      <c r="H11" s="17">
        <f>COUNTIFS(Registro_Ventas[Mes],H$10)</f>
        <v>10</v>
      </c>
      <c r="I11" s="17">
        <f>COUNTIFS(Registro_Ventas[Mes],I$10)</f>
        <v>10</v>
      </c>
      <c r="J11" s="17">
        <f>COUNTIFS(Registro_Ventas[Fecha Captacion],J$10)</f>
        <v>0</v>
      </c>
      <c r="K11" s="17">
        <f>COUNTIFS(Registro_Ventas[Medio de Capatacion],K$10)</f>
        <v>0</v>
      </c>
    </row>
    <row r="12" spans="1:14" ht="18" hidden="1" x14ac:dyDescent="0.3">
      <c r="A12" s="42" t="s">
        <v>368</v>
      </c>
      <c r="B12" s="17">
        <f>COUNTIFS(Registro_Ventas[Mes Separación],B$10,Registro_Ventas[Categoria],$A12)</f>
        <v>0</v>
      </c>
      <c r="C12" s="17">
        <f>COUNTIFS(Registro_Ventas[Mes Minuta],C$10,Registro_Ventas[Proyecto],$A12)</f>
        <v>0</v>
      </c>
      <c r="D12" s="17">
        <f>COUNTIFS(Registro_Ventas[Mes],D$10,Registro_Ventas[Ejecutivo],$A12)</f>
        <v>0</v>
      </c>
      <c r="E12" s="17">
        <f>COUNTIFS(Registro_Ventas[Fecha Captacion],E$10,Registro_Ventas[T. Fina.],$A12)</f>
        <v>0</v>
      </c>
      <c r="F12" s="17">
        <f>COUNTIFS(Registro_Ventas[Medio de Capatacion],F$10,Registro_Ventas[N° UI Departamento],$A12)</f>
        <v>0</v>
      </c>
      <c r="G12" s="17">
        <f>COUNTIFS(Registro_Ventas[Categoria],G$10,Registro_Ventas[Área Ocupada Departamento],$A12)</f>
        <v>0</v>
      </c>
      <c r="H12" s="17">
        <f>COUNTIFS(Registro_Ventas[Proyecto],H$10,Registro_Ventas[Precio Venta Departamento],$A12)</f>
        <v>0</v>
      </c>
      <c r="I12" s="17">
        <f>COUNTIFS(Registro_Ventas[Ejecutivo],I$10,Registro_Ventas[N° UI Estacionamiento],$A12)</f>
        <v>0</v>
      </c>
      <c r="J12" s="17">
        <f>COUNTIFS(Registro_Ventas[T. Fina.],J$10,Registro_Ventas[Área Ocupada Estacionamiento],$A12)</f>
        <v>0</v>
      </c>
      <c r="K12" s="17">
        <f>COUNTIFS(Registro_Ventas[N° UI Departamento],K$10,Registro_Ventas[Precio Venta Estacionamiento],$A12)</f>
        <v>0</v>
      </c>
    </row>
    <row r="13" spans="1:14" ht="18" hidden="1" x14ac:dyDescent="0.3">
      <c r="A13" s="42" t="s">
        <v>369</v>
      </c>
      <c r="B13" s="17">
        <f>COUNTIFS(Registro_Ventas[Mes Minuta],B$10,Registro_Ventas[Categoria],$A13)</f>
        <v>12</v>
      </c>
      <c r="C13" s="17">
        <f>COUNTIFS(Registro_Ventas[Mes Minuta],C$10,Registro_Ventas[Categoria],$A13)</f>
        <v>11</v>
      </c>
      <c r="D13" s="17">
        <f>COUNTIFS(Registro_Ventas[Mes Minuta],D$10,Registro_Ventas[Categoria],$A13)</f>
        <v>12</v>
      </c>
      <c r="E13" s="17">
        <f>COUNTIFS(Registro_Ventas[Mes Minuta],E$10,Registro_Ventas[Categoria],$A13)</f>
        <v>2</v>
      </c>
      <c r="F13" s="17">
        <f>COUNTIFS(Registro_Ventas[Mes Minuta],F$10,Registro_Ventas[Categoria],$A13)</f>
        <v>0</v>
      </c>
      <c r="G13" s="17">
        <f>COUNTIFS(Registro_Ventas[Mes Minuta],G$10,Registro_Ventas[Categoria],$A13)</f>
        <v>6</v>
      </c>
      <c r="H13" s="17">
        <f>COUNTIFS(Registro_Ventas[Mes Minuta],H$10,Registro_Ventas[Categoria],$A13)</f>
        <v>7</v>
      </c>
      <c r="I13" s="17">
        <f>COUNTIFS(Registro_Ventas[Mes Minuta],I$10,Registro_Ventas[Categoria],$A13)</f>
        <v>6</v>
      </c>
      <c r="J13" s="17">
        <f>COUNTIFS(Registro_Ventas[Mes],J$10,Registro_Ventas[Proyecto],$A13)</f>
        <v>0</v>
      </c>
      <c r="K13" s="17">
        <f>COUNTIFS(Registro_Ventas[Mes],K$10,Registro_Ventas[Proyecto],$A13)</f>
        <v>0</v>
      </c>
    </row>
    <row r="14" spans="1:14" ht="18.600000000000001" thickBot="1" x14ac:dyDescent="0.35">
      <c r="A14" s="42" t="s">
        <v>370</v>
      </c>
      <c r="B14" s="17">
        <f>COUNTIFS(Registro_Ventas[Mes],B$10,Registro_Ventas[Categoria],$A14)</f>
        <v>1</v>
      </c>
      <c r="C14" s="17">
        <f>COUNTIFS(Registro_Ventas[Mes],C$10,Registro_Ventas[Categoria],$A14)</f>
        <v>4</v>
      </c>
      <c r="D14" s="17">
        <f>COUNTIFS(Registro_Ventas[Mes],D$10,Registro_Ventas[Categoria],$A14)</f>
        <v>0</v>
      </c>
      <c r="E14" s="17">
        <f>COUNTIFS(Registro_Ventas[Mes],E$10,Registro_Ventas[Categoria],$A14)</f>
        <v>0</v>
      </c>
      <c r="F14" s="17">
        <f>COUNTIFS(Registro_Ventas[Mes],F$10,Registro_Ventas[Categoria],$A14)</f>
        <v>1</v>
      </c>
      <c r="G14" s="17">
        <f>COUNTIFS(Registro_Ventas[Mes],G$10,Registro_Ventas[Categoria],$A14)</f>
        <v>1</v>
      </c>
      <c r="H14" s="17">
        <f>COUNTIFS(Registro_Ventas[Mes],H$10,Registro_Ventas[Categoria],$A14)</f>
        <v>2</v>
      </c>
      <c r="I14" s="17">
        <f>COUNTIFS(Registro_Ventas[Mes],I$10,Registro_Ventas[Categoria],$A14)</f>
        <v>0</v>
      </c>
      <c r="J14" s="17">
        <f>COUNTIFS(Registro_Ventas[Fecha Captacion],J$10,Registro_Ventas[Proyecto],$A14)</f>
        <v>0</v>
      </c>
      <c r="K14" s="17">
        <f>COUNTIFS(Registro_Ventas[Medio de Capatacion],K$10,Registro_Ventas[Ejecutivo],$A14)</f>
        <v>0</v>
      </c>
    </row>
    <row r="15" spans="1:14" ht="21.6" thickBot="1" x14ac:dyDescent="0.35">
      <c r="A15" s="25" t="s">
        <v>371</v>
      </c>
      <c r="B15" s="22">
        <f>IFERROR(B13/B11,"-")</f>
        <v>1</v>
      </c>
      <c r="C15" s="22">
        <f>IFERROR(C13/C11,"-")</f>
        <v>1</v>
      </c>
      <c r="D15" s="22">
        <f>IFERROR(D13/D11,"-")</f>
        <v>1</v>
      </c>
      <c r="E15" s="22">
        <f t="shared" ref="E15:K15" si="1">IFERROR(E13/E11,"-")</f>
        <v>2</v>
      </c>
      <c r="F15" s="22">
        <f t="shared" si="1"/>
        <v>0</v>
      </c>
      <c r="G15" s="22">
        <f t="shared" si="1"/>
        <v>0.54545454545454541</v>
      </c>
      <c r="H15" s="22">
        <f t="shared" si="1"/>
        <v>0.7</v>
      </c>
      <c r="I15" s="22">
        <f t="shared" si="1"/>
        <v>0.6</v>
      </c>
      <c r="J15" s="22" t="str">
        <f t="shared" si="1"/>
        <v>-</v>
      </c>
      <c r="K15" s="22" t="str">
        <f t="shared" si="1"/>
        <v>-</v>
      </c>
    </row>
    <row r="18" spans="1:14" ht="24" thickBot="1" x14ac:dyDescent="0.35">
      <c r="A18" s="187">
        <v>2025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67"/>
    </row>
    <row r="19" spans="1:14" ht="24" thickBot="1" x14ac:dyDescent="0.35">
      <c r="A19" s="20" t="s">
        <v>363</v>
      </c>
      <c r="B19" s="20" t="s">
        <v>13</v>
      </c>
      <c r="C19" s="20" t="s">
        <v>82</v>
      </c>
      <c r="D19" s="20" t="s">
        <v>85</v>
      </c>
      <c r="E19" s="20" t="s">
        <v>86</v>
      </c>
      <c r="F19" s="20" t="s">
        <v>364</v>
      </c>
      <c r="G19" s="20" t="s">
        <v>90</v>
      </c>
      <c r="H19" s="20" t="s">
        <v>79</v>
      </c>
      <c r="I19" s="20" t="s">
        <v>87</v>
      </c>
      <c r="J19" s="20" t="s">
        <v>80</v>
      </c>
      <c r="K19" s="20" t="s">
        <v>83</v>
      </c>
      <c r="L19" s="20" t="s">
        <v>84</v>
      </c>
      <c r="M19" s="20" t="s">
        <v>81</v>
      </c>
      <c r="N19" s="167"/>
    </row>
    <row r="20" spans="1:14" ht="18" x14ac:dyDescent="0.3">
      <c r="A20" s="47" t="s">
        <v>31</v>
      </c>
      <c r="B20" s="23">
        <f>SUMIFS(Registro_Ventas[Precio Venta Unidad(es)],Registro_Ventas[Proyecto],$A20,Registro_Ventas[Año Minuta],$A18,Registro_Ventas[Mes Minuta],B$3,Registro_Ventas[Categoria],"VENDIDO")</f>
        <v>1231500</v>
      </c>
      <c r="C20" s="23">
        <f>SUMIFS(Registro_Ventas[Precio Venta Unidad(es)],Registro_Ventas[Proyecto],$A20,Registro_Ventas[Año Minuta],$A18,Registro_Ventas[Mes Minuta],C$3,Registro_Ventas[Categoria],"VENDIDO")</f>
        <v>1048300</v>
      </c>
      <c r="D20" s="23">
        <f>SUMIFS(Registro_Ventas[Precio Venta Unidad(es)],Registro_Ventas[Proyecto],$A20,Registro_Ventas[Año Minuta],$A18,Registro_Ventas[Mes Minuta],D$3,Registro_Ventas[Categoria],"VENDIDO")</f>
        <v>1585000</v>
      </c>
      <c r="E20" s="23">
        <f>SUMIFS(Registro_Ventas[Precio Venta Unidad(es)],Registro_Ventas[Proyecto],$A20,Registro_Ventas[Año Minuta],$A18,Registro_Ventas[Mes Minuta],E$3,Registro_Ventas[Categoria],"VENDIDO")</f>
        <v>630000</v>
      </c>
      <c r="F20" s="23">
        <f>SUMIFS(Registro_Ventas[Precio Venta Unidad(es)],Registro_Ventas[Proyecto],$A20,Registro_Ventas[Año Minuta],$A18,Registro_Ventas[Mes Minuta],F$3,Registro_Ventas[Categoria],"VENDIDO")</f>
        <v>0</v>
      </c>
      <c r="G20" s="23">
        <f>SUMIFS(Registro_Ventas[Precio Venta Unidad(es)],Registro_Ventas[Proyecto],$A20,Registro_Ventas[Año Minuta],$A18,Registro_Ventas[Mes Minuta],G$3,Registro_Ventas[Categoria],"VENDIDO")</f>
        <v>2889500</v>
      </c>
      <c r="H20" s="23">
        <f>SUMIFS(Registro_Ventas[Precio Venta Unidad(es)],Registro_Ventas[Proyecto],$A20,Registro_Ventas[Año Minuta],$A18,Registro_Ventas[Mes Minuta],H$3,Registro_Ventas[Categoria],"VENDIDO")</f>
        <v>1429800</v>
      </c>
      <c r="I20" s="23">
        <f>SUMIFS(Registro_Ventas[Precio Venta Unidad(es)],Registro_Ventas[Proyecto],$A20,Registro_Ventas[Año Minuta],$A18,Registro_Ventas[Mes Minuta],I$3,Registro_Ventas[Categoria],"VENDIDO")</f>
        <v>1662700</v>
      </c>
      <c r="J20" s="23">
        <f>SUMIFS(Registro_Ventas[Precio Venta Unidad(es)],Registro_Ventas[Proyecto],$A20,Registro_Ventas[Año Minuta],$A18,Registro_Ventas[Mes Minuta],J$3,Registro_Ventas[Categoria],"VENDIDO")</f>
        <v>864600</v>
      </c>
      <c r="K20" s="23">
        <f>SUMIFS(Registro_Ventas[Precio Venta Unidad(es)],Registro_Ventas[Proyecto],$A20,Registro_Ventas[Año Minuta],$A18,Registro_Ventas[Mes Minuta],K$3,Registro_Ventas[Categoria],"VENDIDO")</f>
        <v>0</v>
      </c>
      <c r="L20" s="23">
        <f>SUMIFS(Registro_Ventas[Precio Venta Unidad(es)],Registro_Ventas[Proyecto],$A20,Registro_Ventas[Año Minuta],$A18,Registro_Ventas[Mes Minuta],L$3,Registro_Ventas[Categoria],"VENDIDO")</f>
        <v>735400</v>
      </c>
      <c r="M20" s="23">
        <f>SUMIFS(Registro_Ventas[Precio Venta Unidad(es)],Registro_Ventas[Proyecto],$A20,Registro_Ventas[Año Minuta],$A18,Registro_Ventas[Mes Minuta],M$3,Registro_Ventas[Categoria],"VENDIDO")</f>
        <v>899000</v>
      </c>
      <c r="N20" s="170">
        <f>SUM(B20:M20)</f>
        <v>12975800</v>
      </c>
    </row>
    <row r="21" spans="1:14" ht="18" x14ac:dyDescent="0.3">
      <c r="A21" s="17" t="s">
        <v>30</v>
      </c>
      <c r="B21" s="23">
        <f>SUMIFS(Registro_Ventas[Precio Venta Unidad(es)],Registro_Ventas[Proyecto],$A21,Registro_Ventas[Año Minuta],$A18,Registro_Ventas[Mes Minuta],B$3,Registro_Ventas[Categoria],"VENDIDO")</f>
        <v>0</v>
      </c>
      <c r="C21" s="23">
        <f>SUMIFS(Registro_Ventas[Precio Venta Unidad(es)],Registro_Ventas[Proyecto],$A21,Registro_Ventas[Año Minuta],$A18,Registro_Ventas[Mes Minuta],C$3,Registro_Ventas[Categoria],"VENDIDO")</f>
        <v>0</v>
      </c>
      <c r="D21" s="23">
        <f>SUMIFS(Registro_Ventas[Precio Venta Unidad(es)],Registro_Ventas[Proyecto],$A21,Registro_Ventas[Año Minuta],$A18,Registro_Ventas[Mes Minuta],D$3,Registro_Ventas[Categoria],"VENDIDO")</f>
        <v>623000</v>
      </c>
      <c r="E21" s="23">
        <f>SUMIFS(Registro_Ventas[Precio Venta Unidad(es)],Registro_Ventas[Proyecto],$A21,Registro_Ventas[Año Minuta],$A18,Registro_Ventas[Mes Minuta],E$3,Registro_Ventas[Categoria],"VENDIDO")</f>
        <v>529200</v>
      </c>
      <c r="F21" s="23">
        <f>SUMIFS(Registro_Ventas[Precio Venta Unidad(es)],Registro_Ventas[Proyecto],$A21,Registro_Ventas[Año Minuta],$A18,Registro_Ventas[Mes Minuta],F$3,Registro_Ventas[Categoria],"VENDIDO")</f>
        <v>0</v>
      </c>
      <c r="G21" s="23">
        <f>SUMIFS(Registro_Ventas[Precio Venta Unidad(es)],Registro_Ventas[Proyecto],$A21,Registro_Ventas[Año Minuta],$A18,Registro_Ventas[Mes Minuta],G$3,Registro_Ventas[Categoria],"VENDIDO")</f>
        <v>460000</v>
      </c>
      <c r="H21" s="23">
        <f>SUMIFS(Registro_Ventas[Precio Venta Unidad(es)],Registro_Ventas[Proyecto],$A21,Registro_Ventas[Año Minuta],$A18,Registro_Ventas[Mes Minuta],H$3,Registro_Ventas[Categoria],"VENDIDO")</f>
        <v>495000</v>
      </c>
      <c r="I21" s="23">
        <f>SUMIFS(Registro_Ventas[Precio Venta Unidad(es)],Registro_Ventas[Proyecto],$A21,Registro_Ventas[Año Minuta],$A18,Registro_Ventas[Mes Minuta],I$3,Registro_Ventas[Categoria],"VENDIDO")</f>
        <v>518500</v>
      </c>
      <c r="J21" s="23">
        <f>SUMIFS(Registro_Ventas[Precio Venta Unidad(es)],Registro_Ventas[Proyecto],$A21,Registro_Ventas[Año Minuta],$A18,Registro_Ventas[Mes Minuta],J$3,Registro_Ventas[Categoria],"VENDIDO")</f>
        <v>1796500</v>
      </c>
      <c r="K21" s="23">
        <f>SUMIFS(Registro_Ventas[Precio Venta Unidad(es)],Registro_Ventas[Proyecto],$A21,Registro_Ventas[Año Minuta],$A18,Registro_Ventas[Mes Minuta],K$3,Registro_Ventas[Categoria],"VENDIDO")</f>
        <v>851000</v>
      </c>
      <c r="L21" s="23">
        <f>SUMIFS(Registro_Ventas[Precio Venta Unidad(es)],Registro_Ventas[Proyecto],$A21,Registro_Ventas[Año Minuta],$A18,Registro_Ventas[Mes Minuta],L$3,Registro_Ventas[Categoria],"VENDIDO")</f>
        <v>967000</v>
      </c>
      <c r="M21" s="23">
        <f>SUMIFS(Registro_Ventas[Precio Venta Unidad(es)],Registro_Ventas[Proyecto],$A21,Registro_Ventas[Año Minuta],$A18,Registro_Ventas[Mes Minuta],M$3,Registro_Ventas[Categoria],"VENDIDO")</f>
        <v>1026500</v>
      </c>
      <c r="N21" s="170">
        <f t="shared" ref="N21:N23" si="2">SUM(B21:M21)</f>
        <v>7266700</v>
      </c>
    </row>
    <row r="22" spans="1:14" ht="18.600000000000001" thickBot="1" x14ac:dyDescent="0.35">
      <c r="A22" s="17" t="s">
        <v>32</v>
      </c>
      <c r="B22" s="23">
        <f>SUMIFS(Registro_Ventas[Precio Venta Unidad(es)],Registro_Ventas[Proyecto],$A22,Registro_Ventas[Año Minuta],$A18,Registro_Ventas[Mes Minuta],B$3,Registro_Ventas[Categoria],"VENDIDO")</f>
        <v>0</v>
      </c>
      <c r="C22" s="23">
        <f>SUMIFS(Registro_Ventas[Precio Venta Unidad(es)],Registro_Ventas[Proyecto],$A22,Registro_Ventas[Año Minuta],$A18,Registro_Ventas[Mes Minuta],C$3,Registro_Ventas[Categoria],"VENDIDO")</f>
        <v>0</v>
      </c>
      <c r="D22" s="23">
        <f>SUMIFS(Registro_Ventas[Precio Venta Unidad(es)],Registro_Ventas[Proyecto],$A22,Registro_Ventas[Año Minuta],$A18,Registro_Ventas[Mes Minuta],D$3,Registro_Ventas[Categoria],"VENDIDO")</f>
        <v>0</v>
      </c>
      <c r="E22" s="23">
        <f>SUMIFS(Registro_Ventas[Precio Venta Unidad(es)],Registro_Ventas[Proyecto],$A22,Registro_Ventas[Año Minuta],$A18,Registro_Ventas[Mes Minuta],E$3,Registro_Ventas[Categoria],"VENDIDO")</f>
        <v>0</v>
      </c>
      <c r="F22" s="23">
        <f>SUMIFS(Registro_Ventas[Precio Venta Unidad(es)],Registro_Ventas[Proyecto],$A22,Registro_Ventas[Año Minuta],$A18,Registro_Ventas[Mes Minuta],F$3,Registro_Ventas[Categoria],"VENDIDO")</f>
        <v>0</v>
      </c>
      <c r="G22" s="23">
        <f>SUMIFS(Registro_Ventas[Precio Venta Unidad(es)],Registro_Ventas[Proyecto],$A22,Registro_Ventas[Año Minuta],$A18,Registro_Ventas[Mes Minuta],G$3,Registro_Ventas[Categoria],"VENDIDO")</f>
        <v>0</v>
      </c>
      <c r="H22" s="23">
        <f>SUMIFS(Registro_Ventas[Precio Venta Unidad(es)],Registro_Ventas[Proyecto],$A22,Registro_Ventas[Año Minuta],$A18,Registro_Ventas[Mes Minuta],H$3,Registro_Ventas[Categoria],"VENDIDO")</f>
        <v>1081600</v>
      </c>
      <c r="I22" s="23">
        <f>SUMIFS(Registro_Ventas[Precio Venta Unidad(es)],Registro_Ventas[Proyecto],$A22,Registro_Ventas[Año Minuta],$A18,Registro_Ventas[Mes Minuta],I$3,Registro_Ventas[Categoria],"VENDIDO")</f>
        <v>945000</v>
      </c>
      <c r="J22" s="23">
        <f>SUMIFS(Registro_Ventas[Precio Venta Unidad(es)],Registro_Ventas[Proyecto],$A22,Registro_Ventas[Año Minuta],$A18,Registro_Ventas[Mes Minuta],J$3,Registro_Ventas[Categoria],"VENDIDO")</f>
        <v>1012000</v>
      </c>
      <c r="K22" s="23">
        <f>SUMIFS(Registro_Ventas[Precio Venta Unidad(es)],Registro_Ventas[Proyecto],$A22,Registro_Ventas[Año Minuta],$A18,Registro_Ventas[Mes Minuta],K$3,Registro_Ventas[Categoria],"VENDIDO")</f>
        <v>959500</v>
      </c>
      <c r="L22" s="23">
        <f>SUMIFS(Registro_Ventas[Precio Venta Unidad(es)],Registro_Ventas[Proyecto],$A22,Registro_Ventas[Año Minuta],$A18,Registro_Ventas[Mes Minuta],L$3,Registro_Ventas[Categoria],"VENDIDO")</f>
        <v>497000</v>
      </c>
      <c r="M22" s="23">
        <f>SUMIFS(Registro_Ventas[Precio Venta Unidad(es)],Registro_Ventas[Proyecto],$A22,Registro_Ventas[Año Minuta],$A18,Registro_Ventas[Mes Minuta],M$3,Registro_Ventas[Categoria],"VENDIDO")</f>
        <v>438000</v>
      </c>
      <c r="N22" s="170">
        <f t="shared" si="2"/>
        <v>4933100</v>
      </c>
    </row>
    <row r="23" spans="1:14" ht="21.6" thickBot="1" x14ac:dyDescent="0.35">
      <c r="A23" s="25" t="s">
        <v>39</v>
      </c>
      <c r="B23" s="24">
        <f>SUM(B20:B22)</f>
        <v>1231500</v>
      </c>
      <c r="C23" s="24">
        <f t="shared" ref="C23:M23" si="3">SUM(C20:C22)</f>
        <v>1048300</v>
      </c>
      <c r="D23" s="24">
        <f t="shared" si="3"/>
        <v>2208000</v>
      </c>
      <c r="E23" s="24">
        <f t="shared" si="3"/>
        <v>1159200</v>
      </c>
      <c r="F23" s="24">
        <f t="shared" si="3"/>
        <v>0</v>
      </c>
      <c r="G23" s="24">
        <f t="shared" si="3"/>
        <v>3349500</v>
      </c>
      <c r="H23" s="24">
        <f t="shared" si="3"/>
        <v>3006400</v>
      </c>
      <c r="I23" s="24">
        <f t="shared" si="3"/>
        <v>3126200</v>
      </c>
      <c r="J23" s="24">
        <f t="shared" si="3"/>
        <v>3673100</v>
      </c>
      <c r="K23" s="24">
        <f t="shared" si="3"/>
        <v>1810500</v>
      </c>
      <c r="L23" s="24">
        <f t="shared" si="3"/>
        <v>2199400</v>
      </c>
      <c r="M23" s="24">
        <f t="shared" si="3"/>
        <v>2363500</v>
      </c>
      <c r="N23" s="171">
        <f t="shared" si="2"/>
        <v>25175600</v>
      </c>
    </row>
    <row r="24" spans="1:14" x14ac:dyDescent="0.3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</row>
    <row r="25" spans="1:14" ht="15" thickBot="1" x14ac:dyDescent="0.3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4" ht="24" thickBot="1" x14ac:dyDescent="0.35">
      <c r="A26" s="187">
        <v>2026</v>
      </c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67"/>
    </row>
    <row r="27" spans="1:14" ht="24" thickBot="1" x14ac:dyDescent="0.35">
      <c r="A27" s="20" t="s">
        <v>363</v>
      </c>
      <c r="B27" s="20" t="s">
        <v>13</v>
      </c>
      <c r="C27" s="20" t="s">
        <v>82</v>
      </c>
      <c r="D27" s="20" t="s">
        <v>85</v>
      </c>
      <c r="E27" s="20" t="s">
        <v>86</v>
      </c>
      <c r="F27" s="20" t="s">
        <v>364</v>
      </c>
      <c r="G27" s="20" t="s">
        <v>90</v>
      </c>
      <c r="H27" s="20" t="s">
        <v>79</v>
      </c>
      <c r="I27" s="20" t="s">
        <v>87</v>
      </c>
      <c r="J27" s="20" t="s">
        <v>80</v>
      </c>
      <c r="K27" s="20" t="s">
        <v>83</v>
      </c>
      <c r="L27" s="20" t="s">
        <v>84</v>
      </c>
      <c r="M27" s="20" t="s">
        <v>81</v>
      </c>
      <c r="N27" s="167"/>
    </row>
    <row r="28" spans="1:14" ht="18" x14ac:dyDescent="0.3">
      <c r="A28" s="47" t="s">
        <v>31</v>
      </c>
      <c r="B28" s="23">
        <f>SUMIFS(Registro_Ventas[Precio Venta Unidad(es)],Registro_Ventas[Proyecto],$A28,Registro_Ventas[Año Minuta],$A26,Registro_Ventas[Mes Minuta],B$3,Registro_Ventas[Categoria],"VENDIDO")</f>
        <v>952500</v>
      </c>
      <c r="C28" s="23">
        <f>SUMIFS(Registro_Ventas[Precio Venta Unidad(es)],Registro_Ventas[Proyecto],$A28,Registro_Ventas[Año Minuta],$A26,Registro_Ventas[Mes Minuta],C$3,Registro_Ventas[Categoria],"VENDIDO")</f>
        <v>500000</v>
      </c>
      <c r="D28" s="23">
        <f>SUMIFS(Registro_Ventas[Precio Venta Unidad(es)],Registro_Ventas[Proyecto],$A28,Registro_Ventas[Año Minuta],$A26,Registro_Ventas[Mes Minuta],D$3,Registro_Ventas[Categoria],"VENDIDO")</f>
        <v>1384000</v>
      </c>
      <c r="E28" s="23">
        <f>SUMIFS(Registro_Ventas[Precio Venta Unidad(es)],Registro_Ventas[Proyecto],$A28,Registro_Ventas[Año Minuta],$A26,Registro_Ventas[Mes Minuta],E$3,Registro_Ventas[Categoria],"VENDIDO")</f>
        <v>0</v>
      </c>
      <c r="F28" s="23">
        <f>SUMIFS(Registro_Ventas[Precio Venta Unidad(es)],Registro_Ventas[Proyecto],$A28,Registro_Ventas[Año Minuta],$A26,Registro_Ventas[Mes Minuta],F$3,Registro_Ventas[Categoria],"VENDIDO")</f>
        <v>0</v>
      </c>
      <c r="G28" s="23">
        <f>SUMIFS(Registro_Ventas[Precio Venta Unidad(es)],Registro_Ventas[Proyecto],$A28,Registro_Ventas[Año Minuta],$A26,Registro_Ventas[Mes Minuta],G$3,Registro_Ventas[Categoria],"VENDIDO")</f>
        <v>0</v>
      </c>
      <c r="H28" s="23">
        <f>SUMIFS(Registro_Ventas[Precio Venta Unidad(es)],Registro_Ventas[Proyecto],$A28,Registro_Ventas[Año Minuta],$A26,Registro_Ventas[Mes Minuta],H$3,Registro_Ventas[Categoria],"VENDIDO")</f>
        <v>0</v>
      </c>
      <c r="I28" s="23">
        <f>SUMIFS(Registro_Ventas[Precio Venta Unidad(es)],Registro_Ventas[Proyecto],$A28,Registro_Ventas[Año Minuta],$A26,Registro_Ventas[Mes Minuta],I$3,Registro_Ventas[Categoria],"VENDIDO")</f>
        <v>0</v>
      </c>
      <c r="J28" s="23">
        <f>SUMIFS(Registro_Ventas[Precio Venta Unidad(es)],Registro_Ventas[Proyecto],$A28,Registro_Ventas[Año Minuta],$A26,Registro_Ventas[Mes Minuta],J$3,Registro_Ventas[Categoria],"VENDIDO")</f>
        <v>0</v>
      </c>
      <c r="K28" s="23">
        <f>SUMIFS(Registro_Ventas[Precio Venta Unidad(es)],Registro_Ventas[Proyecto],$A28,Registro_Ventas[Año Minuta],$A26,Registro_Ventas[Mes Minuta],K$3,Registro_Ventas[Categoria],"VENDIDO")</f>
        <v>0</v>
      </c>
      <c r="L28" s="23">
        <f>SUMIFS(Registro_Ventas[Precio Venta Unidad(es)],Registro_Ventas[Proyecto],$A28,Registro_Ventas[Año Minuta],$A26,Registro_Ventas[Mes Minuta],L$3,Registro_Ventas[Categoria],"VENDIDO")</f>
        <v>0</v>
      </c>
      <c r="M28" s="23">
        <f>SUMIFS(Registro_Ventas[Precio Venta Unidad(es)],Registro_Ventas[Proyecto],$A28,Registro_Ventas[Año Minuta],$A26,Registro_Ventas[Mes Minuta],M$3,Registro_Ventas[Categoria],"VENDIDO")</f>
        <v>0</v>
      </c>
      <c r="N28" s="170">
        <f>SUM(B28:M28)</f>
        <v>2836500</v>
      </c>
    </row>
    <row r="29" spans="1:14" ht="18" x14ac:dyDescent="0.3">
      <c r="A29" s="17" t="s">
        <v>30</v>
      </c>
      <c r="B29" s="23">
        <f>SUMIFS(Registro_Ventas[Precio Venta Unidad(es)],Registro_Ventas[Proyecto],$A29,Registro_Ventas[Año Minuta],$A26,Registro_Ventas[Mes Minuta],B$3,Registro_Ventas[Categoria],"VENDIDO")</f>
        <v>2354000</v>
      </c>
      <c r="C29" s="23">
        <f>SUMIFS(Registro_Ventas[Precio Venta Unidad(es)],Registro_Ventas[Proyecto],$A29,Registro_Ventas[Año Minuta],$A26,Registro_Ventas[Mes Minuta],C$3,Registro_Ventas[Categoria],"VENDIDO")</f>
        <v>2747800</v>
      </c>
      <c r="D29" s="23">
        <f>SUMIFS(Registro_Ventas[Precio Venta Unidad(es)],Registro_Ventas[Proyecto],$A29,Registro_Ventas[Año Minuta],$A26,Registro_Ventas[Mes Minuta],D$3,Registro_Ventas[Categoria],"VENDIDO")</f>
        <v>2308800</v>
      </c>
      <c r="E29" s="23">
        <f>SUMIFS(Registro_Ventas[Precio Venta Unidad(es)],Registro_Ventas[Proyecto],$A29,Registro_Ventas[Año Minuta],$A26,Registro_Ventas[Mes Minuta],E$3,Registro_Ventas[Categoria],"VENDIDO")</f>
        <v>0</v>
      </c>
      <c r="F29" s="23">
        <f>SUMIFS(Registro_Ventas[Precio Venta Unidad(es)],Registro_Ventas[Proyecto],$A29,Registro_Ventas[Año Minuta],$A26,Registro_Ventas[Mes Minuta],F$3,Registro_Ventas[Categoria],"VENDIDO")</f>
        <v>0</v>
      </c>
      <c r="G29" s="23">
        <f>SUMIFS(Registro_Ventas[Precio Venta Unidad(es)],Registro_Ventas[Proyecto],$A29,Registro_Ventas[Año Minuta],$A26,Registro_Ventas[Mes Minuta],G$3,Registro_Ventas[Categoria],"VENDIDO")</f>
        <v>0</v>
      </c>
      <c r="H29" s="23">
        <f>SUMIFS(Registro_Ventas[Precio Venta Unidad(es)],Registro_Ventas[Proyecto],$A29,Registro_Ventas[Año Minuta],$A26,Registro_Ventas[Mes Minuta],H$3,Registro_Ventas[Categoria],"VENDIDO")</f>
        <v>0</v>
      </c>
      <c r="I29" s="23">
        <f>SUMIFS(Registro_Ventas[Precio Venta Unidad(es)],Registro_Ventas[Proyecto],$A29,Registro_Ventas[Año Minuta],$A26,Registro_Ventas[Mes Minuta],I$3,Registro_Ventas[Categoria],"VENDIDO")</f>
        <v>0</v>
      </c>
      <c r="J29" s="23">
        <f>SUMIFS(Registro_Ventas[Precio Venta Unidad(es)],Registro_Ventas[Proyecto],$A29,Registro_Ventas[Año Minuta],$A26,Registro_Ventas[Mes Minuta],J$3,Registro_Ventas[Categoria],"VENDIDO")</f>
        <v>0</v>
      </c>
      <c r="K29" s="23">
        <f>SUMIFS(Registro_Ventas[Precio Venta Unidad(es)],Registro_Ventas[Proyecto],$A29,Registro_Ventas[Año Minuta],$A26,Registro_Ventas[Mes Minuta],K$3,Registro_Ventas[Categoria],"VENDIDO")</f>
        <v>0</v>
      </c>
      <c r="L29" s="23">
        <f>SUMIFS(Registro_Ventas[Precio Venta Unidad(es)],Registro_Ventas[Proyecto],$A29,Registro_Ventas[Año Minuta],$A26,Registro_Ventas[Mes Minuta],L$3,Registro_Ventas[Categoria],"VENDIDO")</f>
        <v>0</v>
      </c>
      <c r="M29" s="23">
        <f>SUMIFS(Registro_Ventas[Precio Venta Unidad(es)],Registro_Ventas[Proyecto],$A29,Registro_Ventas[Año Minuta],$A26,Registro_Ventas[Mes Minuta],M$3,Registro_Ventas[Categoria],"VENDIDO")</f>
        <v>0</v>
      </c>
      <c r="N29" s="170">
        <f t="shared" ref="N29:N31" si="4">SUM(B29:M29)</f>
        <v>7410600</v>
      </c>
    </row>
    <row r="30" spans="1:14" ht="18.600000000000001" thickBot="1" x14ac:dyDescent="0.35">
      <c r="A30" s="17" t="s">
        <v>32</v>
      </c>
      <c r="B30" s="23">
        <f>SUMIFS(Registro_Ventas[Precio Venta Unidad(es)],Registro_Ventas[Proyecto],$A30,Registro_Ventas[Año Minuta],$A26,Registro_Ventas[Mes Minuta],B$3,Registro_Ventas[Categoria],"VENDIDO")</f>
        <v>1421800</v>
      </c>
      <c r="C30" s="23">
        <f>SUMIFS(Registro_Ventas[Precio Venta Unidad(es)],Registro_Ventas[Proyecto],$A30,Registro_Ventas[Año Minuta],$A26,Registro_Ventas[Mes Minuta],C$3,Registro_Ventas[Categoria],"VENDIDO")</f>
        <v>1223000</v>
      </c>
      <c r="D30" s="23">
        <f>SUMIFS(Registro_Ventas[Precio Venta Unidad(es)],Registro_Ventas[Proyecto],$A30,Registro_Ventas[Año Minuta],$A26,Registro_Ventas[Mes Minuta],D$3,Registro_Ventas[Categoria],"VENDIDO")</f>
        <v>0</v>
      </c>
      <c r="E30" s="23">
        <f>SUMIFS(Registro_Ventas[Precio Venta Unidad(es)],Registro_Ventas[Proyecto],$A30,Registro_Ventas[Año Minuta],$A26,Registro_Ventas[Mes Minuta],E$3,Registro_Ventas[Categoria],"VENDIDO")</f>
        <v>0</v>
      </c>
      <c r="F30" s="23">
        <f>SUMIFS(Registro_Ventas[Precio Venta Unidad(es)],Registro_Ventas[Proyecto],$A30,Registro_Ventas[Año Minuta],$A26,Registro_Ventas[Mes Minuta],F$3,Registro_Ventas[Categoria],"VENDIDO")</f>
        <v>0</v>
      </c>
      <c r="G30" s="23">
        <f>SUMIFS(Registro_Ventas[Precio Venta Unidad(es)],Registro_Ventas[Proyecto],$A30,Registro_Ventas[Año Minuta],$A26,Registro_Ventas[Mes Minuta],G$3,Registro_Ventas[Categoria],"VENDIDO")</f>
        <v>0</v>
      </c>
      <c r="H30" s="23">
        <f>SUMIFS(Registro_Ventas[Precio Venta Unidad(es)],Registro_Ventas[Proyecto],$A30,Registro_Ventas[Año Minuta],$A26,Registro_Ventas[Mes Minuta],H$3,Registro_Ventas[Categoria],"VENDIDO")</f>
        <v>0</v>
      </c>
      <c r="I30" s="23">
        <f>SUMIFS(Registro_Ventas[Precio Venta Unidad(es)],Registro_Ventas[Proyecto],$A30,Registro_Ventas[Año Minuta],$A26,Registro_Ventas[Mes Minuta],I$3,Registro_Ventas[Categoria],"VENDIDO")</f>
        <v>0</v>
      </c>
      <c r="J30" s="23">
        <f>SUMIFS(Registro_Ventas[Precio Venta Unidad(es)],Registro_Ventas[Proyecto],$A30,Registro_Ventas[Año Minuta],$A26,Registro_Ventas[Mes Minuta],J$3,Registro_Ventas[Categoria],"VENDIDO")</f>
        <v>0</v>
      </c>
      <c r="K30" s="23">
        <f>SUMIFS(Registro_Ventas[Precio Venta Unidad(es)],Registro_Ventas[Proyecto],$A30,Registro_Ventas[Año Minuta],$A26,Registro_Ventas[Mes Minuta],K$3,Registro_Ventas[Categoria],"VENDIDO")</f>
        <v>0</v>
      </c>
      <c r="L30" s="23">
        <f>SUMIFS(Registro_Ventas[Precio Venta Unidad(es)],Registro_Ventas[Proyecto],$A30,Registro_Ventas[Año Minuta],$A26,Registro_Ventas[Mes Minuta],L$3,Registro_Ventas[Categoria],"VENDIDO")</f>
        <v>0</v>
      </c>
      <c r="M30" s="23">
        <f>SUMIFS(Registro_Ventas[Precio Venta Unidad(es)],Registro_Ventas[Proyecto],$A30,Registro_Ventas[Año Minuta],$A26,Registro_Ventas[Mes Minuta],M$3,Registro_Ventas[Categoria],"VENDIDO")</f>
        <v>0</v>
      </c>
      <c r="N30" s="170">
        <f t="shared" si="4"/>
        <v>2644800</v>
      </c>
    </row>
    <row r="31" spans="1:14" ht="21.6" thickBot="1" x14ac:dyDescent="0.35">
      <c r="A31" s="25" t="s">
        <v>39</v>
      </c>
      <c r="B31" s="24">
        <f>SUM(B28:B30)</f>
        <v>4728300</v>
      </c>
      <c r="C31" s="24">
        <f t="shared" ref="C31:M31" si="5">SUM(C28:C30)</f>
        <v>4470800</v>
      </c>
      <c r="D31" s="24">
        <f t="shared" si="5"/>
        <v>3692800</v>
      </c>
      <c r="E31" s="24">
        <f t="shared" si="5"/>
        <v>0</v>
      </c>
      <c r="F31" s="24">
        <f t="shared" si="5"/>
        <v>0</v>
      </c>
      <c r="G31" s="24">
        <f t="shared" si="5"/>
        <v>0</v>
      </c>
      <c r="H31" s="24">
        <f t="shared" si="5"/>
        <v>0</v>
      </c>
      <c r="I31" s="24">
        <f t="shared" si="5"/>
        <v>0</v>
      </c>
      <c r="J31" s="24">
        <f t="shared" si="5"/>
        <v>0</v>
      </c>
      <c r="K31" s="24">
        <f t="shared" si="5"/>
        <v>0</v>
      </c>
      <c r="L31" s="24">
        <f t="shared" si="5"/>
        <v>0</v>
      </c>
      <c r="M31" s="24">
        <f t="shared" si="5"/>
        <v>0</v>
      </c>
      <c r="N31" s="171">
        <f t="shared" si="4"/>
        <v>12891900</v>
      </c>
    </row>
    <row r="36" spans="3:4" x14ac:dyDescent="0.3">
      <c r="C36" s="8"/>
      <c r="D36" s="8"/>
    </row>
  </sheetData>
  <mergeCells count="3">
    <mergeCell ref="A2:M2"/>
    <mergeCell ref="A18:M18"/>
    <mergeCell ref="A26:M26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CA32-1D1A-4647-80AE-FED645BC8395}">
  <sheetPr>
    <tabColor theme="3" tint="0.89999084444715716"/>
    <pageSetUpPr fitToPage="1"/>
  </sheetPr>
  <dimension ref="B2:Q51"/>
  <sheetViews>
    <sheetView showGridLines="0" topLeftCell="E1" zoomScaleNormal="100" workbookViewId="0">
      <selection activeCell="M4" sqref="M4:M6"/>
    </sheetView>
  </sheetViews>
  <sheetFormatPr baseColWidth="10" defaultColWidth="11.109375" defaultRowHeight="13.8" x14ac:dyDescent="0.25"/>
  <cols>
    <col min="1" max="1" width="5.6640625" style="49" customWidth="1"/>
    <col min="2" max="2" width="11.109375" style="49"/>
    <col min="3" max="3" width="12" style="49" bestFit="1" customWidth="1"/>
    <col min="4" max="4" width="11.109375" style="50"/>
    <col min="5" max="5" width="18.33203125" style="49" bestFit="1" customWidth="1"/>
    <col min="6" max="6" width="15.33203125" style="49" bestFit="1" customWidth="1"/>
    <col min="7" max="7" width="21.44140625" style="49" bestFit="1" customWidth="1"/>
    <col min="8" max="8" width="11.109375" style="49"/>
    <col min="9" max="9" width="19" style="49" bestFit="1" customWidth="1"/>
    <col min="10" max="12" width="11.109375" style="49"/>
    <col min="13" max="13" width="12" style="49" bestFit="1" customWidth="1"/>
    <col min="14" max="15" width="11.109375" style="49"/>
    <col min="16" max="16" width="20.44140625" style="49" bestFit="1" customWidth="1"/>
    <col min="17" max="16384" width="11.109375" style="49"/>
  </cols>
  <sheetData>
    <row r="2" spans="2:17" x14ac:dyDescent="0.25">
      <c r="C2" s="210" t="s">
        <v>372</v>
      </c>
      <c r="D2" s="210"/>
      <c r="E2" s="210"/>
      <c r="F2" s="210"/>
      <c r="G2" s="210"/>
    </row>
    <row r="3" spans="2:17" x14ac:dyDescent="0.25">
      <c r="C3" s="69" t="s">
        <v>98</v>
      </c>
      <c r="D3" s="70" t="s">
        <v>373</v>
      </c>
      <c r="E3" s="69" t="s">
        <v>374</v>
      </c>
      <c r="F3" s="69" t="s">
        <v>57</v>
      </c>
      <c r="G3" s="69" t="s">
        <v>375</v>
      </c>
      <c r="J3" s="119" t="s">
        <v>36</v>
      </c>
      <c r="K3" s="119" t="s">
        <v>37</v>
      </c>
      <c r="L3" s="119" t="s">
        <v>38</v>
      </c>
    </row>
    <row r="4" spans="2:17" x14ac:dyDescent="0.25">
      <c r="B4" s="201">
        <v>2024</v>
      </c>
      <c r="C4" s="72" t="s">
        <v>13</v>
      </c>
      <c r="D4" s="51"/>
      <c r="E4" s="58"/>
      <c r="F4" s="52"/>
      <c r="G4" s="66"/>
      <c r="I4" s="118" t="s">
        <v>40</v>
      </c>
      <c r="J4" s="116">
        <v>19</v>
      </c>
      <c r="K4" s="116">
        <v>2</v>
      </c>
      <c r="L4" s="116">
        <v>33</v>
      </c>
      <c r="M4" s="116">
        <f>SUM(J4:L4)</f>
        <v>54</v>
      </c>
    </row>
    <row r="5" spans="2:17" ht="14.4" x14ac:dyDescent="0.3">
      <c r="B5" s="201"/>
      <c r="C5" s="72" t="s">
        <v>82</v>
      </c>
      <c r="D5" s="53"/>
      <c r="E5" s="58"/>
      <c r="F5" s="52"/>
      <c r="G5" s="66"/>
      <c r="I5" s="118" t="s">
        <v>42</v>
      </c>
      <c r="J5" s="116">
        <v>27</v>
      </c>
      <c r="K5" s="116">
        <v>1</v>
      </c>
      <c r="L5" s="116">
        <v>24</v>
      </c>
      <c r="M5" s="116">
        <f>SUM(J5:L5)</f>
        <v>52</v>
      </c>
      <c r="P5"/>
      <c r="Q5"/>
    </row>
    <row r="6" spans="2:17" ht="14.4" x14ac:dyDescent="0.3">
      <c r="B6" s="201"/>
      <c r="C6" s="72" t="s">
        <v>85</v>
      </c>
      <c r="D6" s="51"/>
      <c r="E6" s="58"/>
      <c r="F6" s="52"/>
      <c r="G6" s="66"/>
      <c r="I6" s="118" t="s">
        <v>44</v>
      </c>
      <c r="J6" s="116">
        <v>0</v>
      </c>
      <c r="K6" s="116">
        <v>0</v>
      </c>
      <c r="L6" s="116">
        <v>0</v>
      </c>
      <c r="M6" s="116">
        <f>SUM(J6:L6)</f>
        <v>0</v>
      </c>
      <c r="P6" s="49" t="s">
        <v>376</v>
      </c>
      <c r="Q6"/>
    </row>
    <row r="7" spans="2:17" ht="14.4" x14ac:dyDescent="0.3">
      <c r="B7" s="201"/>
      <c r="C7" s="72" t="s">
        <v>377</v>
      </c>
      <c r="D7" s="53"/>
      <c r="E7" s="58"/>
      <c r="F7" s="52"/>
      <c r="G7" s="66"/>
      <c r="P7" s="120" t="s">
        <v>378</v>
      </c>
      <c r="Q7" s="120">
        <v>5</v>
      </c>
    </row>
    <row r="8" spans="2:17" ht="14.4" x14ac:dyDescent="0.3">
      <c r="B8" s="201"/>
      <c r="C8" s="72" t="s">
        <v>379</v>
      </c>
      <c r="D8" s="51"/>
      <c r="E8" s="58"/>
      <c r="F8" s="52"/>
      <c r="G8" s="66"/>
      <c r="P8" s="120" t="s">
        <v>47</v>
      </c>
      <c r="Q8" s="120">
        <f>18+5</f>
        <v>23</v>
      </c>
    </row>
    <row r="9" spans="2:17" ht="14.4" x14ac:dyDescent="0.3">
      <c r="B9" s="201"/>
      <c r="C9" s="72" t="s">
        <v>380</v>
      </c>
      <c r="D9" s="53"/>
      <c r="E9" s="58"/>
      <c r="F9" s="52"/>
      <c r="G9" s="66"/>
      <c r="P9" s="120" t="s">
        <v>46</v>
      </c>
      <c r="Q9" s="120">
        <v>5</v>
      </c>
    </row>
    <row r="10" spans="2:17" ht="13.95" customHeight="1" x14ac:dyDescent="0.3">
      <c r="B10" s="201"/>
      <c r="C10" s="205" t="s">
        <v>381</v>
      </c>
      <c r="D10" s="206">
        <v>2</v>
      </c>
      <c r="E10" s="56" t="s">
        <v>11</v>
      </c>
      <c r="F10" s="57">
        <v>435500</v>
      </c>
      <c r="G10" s="211">
        <f>SUM(F10:F11)</f>
        <v>1058000</v>
      </c>
      <c r="P10" s="120" t="s">
        <v>382</v>
      </c>
      <c r="Q10" s="120">
        <v>0</v>
      </c>
    </row>
    <row r="11" spans="2:17" ht="14.4" x14ac:dyDescent="0.3">
      <c r="B11" s="201"/>
      <c r="C11" s="204"/>
      <c r="D11" s="196"/>
      <c r="E11" s="56" t="s">
        <v>88</v>
      </c>
      <c r="F11" s="57">
        <v>622500</v>
      </c>
      <c r="G11" s="213"/>
      <c r="P11"/>
      <c r="Q11" s="121">
        <f>SUM(Q7:Q10)</f>
        <v>33</v>
      </c>
    </row>
    <row r="12" spans="2:17" x14ac:dyDescent="0.25">
      <c r="B12" s="201"/>
      <c r="C12" s="72" t="s">
        <v>87</v>
      </c>
      <c r="D12" s="51"/>
      <c r="E12" s="56"/>
      <c r="F12" s="57"/>
      <c r="G12" s="67"/>
      <c r="P12" s="49" t="s">
        <v>383</v>
      </c>
    </row>
    <row r="13" spans="2:17" ht="14.4" x14ac:dyDescent="0.3">
      <c r="B13" s="201"/>
      <c r="C13" s="205" t="s">
        <v>384</v>
      </c>
      <c r="D13" s="209">
        <v>3</v>
      </c>
      <c r="E13" s="56" t="s">
        <v>11</v>
      </c>
      <c r="F13" s="57">
        <v>609100</v>
      </c>
      <c r="G13" s="211">
        <f>SUM(F13:F15)</f>
        <v>1875100</v>
      </c>
      <c r="P13" s="120" t="s">
        <v>378</v>
      </c>
      <c r="Q13" s="120">
        <v>0</v>
      </c>
    </row>
    <row r="14" spans="2:17" ht="14.4" x14ac:dyDescent="0.3">
      <c r="B14" s="201"/>
      <c r="C14" s="208"/>
      <c r="D14" s="209"/>
      <c r="E14" s="56" t="s">
        <v>93</v>
      </c>
      <c r="F14" s="57">
        <v>612000</v>
      </c>
      <c r="G14" s="212"/>
      <c r="P14" s="120" t="s">
        <v>47</v>
      </c>
      <c r="Q14" s="120">
        <v>2</v>
      </c>
    </row>
    <row r="15" spans="2:17" ht="14.4" x14ac:dyDescent="0.3">
      <c r="B15" s="201"/>
      <c r="C15" s="204"/>
      <c r="D15" s="209"/>
      <c r="E15" s="56" t="s">
        <v>11</v>
      </c>
      <c r="F15" s="57">
        <v>654000</v>
      </c>
      <c r="G15" s="213"/>
      <c r="P15" s="120" t="s">
        <v>46</v>
      </c>
      <c r="Q15" s="120">
        <v>0</v>
      </c>
    </row>
    <row r="16" spans="2:17" ht="14.4" x14ac:dyDescent="0.3">
      <c r="B16" s="201"/>
      <c r="C16" s="72" t="s">
        <v>385</v>
      </c>
      <c r="D16" s="55">
        <v>1</v>
      </c>
      <c r="E16" s="58" t="s">
        <v>88</v>
      </c>
      <c r="F16" s="52">
        <v>654000</v>
      </c>
      <c r="G16" s="66">
        <f>+F16</f>
        <v>654000</v>
      </c>
      <c r="P16" s="120" t="s">
        <v>382</v>
      </c>
      <c r="Q16" s="120">
        <v>0</v>
      </c>
    </row>
    <row r="17" spans="2:17" ht="14.4" x14ac:dyDescent="0.3">
      <c r="B17" s="201"/>
      <c r="C17" s="205" t="s">
        <v>386</v>
      </c>
      <c r="D17" s="206">
        <v>3</v>
      </c>
      <c r="E17" s="56" t="s">
        <v>11</v>
      </c>
      <c r="F17" s="52">
        <v>654000</v>
      </c>
      <c r="G17" s="207">
        <f>SUM(F17:F19)</f>
        <v>1883500</v>
      </c>
      <c r="P17"/>
      <c r="Q17" s="121">
        <f>SUM(Q13:Q16)</f>
        <v>2</v>
      </c>
    </row>
    <row r="18" spans="2:17" x14ac:dyDescent="0.25">
      <c r="B18" s="201"/>
      <c r="C18" s="208"/>
      <c r="D18" s="195"/>
      <c r="E18" s="56" t="s">
        <v>88</v>
      </c>
      <c r="F18" s="52">
        <v>637000</v>
      </c>
      <c r="G18" s="198"/>
    </row>
    <row r="19" spans="2:17" x14ac:dyDescent="0.25">
      <c r="B19" s="201"/>
      <c r="C19" s="204"/>
      <c r="D19" s="196"/>
      <c r="E19" s="56" t="s">
        <v>93</v>
      </c>
      <c r="F19" s="52">
        <v>592500</v>
      </c>
      <c r="G19" s="199"/>
    </row>
    <row r="20" spans="2:17" ht="14.4" thickBot="1" x14ac:dyDescent="0.3">
      <c r="B20" s="202"/>
      <c r="C20" s="73" t="s">
        <v>387</v>
      </c>
      <c r="D20" s="63">
        <v>1</v>
      </c>
      <c r="E20" s="64" t="s">
        <v>92</v>
      </c>
      <c r="F20" s="65">
        <v>490000</v>
      </c>
      <c r="G20" s="68">
        <f>+F20</f>
        <v>490000</v>
      </c>
      <c r="P20" s="49" t="s">
        <v>388</v>
      </c>
    </row>
    <row r="21" spans="2:17" ht="15" thickTop="1" x14ac:dyDescent="0.3">
      <c r="B21" s="200">
        <v>2025</v>
      </c>
      <c r="C21" s="203" t="s">
        <v>13</v>
      </c>
      <c r="D21" s="194">
        <v>2</v>
      </c>
      <c r="E21" s="111" t="s">
        <v>389</v>
      </c>
      <c r="F21" s="112">
        <v>520000</v>
      </c>
      <c r="G21" s="197">
        <f>SUM(F21:F22)</f>
        <v>1174000</v>
      </c>
      <c r="P21" s="122" t="s">
        <v>88</v>
      </c>
      <c r="Q21" s="120">
        <v>6</v>
      </c>
    </row>
    <row r="22" spans="2:17" ht="14.4" x14ac:dyDescent="0.3">
      <c r="B22" s="190"/>
      <c r="C22" s="204"/>
      <c r="D22" s="196"/>
      <c r="E22" s="61" t="s">
        <v>11</v>
      </c>
      <c r="F22" s="62">
        <v>654000</v>
      </c>
      <c r="G22" s="199"/>
      <c r="P22" s="122" t="s">
        <v>16</v>
      </c>
      <c r="Q22" s="120">
        <v>4</v>
      </c>
    </row>
    <row r="23" spans="2:17" ht="14.4" x14ac:dyDescent="0.3">
      <c r="B23" s="201"/>
      <c r="C23" s="205" t="s">
        <v>82</v>
      </c>
      <c r="D23" s="206">
        <v>2</v>
      </c>
      <c r="E23" s="58" t="s">
        <v>92</v>
      </c>
      <c r="F23" s="52">
        <v>490000</v>
      </c>
      <c r="G23" s="207">
        <f>SUM(F23:F24)</f>
        <v>991000</v>
      </c>
      <c r="P23" s="122" t="s">
        <v>389</v>
      </c>
      <c r="Q23" s="120">
        <v>2</v>
      </c>
    </row>
    <row r="24" spans="2:17" ht="14.4" x14ac:dyDescent="0.3">
      <c r="B24" s="201"/>
      <c r="C24" s="204"/>
      <c r="D24" s="196"/>
      <c r="E24" s="58" t="s">
        <v>11</v>
      </c>
      <c r="F24" s="52">
        <v>501000</v>
      </c>
      <c r="G24" s="199"/>
      <c r="P24" s="122" t="s">
        <v>390</v>
      </c>
      <c r="Q24" s="120">
        <v>2</v>
      </c>
    </row>
    <row r="25" spans="2:17" ht="14.4" x14ac:dyDescent="0.3">
      <c r="B25" s="201"/>
      <c r="C25" s="205" t="s">
        <v>85</v>
      </c>
      <c r="D25" s="209">
        <v>3</v>
      </c>
      <c r="E25" s="58" t="s">
        <v>11</v>
      </c>
      <c r="F25" s="52">
        <v>496000</v>
      </c>
      <c r="G25" s="207">
        <f>SUM(F25:F27)</f>
        <v>1585000</v>
      </c>
      <c r="P25" s="122" t="s">
        <v>391</v>
      </c>
      <c r="Q25" s="120">
        <v>2</v>
      </c>
    </row>
    <row r="26" spans="2:17" ht="14.4" x14ac:dyDescent="0.3">
      <c r="B26" s="201"/>
      <c r="C26" s="208"/>
      <c r="D26" s="209"/>
      <c r="E26" s="58" t="s">
        <v>11</v>
      </c>
      <c r="F26" s="52">
        <v>692000</v>
      </c>
      <c r="G26" s="198"/>
      <c r="P26" s="122" t="s">
        <v>392</v>
      </c>
      <c r="Q26" s="120">
        <v>0</v>
      </c>
    </row>
    <row r="27" spans="2:17" ht="14.4" x14ac:dyDescent="0.3">
      <c r="B27" s="201"/>
      <c r="C27" s="204"/>
      <c r="D27" s="209"/>
      <c r="E27" s="58" t="s">
        <v>11</v>
      </c>
      <c r="F27" s="52">
        <v>397000</v>
      </c>
      <c r="G27" s="199"/>
      <c r="P27" s="122" t="s">
        <v>393</v>
      </c>
      <c r="Q27" s="120">
        <v>1</v>
      </c>
    </row>
    <row r="28" spans="2:17" ht="14.4" x14ac:dyDescent="0.3">
      <c r="B28" s="201"/>
      <c r="C28" s="72" t="s">
        <v>377</v>
      </c>
      <c r="D28" s="53">
        <v>1</v>
      </c>
      <c r="E28" s="58" t="s">
        <v>11</v>
      </c>
      <c r="F28" s="52">
        <v>630000</v>
      </c>
      <c r="G28" s="66">
        <f>+F28</f>
        <v>630000</v>
      </c>
      <c r="P28" s="122" t="s">
        <v>394</v>
      </c>
      <c r="Q28" s="120">
        <v>18</v>
      </c>
    </row>
    <row r="29" spans="2:17" ht="14.4" x14ac:dyDescent="0.3">
      <c r="B29" s="201"/>
      <c r="C29" s="72" t="s">
        <v>379</v>
      </c>
      <c r="D29" s="51"/>
      <c r="E29" s="58"/>
      <c r="F29" s="52"/>
      <c r="G29" s="66"/>
      <c r="P29"/>
      <c r="Q29" s="121">
        <f>SUM(Q21:Q28)</f>
        <v>35</v>
      </c>
    </row>
    <row r="30" spans="2:17" x14ac:dyDescent="0.25">
      <c r="B30" s="201"/>
      <c r="C30" s="205" t="s">
        <v>380</v>
      </c>
      <c r="D30" s="209">
        <v>5</v>
      </c>
      <c r="E30" s="58" t="s">
        <v>16</v>
      </c>
      <c r="F30" s="52">
        <v>679000</v>
      </c>
      <c r="G30" s="207">
        <f>SUM(F30:F34)</f>
        <v>2879000</v>
      </c>
    </row>
    <row r="31" spans="2:17" x14ac:dyDescent="0.25">
      <c r="B31" s="201"/>
      <c r="C31" s="208"/>
      <c r="D31" s="209"/>
      <c r="E31" s="58" t="s">
        <v>11</v>
      </c>
      <c r="F31" s="52">
        <v>630000</v>
      </c>
      <c r="G31" s="198"/>
    </row>
    <row r="32" spans="2:17" x14ac:dyDescent="0.25">
      <c r="B32" s="201"/>
      <c r="C32" s="208"/>
      <c r="D32" s="209"/>
      <c r="E32" s="58" t="s">
        <v>11</v>
      </c>
      <c r="F32" s="52">
        <v>460000</v>
      </c>
      <c r="G32" s="198"/>
    </row>
    <row r="33" spans="2:7" x14ac:dyDescent="0.25">
      <c r="B33" s="201"/>
      <c r="C33" s="208"/>
      <c r="D33" s="209"/>
      <c r="E33" s="58" t="s">
        <v>88</v>
      </c>
      <c r="F33" s="52">
        <v>690000</v>
      </c>
      <c r="G33" s="198"/>
    </row>
    <row r="34" spans="2:7" x14ac:dyDescent="0.25">
      <c r="B34" s="201"/>
      <c r="C34" s="208"/>
      <c r="D34" s="209"/>
      <c r="E34" s="58" t="s">
        <v>11</v>
      </c>
      <c r="F34" s="52">
        <v>420000</v>
      </c>
      <c r="G34" s="198"/>
    </row>
    <row r="35" spans="2:7" x14ac:dyDescent="0.25">
      <c r="B35" s="201"/>
      <c r="C35" s="205" t="s">
        <v>381</v>
      </c>
      <c r="D35" s="206">
        <v>2</v>
      </c>
      <c r="E35" s="56" t="s">
        <v>395</v>
      </c>
      <c r="F35" s="57">
        <v>660000</v>
      </c>
      <c r="G35" s="211">
        <f>SUM(F35:F36)</f>
        <v>1314000</v>
      </c>
    </row>
    <row r="36" spans="2:7" x14ac:dyDescent="0.25">
      <c r="B36" s="201"/>
      <c r="C36" s="204"/>
      <c r="D36" s="196"/>
      <c r="E36" s="56" t="s">
        <v>11</v>
      </c>
      <c r="F36" s="57">
        <v>654000</v>
      </c>
      <c r="G36" s="213"/>
    </row>
    <row r="37" spans="2:7" x14ac:dyDescent="0.25">
      <c r="B37" s="201"/>
      <c r="C37" s="214" t="s">
        <v>87</v>
      </c>
      <c r="D37" s="206">
        <v>3</v>
      </c>
      <c r="E37" s="56" t="s">
        <v>11</v>
      </c>
      <c r="F37" s="57">
        <v>630000</v>
      </c>
      <c r="G37" s="211">
        <f>SUM(F37:F39)</f>
        <v>1662700</v>
      </c>
    </row>
    <row r="38" spans="2:7" x14ac:dyDescent="0.25">
      <c r="B38" s="201"/>
      <c r="C38" s="218"/>
      <c r="D38" s="195"/>
      <c r="E38" s="56" t="s">
        <v>94</v>
      </c>
      <c r="F38" s="57">
        <v>417700</v>
      </c>
      <c r="G38" s="212"/>
    </row>
    <row r="39" spans="2:7" x14ac:dyDescent="0.25">
      <c r="B39" s="201"/>
      <c r="C39" s="219"/>
      <c r="D39" s="196"/>
      <c r="E39" s="56" t="s">
        <v>16</v>
      </c>
      <c r="F39" s="57">
        <v>615000</v>
      </c>
      <c r="G39" s="213"/>
    </row>
    <row r="40" spans="2:7" x14ac:dyDescent="0.25">
      <c r="B40" s="201"/>
      <c r="C40" s="205" t="s">
        <v>384</v>
      </c>
      <c r="D40" s="206">
        <v>3</v>
      </c>
      <c r="E40" s="56" t="s">
        <v>11</v>
      </c>
      <c r="F40" s="57">
        <v>446900</v>
      </c>
      <c r="G40" s="211">
        <f>SUM(F40:F42)</f>
        <v>1326100</v>
      </c>
    </row>
    <row r="41" spans="2:7" x14ac:dyDescent="0.25">
      <c r="B41" s="201"/>
      <c r="C41" s="208"/>
      <c r="D41" s="195"/>
      <c r="E41" s="56" t="s">
        <v>95</v>
      </c>
      <c r="F41" s="57">
        <v>417700</v>
      </c>
      <c r="G41" s="212"/>
    </row>
    <row r="42" spans="2:7" x14ac:dyDescent="0.25">
      <c r="B42" s="201"/>
      <c r="C42" s="90"/>
      <c r="D42" s="196"/>
      <c r="E42" s="75" t="s">
        <v>16</v>
      </c>
      <c r="F42" s="76">
        <v>461500</v>
      </c>
      <c r="G42" s="213"/>
    </row>
    <row r="43" spans="2:7" x14ac:dyDescent="0.25">
      <c r="B43" s="201"/>
      <c r="C43" s="72" t="s">
        <v>385</v>
      </c>
      <c r="D43" s="55"/>
      <c r="E43" s="58"/>
      <c r="F43" s="52"/>
      <c r="G43" s="66">
        <f>+F43</f>
        <v>0</v>
      </c>
    </row>
    <row r="44" spans="2:7" x14ac:dyDescent="0.25">
      <c r="B44" s="201"/>
      <c r="C44" s="83" t="s">
        <v>386</v>
      </c>
      <c r="D44" s="51">
        <v>1</v>
      </c>
      <c r="E44" s="56" t="s">
        <v>11</v>
      </c>
      <c r="F44" s="57">
        <v>735400</v>
      </c>
      <c r="G44" s="60">
        <f>SUM(F44:F44)</f>
        <v>735400</v>
      </c>
    </row>
    <row r="45" spans="2:7" ht="14.4" customHeight="1" x14ac:dyDescent="0.25">
      <c r="B45" s="201"/>
      <c r="C45" s="214" t="s">
        <v>387</v>
      </c>
      <c r="D45" s="206">
        <v>2</v>
      </c>
      <c r="E45" s="92" t="s">
        <v>88</v>
      </c>
      <c r="F45" s="93">
        <v>484000</v>
      </c>
      <c r="G45" s="207">
        <f>SUM(F45:F46)</f>
        <v>899000</v>
      </c>
    </row>
    <row r="46" spans="2:7" ht="14.4" thickBot="1" x14ac:dyDescent="0.3">
      <c r="B46" s="202"/>
      <c r="C46" s="215"/>
      <c r="D46" s="216"/>
      <c r="E46" s="113" t="s">
        <v>88</v>
      </c>
      <c r="F46" s="114">
        <v>415000</v>
      </c>
      <c r="G46" s="217"/>
    </row>
    <row r="47" spans="2:7" ht="14.4" thickTop="1" x14ac:dyDescent="0.25">
      <c r="B47" s="188">
        <v>2026</v>
      </c>
      <c r="C47" s="191" t="s">
        <v>13</v>
      </c>
      <c r="D47" s="194">
        <v>1</v>
      </c>
      <c r="E47" s="61" t="s">
        <v>11</v>
      </c>
      <c r="F47" s="62">
        <v>535000</v>
      </c>
      <c r="G47" s="197">
        <f>SUM(F47:F49)</f>
        <v>535000</v>
      </c>
    </row>
    <row r="48" spans="2:7" x14ac:dyDescent="0.25">
      <c r="B48" s="189"/>
      <c r="C48" s="192"/>
      <c r="D48" s="195"/>
      <c r="E48" s="58"/>
      <c r="F48" s="52"/>
      <c r="G48" s="198"/>
    </row>
    <row r="49" spans="2:7" x14ac:dyDescent="0.25">
      <c r="B49" s="190"/>
      <c r="C49" s="193"/>
      <c r="D49" s="196"/>
      <c r="E49" s="115"/>
      <c r="F49" s="115"/>
      <c r="G49" s="199"/>
    </row>
    <row r="50" spans="2:7" x14ac:dyDescent="0.25">
      <c r="B50" s="108"/>
      <c r="C50" s="117"/>
      <c r="D50" s="109"/>
      <c r="G50" s="110"/>
    </row>
    <row r="51" spans="2:7" ht="18" thickBot="1" x14ac:dyDescent="0.6">
      <c r="D51" s="85">
        <f>SUM(D10:D50)</f>
        <v>35</v>
      </c>
      <c r="G51" s="71">
        <f>SUM(G4:G50)</f>
        <v>19691800</v>
      </c>
    </row>
  </sheetData>
  <mergeCells count="40">
    <mergeCell ref="G30:G34"/>
    <mergeCell ref="C45:C46"/>
    <mergeCell ref="D45:D46"/>
    <mergeCell ref="G45:G46"/>
    <mergeCell ref="C35:C36"/>
    <mergeCell ref="D35:D36"/>
    <mergeCell ref="G35:G36"/>
    <mergeCell ref="C37:C39"/>
    <mergeCell ref="D37:D39"/>
    <mergeCell ref="G37:G39"/>
    <mergeCell ref="D40:D42"/>
    <mergeCell ref="G40:G42"/>
    <mergeCell ref="C40:C41"/>
    <mergeCell ref="C10:C11"/>
    <mergeCell ref="D10:D11"/>
    <mergeCell ref="C2:G2"/>
    <mergeCell ref="B4:B20"/>
    <mergeCell ref="C13:C15"/>
    <mergeCell ref="D13:D15"/>
    <mergeCell ref="C17:C19"/>
    <mergeCell ref="D17:D19"/>
    <mergeCell ref="G13:G15"/>
    <mergeCell ref="G10:G11"/>
    <mergeCell ref="G17:G19"/>
    <mergeCell ref="B47:B49"/>
    <mergeCell ref="C47:C49"/>
    <mergeCell ref="D47:D49"/>
    <mergeCell ref="G47:G49"/>
    <mergeCell ref="B21:B46"/>
    <mergeCell ref="C21:C22"/>
    <mergeCell ref="D21:D22"/>
    <mergeCell ref="G21:G22"/>
    <mergeCell ref="C23:C24"/>
    <mergeCell ref="D23:D24"/>
    <mergeCell ref="G23:G24"/>
    <mergeCell ref="C25:C27"/>
    <mergeCell ref="D25:D27"/>
    <mergeCell ref="G25:G27"/>
    <mergeCell ref="C30:C34"/>
    <mergeCell ref="D30:D34"/>
  </mergeCells>
  <pageMargins left="0.7" right="0.7" top="0.75" bottom="0.75" header="0.3" footer="0.3"/>
  <pageSetup paperSize="9" scale="92" orientation="portrait" horizontalDpi="0" verticalDpi="0" r:id="rId1"/>
  <ignoredErrors>
    <ignoredError sqref="G13 G17 G21 G23 G25 G30 G35 G37 G45 G40 G47" formulaRange="1"/>
    <ignoredError sqref="G44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DF55-CC5B-433F-9B30-6DD09FCAA3F0}">
  <sheetPr>
    <tabColor theme="5" tint="0.79998168889431442"/>
    <pageSetUpPr fitToPage="1"/>
  </sheetPr>
  <dimension ref="B2:Q33"/>
  <sheetViews>
    <sheetView showGridLines="0" topLeftCell="F1" zoomScaleNormal="100" workbookViewId="0">
      <selection activeCell="I3" sqref="I3:M6"/>
    </sheetView>
  </sheetViews>
  <sheetFormatPr baseColWidth="10" defaultColWidth="11.109375" defaultRowHeight="13.8" x14ac:dyDescent="0.25"/>
  <cols>
    <col min="1" max="1" width="5.6640625" style="49" customWidth="1"/>
    <col min="2" max="2" width="11.109375" style="49"/>
    <col min="3" max="3" width="12" style="49" bestFit="1" customWidth="1"/>
    <col min="4" max="4" width="11.109375" style="50"/>
    <col min="5" max="5" width="18.33203125" style="49" bestFit="1" customWidth="1"/>
    <col min="6" max="6" width="15.33203125" style="105" bestFit="1" customWidth="1"/>
    <col min="7" max="7" width="18.33203125" style="49" bestFit="1" customWidth="1"/>
    <col min="8" max="8" width="11.109375" style="49"/>
    <col min="9" max="9" width="19" style="49" bestFit="1" customWidth="1"/>
    <col min="10" max="15" width="11.109375" style="49"/>
    <col min="16" max="16" width="24.88671875" style="49" bestFit="1" customWidth="1"/>
    <col min="17" max="16384" width="11.109375" style="49"/>
  </cols>
  <sheetData>
    <row r="2" spans="2:17" x14ac:dyDescent="0.25">
      <c r="C2" s="220" t="s">
        <v>396</v>
      </c>
      <c r="D2" s="220"/>
      <c r="E2" s="220"/>
      <c r="F2" s="220"/>
      <c r="G2" s="220"/>
      <c r="I2" s="221"/>
      <c r="J2" s="221"/>
      <c r="K2" s="221"/>
      <c r="L2" s="221"/>
      <c r="M2" s="221"/>
    </row>
    <row r="3" spans="2:17" x14ac:dyDescent="0.25">
      <c r="C3" s="79" t="s">
        <v>98</v>
      </c>
      <c r="D3" s="80" t="s">
        <v>373</v>
      </c>
      <c r="E3" s="79" t="s">
        <v>374</v>
      </c>
      <c r="F3" s="100" t="s">
        <v>57</v>
      </c>
      <c r="G3" s="79" t="s">
        <v>375</v>
      </c>
      <c r="J3" s="119" t="s">
        <v>36</v>
      </c>
      <c r="K3" s="119" t="s">
        <v>37</v>
      </c>
      <c r="L3" s="119" t="s">
        <v>38</v>
      </c>
      <c r="P3" s="123" t="s">
        <v>397</v>
      </c>
    </row>
    <row r="4" spans="2:17" ht="14.4" x14ac:dyDescent="0.3">
      <c r="B4" s="201">
        <v>2025</v>
      </c>
      <c r="C4" s="54" t="s">
        <v>13</v>
      </c>
      <c r="D4" s="51"/>
      <c r="E4" s="58"/>
      <c r="F4" s="101"/>
      <c r="G4" s="60">
        <f>SUM(F4:F4)</f>
        <v>0</v>
      </c>
      <c r="I4" s="118" t="s">
        <v>40</v>
      </c>
      <c r="J4" s="116">
        <v>74</v>
      </c>
      <c r="K4" s="116">
        <v>8</v>
      </c>
      <c r="L4" s="116">
        <v>14</v>
      </c>
      <c r="M4" s="116">
        <f>SUM(J4:L4)</f>
        <v>96</v>
      </c>
      <c r="P4" s="120" t="s">
        <v>378</v>
      </c>
      <c r="Q4" s="120">
        <v>10</v>
      </c>
    </row>
    <row r="5" spans="2:17" ht="14.4" x14ac:dyDescent="0.3">
      <c r="B5" s="201"/>
      <c r="C5" s="54" t="s">
        <v>82</v>
      </c>
      <c r="D5" s="51"/>
      <c r="E5" s="58"/>
      <c r="F5" s="101"/>
      <c r="G5" s="60">
        <f>SUM(F5:F5)</f>
        <v>0</v>
      </c>
      <c r="I5" s="118" t="s">
        <v>42</v>
      </c>
      <c r="J5" s="116">
        <v>50</v>
      </c>
      <c r="K5" s="116">
        <v>3</v>
      </c>
      <c r="L5" s="116">
        <v>7</v>
      </c>
      <c r="M5" s="116">
        <f>SUM(J5:L5)</f>
        <v>60</v>
      </c>
      <c r="P5" s="120" t="s">
        <v>47</v>
      </c>
      <c r="Q5" s="120">
        <v>1</v>
      </c>
    </row>
    <row r="6" spans="2:17" ht="14.4" x14ac:dyDescent="0.3">
      <c r="B6" s="201"/>
      <c r="C6" s="54" t="s">
        <v>85</v>
      </c>
      <c r="D6" s="55">
        <v>1</v>
      </c>
      <c r="E6" s="58" t="s">
        <v>11</v>
      </c>
      <c r="F6" s="101">
        <v>623000</v>
      </c>
      <c r="G6" s="60">
        <f>SUM(F6:F6)</f>
        <v>623000</v>
      </c>
      <c r="I6" s="118" t="s">
        <v>45</v>
      </c>
      <c r="J6" s="116">
        <v>7</v>
      </c>
      <c r="K6" s="116">
        <v>0</v>
      </c>
      <c r="L6" s="116">
        <v>3</v>
      </c>
      <c r="M6" s="116">
        <f>SUM(J6:L6)</f>
        <v>10</v>
      </c>
      <c r="P6" s="120" t="s">
        <v>46</v>
      </c>
      <c r="Q6" s="120">
        <v>4</v>
      </c>
    </row>
    <row r="7" spans="2:17" ht="14.4" x14ac:dyDescent="0.3">
      <c r="B7" s="201"/>
      <c r="C7" s="74" t="s">
        <v>377</v>
      </c>
      <c r="D7" s="53">
        <v>1</v>
      </c>
      <c r="E7" s="58" t="s">
        <v>11</v>
      </c>
      <c r="F7" s="101">
        <v>529200</v>
      </c>
      <c r="G7" s="66">
        <f>+F7</f>
        <v>529200</v>
      </c>
      <c r="P7" s="120" t="s">
        <v>382</v>
      </c>
      <c r="Q7" s="120">
        <v>0</v>
      </c>
    </row>
    <row r="8" spans="2:17" ht="14.4" x14ac:dyDescent="0.3">
      <c r="B8" s="201"/>
      <c r="C8" s="74" t="s">
        <v>379</v>
      </c>
      <c r="D8" s="51"/>
      <c r="E8" s="58"/>
      <c r="F8" s="101"/>
      <c r="G8" s="66">
        <f>SUM(F8)</f>
        <v>0</v>
      </c>
      <c r="P8"/>
      <c r="Q8" s="121">
        <f>SUM(Q4:Q7)</f>
        <v>15</v>
      </c>
    </row>
    <row r="9" spans="2:17" x14ac:dyDescent="0.25">
      <c r="B9" s="201"/>
      <c r="C9" s="54" t="s">
        <v>380</v>
      </c>
      <c r="D9" s="55">
        <v>1</v>
      </c>
      <c r="E9" s="58" t="s">
        <v>18</v>
      </c>
      <c r="F9" s="101">
        <v>460000</v>
      </c>
      <c r="G9" s="60">
        <f>SUM(F9:F9)</f>
        <v>460000</v>
      </c>
    </row>
    <row r="10" spans="2:17" x14ac:dyDescent="0.25">
      <c r="B10" s="201"/>
      <c r="C10" s="54" t="s">
        <v>381</v>
      </c>
      <c r="D10" s="51">
        <v>1</v>
      </c>
      <c r="E10" s="56" t="s">
        <v>11</v>
      </c>
      <c r="F10" s="101">
        <v>495000</v>
      </c>
      <c r="G10" s="59">
        <f>SUM(F10:F10)</f>
        <v>495000</v>
      </c>
      <c r="P10" s="123" t="s">
        <v>398</v>
      </c>
    </row>
    <row r="11" spans="2:17" ht="14.4" x14ac:dyDescent="0.3">
      <c r="B11" s="201"/>
      <c r="C11" s="54" t="s">
        <v>87</v>
      </c>
      <c r="D11" s="51">
        <v>1</v>
      </c>
      <c r="E11" s="56" t="s">
        <v>16</v>
      </c>
      <c r="F11" s="101">
        <v>518500</v>
      </c>
      <c r="G11" s="59">
        <f>SUM(F11:F11)</f>
        <v>518500</v>
      </c>
      <c r="P11" s="120" t="s">
        <v>378</v>
      </c>
      <c r="Q11" s="120">
        <v>1</v>
      </c>
    </row>
    <row r="12" spans="2:17" ht="14.4" x14ac:dyDescent="0.3">
      <c r="B12" s="201"/>
      <c r="C12" s="214" t="s">
        <v>384</v>
      </c>
      <c r="D12" s="209">
        <v>6</v>
      </c>
      <c r="E12" s="56" t="s">
        <v>11</v>
      </c>
      <c r="F12" s="101">
        <v>430000</v>
      </c>
      <c r="G12" s="211">
        <f>SUM(F12:F17)</f>
        <v>2729500</v>
      </c>
      <c r="P12" s="120" t="s">
        <v>47</v>
      </c>
      <c r="Q12" s="120">
        <v>6</v>
      </c>
    </row>
    <row r="13" spans="2:17" ht="14.4" x14ac:dyDescent="0.3">
      <c r="B13" s="201"/>
      <c r="C13" s="218"/>
      <c r="D13" s="209"/>
      <c r="E13" s="56" t="s">
        <v>11</v>
      </c>
      <c r="F13" s="101">
        <v>577000</v>
      </c>
      <c r="G13" s="212"/>
      <c r="P13" s="120" t="s">
        <v>46</v>
      </c>
      <c r="Q13" s="120">
        <v>1</v>
      </c>
    </row>
    <row r="14" spans="2:17" ht="14.4" x14ac:dyDescent="0.3">
      <c r="B14" s="201"/>
      <c r="C14" s="218"/>
      <c r="D14" s="209"/>
      <c r="E14" s="56" t="s">
        <v>11</v>
      </c>
      <c r="F14" s="101">
        <v>524500</v>
      </c>
      <c r="G14" s="212"/>
      <c r="P14" s="120" t="s">
        <v>382</v>
      </c>
      <c r="Q14" s="120">
        <v>0</v>
      </c>
    </row>
    <row r="15" spans="2:17" ht="14.4" x14ac:dyDescent="0.3">
      <c r="B15" s="201"/>
      <c r="C15" s="218"/>
      <c r="D15" s="209"/>
      <c r="E15" s="56" t="s">
        <v>11</v>
      </c>
      <c r="F15" s="101">
        <v>265000</v>
      </c>
      <c r="G15" s="212"/>
      <c r="P15"/>
      <c r="Q15" s="121">
        <f>SUM(Q11:Q14)</f>
        <v>8</v>
      </c>
    </row>
    <row r="16" spans="2:17" ht="15.6" x14ac:dyDescent="0.4">
      <c r="B16" s="201"/>
      <c r="C16" s="218"/>
      <c r="D16" s="209"/>
      <c r="E16" s="75" t="s">
        <v>11</v>
      </c>
      <c r="F16" s="106">
        <v>475000</v>
      </c>
      <c r="G16" s="212"/>
    </row>
    <row r="17" spans="2:17" ht="15.6" x14ac:dyDescent="0.4">
      <c r="B17" s="201"/>
      <c r="C17" s="218"/>
      <c r="D17" s="209"/>
      <c r="E17" s="75" t="s">
        <v>11</v>
      </c>
      <c r="F17" s="106">
        <v>458000</v>
      </c>
      <c r="G17" s="212"/>
      <c r="P17" s="49" t="s">
        <v>399</v>
      </c>
    </row>
    <row r="18" spans="2:17" ht="14.4" x14ac:dyDescent="0.3">
      <c r="B18" s="201"/>
      <c r="C18" s="214" t="s">
        <v>385</v>
      </c>
      <c r="D18" s="206">
        <v>3</v>
      </c>
      <c r="E18" s="56" t="s">
        <v>11</v>
      </c>
      <c r="F18" s="101">
        <v>381000</v>
      </c>
      <c r="G18" s="207">
        <f>SUM(F18:F20)</f>
        <v>1355700</v>
      </c>
      <c r="P18" s="122" t="s">
        <v>88</v>
      </c>
      <c r="Q18" s="120"/>
    </row>
    <row r="19" spans="2:17" ht="14.4" x14ac:dyDescent="0.3">
      <c r="B19" s="201"/>
      <c r="C19" s="218"/>
      <c r="D19" s="195"/>
      <c r="E19" s="56" t="s">
        <v>16</v>
      </c>
      <c r="F19" s="101">
        <v>470000</v>
      </c>
      <c r="G19" s="198"/>
      <c r="P19" s="122" t="s">
        <v>16</v>
      </c>
      <c r="Q19" s="120">
        <v>4</v>
      </c>
    </row>
    <row r="20" spans="2:17" ht="14.4" x14ac:dyDescent="0.3">
      <c r="B20" s="201"/>
      <c r="C20" s="218"/>
      <c r="D20" s="195"/>
      <c r="E20" s="75" t="s">
        <v>11</v>
      </c>
      <c r="F20" s="102">
        <v>504700</v>
      </c>
      <c r="G20" s="198"/>
      <c r="P20" s="122" t="s">
        <v>389</v>
      </c>
      <c r="Q20" s="120"/>
    </row>
    <row r="21" spans="2:17" ht="14.4" customHeight="1" x14ac:dyDescent="0.3">
      <c r="B21" s="201"/>
      <c r="C21" s="222" t="s">
        <v>386</v>
      </c>
      <c r="D21" s="206">
        <v>2</v>
      </c>
      <c r="E21" s="58" t="s">
        <v>11</v>
      </c>
      <c r="F21" s="101">
        <v>517000</v>
      </c>
      <c r="G21" s="207">
        <f>SUM(F21:F22)</f>
        <v>967000</v>
      </c>
      <c r="P21" s="122" t="s">
        <v>390</v>
      </c>
      <c r="Q21" s="120"/>
    </row>
    <row r="22" spans="2:17" ht="14.4" x14ac:dyDescent="0.3">
      <c r="B22" s="201"/>
      <c r="C22" s="193"/>
      <c r="D22" s="196"/>
      <c r="E22" s="56" t="s">
        <v>16</v>
      </c>
      <c r="F22" s="101">
        <v>450000</v>
      </c>
      <c r="G22" s="199"/>
      <c r="P22" s="122" t="s">
        <v>391</v>
      </c>
      <c r="Q22" s="120"/>
    </row>
    <row r="23" spans="2:17" ht="14.4" customHeight="1" x14ac:dyDescent="0.3">
      <c r="B23" s="223"/>
      <c r="C23" s="222" t="s">
        <v>387</v>
      </c>
      <c r="D23" s="206">
        <v>5</v>
      </c>
      <c r="E23" s="98" t="s">
        <v>11</v>
      </c>
      <c r="F23" s="103">
        <v>504700</v>
      </c>
      <c r="G23" s="207">
        <f>SUM(F23:F27)</f>
        <v>2450600</v>
      </c>
      <c r="P23" s="122" t="s">
        <v>392</v>
      </c>
      <c r="Q23" s="120">
        <v>1</v>
      </c>
    </row>
    <row r="24" spans="2:17" ht="14.4" customHeight="1" x14ac:dyDescent="0.3">
      <c r="B24" s="223"/>
      <c r="C24" s="192"/>
      <c r="D24" s="195"/>
      <c r="E24" s="98" t="s">
        <v>11</v>
      </c>
      <c r="F24" s="103">
        <v>521800</v>
      </c>
      <c r="G24" s="198"/>
      <c r="P24" s="122" t="s">
        <v>393</v>
      </c>
      <c r="Q24" s="120"/>
    </row>
    <row r="25" spans="2:17" ht="14.4" customHeight="1" x14ac:dyDescent="0.4">
      <c r="B25" s="223"/>
      <c r="C25" s="192"/>
      <c r="D25" s="195"/>
      <c r="E25" s="95" t="s">
        <v>11</v>
      </c>
      <c r="F25" s="106">
        <v>510000</v>
      </c>
      <c r="G25" s="198"/>
      <c r="P25" s="122" t="s">
        <v>394</v>
      </c>
      <c r="Q25" s="120">
        <v>17</v>
      </c>
    </row>
    <row r="26" spans="2:17" ht="14.4" customHeight="1" x14ac:dyDescent="0.4">
      <c r="B26" s="223"/>
      <c r="C26" s="192"/>
      <c r="D26" s="195"/>
      <c r="E26" s="95" t="s">
        <v>11</v>
      </c>
      <c r="F26" s="106">
        <v>382000</v>
      </c>
      <c r="G26" s="198"/>
      <c r="P26"/>
      <c r="Q26" s="121">
        <f>SUM(Q18:Q25)</f>
        <v>22</v>
      </c>
    </row>
    <row r="27" spans="2:17" ht="15" customHeight="1" thickBot="1" x14ac:dyDescent="0.45">
      <c r="B27" s="202"/>
      <c r="C27" s="224"/>
      <c r="D27" s="216"/>
      <c r="E27" s="99" t="s">
        <v>16</v>
      </c>
      <c r="F27" s="107">
        <v>532100</v>
      </c>
      <c r="G27" s="217"/>
    </row>
    <row r="28" spans="2:17" ht="14.4" thickTop="1" x14ac:dyDescent="0.25">
      <c r="B28" s="188">
        <v>2026</v>
      </c>
      <c r="C28" s="191" t="s">
        <v>13</v>
      </c>
      <c r="D28" s="194">
        <v>1</v>
      </c>
      <c r="E28" s="124" t="s">
        <v>11</v>
      </c>
      <c r="F28" s="104">
        <v>370000</v>
      </c>
      <c r="G28" s="197">
        <f>SUM(F28:F31)</f>
        <v>370000</v>
      </c>
    </row>
    <row r="29" spans="2:17" x14ac:dyDescent="0.25">
      <c r="B29" s="189"/>
      <c r="C29" s="192"/>
      <c r="D29" s="195"/>
      <c r="E29" s="61"/>
      <c r="F29" s="104"/>
      <c r="G29" s="198"/>
    </row>
    <row r="30" spans="2:17" x14ac:dyDescent="0.25">
      <c r="B30" s="189"/>
      <c r="C30" s="192"/>
      <c r="D30" s="195"/>
      <c r="E30" s="58"/>
      <c r="F30" s="101"/>
      <c r="G30" s="198"/>
    </row>
    <row r="31" spans="2:17" x14ac:dyDescent="0.25">
      <c r="B31" s="190"/>
      <c r="C31" s="193"/>
      <c r="D31" s="196"/>
      <c r="E31" s="58"/>
      <c r="F31" s="101"/>
      <c r="G31" s="199"/>
    </row>
    <row r="33" spans="4:7" ht="18" thickBot="1" x14ac:dyDescent="0.6">
      <c r="D33" s="85">
        <f>SUM(D4:D32)</f>
        <v>22</v>
      </c>
      <c r="G33" s="71">
        <f>SUM(G4:G31)</f>
        <v>10498500</v>
      </c>
    </row>
  </sheetData>
  <mergeCells count="19">
    <mergeCell ref="B28:B31"/>
    <mergeCell ref="C28:C31"/>
    <mergeCell ref="D28:D31"/>
    <mergeCell ref="G28:G31"/>
    <mergeCell ref="C21:C22"/>
    <mergeCell ref="D21:D22"/>
    <mergeCell ref="G21:G22"/>
    <mergeCell ref="B4:B27"/>
    <mergeCell ref="C23:C27"/>
    <mergeCell ref="G23:G27"/>
    <mergeCell ref="D23:D27"/>
    <mergeCell ref="C2:G2"/>
    <mergeCell ref="I2:M2"/>
    <mergeCell ref="C18:C20"/>
    <mergeCell ref="D18:D20"/>
    <mergeCell ref="G18:G20"/>
    <mergeCell ref="C12:C17"/>
    <mergeCell ref="D12:D17"/>
    <mergeCell ref="G12:G17"/>
  </mergeCells>
  <pageMargins left="0.23622047244094488" right="0.23622047244094488" top="0.74803149606299213" bottom="0.74803149606299213" header="0.31496062992125984" footer="7.874015748031496E-2"/>
  <pageSetup paperSize="9" fitToWidth="0" orientation="portrait" horizontalDpi="0" verticalDpi="0" r:id="rId1"/>
  <colBreaks count="1" manualBreakCount="1">
    <brk id="8" max="1048575" man="1"/>
  </colBreaks>
  <ignoredErrors>
    <ignoredError sqref="G12 G10:G11 G9 G4 G5 G6 G18 G23 G28 G21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5C99-AE9C-42FB-8752-41B646F80AD6}">
  <sheetPr>
    <tabColor theme="9" tint="0.79998168889431442"/>
    <pageSetUpPr fitToPage="1"/>
  </sheetPr>
  <dimension ref="B2:P31"/>
  <sheetViews>
    <sheetView showGridLines="0" zoomScaleNormal="100" workbookViewId="0">
      <selection activeCell="I3" sqref="I3:M6"/>
    </sheetView>
  </sheetViews>
  <sheetFormatPr baseColWidth="10" defaultColWidth="11.109375" defaultRowHeight="13.8" x14ac:dyDescent="0.25"/>
  <cols>
    <col min="1" max="1" width="5.6640625" style="49" customWidth="1"/>
    <col min="2" max="2" width="11.109375" style="49"/>
    <col min="3" max="3" width="12" style="49" bestFit="1" customWidth="1"/>
    <col min="4" max="4" width="11.109375" style="50"/>
    <col min="5" max="5" width="18.33203125" style="49" bestFit="1" customWidth="1"/>
    <col min="6" max="6" width="15.33203125" style="49" bestFit="1" customWidth="1"/>
    <col min="7" max="7" width="17.109375" style="49" bestFit="1" customWidth="1"/>
    <col min="8" max="8" width="11.109375" style="49"/>
    <col min="9" max="9" width="19" style="49" bestFit="1" customWidth="1"/>
    <col min="10" max="14" width="11.109375" style="49"/>
    <col min="15" max="15" width="15.33203125" style="49" bestFit="1" customWidth="1"/>
    <col min="16" max="16384" width="11.109375" style="49"/>
  </cols>
  <sheetData>
    <row r="2" spans="2:16" x14ac:dyDescent="0.25">
      <c r="C2" s="229" t="s">
        <v>400</v>
      </c>
      <c r="D2" s="229"/>
      <c r="E2" s="229"/>
      <c r="F2" s="229"/>
      <c r="G2" s="229"/>
      <c r="I2" s="221"/>
      <c r="J2" s="221"/>
      <c r="K2" s="221"/>
      <c r="L2" s="221"/>
      <c r="M2" s="221"/>
      <c r="O2" s="123" t="s">
        <v>401</v>
      </c>
    </row>
    <row r="3" spans="2:16" ht="14.4" x14ac:dyDescent="0.3">
      <c r="C3" s="77" t="s">
        <v>98</v>
      </c>
      <c r="D3" s="78" t="s">
        <v>373</v>
      </c>
      <c r="E3" s="77" t="s">
        <v>374</v>
      </c>
      <c r="F3" s="77" t="s">
        <v>57</v>
      </c>
      <c r="G3" s="77" t="s">
        <v>375</v>
      </c>
      <c r="J3" s="119" t="s">
        <v>36</v>
      </c>
      <c r="K3" s="119" t="s">
        <v>37</v>
      </c>
      <c r="L3" s="119" t="s">
        <v>38</v>
      </c>
      <c r="O3" s="120" t="s">
        <v>378</v>
      </c>
      <c r="P3" s="120">
        <v>2</v>
      </c>
    </row>
    <row r="4" spans="2:16" ht="14.4" x14ac:dyDescent="0.3">
      <c r="B4" s="201">
        <v>2025</v>
      </c>
      <c r="C4" s="74" t="s">
        <v>13</v>
      </c>
      <c r="D4" s="55"/>
      <c r="E4" s="58"/>
      <c r="F4" s="52"/>
      <c r="G4" s="66">
        <f>SUM(F4:F4)</f>
        <v>0</v>
      </c>
      <c r="I4" s="118" t="s">
        <v>40</v>
      </c>
      <c r="J4" s="116">
        <v>34</v>
      </c>
      <c r="K4" s="116">
        <v>6</v>
      </c>
      <c r="L4" s="116">
        <v>10</v>
      </c>
      <c r="M4" s="116">
        <f>SUM(J4:L4)</f>
        <v>50</v>
      </c>
      <c r="O4" s="120" t="s">
        <v>47</v>
      </c>
      <c r="P4" s="120">
        <v>5</v>
      </c>
    </row>
    <row r="5" spans="2:16" ht="14.4" x14ac:dyDescent="0.3">
      <c r="B5" s="201"/>
      <c r="C5" s="74" t="s">
        <v>82</v>
      </c>
      <c r="D5" s="55"/>
      <c r="E5" s="58"/>
      <c r="F5" s="52"/>
      <c r="G5" s="66">
        <f>SUM(F5:F5)</f>
        <v>0</v>
      </c>
      <c r="I5" s="118" t="s">
        <v>42</v>
      </c>
      <c r="J5" s="116">
        <v>22</v>
      </c>
      <c r="K5" s="116">
        <v>1</v>
      </c>
      <c r="L5" s="116">
        <v>8</v>
      </c>
      <c r="M5" s="116">
        <f>SUM(J5:L5)</f>
        <v>31</v>
      </c>
      <c r="O5" s="120" t="s">
        <v>46</v>
      </c>
      <c r="P5" s="120">
        <v>3</v>
      </c>
    </row>
    <row r="6" spans="2:16" ht="14.4" x14ac:dyDescent="0.3">
      <c r="B6" s="201"/>
      <c r="C6" s="74" t="s">
        <v>85</v>
      </c>
      <c r="D6" s="55"/>
      <c r="E6" s="58"/>
      <c r="F6" s="52"/>
      <c r="G6" s="66">
        <f>SUM(F6:F6)</f>
        <v>0</v>
      </c>
      <c r="I6" s="118" t="s">
        <v>45</v>
      </c>
      <c r="J6" s="116">
        <v>7</v>
      </c>
      <c r="K6" s="116">
        <v>0</v>
      </c>
      <c r="L6" s="116">
        <v>0</v>
      </c>
      <c r="M6" s="116">
        <f>SUM(J6:L6)</f>
        <v>7</v>
      </c>
      <c r="O6" s="120" t="s">
        <v>382</v>
      </c>
      <c r="P6" s="120">
        <v>0</v>
      </c>
    </row>
    <row r="7" spans="2:16" ht="14.4" x14ac:dyDescent="0.3">
      <c r="B7" s="201"/>
      <c r="C7" s="74" t="s">
        <v>377</v>
      </c>
      <c r="D7" s="55"/>
      <c r="E7" s="58"/>
      <c r="F7" s="52"/>
      <c r="G7" s="66">
        <f>+F7</f>
        <v>0</v>
      </c>
      <c r="O7"/>
      <c r="P7" s="121">
        <f>SUM(P3:P6)</f>
        <v>10</v>
      </c>
    </row>
    <row r="8" spans="2:16" x14ac:dyDescent="0.25">
      <c r="B8" s="201"/>
      <c r="C8" s="74" t="s">
        <v>379</v>
      </c>
      <c r="D8" s="55"/>
      <c r="E8" s="58"/>
      <c r="F8" s="52"/>
      <c r="G8" s="66">
        <f>SUM(F8)</f>
        <v>0</v>
      </c>
    </row>
    <row r="9" spans="2:16" x14ac:dyDescent="0.25">
      <c r="B9" s="201"/>
      <c r="C9" s="74" t="s">
        <v>380</v>
      </c>
      <c r="D9" s="55"/>
      <c r="E9" s="58"/>
      <c r="F9" s="52"/>
      <c r="G9" s="66">
        <f>SUM(F9:F9)</f>
        <v>0</v>
      </c>
      <c r="O9" s="123" t="s">
        <v>402</v>
      </c>
    </row>
    <row r="10" spans="2:16" ht="14.4" x14ac:dyDescent="0.3">
      <c r="B10" s="201"/>
      <c r="C10" s="230" t="s">
        <v>381</v>
      </c>
      <c r="D10" s="209">
        <v>3</v>
      </c>
      <c r="E10" s="58" t="s">
        <v>18</v>
      </c>
      <c r="F10" s="52">
        <v>485800</v>
      </c>
      <c r="G10" s="232">
        <f>SUM(F10:F12)</f>
        <v>1702600</v>
      </c>
      <c r="O10" s="120" t="s">
        <v>378</v>
      </c>
      <c r="P10" s="120">
        <v>1</v>
      </c>
    </row>
    <row r="11" spans="2:16" ht="14.4" x14ac:dyDescent="0.3">
      <c r="B11" s="201"/>
      <c r="C11" s="230"/>
      <c r="D11" s="209"/>
      <c r="E11" s="81" t="s">
        <v>11</v>
      </c>
      <c r="F11" s="82">
        <v>621000</v>
      </c>
      <c r="G11" s="232"/>
      <c r="O11" s="120" t="s">
        <v>47</v>
      </c>
      <c r="P11" s="120">
        <v>4</v>
      </c>
    </row>
    <row r="12" spans="2:16" ht="14.4" x14ac:dyDescent="0.3">
      <c r="B12" s="201"/>
      <c r="C12" s="230"/>
      <c r="D12" s="209"/>
      <c r="E12" s="56" t="s">
        <v>11</v>
      </c>
      <c r="F12" s="57">
        <v>595800</v>
      </c>
      <c r="G12" s="232"/>
      <c r="O12" s="120" t="s">
        <v>46</v>
      </c>
      <c r="P12" s="120">
        <v>1</v>
      </c>
    </row>
    <row r="13" spans="2:16" ht="14.4" x14ac:dyDescent="0.3">
      <c r="B13" s="201"/>
      <c r="C13" s="230" t="s">
        <v>87</v>
      </c>
      <c r="D13" s="209">
        <v>2</v>
      </c>
      <c r="E13" s="56" t="s">
        <v>11</v>
      </c>
      <c r="F13" s="57">
        <v>573000</v>
      </c>
      <c r="G13" s="232">
        <f>SUM(F13:F14)</f>
        <v>945000</v>
      </c>
      <c r="O13" s="120" t="s">
        <v>382</v>
      </c>
      <c r="P13" s="120">
        <v>0</v>
      </c>
    </row>
    <row r="14" spans="2:16" ht="14.4" x14ac:dyDescent="0.3">
      <c r="B14" s="201"/>
      <c r="C14" s="230"/>
      <c r="D14" s="209"/>
      <c r="E14" s="56" t="s">
        <v>16</v>
      </c>
      <c r="F14" s="57">
        <v>372000</v>
      </c>
      <c r="G14" s="232"/>
      <c r="O14"/>
      <c r="P14" s="121">
        <f>SUM(P10:P13)</f>
        <v>6</v>
      </c>
    </row>
    <row r="15" spans="2:16" x14ac:dyDescent="0.25">
      <c r="B15" s="201"/>
      <c r="C15" s="230" t="s">
        <v>384</v>
      </c>
      <c r="D15" s="209">
        <v>3</v>
      </c>
      <c r="E15" s="56" t="s">
        <v>11</v>
      </c>
      <c r="F15" s="57">
        <v>435000</v>
      </c>
      <c r="G15" s="232">
        <f>SUM(F15:F17)</f>
        <v>1590000</v>
      </c>
      <c r="O15" s="49" t="s">
        <v>403</v>
      </c>
    </row>
    <row r="16" spans="2:16" ht="14.4" x14ac:dyDescent="0.3">
      <c r="B16" s="201"/>
      <c r="C16" s="230"/>
      <c r="D16" s="209"/>
      <c r="E16" s="75" t="s">
        <v>16</v>
      </c>
      <c r="F16" s="76">
        <v>578000</v>
      </c>
      <c r="G16" s="232"/>
      <c r="O16" s="122" t="s">
        <v>88</v>
      </c>
      <c r="P16" s="120">
        <v>1</v>
      </c>
    </row>
    <row r="17" spans="2:16" ht="14.4" x14ac:dyDescent="0.3">
      <c r="B17" s="201"/>
      <c r="C17" s="230"/>
      <c r="D17" s="209"/>
      <c r="E17" s="56" t="s">
        <v>88</v>
      </c>
      <c r="F17" s="57">
        <v>577000</v>
      </c>
      <c r="G17" s="232"/>
      <c r="O17" s="122" t="s">
        <v>16</v>
      </c>
      <c r="P17" s="120">
        <v>4</v>
      </c>
    </row>
    <row r="18" spans="2:16" ht="14.4" x14ac:dyDescent="0.3">
      <c r="B18" s="201"/>
      <c r="C18" s="230" t="s">
        <v>385</v>
      </c>
      <c r="D18" s="209">
        <v>2</v>
      </c>
      <c r="E18" s="56" t="s">
        <v>18</v>
      </c>
      <c r="F18" s="57">
        <v>481000</v>
      </c>
      <c r="G18" s="232">
        <f>SUM(F18:F19)</f>
        <v>959500</v>
      </c>
      <c r="O18" s="122" t="s">
        <v>389</v>
      </c>
      <c r="P18" s="120"/>
    </row>
    <row r="19" spans="2:16" ht="14.4" x14ac:dyDescent="0.3">
      <c r="B19" s="201"/>
      <c r="C19" s="230"/>
      <c r="D19" s="209"/>
      <c r="E19" s="56" t="s">
        <v>18</v>
      </c>
      <c r="F19" s="57">
        <v>478500</v>
      </c>
      <c r="G19" s="232"/>
      <c r="O19" s="122" t="s">
        <v>390</v>
      </c>
      <c r="P19" s="120"/>
    </row>
    <row r="20" spans="2:16" ht="14.4" x14ac:dyDescent="0.3">
      <c r="B20" s="201"/>
      <c r="C20" s="227" t="s">
        <v>386</v>
      </c>
      <c r="D20" s="209">
        <v>3</v>
      </c>
      <c r="E20" s="56" t="s">
        <v>93</v>
      </c>
      <c r="F20" s="57">
        <v>438000</v>
      </c>
      <c r="G20" s="232">
        <f>SUM(F20:F22)</f>
        <v>1338000</v>
      </c>
      <c r="O20" s="122" t="s">
        <v>391</v>
      </c>
      <c r="P20" s="120">
        <v>1</v>
      </c>
    </row>
    <row r="21" spans="2:16" ht="14.4" x14ac:dyDescent="0.3">
      <c r="B21" s="201"/>
      <c r="C21" s="227"/>
      <c r="D21" s="209"/>
      <c r="E21" s="75" t="s">
        <v>16</v>
      </c>
      <c r="F21" s="76">
        <v>403000</v>
      </c>
      <c r="G21" s="232"/>
      <c r="O21" s="122" t="s">
        <v>392</v>
      </c>
      <c r="P21" s="120">
        <v>3</v>
      </c>
    </row>
    <row r="22" spans="2:16" ht="14.4" x14ac:dyDescent="0.3">
      <c r="B22" s="201"/>
      <c r="C22" s="227"/>
      <c r="D22" s="209"/>
      <c r="E22" s="81" t="s">
        <v>11</v>
      </c>
      <c r="F22" s="82">
        <v>497000</v>
      </c>
      <c r="G22" s="232"/>
      <c r="O22" s="122" t="s">
        <v>393</v>
      </c>
      <c r="P22" s="120"/>
    </row>
    <row r="23" spans="2:16" ht="14.4" customHeight="1" x14ac:dyDescent="0.3">
      <c r="B23" s="201"/>
      <c r="C23" s="227" t="s">
        <v>387</v>
      </c>
      <c r="D23" s="209">
        <v>2</v>
      </c>
      <c r="E23" s="81" t="s">
        <v>16</v>
      </c>
      <c r="F23" s="82">
        <v>432800</v>
      </c>
      <c r="G23" s="225">
        <f>SUM(F23:F24)</f>
        <v>860800</v>
      </c>
      <c r="O23" s="122" t="s">
        <v>394</v>
      </c>
      <c r="P23" s="120">
        <v>7</v>
      </c>
    </row>
    <row r="24" spans="2:16" ht="15" customHeight="1" thickBot="1" x14ac:dyDescent="0.35">
      <c r="B24" s="202"/>
      <c r="C24" s="228"/>
      <c r="D24" s="231"/>
      <c r="E24" s="94" t="s">
        <v>11</v>
      </c>
      <c r="F24" s="65">
        <v>428000</v>
      </c>
      <c r="G24" s="226"/>
      <c r="O24"/>
      <c r="P24" s="121">
        <f>SUM(P16:P23)</f>
        <v>16</v>
      </c>
    </row>
    <row r="25" spans="2:16" ht="15" customHeight="1" thickTop="1" x14ac:dyDescent="0.25">
      <c r="B25" s="188">
        <v>2026</v>
      </c>
      <c r="C25" s="233" t="s">
        <v>13</v>
      </c>
      <c r="D25" s="194">
        <v>1</v>
      </c>
      <c r="E25" s="96" t="s">
        <v>11</v>
      </c>
      <c r="F25" s="62">
        <v>639000</v>
      </c>
      <c r="G25" s="197">
        <f>SUM(F25:F28)</f>
        <v>639000</v>
      </c>
    </row>
    <row r="26" spans="2:16" ht="15" customHeight="1" x14ac:dyDescent="0.25">
      <c r="B26" s="189"/>
      <c r="C26" s="234"/>
      <c r="D26" s="195"/>
      <c r="E26" s="96"/>
      <c r="F26" s="62"/>
      <c r="G26" s="198"/>
    </row>
    <row r="27" spans="2:16" ht="15" customHeight="1" x14ac:dyDescent="0.25">
      <c r="B27" s="189"/>
      <c r="C27" s="234"/>
      <c r="D27" s="195"/>
      <c r="E27" s="75"/>
      <c r="F27" s="52"/>
      <c r="G27" s="198"/>
    </row>
    <row r="28" spans="2:16" ht="15" customHeight="1" x14ac:dyDescent="0.25">
      <c r="B28" s="190"/>
      <c r="C28" s="235"/>
      <c r="D28" s="196"/>
      <c r="E28" s="75"/>
      <c r="F28" s="52"/>
      <c r="G28" s="199"/>
    </row>
    <row r="29" spans="2:16" x14ac:dyDescent="0.25">
      <c r="C29" s="236"/>
    </row>
    <row r="30" spans="2:16" ht="18" thickBot="1" x14ac:dyDescent="0.6">
      <c r="C30" s="236"/>
      <c r="D30" s="85">
        <f>SUM(D4:D29)</f>
        <v>16</v>
      </c>
      <c r="G30" s="71">
        <f>SUM(G4:G29)</f>
        <v>8034900</v>
      </c>
    </row>
    <row r="31" spans="2:16" ht="14.4" thickTop="1" x14ac:dyDescent="0.25">
      <c r="C31" s="236"/>
    </row>
  </sheetData>
  <mergeCells count="26">
    <mergeCell ref="B25:B28"/>
    <mergeCell ref="C25:C28"/>
    <mergeCell ref="D25:D28"/>
    <mergeCell ref="G25:G28"/>
    <mergeCell ref="C29:C31"/>
    <mergeCell ref="G13:G14"/>
    <mergeCell ref="C15:C17"/>
    <mergeCell ref="D15:D17"/>
    <mergeCell ref="G15:G17"/>
    <mergeCell ref="G10:G12"/>
    <mergeCell ref="G23:G24"/>
    <mergeCell ref="C23:C24"/>
    <mergeCell ref="C2:G2"/>
    <mergeCell ref="I2:M2"/>
    <mergeCell ref="B4:B24"/>
    <mergeCell ref="C18:C19"/>
    <mergeCell ref="C13:C14"/>
    <mergeCell ref="D23:D24"/>
    <mergeCell ref="D18:D19"/>
    <mergeCell ref="G18:G19"/>
    <mergeCell ref="C20:C22"/>
    <mergeCell ref="D20:D22"/>
    <mergeCell ref="G20:G22"/>
    <mergeCell ref="C10:C12"/>
    <mergeCell ref="D10:D12"/>
    <mergeCell ref="D13:D14"/>
  </mergeCells>
  <pageMargins left="0.7" right="0.7" top="0.75" bottom="0.75" header="0.3" footer="0.3"/>
  <pageSetup paperSize="9" fitToWidth="0" orientation="portrait" horizontalDpi="0" verticalDpi="0" r:id="rId1"/>
  <colBreaks count="1" manualBreakCount="1">
    <brk id="7" max="1048575" man="1"/>
  </colBreaks>
  <ignoredErrors>
    <ignoredError sqref="G13 G15 G10 G18 G20 G23 G25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0A9D50705E924EA02D565C3097A2A8" ma:contentTypeVersion="13" ma:contentTypeDescription="Crear nuevo documento." ma:contentTypeScope="" ma:versionID="8fd8c59e4c50453b7d7b1388dd6a67df">
  <xsd:schema xmlns:xsd="http://www.w3.org/2001/XMLSchema" xmlns:xs="http://www.w3.org/2001/XMLSchema" xmlns:p="http://schemas.microsoft.com/office/2006/metadata/properties" xmlns:ns2="cea7d724-0401-4ab7-9335-0a1bc0aaa782" xmlns:ns3="c82afbfa-e8c4-476e-897d-8f89ba7ec2d5" targetNamespace="http://schemas.microsoft.com/office/2006/metadata/properties" ma:root="true" ma:fieldsID="397d94704bf2ce01ad163c5197a8d263" ns2:_="" ns3:_="">
    <xsd:import namespace="cea7d724-0401-4ab7-9335-0a1bc0aaa782"/>
    <xsd:import namespace="c82afbfa-e8c4-476e-897d-8f89ba7ec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7d724-0401-4ab7-9335-0a1bc0aaa7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7a95056-230e-480f-b80f-b40d9684a1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afbfa-e8c4-476e-897d-8f89ba7ec2d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78d7df-bb52-4226-b77a-36ad91330905}" ma:internalName="TaxCatchAll" ma:showField="CatchAllData" ma:web="c82afbfa-e8c4-476e-897d-8f89ba7ec2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2afbfa-e8c4-476e-897d-8f89ba7ec2d5" xsi:nil="true"/>
    <lcf76f155ced4ddcb4097134ff3c332f xmlns="cea7d724-0401-4ab7-9335-0a1bc0aaa78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C62696-312A-4FCD-A6CC-B3E286B8DC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a7d724-0401-4ab7-9335-0a1bc0aaa782"/>
    <ds:schemaRef ds:uri="c82afbfa-e8c4-476e-897d-8f89ba7ec2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717331-080E-4DB7-BD3C-634BD75F583C}">
  <ds:schemaRefs>
    <ds:schemaRef ds:uri="http://schemas.microsoft.com/office/2006/metadata/properties"/>
    <ds:schemaRef ds:uri="http://schemas.microsoft.com/office/infopath/2007/PartnerControls"/>
    <ds:schemaRef ds:uri="c82afbfa-e8c4-476e-897d-8f89ba7ec2d5"/>
    <ds:schemaRef ds:uri="cea7d724-0401-4ab7-9335-0a1bc0aaa782"/>
  </ds:schemaRefs>
</ds:datastoreItem>
</file>

<file path=customXml/itemProps3.xml><?xml version="1.0" encoding="utf-8"?>
<ds:datastoreItem xmlns:ds="http://schemas.openxmlformats.org/officeDocument/2006/customXml" ds:itemID="{FC7EE32A-7DA1-4F05-84CC-202A6F7B22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Resumen</vt:lpstr>
      <vt:lpstr>Dashboard</vt:lpstr>
      <vt:lpstr>General</vt:lpstr>
      <vt:lpstr>Ventas Dptos</vt:lpstr>
      <vt:lpstr>Vnt Est - dpsto</vt:lpstr>
      <vt:lpstr>Comparativo_Por Mes</vt:lpstr>
      <vt:lpstr>Historial Venta Prada </vt:lpstr>
      <vt:lpstr>Historial Venta Beyond</vt:lpstr>
      <vt:lpstr>Historial Venta Venecia</vt:lpstr>
      <vt:lpstr>'Historial Venta Beyond'!Área_de_impresión</vt:lpstr>
      <vt:lpstr>'Historial Venta Venecia'!Área_de_impresión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Magaly Guevara</dc:creator>
  <cp:keywords/>
  <dc:description/>
  <cp:lastModifiedBy>Eduardo Huamani</cp:lastModifiedBy>
  <cp:revision/>
  <dcterms:created xsi:type="dcterms:W3CDTF">2024-08-31T16:33:39Z</dcterms:created>
  <dcterms:modified xsi:type="dcterms:W3CDTF">2026-04-15T21:29:01Z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0x0101007B0A9D50705E924EA02D565C3097A2A8</vt:lpwstr>
  </property>
  <property fmtid="{D5CDD505-2E9C-101B-9397-08002B2CF9AE}" pid="3" name="MediaServiceImageTags">
    <vt:lpwstr/>
  </property>
</Properties>
</file>