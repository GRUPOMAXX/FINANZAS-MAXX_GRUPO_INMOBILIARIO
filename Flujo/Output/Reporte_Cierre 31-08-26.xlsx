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uamani\FINANZAS-MAXX_GRUPO_INMOBILIARIO\Flujo\Output\"/>
    </mc:Choice>
  </mc:AlternateContent>
  <xr:revisionPtr revIDLastSave="0" documentId="13_ncr:1_{1DA6B016-CF1A-4EDE-8BC0-CD26DB067A5C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Base_Cobranzas" sheetId="1" r:id="rId1"/>
    <sheet name="Prada" sheetId="2" r:id="rId2"/>
    <sheet name="Beyond" sheetId="3" r:id="rId3"/>
    <sheet name="Venecia" sheetId="4" r:id="rId4"/>
    <sheet name="Reporte_General" sheetId="5" r:id="rId5"/>
    <sheet name="Reporte_Cliente" sheetId="6" r:id="rId6"/>
    <sheet name="Reporte_Proyecto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7" l="1"/>
  <c r="I7" i="7"/>
  <c r="I6" i="7"/>
  <c r="I5" i="7"/>
  <c r="H60" i="4"/>
  <c r="G60" i="4"/>
  <c r="F60" i="4"/>
  <c r="E60" i="4"/>
  <c r="D60" i="4"/>
  <c r="C60" i="4"/>
  <c r="H59" i="4"/>
  <c r="G59" i="4"/>
  <c r="F59" i="4"/>
  <c r="E59" i="4"/>
  <c r="D59" i="4"/>
  <c r="C59" i="4"/>
  <c r="H58" i="4"/>
  <c r="H61" i="4" s="1"/>
  <c r="G58" i="4"/>
  <c r="F58" i="4"/>
  <c r="F61" i="4" s="1"/>
  <c r="E58" i="4"/>
  <c r="E61" i="4" s="1"/>
  <c r="D58" i="4"/>
  <c r="D61" i="4" s="1"/>
  <c r="C58" i="4"/>
  <c r="C61" i="4" s="1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R46" i="4"/>
  <c r="R49" i="4" s="1"/>
  <c r="Q46" i="4"/>
  <c r="P46" i="4"/>
  <c r="P49" i="4" s="1"/>
  <c r="O46" i="4"/>
  <c r="O49" i="4" s="1"/>
  <c r="N46" i="4"/>
  <c r="N49" i="4" s="1"/>
  <c r="M46" i="4"/>
  <c r="L46" i="4"/>
  <c r="K46" i="4"/>
  <c r="J46" i="4"/>
  <c r="I46" i="4"/>
  <c r="H46" i="4"/>
  <c r="G46" i="4"/>
  <c r="F46" i="4"/>
  <c r="F49" i="4" s="1"/>
  <c r="E46" i="4"/>
  <c r="D46" i="4"/>
  <c r="D49" i="4" s="1"/>
  <c r="C46" i="4"/>
  <c r="C49" i="4" s="1"/>
  <c r="K36" i="4"/>
  <c r="J36" i="4"/>
  <c r="I36" i="4"/>
  <c r="H36" i="4"/>
  <c r="G36" i="4"/>
  <c r="F36" i="4"/>
  <c r="E36" i="4"/>
  <c r="D36" i="4"/>
  <c r="C36" i="4"/>
  <c r="K35" i="4"/>
  <c r="J35" i="4"/>
  <c r="I35" i="4"/>
  <c r="H35" i="4"/>
  <c r="G35" i="4"/>
  <c r="F35" i="4"/>
  <c r="E35" i="4"/>
  <c r="D35" i="4"/>
  <c r="C35" i="4"/>
  <c r="K34" i="4"/>
  <c r="J34" i="4"/>
  <c r="I34" i="4"/>
  <c r="H34" i="4"/>
  <c r="G34" i="4"/>
  <c r="F34" i="4"/>
  <c r="F37" i="4" s="1"/>
  <c r="E34" i="4"/>
  <c r="E37" i="4" s="1"/>
  <c r="D34" i="4"/>
  <c r="C34" i="4"/>
  <c r="J19" i="4"/>
  <c r="I19" i="4"/>
  <c r="H19" i="4"/>
  <c r="G19" i="4"/>
  <c r="F19" i="4"/>
  <c r="J17" i="4"/>
  <c r="I17" i="4"/>
  <c r="H17" i="4"/>
  <c r="G17" i="4"/>
  <c r="F17" i="4"/>
  <c r="I15" i="4"/>
  <c r="J15" i="4" s="1"/>
  <c r="H15" i="4"/>
  <c r="G15" i="4"/>
  <c r="F15" i="4" s="1"/>
  <c r="I13" i="4"/>
  <c r="J13" i="4" s="1"/>
  <c r="H13" i="4"/>
  <c r="G13" i="4"/>
  <c r="F13" i="4" s="1"/>
  <c r="I12" i="4"/>
  <c r="J12" i="4" s="1"/>
  <c r="H12" i="4"/>
  <c r="H11" i="4" s="1"/>
  <c r="G12" i="4"/>
  <c r="F12" i="4" s="1"/>
  <c r="I11" i="4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T58" i="3"/>
  <c r="T61" i="3" s="1"/>
  <c r="S58" i="3"/>
  <c r="S61" i="3" s="1"/>
  <c r="R58" i="3"/>
  <c r="Q58" i="3"/>
  <c r="Q61" i="3" s="1"/>
  <c r="P58" i="3"/>
  <c r="O58" i="3"/>
  <c r="N58" i="3"/>
  <c r="M58" i="3"/>
  <c r="L58" i="3"/>
  <c r="L61" i="3" s="1"/>
  <c r="K58" i="3"/>
  <c r="K61" i="3" s="1"/>
  <c r="J58" i="3"/>
  <c r="J61" i="3" s="1"/>
  <c r="I58" i="3"/>
  <c r="I61" i="3" s="1"/>
  <c r="H58" i="3"/>
  <c r="H61" i="3" s="1"/>
  <c r="G58" i="3"/>
  <c r="G61" i="3" s="1"/>
  <c r="F58" i="3"/>
  <c r="E58" i="3"/>
  <c r="E61" i="3" s="1"/>
  <c r="D58" i="3"/>
  <c r="C5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Q46" i="3"/>
  <c r="Q49" i="3" s="1"/>
  <c r="P46" i="3"/>
  <c r="O46" i="3"/>
  <c r="N46" i="3"/>
  <c r="M46" i="3"/>
  <c r="L46" i="3"/>
  <c r="K46" i="3"/>
  <c r="J46" i="3"/>
  <c r="I46" i="3"/>
  <c r="I49" i="3" s="1"/>
  <c r="H46" i="3"/>
  <c r="H49" i="3" s="1"/>
  <c r="G46" i="3"/>
  <c r="G49" i="3" s="1"/>
  <c r="F46" i="3"/>
  <c r="F49" i="3" s="1"/>
  <c r="E46" i="3"/>
  <c r="E49" i="3" s="1"/>
  <c r="D46" i="3"/>
  <c r="C46" i="3"/>
  <c r="L36" i="3"/>
  <c r="K36" i="3"/>
  <c r="J36" i="3"/>
  <c r="I36" i="3"/>
  <c r="H36" i="3"/>
  <c r="G36" i="3"/>
  <c r="F36" i="3"/>
  <c r="E36" i="3"/>
  <c r="D36" i="3"/>
  <c r="C36" i="3"/>
  <c r="L35" i="3"/>
  <c r="K35" i="3"/>
  <c r="J35" i="3"/>
  <c r="I35" i="3"/>
  <c r="H35" i="3"/>
  <c r="G35" i="3"/>
  <c r="F35" i="3"/>
  <c r="E35" i="3"/>
  <c r="D35" i="3"/>
  <c r="C35" i="3"/>
  <c r="L34" i="3"/>
  <c r="L37" i="3" s="1"/>
  <c r="K34" i="3"/>
  <c r="J34" i="3"/>
  <c r="I34" i="3"/>
  <c r="H34" i="3"/>
  <c r="G34" i="3"/>
  <c r="F34" i="3"/>
  <c r="E34" i="3"/>
  <c r="D34" i="3"/>
  <c r="C34" i="3"/>
  <c r="J19" i="3"/>
  <c r="I19" i="3"/>
  <c r="H19" i="3"/>
  <c r="G19" i="3"/>
  <c r="F19" i="3"/>
  <c r="J17" i="3"/>
  <c r="I17" i="3"/>
  <c r="H17" i="3"/>
  <c r="G17" i="3"/>
  <c r="F17" i="3"/>
  <c r="I15" i="3"/>
  <c r="J15" i="3" s="1"/>
  <c r="H15" i="3"/>
  <c r="G15" i="3"/>
  <c r="F15" i="3" s="1"/>
  <c r="I13" i="3"/>
  <c r="J13" i="3" s="1"/>
  <c r="H13" i="3"/>
  <c r="G13" i="3"/>
  <c r="F13" i="3" s="1"/>
  <c r="I12" i="3"/>
  <c r="H12" i="3"/>
  <c r="G12" i="3"/>
  <c r="F12" i="3" s="1"/>
  <c r="N60" i="2"/>
  <c r="M60" i="2"/>
  <c r="L60" i="2"/>
  <c r="K60" i="2"/>
  <c r="J60" i="2"/>
  <c r="I60" i="2"/>
  <c r="H60" i="2"/>
  <c r="G60" i="2"/>
  <c r="F60" i="2"/>
  <c r="E60" i="2"/>
  <c r="D60" i="2"/>
  <c r="C60" i="2"/>
  <c r="N59" i="2"/>
  <c r="M59" i="2"/>
  <c r="L59" i="2"/>
  <c r="K59" i="2"/>
  <c r="J59" i="2"/>
  <c r="I59" i="2"/>
  <c r="H59" i="2"/>
  <c r="G59" i="2"/>
  <c r="F59" i="2"/>
  <c r="E59" i="2"/>
  <c r="D59" i="2"/>
  <c r="C59" i="2"/>
  <c r="N58" i="2"/>
  <c r="N61" i="2" s="1"/>
  <c r="M58" i="2"/>
  <c r="M61" i="2" s="1"/>
  <c r="L58" i="2"/>
  <c r="L61" i="2" s="1"/>
  <c r="K58" i="2"/>
  <c r="K61" i="2" s="1"/>
  <c r="J58" i="2"/>
  <c r="J61" i="2" s="1"/>
  <c r="I58" i="2"/>
  <c r="I61" i="2" s="1"/>
  <c r="H58" i="2"/>
  <c r="H61" i="2" s="1"/>
  <c r="G58" i="2"/>
  <c r="G61" i="2" s="1"/>
  <c r="F58" i="2"/>
  <c r="F61" i="2" s="1"/>
  <c r="E58" i="2"/>
  <c r="E61" i="2" s="1"/>
  <c r="D58" i="2"/>
  <c r="D61" i="2" s="1"/>
  <c r="C58" i="2"/>
  <c r="F48" i="2"/>
  <c r="E48" i="2"/>
  <c r="D48" i="2"/>
  <c r="C48" i="2"/>
  <c r="F47" i="2"/>
  <c r="E47" i="2"/>
  <c r="D47" i="2"/>
  <c r="C47" i="2"/>
  <c r="F46" i="2"/>
  <c r="E46" i="2"/>
  <c r="D46" i="2"/>
  <c r="C46" i="2"/>
  <c r="L36" i="2"/>
  <c r="K36" i="2"/>
  <c r="J36" i="2"/>
  <c r="I36" i="2"/>
  <c r="H36" i="2"/>
  <c r="G36" i="2"/>
  <c r="F36" i="2"/>
  <c r="E36" i="2"/>
  <c r="D36" i="2"/>
  <c r="C36" i="2"/>
  <c r="L35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J19" i="2"/>
  <c r="I19" i="2"/>
  <c r="H19" i="2"/>
  <c r="G19" i="2"/>
  <c r="F19" i="2"/>
  <c r="J17" i="2"/>
  <c r="I17" i="2"/>
  <c r="H17" i="2"/>
  <c r="G17" i="2"/>
  <c r="F17" i="2"/>
  <c r="I15" i="2"/>
  <c r="J15" i="2" s="1"/>
  <c r="H15" i="2"/>
  <c r="G15" i="2"/>
  <c r="F15" i="2" s="1"/>
  <c r="I13" i="2"/>
  <c r="J13" i="2" s="1"/>
  <c r="H13" i="2"/>
  <c r="G13" i="2"/>
  <c r="F13" i="2" s="1"/>
  <c r="I12" i="2"/>
  <c r="H12" i="2"/>
  <c r="G12" i="2"/>
  <c r="F12" i="2" s="1"/>
  <c r="G47" i="2" l="1"/>
  <c r="K37" i="2"/>
  <c r="E49" i="2"/>
  <c r="D37" i="4"/>
  <c r="L35" i="4"/>
  <c r="M49" i="4"/>
  <c r="D49" i="3"/>
  <c r="P49" i="3"/>
  <c r="R47" i="3"/>
  <c r="U59" i="3"/>
  <c r="I21" i="4"/>
  <c r="J21" i="4" s="1"/>
  <c r="D37" i="2"/>
  <c r="H21" i="4"/>
  <c r="I37" i="4"/>
  <c r="G49" i="4"/>
  <c r="D37" i="3"/>
  <c r="H49" i="4"/>
  <c r="E37" i="2"/>
  <c r="G37" i="2"/>
  <c r="N61" i="3"/>
  <c r="G37" i="3"/>
  <c r="M49" i="3"/>
  <c r="D61" i="3"/>
  <c r="P61" i="3"/>
  <c r="K49" i="4"/>
  <c r="J37" i="2"/>
  <c r="D49" i="2"/>
  <c r="N49" i="3"/>
  <c r="L49" i="4"/>
  <c r="J11" i="4"/>
  <c r="F37" i="2"/>
  <c r="M35" i="2"/>
  <c r="M36" i="2"/>
  <c r="G48" i="2"/>
  <c r="M34" i="3"/>
  <c r="I60" i="4"/>
  <c r="G37" i="4"/>
  <c r="H11" i="2"/>
  <c r="H21" i="2" s="1"/>
  <c r="H37" i="2"/>
  <c r="E37" i="3"/>
  <c r="M35" i="3"/>
  <c r="J49" i="3"/>
  <c r="M61" i="3"/>
  <c r="H37" i="4"/>
  <c r="E49" i="4"/>
  <c r="Q49" i="4"/>
  <c r="I11" i="2"/>
  <c r="I37" i="2"/>
  <c r="G46" i="2"/>
  <c r="F37" i="3"/>
  <c r="M36" i="3"/>
  <c r="K49" i="3"/>
  <c r="L36" i="4"/>
  <c r="O58" i="2"/>
  <c r="O59" i="2"/>
  <c r="O60" i="2"/>
  <c r="L49" i="3"/>
  <c r="R48" i="3"/>
  <c r="C61" i="3"/>
  <c r="C63" i="3" s="1"/>
  <c r="D63" i="3" s="1"/>
  <c r="E63" i="3" s="1"/>
  <c r="F63" i="3" s="1"/>
  <c r="G63" i="3" s="1"/>
  <c r="H63" i="3" s="1"/>
  <c r="I63" i="3" s="1"/>
  <c r="J63" i="3" s="1"/>
  <c r="K63" i="3" s="1"/>
  <c r="L63" i="3" s="1"/>
  <c r="M63" i="3" s="1"/>
  <c r="N63" i="3" s="1"/>
  <c r="O63" i="3" s="1"/>
  <c r="P63" i="3" s="1"/>
  <c r="Q63" i="3" s="1"/>
  <c r="R63" i="3" s="1"/>
  <c r="S63" i="3" s="1"/>
  <c r="T63" i="3" s="1"/>
  <c r="O61" i="3"/>
  <c r="U60" i="3"/>
  <c r="J37" i="4"/>
  <c r="S47" i="4"/>
  <c r="G61" i="4"/>
  <c r="I61" i="4" s="1"/>
  <c r="H37" i="3"/>
  <c r="K37" i="4"/>
  <c r="L37" i="2"/>
  <c r="F49" i="2"/>
  <c r="H11" i="3"/>
  <c r="H21" i="3" s="1"/>
  <c r="I37" i="3"/>
  <c r="I49" i="4"/>
  <c r="I59" i="4"/>
  <c r="I11" i="3"/>
  <c r="J11" i="3" s="1"/>
  <c r="J37" i="3"/>
  <c r="C49" i="3"/>
  <c r="C51" i="3" s="1"/>
  <c r="D51" i="3" s="1"/>
  <c r="E51" i="3" s="1"/>
  <c r="F51" i="3" s="1"/>
  <c r="G51" i="3" s="1"/>
  <c r="H51" i="3" s="1"/>
  <c r="I51" i="3" s="1"/>
  <c r="J51" i="3" s="1"/>
  <c r="K51" i="3" s="1"/>
  <c r="O49" i="3"/>
  <c r="F61" i="3"/>
  <c r="R61" i="3"/>
  <c r="J49" i="4"/>
  <c r="K37" i="3"/>
  <c r="S48" i="4"/>
  <c r="M34" i="2"/>
  <c r="L34" i="4"/>
  <c r="C51" i="4"/>
  <c r="D51" i="4" s="1"/>
  <c r="J11" i="2"/>
  <c r="I21" i="2"/>
  <c r="C63" i="4"/>
  <c r="D63" i="4" s="1"/>
  <c r="E63" i="4" s="1"/>
  <c r="F63" i="4" s="1"/>
  <c r="J12" i="2"/>
  <c r="C37" i="2"/>
  <c r="C37" i="4"/>
  <c r="S46" i="4"/>
  <c r="C49" i="2"/>
  <c r="J12" i="3"/>
  <c r="C37" i="3"/>
  <c r="U58" i="3"/>
  <c r="C61" i="2"/>
  <c r="R46" i="3"/>
  <c r="I58" i="4"/>
  <c r="G11" i="2"/>
  <c r="G11" i="3"/>
  <c r="G11" i="4"/>
  <c r="J61" i="4" l="1"/>
  <c r="S49" i="4"/>
  <c r="T49" i="4" s="1"/>
  <c r="U61" i="3"/>
  <c r="L51" i="3"/>
  <c r="M51" i="3" s="1"/>
  <c r="N51" i="3" s="1"/>
  <c r="O51" i="3" s="1"/>
  <c r="P51" i="3" s="1"/>
  <c r="Q51" i="3" s="1"/>
  <c r="E51" i="4"/>
  <c r="F51" i="4" s="1"/>
  <c r="G51" i="4" s="1"/>
  <c r="H51" i="4" s="1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I21" i="3"/>
  <c r="V61" i="3" s="1"/>
  <c r="R49" i="3"/>
  <c r="S49" i="3" s="1"/>
  <c r="G63" i="4"/>
  <c r="H63" i="4" s="1"/>
  <c r="C39" i="4"/>
  <c r="D39" i="4" s="1"/>
  <c r="E39" i="4" s="1"/>
  <c r="F39" i="4" s="1"/>
  <c r="G39" i="4" s="1"/>
  <c r="H39" i="4" s="1"/>
  <c r="I39" i="4" s="1"/>
  <c r="J39" i="4" s="1"/>
  <c r="K39" i="4" s="1"/>
  <c r="L37" i="4"/>
  <c r="F11" i="4"/>
  <c r="G21" i="4"/>
  <c r="F11" i="3"/>
  <c r="G21" i="3"/>
  <c r="M37" i="3"/>
  <c r="C39" i="3"/>
  <c r="D39" i="3" s="1"/>
  <c r="E39" i="3" s="1"/>
  <c r="F39" i="3" s="1"/>
  <c r="G39" i="3" s="1"/>
  <c r="H39" i="3" s="1"/>
  <c r="I39" i="3" s="1"/>
  <c r="J39" i="3" s="1"/>
  <c r="K39" i="3" s="1"/>
  <c r="L39" i="3" s="1"/>
  <c r="C51" i="2"/>
  <c r="D51" i="2" s="1"/>
  <c r="E51" i="2" s="1"/>
  <c r="F51" i="2" s="1"/>
  <c r="G49" i="2"/>
  <c r="H49" i="2" s="1"/>
  <c r="F11" i="2"/>
  <c r="G21" i="2"/>
  <c r="J21" i="2"/>
  <c r="M37" i="2"/>
  <c r="C39" i="2"/>
  <c r="D39" i="2" s="1"/>
  <c r="E39" i="2" s="1"/>
  <c r="F39" i="2" s="1"/>
  <c r="G39" i="2" s="1"/>
  <c r="H39" i="2" s="1"/>
  <c r="I39" i="2" s="1"/>
  <c r="J39" i="2" s="1"/>
  <c r="K39" i="2" s="1"/>
  <c r="L39" i="2" s="1"/>
  <c r="C63" i="2"/>
  <c r="D63" i="2" s="1"/>
  <c r="E63" i="2" s="1"/>
  <c r="F63" i="2" s="1"/>
  <c r="G63" i="2" s="1"/>
  <c r="H63" i="2" s="1"/>
  <c r="I63" i="2" s="1"/>
  <c r="J63" i="2" s="1"/>
  <c r="K63" i="2" s="1"/>
  <c r="L63" i="2" s="1"/>
  <c r="M63" i="2" s="1"/>
  <c r="N63" i="2" s="1"/>
  <c r="O61" i="2"/>
  <c r="P61" i="2" s="1"/>
  <c r="J21" i="3" l="1"/>
  <c r="A21" i="2"/>
  <c r="F21" i="2"/>
  <c r="N37" i="2"/>
  <c r="F21" i="3"/>
  <c r="A21" i="3"/>
  <c r="N37" i="3"/>
  <c r="M37" i="4"/>
  <c r="F21" i="4"/>
  <c r="A21" i="4"/>
</calcChain>
</file>

<file path=xl/sharedStrings.xml><?xml version="1.0" encoding="utf-8"?>
<sst xmlns="http://schemas.openxmlformats.org/spreadsheetml/2006/main" count="23232" uniqueCount="1947">
  <si>
    <t>REPORTE DE COBRANZAS</t>
  </si>
  <si>
    <t>Prada</t>
  </si>
  <si>
    <t>Vendido</t>
  </si>
  <si>
    <t>Cobranzas</t>
  </si>
  <si>
    <t>Monto</t>
  </si>
  <si>
    <t>Unidades</t>
  </si>
  <si>
    <t>Avance</t>
  </si>
  <si>
    <t>Cobrado</t>
  </si>
  <si>
    <t>Por Cobrar</t>
  </si>
  <si>
    <t>Vencido</t>
  </si>
  <si>
    <t>Tasa de Morosidad</t>
  </si>
  <si>
    <t>Clientes Morosos (unidades)</t>
  </si>
  <si>
    <t>Dias de Atraso (Promedio)</t>
  </si>
  <si>
    <t>Departamentos</t>
  </si>
  <si>
    <t>Departamento</t>
  </si>
  <si>
    <t>Departamento + Estacionamiento</t>
  </si>
  <si>
    <t>Estacionamientos</t>
  </si>
  <si>
    <t>Depositos</t>
  </si>
  <si>
    <t>Local Comercial</t>
  </si>
  <si>
    <t>Total</t>
  </si>
  <si>
    <t>COBRANZA REAL</t>
  </si>
  <si>
    <t>Tipo de Credito</t>
  </si>
  <si>
    <t>Crédito Directo</t>
  </si>
  <si>
    <t>Crédito Hipotecario</t>
  </si>
  <si>
    <t>Ahorro</t>
  </si>
  <si>
    <t>Acumulado</t>
  </si>
  <si>
    <t>COBRANZA PROYECTADA</t>
  </si>
  <si>
    <t>COBRANZA MOROSA</t>
  </si>
  <si>
    <t>Proyecto</t>
  </si>
  <si>
    <t>Etapa</t>
  </si>
  <si>
    <t>Tipo_Construccion_1</t>
  </si>
  <si>
    <t>Nombre_Tipo_Construccion_1</t>
  </si>
  <si>
    <t>TipoInmueble_1</t>
  </si>
  <si>
    <t>NroInmueble_1</t>
  </si>
  <si>
    <t>AreaTechada_1</t>
  </si>
  <si>
    <t>AreaLibre_1</t>
  </si>
  <si>
    <t>PrecioLista_1</t>
  </si>
  <si>
    <t>PrecioVenta_1</t>
  </si>
  <si>
    <t>Tipo_Construccion_2</t>
  </si>
  <si>
    <t>Nombre_Tipo_Construccion_2</t>
  </si>
  <si>
    <t>TipoInmueble_2</t>
  </si>
  <si>
    <t>NroInmueble_2</t>
  </si>
  <si>
    <t>AreaTechada_2</t>
  </si>
  <si>
    <t>AreaLibre_2</t>
  </si>
  <si>
    <t>PrecioLista_2</t>
  </si>
  <si>
    <t>PrecioVenta_2</t>
  </si>
  <si>
    <t>Tipo_Construccion_3</t>
  </si>
  <si>
    <t>Nombre_Tipo_Construccion_3</t>
  </si>
  <si>
    <t>TipoInmueble_3</t>
  </si>
  <si>
    <t>NroInmueble_3</t>
  </si>
  <si>
    <t>AreaTechada_3</t>
  </si>
  <si>
    <t>AreaLibre_3</t>
  </si>
  <si>
    <t>PrecioLista_3</t>
  </si>
  <si>
    <t>PrecioVenta_3</t>
  </si>
  <si>
    <t>Tipo_Construccion_4</t>
  </si>
  <si>
    <t>Nombre_Tipo_Construccion_4</t>
  </si>
  <si>
    <t>TipoInmueble_4</t>
  </si>
  <si>
    <t>NroInmueble_4</t>
  </si>
  <si>
    <t>AreaTechada_4</t>
  </si>
  <si>
    <t>AreaLibre_4</t>
  </si>
  <si>
    <t>PrecioLista_4</t>
  </si>
  <si>
    <t>PrecioVenta_4</t>
  </si>
  <si>
    <t>Nombres_Titular</t>
  </si>
  <si>
    <t>NroDocumento</t>
  </si>
  <si>
    <t>Direccion</t>
  </si>
  <si>
    <t>TelefonoCasa</t>
  </si>
  <si>
    <t>TelefonoCelular</t>
  </si>
  <si>
    <t>CorreoElectronico</t>
  </si>
  <si>
    <t>Provincia</t>
  </si>
  <si>
    <t>Distrito</t>
  </si>
  <si>
    <t>Fecha_Programada</t>
  </si>
  <si>
    <t>FechaPago</t>
  </si>
  <si>
    <t>Tipo_Cuota</t>
  </si>
  <si>
    <t>Nro_Cuota</t>
  </si>
  <si>
    <t>Capital</t>
  </si>
  <si>
    <t>Intereses</t>
  </si>
  <si>
    <t>GastosAdministrativos</t>
  </si>
  <si>
    <t>Monto_Cuota</t>
  </si>
  <si>
    <t>Monto_Cuota_Pagado</t>
  </si>
  <si>
    <t>SaldoPorPagarCuota</t>
  </si>
  <si>
    <t>MontoMora</t>
  </si>
  <si>
    <t>TipoFinanciamiento</t>
  </si>
  <si>
    <t>Entidad_Financiera</t>
  </si>
  <si>
    <t>Nro_Cuenta</t>
  </si>
  <si>
    <t>Medio_Pago</t>
  </si>
  <si>
    <t>Nro_Documento</t>
  </si>
  <si>
    <t>Nro_Operacion</t>
  </si>
  <si>
    <t>Verificado</t>
  </si>
  <si>
    <t>OrigenFondo</t>
  </si>
  <si>
    <t>TipoCambio</t>
  </si>
  <si>
    <t>Estado</t>
  </si>
  <si>
    <t>Estado_Letra</t>
  </si>
  <si>
    <t>Ubicación_Letra</t>
  </si>
  <si>
    <t>Casuistica_Cuota</t>
  </si>
  <si>
    <t>Accio_Cuota</t>
  </si>
  <si>
    <t>FechaPromesa</t>
  </si>
  <si>
    <t>ValorCompromiso</t>
  </si>
  <si>
    <t>Porcentaje</t>
  </si>
  <si>
    <t>Comentario_Cuota</t>
  </si>
  <si>
    <t>Fecha_Modificiacion_Seguimiento</t>
  </si>
  <si>
    <t>Usuario_Modificiacion_Seguimiento</t>
  </si>
  <si>
    <t>Doc_Adjunto</t>
  </si>
  <si>
    <t>FechaOperacionComercial</t>
  </si>
  <si>
    <t>Asesor_Comercial</t>
  </si>
  <si>
    <t>Asesor_Banco</t>
  </si>
  <si>
    <t>Correlativo</t>
  </si>
  <si>
    <t>Fecha_Registro_Pago_Cargado</t>
  </si>
  <si>
    <t>ComisionPago</t>
  </si>
  <si>
    <t>IdCotizacion</t>
  </si>
  <si>
    <t>Doc_Contable</t>
  </si>
  <si>
    <t>Monto_EstadoCuenta</t>
  </si>
  <si>
    <t>Archivo_Origen</t>
  </si>
  <si>
    <t>Anio_Descarga</t>
  </si>
  <si>
    <t>Fecha_Inicio_Reporte</t>
  </si>
  <si>
    <t>Fecha_Fin_Reporte</t>
  </si>
  <si>
    <t>RESIDENCIAL PRADA</t>
  </si>
  <si>
    <t>Etapa 1</t>
  </si>
  <si>
    <t>Edificio</t>
  </si>
  <si>
    <t>A</t>
  </si>
  <si>
    <t>103</t>
  </si>
  <si>
    <t>Ayleen Katia Messarina Rios</t>
  </si>
  <si>
    <t>70512701</t>
  </si>
  <si>
    <t>Departamento 101 Urbanización Santa Rosa de Surco etapa 2 Mz D Lt 23</t>
  </si>
  <si>
    <t>978722675</t>
  </si>
  <si>
    <t>ayleen30mr@gmail.com</t>
  </si>
  <si>
    <t>LIMA</t>
  </si>
  <si>
    <t>SANTIAGO DE SURCO</t>
  </si>
  <si>
    <t>SEPARACION</t>
  </si>
  <si>
    <t>Scotiabank Perú</t>
  </si>
  <si>
    <t>000-2768484</t>
  </si>
  <si>
    <t>TRANSFERENCIA BANCARIA</t>
  </si>
  <si>
    <t>01871075</t>
  </si>
  <si>
    <t>No</t>
  </si>
  <si>
    <t>CANCELADO</t>
  </si>
  <si>
    <t>Si</t>
  </si>
  <si>
    <t>Kenny Salazar S</t>
  </si>
  <si>
    <t>26/06/2026 17:22</t>
  </si>
  <si>
    <t>Cobranzas_2024.csv</t>
  </si>
  <si>
    <t>01/01/2024</t>
  </si>
  <si>
    <t>31/08/2031</t>
  </si>
  <si>
    <t>Estacionamiento</t>
  </si>
  <si>
    <t>E 14 - D 11</t>
  </si>
  <si>
    <t>000001100000012</t>
  </si>
  <si>
    <t>Magaly Guevara Perez</t>
  </si>
  <si>
    <t>28/06/2026 21:22</t>
  </si>
  <si>
    <t>CUOTA INICIAL</t>
  </si>
  <si>
    <t>302</t>
  </si>
  <si>
    <t>Cristhiam Ortiz Angeles</t>
  </si>
  <si>
    <t>45110882</t>
  </si>
  <si>
    <t>Av. Olavegoya 1879 departamento 301</t>
  </si>
  <si>
    <t>992532732</t>
  </si>
  <si>
    <t>Cristhian4520@gmail.com</t>
  </si>
  <si>
    <t>JESUS MARIA</t>
  </si>
  <si>
    <t>01226077</t>
  </si>
  <si>
    <t>NO PRECISA</t>
  </si>
  <si>
    <t>02/06/2026 15:34</t>
  </si>
  <si>
    <t>CHEQUE DE GERENCIA</t>
  </si>
  <si>
    <t>162515191002194000000022290</t>
  </si>
  <si>
    <t>04/06/2026 14:01</t>
  </si>
  <si>
    <t>U26966</t>
  </si>
  <si>
    <t>07/07/2026 08:47</t>
  </si>
  <si>
    <t>U27618</t>
  </si>
  <si>
    <t>07/07/2026 08:52</t>
  </si>
  <si>
    <t>U28731</t>
  </si>
  <si>
    <t>07/07/2026 08:56</t>
  </si>
  <si>
    <t>RESIDENCIAL BEYOND</t>
  </si>
  <si>
    <t>505</t>
  </si>
  <si>
    <t>E 05</t>
  </si>
  <si>
    <t>Depósito</t>
  </si>
  <si>
    <t>D 05</t>
  </si>
  <si>
    <t>Dante Enrique Segura Florian</t>
  </si>
  <si>
    <t xml:space="preserve">45587286		</t>
  </si>
  <si>
    <t xml:space="preserve">1845 San Andres Dr Pitsburg CA 94565 - San Francisco </t>
  </si>
  <si>
    <t>+15103330517</t>
  </si>
  <si>
    <t xml:space="preserve">d.segura@uaa.edu		</t>
  </si>
  <si>
    <t>Banco de Credito del Perú</t>
  </si>
  <si>
    <t>194-7325779-0-65</t>
  </si>
  <si>
    <t>7844655595634</t>
  </si>
  <si>
    <t>Carla Michue M</t>
  </si>
  <si>
    <t>25/05/2026 17:28</t>
  </si>
  <si>
    <t>703</t>
  </si>
  <si>
    <t>E 06 - D 04</t>
  </si>
  <si>
    <t>David Edgar Valencia Cordova</t>
  </si>
  <si>
    <t>41844906</t>
  </si>
  <si>
    <t>P. Joven Año Nuevo Jr. Montero Rosas 860</t>
  </si>
  <si>
    <t>991846561</t>
  </si>
  <si>
    <t>davico29@gmail.com</t>
  </si>
  <si>
    <t>COMAS</t>
  </si>
  <si>
    <t>00000082000000000</t>
  </si>
  <si>
    <t>02/06/2026 18:05</t>
  </si>
  <si>
    <t>205</t>
  </si>
  <si>
    <t>Elizabeth Rocio Urbina Ñañez</t>
  </si>
  <si>
    <t>71404863</t>
  </si>
  <si>
    <t>Av. Arequipa 2651</t>
  </si>
  <si>
    <t>943921218</t>
  </si>
  <si>
    <t>elizabethurbina9624@gmail.com</t>
  </si>
  <si>
    <t>LINCE</t>
  </si>
  <si>
    <t>FD893378</t>
  </si>
  <si>
    <t>29/06/2026 21:44</t>
  </si>
  <si>
    <t>101</t>
  </si>
  <si>
    <t>Elmo Calatayud Chumbes</t>
  </si>
  <si>
    <t>15580131</t>
  </si>
  <si>
    <t>Avenida Tomas Valles 1530 Block 14 departamento 204</t>
  </si>
  <si>
    <t>955600933</t>
  </si>
  <si>
    <t>ec.calatayud@gmail.com</t>
  </si>
  <si>
    <t>LOS OLIVOS</t>
  </si>
  <si>
    <t>04797111</t>
  </si>
  <si>
    <t>26/06/2026 14:52</t>
  </si>
  <si>
    <t>78446555266223</t>
  </si>
  <si>
    <t>26/06/2026 14:53</t>
  </si>
  <si>
    <t>7844655544194</t>
  </si>
  <si>
    <t>7844655610530</t>
  </si>
  <si>
    <t>26/06/2026 14:55</t>
  </si>
  <si>
    <t>7844655610860</t>
  </si>
  <si>
    <t>26/06/2026 14:56</t>
  </si>
  <si>
    <t>203</t>
  </si>
  <si>
    <t>E 12 - D 09</t>
  </si>
  <si>
    <t>Gilberto Videla Flores</t>
  </si>
  <si>
    <t>06571347</t>
  </si>
  <si>
    <t>Mz D Lt 7 Urb. La Estrella</t>
  </si>
  <si>
    <t>969742622</t>
  </si>
  <si>
    <t>gvidelaf@gmail.com</t>
  </si>
  <si>
    <t>POS VISA</t>
  </si>
  <si>
    <t>0059</t>
  </si>
  <si>
    <t>29/05/2026 12:21</t>
  </si>
  <si>
    <t>0953413</t>
  </si>
  <si>
    <t>30/06/2026 16:33</t>
  </si>
  <si>
    <t>SALDO FINANCIAR</t>
  </si>
  <si>
    <t>0036913</t>
  </si>
  <si>
    <t>30/06/2026 16:48</t>
  </si>
  <si>
    <t>104</t>
  </si>
  <si>
    <t>E 26 - D 20</t>
  </si>
  <si>
    <t>Gilda Victoria Sampi González</t>
  </si>
  <si>
    <t>43636501</t>
  </si>
  <si>
    <t>Av. Brasil 863 departamento 702-A</t>
  </si>
  <si>
    <t xml:space="preserve">966422784		</t>
  </si>
  <si>
    <t>victoria.sampi@gmail.com</t>
  </si>
  <si>
    <t>00998929</t>
  </si>
  <si>
    <t>02/06/2026 14:50</t>
  </si>
  <si>
    <t>009107870</t>
  </si>
  <si>
    <t>04/06/2026 09:52</t>
  </si>
  <si>
    <t>605</t>
  </si>
  <si>
    <t>E 07 - D 05</t>
  </si>
  <si>
    <t>Jose Humberto Pehovaz Diez</t>
  </si>
  <si>
    <t>49073756</t>
  </si>
  <si>
    <t>-</t>
  </si>
  <si>
    <t>952256518</t>
  </si>
  <si>
    <t>josehp99@gmail.com</t>
  </si>
  <si>
    <t>MAGDALENA DEL MAR</t>
  </si>
  <si>
    <t>7844655534521</t>
  </si>
  <si>
    <t>201</t>
  </si>
  <si>
    <t>Joseluis Gaspar Zapata Flores</t>
  </si>
  <si>
    <t>46730672</t>
  </si>
  <si>
    <t>Jr. Los Clavles 141 P. J  El Progreso 1er Sector</t>
  </si>
  <si>
    <t>948041027</t>
  </si>
  <si>
    <t>jlzapata91@gmail.com</t>
  </si>
  <si>
    <t>CARABAYLLO</t>
  </si>
  <si>
    <t>03343387</t>
  </si>
  <si>
    <t>29/06/2026 01:05</t>
  </si>
  <si>
    <t>7844655656315</t>
  </si>
  <si>
    <t>29/06/2026 01:06</t>
  </si>
  <si>
    <t>u26563</t>
  </si>
  <si>
    <t>29/06/2026 01:07</t>
  </si>
  <si>
    <t>7844655541508</t>
  </si>
  <si>
    <t>29/06/2026 01:08</t>
  </si>
  <si>
    <t>501</t>
  </si>
  <si>
    <t>Juan Carlos Ángeles Milla</t>
  </si>
  <si>
    <t>32403305</t>
  </si>
  <si>
    <t>Av. Miraflores 218</t>
  </si>
  <si>
    <t>942097700</t>
  </si>
  <si>
    <t>Vidang72@hotmail.com</t>
  </si>
  <si>
    <t>HUAYLAS</t>
  </si>
  <si>
    <t>02431073</t>
  </si>
  <si>
    <t>0500010059</t>
  </si>
  <si>
    <t>403</t>
  </si>
  <si>
    <t>Liliana Lucila Luciano Claros</t>
  </si>
  <si>
    <t>15764694</t>
  </si>
  <si>
    <t xml:space="preserve">MZ M5 – Lt. 7 urb. Paseo del Mar </t>
  </si>
  <si>
    <t>982406857</t>
  </si>
  <si>
    <t>liliana31_micaela@hotmail.com</t>
  </si>
  <si>
    <t>SANTA</t>
  </si>
  <si>
    <t>NUEVO CHIMBOTE</t>
  </si>
  <si>
    <t>EFECTIVO</t>
  </si>
  <si>
    <t>0500010056</t>
  </si>
  <si>
    <t>29/05/2026 12:20</t>
  </si>
  <si>
    <t>12007725</t>
  </si>
  <si>
    <t>07/07/2026 09:30</t>
  </si>
  <si>
    <t>DEPOSITO EN CUENTA</t>
  </si>
  <si>
    <t>05000010069</t>
  </si>
  <si>
    <t>07032025</t>
  </si>
  <si>
    <t>07/07/2026 09:31</t>
  </si>
  <si>
    <t>603</t>
  </si>
  <si>
    <t>Luis Alberto Ovalle Huamanguilla</t>
  </si>
  <si>
    <t>43953371</t>
  </si>
  <si>
    <t>JR. NAPO NRO. 821</t>
  </si>
  <si>
    <t>992764943</t>
  </si>
  <si>
    <t>aovalle2212@gmail.com</t>
  </si>
  <si>
    <t>BREÑA</t>
  </si>
  <si>
    <t>901866</t>
  </si>
  <si>
    <t>07/07/2026 10:58</t>
  </si>
  <si>
    <t>06056215</t>
  </si>
  <si>
    <t>07/07/2026 11:03</t>
  </si>
  <si>
    <t>U26926</t>
  </si>
  <si>
    <t>07/07/2026 11:04</t>
  </si>
  <si>
    <t>202</t>
  </si>
  <si>
    <t>María Cristina Collazos Romero</t>
  </si>
  <si>
    <t>31676885</t>
  </si>
  <si>
    <t>Jr. Huandoy 242</t>
  </si>
  <si>
    <t>969870030</t>
  </si>
  <si>
    <t>gerenciasnacks1@gmail.com</t>
  </si>
  <si>
    <t>HUARAZ</t>
  </si>
  <si>
    <t>0500010101</t>
  </si>
  <si>
    <t>02/06/2026 15:10</t>
  </si>
  <si>
    <t xml:space="preserve">Marina Francisca Vasquez Samaniego </t>
  </si>
  <si>
    <t>19907001</t>
  </si>
  <si>
    <t>Huandoy 887</t>
  </si>
  <si>
    <t>964247615</t>
  </si>
  <si>
    <t>francisca4547@hotmail.com</t>
  </si>
  <si>
    <t>SAN MIGUEL</t>
  </si>
  <si>
    <t>00951165</t>
  </si>
  <si>
    <t>02/06/2026 17:25</t>
  </si>
  <si>
    <t>6204304</t>
  </si>
  <si>
    <t>07/07/2026 10:35</t>
  </si>
  <si>
    <t>701</t>
  </si>
  <si>
    <t>Richard Humberto Lima Garcia</t>
  </si>
  <si>
    <t>10606793</t>
  </si>
  <si>
    <t>Mz E2 lote 10 Urb Coovitiomar - Ancón</t>
  </si>
  <si>
    <t>940170759</t>
  </si>
  <si>
    <t>richard_13_312@hotmail.com</t>
  </si>
  <si>
    <t>SANTA ROSA</t>
  </si>
  <si>
    <t>01525977</t>
  </si>
  <si>
    <t>0144739</t>
  </si>
  <si>
    <t>14/07/2026 09:05</t>
  </si>
  <si>
    <t>02209753</t>
  </si>
  <si>
    <t>705</t>
  </si>
  <si>
    <t>Sthefany Carolina Rodriguez Huamán</t>
  </si>
  <si>
    <t>70270427</t>
  </si>
  <si>
    <t>989492681</t>
  </si>
  <si>
    <t>sthefany.rodriguez2207@gmail.com</t>
  </si>
  <si>
    <t>CERCADO DE LIMA</t>
  </si>
  <si>
    <t>7844655610334</t>
  </si>
  <si>
    <t>0500010021</t>
  </si>
  <si>
    <t>Tania Milagros Cotrina Vara</t>
  </si>
  <si>
    <t>10140034</t>
  </si>
  <si>
    <t>Av. Arnaldo Marquez 1526 Dpto. 26</t>
  </si>
  <si>
    <t>941461159</t>
  </si>
  <si>
    <t>tamicov@hotmail.com</t>
  </si>
  <si>
    <t>594693007</t>
  </si>
  <si>
    <t>01/05/2026 11:00</t>
  </si>
  <si>
    <t>1306</t>
  </si>
  <si>
    <t>Alejandra Leslye Solorio Peña</t>
  </si>
  <si>
    <t>75021688</t>
  </si>
  <si>
    <t>Jr. Santiago Wagner 2264</t>
  </si>
  <si>
    <t>984934286</t>
  </si>
  <si>
    <t>aleslye3@gamil.com</t>
  </si>
  <si>
    <t>017776200</t>
  </si>
  <si>
    <t>23/05/2026 19:16</t>
  </si>
  <si>
    <t>Cobranzas_2025.csv</t>
  </si>
  <si>
    <t>0833282</t>
  </si>
  <si>
    <t>23/05/2026 19:22</t>
  </si>
  <si>
    <t>301</t>
  </si>
  <si>
    <t>Alejandro Jose Navarrete Maldonado</t>
  </si>
  <si>
    <t>46304395</t>
  </si>
  <si>
    <t xml:space="preserve">Calle Jose Mariano Arce 139 – Dpto. 202 </t>
  </si>
  <si>
    <t>956466496</t>
  </si>
  <si>
    <t>anavarrete@nmabogados.com.pe</t>
  </si>
  <si>
    <t>PUEBLO LIBRE</t>
  </si>
  <si>
    <t>2715</t>
  </si>
  <si>
    <t>8240169</t>
  </si>
  <si>
    <t>03/07/2026 10:54</t>
  </si>
  <si>
    <t>006190692</t>
  </si>
  <si>
    <t>03/07/2026 10:56</t>
  </si>
  <si>
    <t>1141936</t>
  </si>
  <si>
    <t>03/07/2026 11:00</t>
  </si>
  <si>
    <t>02708000009</t>
  </si>
  <si>
    <t>03/07/2026 11:02</t>
  </si>
  <si>
    <t>E 23 - D 17</t>
  </si>
  <si>
    <t>2636117</t>
  </si>
  <si>
    <t>14/07/2026 10:02</t>
  </si>
  <si>
    <t>009555099</t>
  </si>
  <si>
    <t>03/07/2026 11:16</t>
  </si>
  <si>
    <t>059881</t>
  </si>
  <si>
    <t>03/07/2026 11:18</t>
  </si>
  <si>
    <t>504</t>
  </si>
  <si>
    <t>Alvaro Geanfranco Mendoza Jump</t>
  </si>
  <si>
    <t>72112648</t>
  </si>
  <si>
    <t>Urb. San Francisco Mz. B Lt. 11 Departamento de Huanuco, Provincia de Huanuco, Dsitrito Amarilis</t>
  </si>
  <si>
    <t>938217737</t>
  </si>
  <si>
    <t>alvaromej17@gmail.com</t>
  </si>
  <si>
    <t>HUANUCO</t>
  </si>
  <si>
    <t>AMARILIS</t>
  </si>
  <si>
    <t>00673199</t>
  </si>
  <si>
    <t>02/06/2026 17:13</t>
  </si>
  <si>
    <t>02785402</t>
  </si>
  <si>
    <t>23/06/2026 15:59</t>
  </si>
  <si>
    <t>1104</t>
  </si>
  <si>
    <t>Ana Fabiola Alvarez Elias</t>
  </si>
  <si>
    <t>06789211</t>
  </si>
  <si>
    <t>Jr. Caraveli 968 Interior 103</t>
  </si>
  <si>
    <t>986642025</t>
  </si>
  <si>
    <t>anafabiola1@hotmail.com</t>
  </si>
  <si>
    <t>31010</t>
  </si>
  <si>
    <t>281328</t>
  </si>
  <si>
    <t>7502425</t>
  </si>
  <si>
    <t>23022025</t>
  </si>
  <si>
    <t>07/07/2026 14:22</t>
  </si>
  <si>
    <t>30032025</t>
  </si>
  <si>
    <t>07/07/2026 14:23</t>
  </si>
  <si>
    <t>E 15</t>
  </si>
  <si>
    <t>005993292</t>
  </si>
  <si>
    <t>18/08/2026 11:26</t>
  </si>
  <si>
    <t>0005993292</t>
  </si>
  <si>
    <t>18/08/2026 11:27</t>
  </si>
  <si>
    <t>009170000000276848424</t>
  </si>
  <si>
    <t>18/08/2026 11:28</t>
  </si>
  <si>
    <t>00917000000276848424</t>
  </si>
  <si>
    <t>00000031360000003138</t>
  </si>
  <si>
    <t>18/08/2026 11:29</t>
  </si>
  <si>
    <t>0000320400003206</t>
  </si>
  <si>
    <t>18/08/2026 11:30</t>
  </si>
  <si>
    <t>0000326400003266</t>
  </si>
  <si>
    <t>00003352000003354</t>
  </si>
  <si>
    <t>18/08/2026 11:31</t>
  </si>
  <si>
    <t>00917000000407141928</t>
  </si>
  <si>
    <t>7844655577681</t>
  </si>
  <si>
    <t>18/08/2026 11:38</t>
  </si>
  <si>
    <t>RESIDENCIAL VENECIA</t>
  </si>
  <si>
    <t>704</t>
  </si>
  <si>
    <t>ANAMELVA JULIETA AQUISE TIZNADO</t>
  </si>
  <si>
    <t>40917666</t>
  </si>
  <si>
    <t>Urb. Aziruni Ciudad Jardin Mz. G2 Lt 04</t>
  </si>
  <si>
    <t>987249596</t>
  </si>
  <si>
    <t>anamelvaaquise@gmail.com</t>
  </si>
  <si>
    <t>PUNO</t>
  </si>
  <si>
    <t>0004071419</t>
  </si>
  <si>
    <t>5516474</t>
  </si>
  <si>
    <t>24/05/2026 21:14</t>
  </si>
  <si>
    <t>5531532</t>
  </si>
  <si>
    <t>24/05/2026 21:16</t>
  </si>
  <si>
    <t>1003</t>
  </si>
  <si>
    <t>E 11 - D 08</t>
  </si>
  <si>
    <t>ANDEAN AYNI TRAVEL AGENCIA DE VIAJES Y TRANSPORTE EIRL</t>
  </si>
  <si>
    <t>20610697403</t>
  </si>
  <si>
    <t>JR. DANTE NAVA NRO. 310 BAR. NUEVA UNVERSIDAD</t>
  </si>
  <si>
    <t>951923088</t>
  </si>
  <si>
    <t>operacionesjudith@gmail.com</t>
  </si>
  <si>
    <t>06083805</t>
  </si>
  <si>
    <t>09/06/2026 09:42</t>
  </si>
  <si>
    <t>0349568</t>
  </si>
  <si>
    <t>09/06/2026 09:45</t>
  </si>
  <si>
    <t>0780435</t>
  </si>
  <si>
    <t>09/06/2026 09:47</t>
  </si>
  <si>
    <t>00157</t>
  </si>
  <si>
    <t>26/06/2026 17:23</t>
  </si>
  <si>
    <t>2612024</t>
  </si>
  <si>
    <t>26/06/2026 17:25</t>
  </si>
  <si>
    <t>01459586</t>
  </si>
  <si>
    <t>28/06/2026 21:23</t>
  </si>
  <si>
    <t>03388134</t>
  </si>
  <si>
    <t>28/06/2026 21:24</t>
  </si>
  <si>
    <t>03577668</t>
  </si>
  <si>
    <t>28/06/2026 21:25</t>
  </si>
  <si>
    <t>04294427</t>
  </si>
  <si>
    <t>28/06/2026 21:26</t>
  </si>
  <si>
    <t>05185364</t>
  </si>
  <si>
    <t>28/06/2026 21:30</t>
  </si>
  <si>
    <t>00510042</t>
  </si>
  <si>
    <t>28/06/2026 21:31</t>
  </si>
  <si>
    <t>02106124</t>
  </si>
  <si>
    <t>00374413</t>
  </si>
  <si>
    <t>28/06/2026 21:32</t>
  </si>
  <si>
    <t>01802980</t>
  </si>
  <si>
    <t>28/06/2026 21:33</t>
  </si>
  <si>
    <t>204</t>
  </si>
  <si>
    <t>E 14 - D 4</t>
  </si>
  <si>
    <t>Carlos La Cruz Crespo</t>
  </si>
  <si>
    <t>09022488</t>
  </si>
  <si>
    <t>comas</t>
  </si>
  <si>
    <t>997009340</t>
  </si>
  <si>
    <t>carlos.14lacruz@gmail.com</t>
  </si>
  <si>
    <t>473500004737</t>
  </si>
  <si>
    <t>18/08/2026 13:41</t>
  </si>
  <si>
    <t>474400004746</t>
  </si>
  <si>
    <t>601</t>
  </si>
  <si>
    <t>E 28 - D 22</t>
  </si>
  <si>
    <t>Chistopher Omar Peña Camargo</t>
  </si>
  <si>
    <t>44062837</t>
  </si>
  <si>
    <t>Av. San Felipe 351</t>
  </si>
  <si>
    <t>964328569</t>
  </si>
  <si>
    <t>ciruvision@gmail.com</t>
  </si>
  <si>
    <t>00002220000000002222</t>
  </si>
  <si>
    <t>03/07/2026 14:39</t>
  </si>
  <si>
    <t>006128332</t>
  </si>
  <si>
    <t>EB01-137</t>
  </si>
  <si>
    <t>14/08/2026 11:43</t>
  </si>
  <si>
    <t>EB01-76</t>
  </si>
  <si>
    <t>07/07/2026 08:58</t>
  </si>
  <si>
    <t>902</t>
  </si>
  <si>
    <t>E 43</t>
  </si>
  <si>
    <t>Daniel Alejandro Aguayo Vera</t>
  </si>
  <si>
    <t>76121899</t>
  </si>
  <si>
    <t>Calle los Rosales 743 Lima- Chaclacayo.</t>
  </si>
  <si>
    <t>943151339</t>
  </si>
  <si>
    <t>daniel_aguayo25@hotmail.com</t>
  </si>
  <si>
    <t>SAN ISIDRO</t>
  </si>
  <si>
    <t>05149943</t>
  </si>
  <si>
    <t>03/06/2026 09:48</t>
  </si>
  <si>
    <t>0797612</t>
  </si>
  <si>
    <t>05/06/2026 13:42</t>
  </si>
  <si>
    <t>Danixa Thalia Manosalva Ameri</t>
  </si>
  <si>
    <t>48569476</t>
  </si>
  <si>
    <t>Jr. Huáscar 1825 dpto.101</t>
  </si>
  <si>
    <t>992382005</t>
  </si>
  <si>
    <t>danixamanosalva94@gmail.com</t>
  </si>
  <si>
    <t>04998185</t>
  </si>
  <si>
    <t>01/05/2026 11:35</t>
  </si>
  <si>
    <t>04077899</t>
  </si>
  <si>
    <t>12/08/2026 17:43</t>
  </si>
  <si>
    <t>04571213</t>
  </si>
  <si>
    <t>12/08/2026 17:46</t>
  </si>
  <si>
    <t>04576779</t>
  </si>
  <si>
    <t>1001</t>
  </si>
  <si>
    <t>Danny Romel Ore Guerreros</t>
  </si>
  <si>
    <t>47474967</t>
  </si>
  <si>
    <t>Psj. Ollantay 7 Barrio Vista Alegre</t>
  </si>
  <si>
    <t>966327809</t>
  </si>
  <si>
    <t>romelore67@gmail.com</t>
  </si>
  <si>
    <t>HUAMANGA</t>
  </si>
  <si>
    <t>CARMEN ALTO</t>
  </si>
  <si>
    <t>01135502</t>
  </si>
  <si>
    <t>03/06/2026 15:03</t>
  </si>
  <si>
    <t>202508169074890301303</t>
  </si>
  <si>
    <t>05/06/2026 14:08</t>
  </si>
  <si>
    <t>0650070207</t>
  </si>
  <si>
    <t>VENCIDO - PARC. CANCELADO</t>
  </si>
  <si>
    <t>24/08/2026 14:30</t>
  </si>
  <si>
    <t>0989600306</t>
  </si>
  <si>
    <t>24/08/2026 14:32</t>
  </si>
  <si>
    <t>0989600574</t>
  </si>
  <si>
    <t>24/08/2026 14:34</t>
  </si>
  <si>
    <t>0989600451</t>
  </si>
  <si>
    <t>24/08/2026 14:35</t>
  </si>
  <si>
    <t>0989600596</t>
  </si>
  <si>
    <t>24/08/2026 14:37</t>
  </si>
  <si>
    <t>0989600340</t>
  </si>
  <si>
    <t>24/08/2026 14:39</t>
  </si>
  <si>
    <t>0989600435</t>
  </si>
  <si>
    <t>24/08/2026 14:40</t>
  </si>
  <si>
    <t>0989600349</t>
  </si>
  <si>
    <t>24/08/2026 14:42</t>
  </si>
  <si>
    <t>VENCIDO</t>
  </si>
  <si>
    <t>09599714</t>
  </si>
  <si>
    <t>05/06/2026 10:49</t>
  </si>
  <si>
    <t>2026083000000000028370</t>
  </si>
  <si>
    <t>05/06/2026 10:52</t>
  </si>
  <si>
    <t>50325</t>
  </si>
  <si>
    <t>05/06/2026 10:54</t>
  </si>
  <si>
    <t>503253</t>
  </si>
  <si>
    <t>05/06/2026 10:58</t>
  </si>
  <si>
    <t>05/06/2026 11:01</t>
  </si>
  <si>
    <t>05/06/2026 11:03</t>
  </si>
  <si>
    <t>U26325</t>
  </si>
  <si>
    <t>07/07/2026 11:48</t>
  </si>
  <si>
    <t>U27621</t>
  </si>
  <si>
    <t>07/07/2026 11:49</t>
  </si>
  <si>
    <t>503251</t>
  </si>
  <si>
    <t>05/06/2026 11:05</t>
  </si>
  <si>
    <t>0500010053</t>
  </si>
  <si>
    <t>05/06/2026 11:09</t>
  </si>
  <si>
    <t>05/06/2026 11:11</t>
  </si>
  <si>
    <t>05/06/2026 11:14</t>
  </si>
  <si>
    <t>801</t>
  </si>
  <si>
    <t>Denisse Estela Linares Suarez</t>
  </si>
  <si>
    <t>44457800</t>
  </si>
  <si>
    <t>Jr. Zorritos 1399 – Block 37 Dpto. 201 - Cercado Lima</t>
  </si>
  <si>
    <t>991810339</t>
  </si>
  <si>
    <t>dlinaressuarez@gmail.com</t>
  </si>
  <si>
    <t>00002657000000000</t>
  </si>
  <si>
    <t>03/06/2026 08:53</t>
  </si>
  <si>
    <t>6300922660</t>
  </si>
  <si>
    <t>05/06/2026 12:05</t>
  </si>
  <si>
    <t>05/06/2026 12:10</t>
  </si>
  <si>
    <t>7844655528281</t>
  </si>
  <si>
    <t>07/07/2026 12:17</t>
  </si>
  <si>
    <t>E 17</t>
  </si>
  <si>
    <t>Dolores Lissett Castillo Diaz</t>
  </si>
  <si>
    <t>43780263</t>
  </si>
  <si>
    <t xml:space="preserve"> Sargento Lores 950      </t>
  </si>
  <si>
    <t>920487874</t>
  </si>
  <si>
    <t>licady2486@gmail.com</t>
  </si>
  <si>
    <t>MAYNAS</t>
  </si>
  <si>
    <t>IQUITOS</t>
  </si>
  <si>
    <t>3623</t>
  </si>
  <si>
    <t>02/05/2026 12:21</t>
  </si>
  <si>
    <t>102</t>
  </si>
  <si>
    <t>Edwin Modigliani Efrai Suclla Flores</t>
  </si>
  <si>
    <t>08062531</t>
  </si>
  <si>
    <t xml:space="preserve">Jr. Monitor Huascar Norte N° 551 Urb. Ventura Rossi  </t>
  </si>
  <si>
    <t>997463109</t>
  </si>
  <si>
    <t>efrainchbxpar@gmail.com</t>
  </si>
  <si>
    <t>RIMAC</t>
  </si>
  <si>
    <t>00005340000000000</t>
  </si>
  <si>
    <t>02/06/2026 12:17</t>
  </si>
  <si>
    <t>0500010063</t>
  </si>
  <si>
    <t>04/06/2026 09:23</t>
  </si>
  <si>
    <t>005713000</t>
  </si>
  <si>
    <t>04/06/2026 09:26</t>
  </si>
  <si>
    <t>0500010044</t>
  </si>
  <si>
    <t>04/06/2026 09:28</t>
  </si>
  <si>
    <t>00754405</t>
  </si>
  <si>
    <t>04/06/2026 09:31</t>
  </si>
  <si>
    <t>0270800002</t>
  </si>
  <si>
    <t>04/06/2026 09:36</t>
  </si>
  <si>
    <t>E 10 - D 07</t>
  </si>
  <si>
    <t>02873076</t>
  </si>
  <si>
    <t>26/06/2026 16:44</t>
  </si>
  <si>
    <t>26/06/2026 16:52</t>
  </si>
  <si>
    <t>u27404</t>
  </si>
  <si>
    <t>26/06/2026 16:53</t>
  </si>
  <si>
    <t>u20084</t>
  </si>
  <si>
    <t>26/06/2026 16:57</t>
  </si>
  <si>
    <t>7844655560605</t>
  </si>
  <si>
    <t>26/06/2026 16:59</t>
  </si>
  <si>
    <t>26/06/2026 17:01</t>
  </si>
  <si>
    <t>7844655569590</t>
  </si>
  <si>
    <t>26/06/2026 17:03</t>
  </si>
  <si>
    <t>7844655548889</t>
  </si>
  <si>
    <t>7848619</t>
  </si>
  <si>
    <t>14/07/2026 08:11</t>
  </si>
  <si>
    <t>07/07/2026 08:37</t>
  </si>
  <si>
    <t>E 08</t>
  </si>
  <si>
    <t>3662503</t>
  </si>
  <si>
    <t>03/07/2026 10:22</t>
  </si>
  <si>
    <t>6821104</t>
  </si>
  <si>
    <t>03/07/2026 10:25</t>
  </si>
  <si>
    <t>26/06/2026 14:57</t>
  </si>
  <si>
    <t>E 13 - D 10</t>
  </si>
  <si>
    <t>7844655526730</t>
  </si>
  <si>
    <t>26/06/2026 15:26</t>
  </si>
  <si>
    <t>7844655573192</t>
  </si>
  <si>
    <t>26/06/2026 15:29</t>
  </si>
  <si>
    <t>E 06</t>
  </si>
  <si>
    <t>Erla Liseth Carhuavilca Pérez</t>
  </si>
  <si>
    <t>40642153</t>
  </si>
  <si>
    <t>Av. Bolivia 848 Dpto. 504</t>
  </si>
  <si>
    <t>999200216</t>
  </si>
  <si>
    <t>grecialiseth26@gmail.com</t>
  </si>
  <si>
    <t>7844651999205</t>
  </si>
  <si>
    <t>01/05/2026 17:44</t>
  </si>
  <si>
    <t>784 465 192 8952</t>
  </si>
  <si>
    <t>27/07/2026 17:02</t>
  </si>
  <si>
    <t>404</t>
  </si>
  <si>
    <t>Evelyn Arciela Leon Estela</t>
  </si>
  <si>
    <t>70313948</t>
  </si>
  <si>
    <t xml:space="preserve">Segunda Etapa.Mz 41 Lt. 35 -Urb. Torre Blanca </t>
  </si>
  <si>
    <t>980746975</t>
  </si>
  <si>
    <t>eale.050791@gmail.com</t>
  </si>
  <si>
    <t>05327974</t>
  </si>
  <si>
    <t>24/05/2026 19:12</t>
  </si>
  <si>
    <t>0285192</t>
  </si>
  <si>
    <t>24/05/2026 19:16</t>
  </si>
  <si>
    <t>E 04</t>
  </si>
  <si>
    <t>572287</t>
  </si>
  <si>
    <t>21/08/2026 11:32</t>
  </si>
  <si>
    <t>21/08/2026 11:33</t>
  </si>
  <si>
    <t>U100022</t>
  </si>
  <si>
    <t>02/07/2026 16:06</t>
  </si>
  <si>
    <t>U27036</t>
  </si>
  <si>
    <t>02/07/2026 16:07</t>
  </si>
  <si>
    <t>U28777</t>
  </si>
  <si>
    <t>E 14 - D 12</t>
  </si>
  <si>
    <t>Francesca Giuliana Ramos Ortiz</t>
  </si>
  <si>
    <t>29412010</t>
  </si>
  <si>
    <t>Jr. Cotabambas 306</t>
  </si>
  <si>
    <t>996655477</t>
  </si>
  <si>
    <t>cheskagro@gmail.com</t>
  </si>
  <si>
    <t>02596461</t>
  </si>
  <si>
    <t>01/05/2026 18:27</t>
  </si>
  <si>
    <t>0861507</t>
  </si>
  <si>
    <t>13/08/2026 14:51</t>
  </si>
  <si>
    <t>802</t>
  </si>
  <si>
    <t xml:space="preserve">Gersom Juver Gonzalez Alfaro </t>
  </si>
  <si>
    <t>42539680</t>
  </si>
  <si>
    <t>Jr. Grl. Zegarra 854 Dpto. 21 P. 4</t>
  </si>
  <si>
    <t>958600003</t>
  </si>
  <si>
    <t>gersonalfaro@gmail.com</t>
  </si>
  <si>
    <t>00002392000000000</t>
  </si>
  <si>
    <t>03/06/2026 09:06</t>
  </si>
  <si>
    <t>00002419000000000</t>
  </si>
  <si>
    <t>05/06/2026 12:18</t>
  </si>
  <si>
    <t>05/06/2026 12:20</t>
  </si>
  <si>
    <t>00003077000000000</t>
  </si>
  <si>
    <t>05/06/2026 12:27</t>
  </si>
  <si>
    <t>05032026</t>
  </si>
  <si>
    <t>07/07/2026 12:27</t>
  </si>
  <si>
    <t>E 25 - D 19</t>
  </si>
  <si>
    <t>Gersom Juver Gonzalez Alfaro</t>
  </si>
  <si>
    <t>gersomalfaro@gmail.com</t>
  </si>
  <si>
    <t>00002539000000000</t>
  </si>
  <si>
    <t>23/08/2026 13:29</t>
  </si>
  <si>
    <t>02908619</t>
  </si>
  <si>
    <t>30/06/2026 16:50</t>
  </si>
  <si>
    <t>00616715</t>
  </si>
  <si>
    <t>30/06/2026 16:54</t>
  </si>
  <si>
    <t>02719890</t>
  </si>
  <si>
    <t>30/06/2026 17:00</t>
  </si>
  <si>
    <t>07/07/2026 08:32</t>
  </si>
  <si>
    <t>304</t>
  </si>
  <si>
    <t>E 28 - D 15</t>
  </si>
  <si>
    <t>Giovani Chumioque Garcia</t>
  </si>
  <si>
    <t>46074285</t>
  </si>
  <si>
    <t xml:space="preserve">JR.CANGALLO Nº185 </t>
  </si>
  <si>
    <t>970793151</t>
  </si>
  <si>
    <t>giojoy@hotmail.com</t>
  </si>
  <si>
    <t>852856</t>
  </si>
  <si>
    <t>24/05/2026 16:37</t>
  </si>
  <si>
    <t>u27329</t>
  </si>
  <si>
    <t>24/05/2026 16:39</t>
  </si>
  <si>
    <t>u28740</t>
  </si>
  <si>
    <t>24/05/2026 16:40</t>
  </si>
  <si>
    <t>401</t>
  </si>
  <si>
    <t>Gladys Marta Moreano Bellido</t>
  </si>
  <si>
    <t>23951642</t>
  </si>
  <si>
    <t>General Sta. Cruz 416 interior 311</t>
  </si>
  <si>
    <t>944421327</t>
  </si>
  <si>
    <t>cuscoya@gmail.com</t>
  </si>
  <si>
    <t>00005585000000000</t>
  </si>
  <si>
    <t>02/06/2026 15:57</t>
  </si>
  <si>
    <t>004626773</t>
  </si>
  <si>
    <t>03/07/2026 11:38</t>
  </si>
  <si>
    <t>007089743</t>
  </si>
  <si>
    <t>03/07/2026 11:50</t>
  </si>
  <si>
    <t>009331226</t>
  </si>
  <si>
    <t>03/07/2026 11:54</t>
  </si>
  <si>
    <t>01291941</t>
  </si>
  <si>
    <t>03/07/2026 11:55</t>
  </si>
  <si>
    <t>01346005</t>
  </si>
  <si>
    <t>03/07/2026 11:57</t>
  </si>
  <si>
    <t>E 16</t>
  </si>
  <si>
    <t>11072025</t>
  </si>
  <si>
    <t>03/07/2026 12:08</t>
  </si>
  <si>
    <t>15072025</t>
  </si>
  <si>
    <t>03/07/2026 12:18</t>
  </si>
  <si>
    <t>805</t>
  </si>
  <si>
    <t>E 18</t>
  </si>
  <si>
    <t>Harry Anderson Yance Ruiz</t>
  </si>
  <si>
    <t>10582963</t>
  </si>
  <si>
    <t xml:space="preserve">Calle Las Pajillas 2329 - Urb. Mangomarca </t>
  </si>
  <si>
    <t>948519070</t>
  </si>
  <si>
    <t>harry_yance@hotmail.com</t>
  </si>
  <si>
    <t>SAN JUAN DE LURIGANCHO</t>
  </si>
  <si>
    <t>01808405</t>
  </si>
  <si>
    <t>23/05/2026 22:39</t>
  </si>
  <si>
    <t>Jhoully Kattherine Moreno Saavedra</t>
  </si>
  <si>
    <t>73600966</t>
  </si>
  <si>
    <t>Emilio de la Barrera 264</t>
  </si>
  <si>
    <t>934027061</t>
  </si>
  <si>
    <t>jhoullym@gmail.com</t>
  </si>
  <si>
    <t>SAN MARTIN DE PORRES</t>
  </si>
  <si>
    <t>04205706</t>
  </si>
  <si>
    <t>01/05/2026 10:13</t>
  </si>
  <si>
    <t>03263249</t>
  </si>
  <si>
    <t>18/05/2026 04:33</t>
  </si>
  <si>
    <t>Jimmy Luis Andrade Morveli</t>
  </si>
  <si>
    <t>40071918</t>
  </si>
  <si>
    <t>Av. Brasil 1836 Edif Bh South Dpto. 409</t>
  </si>
  <si>
    <t>924430158</t>
  </si>
  <si>
    <t>Jimmyandrademorveli@gmail.com</t>
  </si>
  <si>
    <t>02080794</t>
  </si>
  <si>
    <t>16/07/2026 14:29</t>
  </si>
  <si>
    <t>Jose Edgardo Camacho Cespedes</t>
  </si>
  <si>
    <t>16631860</t>
  </si>
  <si>
    <t>Jr. Huamachuco 1961Urb.Fundo Oyague</t>
  </si>
  <si>
    <t>985758164</t>
  </si>
  <si>
    <t>edgardocc1ro@gmail.com</t>
  </si>
  <si>
    <t>55556001</t>
  </si>
  <si>
    <t>24/05/2026 20:03</t>
  </si>
  <si>
    <t>u22607</t>
  </si>
  <si>
    <t>07/07/2026 16:31</t>
  </si>
  <si>
    <t>31032025</t>
  </si>
  <si>
    <t>29/06/2026 01:09</t>
  </si>
  <si>
    <t>E 30</t>
  </si>
  <si>
    <t>7844655528664</t>
  </si>
  <si>
    <t>29/06/2026 20:32</t>
  </si>
  <si>
    <t>7844655537844</t>
  </si>
  <si>
    <t>29/06/2026 20:47</t>
  </si>
  <si>
    <t>7844655573323</t>
  </si>
  <si>
    <t>29/06/2026 20:50</t>
  </si>
  <si>
    <t>028925</t>
  </si>
  <si>
    <t>11122025</t>
  </si>
  <si>
    <t>07/07/2026 09:35</t>
  </si>
  <si>
    <t>Juana Mercedes Moran Peralta</t>
  </si>
  <si>
    <t>03495726</t>
  </si>
  <si>
    <t>Jr. Ignacio Álvarez Thomas 1573 - Dpto. 302</t>
  </si>
  <si>
    <t>978122557</t>
  </si>
  <si>
    <t>Juanamoran2371@gmail.com</t>
  </si>
  <si>
    <t>03861109</t>
  </si>
  <si>
    <t>01/05/2026 18:02</t>
  </si>
  <si>
    <t>903</t>
  </si>
  <si>
    <t>Karina Cabanillas Correa</t>
  </si>
  <si>
    <t>40065933</t>
  </si>
  <si>
    <t xml:space="preserve">Jr. Huiracocha 1639 Dpto. 1503 </t>
  </si>
  <si>
    <t>970096822</t>
  </si>
  <si>
    <t>karicab13@gmail.com</t>
  </si>
  <si>
    <t>234305</t>
  </si>
  <si>
    <t>06/07/2026 08:19</t>
  </si>
  <si>
    <t>U27813</t>
  </si>
  <si>
    <t>06/07/2026 08:21</t>
  </si>
  <si>
    <t>U27102</t>
  </si>
  <si>
    <t>06/07/2026 08:23</t>
  </si>
  <si>
    <t>300320025</t>
  </si>
  <si>
    <t>06/07/2026 08:27</t>
  </si>
  <si>
    <t>E 09 - D 06</t>
  </si>
  <si>
    <t>0000064220000000</t>
  </si>
  <si>
    <t>07/07/2026 16:46</t>
  </si>
  <si>
    <t>00000642200000</t>
  </si>
  <si>
    <t>07/07/2026 16:48</t>
  </si>
  <si>
    <t>03332995</t>
  </si>
  <si>
    <t>000064980000000</t>
  </si>
  <si>
    <t>07/07/2026 16:49</t>
  </si>
  <si>
    <t>000006520000000</t>
  </si>
  <si>
    <t>07/07/2026 16:50</t>
  </si>
  <si>
    <t>6558</t>
  </si>
  <si>
    <t>07/07/2026 16:51</t>
  </si>
  <si>
    <t>5546205</t>
  </si>
  <si>
    <t>07/07/2026 16:52</t>
  </si>
  <si>
    <t>0000006617000000</t>
  </si>
  <si>
    <t>12/08/2026 12:08</t>
  </si>
  <si>
    <t>303</t>
  </si>
  <si>
    <t>Leidy Lucero Espíritu Zabarburu</t>
  </si>
  <si>
    <t>76936857</t>
  </si>
  <si>
    <t>Av. José Arnaldo Márquez Nº 1655 – Dpto.403</t>
  </si>
  <si>
    <t>966435253</t>
  </si>
  <si>
    <t>lespiritu@zgroup.com.pe</t>
  </si>
  <si>
    <t>04037482</t>
  </si>
  <si>
    <t>01/05/2026 16:29</t>
  </si>
  <si>
    <t>Leidy Pilar Espinoza Mariño</t>
  </si>
  <si>
    <t>46546054</t>
  </si>
  <si>
    <t>LAS AZUCENAS LT-34 MZ-F- HUMAYA</t>
  </si>
  <si>
    <t>945411554</t>
  </si>
  <si>
    <t>leidyespinoza30@gmail.com</t>
  </si>
  <si>
    <t>HUAURA</t>
  </si>
  <si>
    <t>5545523</t>
  </si>
  <si>
    <t>24/05/2026 16:09</t>
  </si>
  <si>
    <t>5569260</t>
  </si>
  <si>
    <t>24/05/2026 16:13</t>
  </si>
  <si>
    <t>07/07/2026 11:06</t>
  </si>
  <si>
    <t>E 37 - D 28</t>
  </si>
  <si>
    <t>7844655522346</t>
  </si>
  <si>
    <t>07/07/2026 11:19</t>
  </si>
  <si>
    <t>Luis Alberto Vargas Chacaltana</t>
  </si>
  <si>
    <t>09389936</t>
  </si>
  <si>
    <t>Los Tilos 388 – 392</t>
  </si>
  <si>
    <t>946890596</t>
  </si>
  <si>
    <t>nicolle1095@gmail.com</t>
  </si>
  <si>
    <t>0000254400000</t>
  </si>
  <si>
    <t>01/05/2026 17:20</t>
  </si>
  <si>
    <t>Luis Miguel Montero Monteza</t>
  </si>
  <si>
    <t>45611107</t>
  </si>
  <si>
    <t>calle los rosales 128</t>
  </si>
  <si>
    <t>970277190</t>
  </si>
  <si>
    <t>monter25@hotmail.com</t>
  </si>
  <si>
    <t>JAEN</t>
  </si>
  <si>
    <t>7844655520829</t>
  </si>
  <si>
    <t>12/05/2026 10:16</t>
  </si>
  <si>
    <t>U26790</t>
  </si>
  <si>
    <t>24/05/2026 14:46</t>
  </si>
  <si>
    <t>Marco Antonio Cordova Oropeza</t>
  </si>
  <si>
    <t>22079563</t>
  </si>
  <si>
    <t>Av.Cayetano Heredia 435 Int.1 Urb Fundo Oyague</t>
  </si>
  <si>
    <t>1513-257-6062</t>
  </si>
  <si>
    <t>maancoor@gmail.com</t>
  </si>
  <si>
    <t>03836154</t>
  </si>
  <si>
    <t>AHORROS PERSONALES</t>
  </si>
  <si>
    <t>01/05/2026 09:27</t>
  </si>
  <si>
    <t>803</t>
  </si>
  <si>
    <t>E 32 - D 24</t>
  </si>
  <si>
    <t>E 33 - D 25</t>
  </si>
  <si>
    <t>02822017</t>
  </si>
  <si>
    <t>03/07/2026 17:34</t>
  </si>
  <si>
    <t>0713083</t>
  </si>
  <si>
    <t>03/07/2026 17:03</t>
  </si>
  <si>
    <t>04169503</t>
  </si>
  <si>
    <t>03/07/2026 17:35</t>
  </si>
  <si>
    <t>02244690</t>
  </si>
  <si>
    <t>03/07/2026 17:36</t>
  </si>
  <si>
    <t>0210772</t>
  </si>
  <si>
    <t>03/07/2026 17:38</t>
  </si>
  <si>
    <t>E 02</t>
  </si>
  <si>
    <t>Margarita Mercedes Lujan Paredes</t>
  </si>
  <si>
    <t>06772294</t>
  </si>
  <si>
    <t>Jr. Aguarico 1412 Dpto. 202</t>
  </si>
  <si>
    <t>949196249</t>
  </si>
  <si>
    <t>maggilujan@hotmail.com</t>
  </si>
  <si>
    <t>002-19400732577906596</t>
  </si>
  <si>
    <t>000074240000000000</t>
  </si>
  <si>
    <t>19/08/2026 15:08</t>
  </si>
  <si>
    <t>00007516000000000</t>
  </si>
  <si>
    <t>19/08/2026 15:18</t>
  </si>
  <si>
    <t>Margarita Mercedes Lujas Paredes</t>
  </si>
  <si>
    <t>00007175000000000</t>
  </si>
  <si>
    <t>01/05/2026 09:58</t>
  </si>
  <si>
    <t>00007344000000000</t>
  </si>
  <si>
    <t>18/05/2026 04:17</t>
  </si>
  <si>
    <t>U100030</t>
  </si>
  <si>
    <t>29/06/2026 21:11</t>
  </si>
  <si>
    <t>30102025</t>
  </si>
  <si>
    <t>29/06/2026 21:12</t>
  </si>
  <si>
    <t>1002</t>
  </si>
  <si>
    <t>Maria de los Angeles Ibañez Mogrovejo</t>
  </si>
  <si>
    <t>72190258</t>
  </si>
  <si>
    <t xml:space="preserve">Coop.Colegio de Abogados Mz.ELT.1 </t>
  </si>
  <si>
    <t>982570759</t>
  </si>
  <si>
    <t>maria.benezmogrovejo@gmail.com</t>
  </si>
  <si>
    <t>AREQUIPA</t>
  </si>
  <si>
    <t>YANAHUARA</t>
  </si>
  <si>
    <t>2335911</t>
  </si>
  <si>
    <t>0241196</t>
  </si>
  <si>
    <t>03/07/2026 19:10</t>
  </si>
  <si>
    <t>30062026</t>
  </si>
  <si>
    <t>03/07/2026 19:12</t>
  </si>
  <si>
    <t>E 20</t>
  </si>
  <si>
    <t>Mariela Gabriela Zapata Santivañez</t>
  </si>
  <si>
    <t>47172559</t>
  </si>
  <si>
    <t>Calle Manuel de Falla 233 - 237 Dpto. 102</t>
  </si>
  <si>
    <t>998346460</t>
  </si>
  <si>
    <t>g.zapata.santivanez@gmail.com</t>
  </si>
  <si>
    <t>SAN BORJA</t>
  </si>
  <si>
    <t>007246</t>
  </si>
  <si>
    <t>14/07/2026 16:48</t>
  </si>
  <si>
    <t>15623468</t>
  </si>
  <si>
    <t>05/06/2026 09:11</t>
  </si>
  <si>
    <t>050003001</t>
  </si>
  <si>
    <t>05/06/2026 09:08</t>
  </si>
  <si>
    <t>20032025</t>
  </si>
  <si>
    <t>07/07/2026 10:36</t>
  </si>
  <si>
    <t>Mayra Andrea Montenegro Gomez</t>
  </si>
  <si>
    <t>73214647</t>
  </si>
  <si>
    <t>Jr. Huiracocha 1740 Dpto. 202 Edif Maldonado</t>
  </si>
  <si>
    <t>987505094</t>
  </si>
  <si>
    <t>maya.monte18@hotmail.com</t>
  </si>
  <si>
    <t>02111811</t>
  </si>
  <si>
    <t>19/08/2026 12:06</t>
  </si>
  <si>
    <t>1005</t>
  </si>
  <si>
    <t>Noelia Abarca Chavez</t>
  </si>
  <si>
    <t>74834392</t>
  </si>
  <si>
    <t xml:space="preserve"> Juan  Dávalos 570 Piso Nº2  Urbanización Pamplona Baj</t>
  </si>
  <si>
    <t>977162821</t>
  </si>
  <si>
    <t>noeliaabarca@outlook.com</t>
  </si>
  <si>
    <t>SAN JUAN DE MIRAFLORES</t>
  </si>
  <si>
    <t>1859313</t>
  </si>
  <si>
    <t>24/05/2026 22:02</t>
  </si>
  <si>
    <t>E 11</t>
  </si>
  <si>
    <t>Norma Luz Tello Contreras</t>
  </si>
  <si>
    <t>04063971</t>
  </si>
  <si>
    <t>Av. Militar 1745 - Dpto. 1202</t>
  </si>
  <si>
    <t>952305311</t>
  </si>
  <si>
    <t>normatello@gmail.com</t>
  </si>
  <si>
    <t>LA VICTORIA</t>
  </si>
  <si>
    <t>U26267</t>
  </si>
  <si>
    <t>21/07/2026 14:18</t>
  </si>
  <si>
    <t>U28740</t>
  </si>
  <si>
    <t>21/07/2026 14:21</t>
  </si>
  <si>
    <t>261843</t>
  </si>
  <si>
    <t>21/07/2026 14:19</t>
  </si>
  <si>
    <t>0439131</t>
  </si>
  <si>
    <t>19/08/2026 08:34</t>
  </si>
  <si>
    <t>0500010134</t>
  </si>
  <si>
    <t>04/06/2026 09:05</t>
  </si>
  <si>
    <t>0500010144</t>
  </si>
  <si>
    <t>04/06/2026 09:17</t>
  </si>
  <si>
    <t>U100169</t>
  </si>
  <si>
    <t>19/08/2026 08:36</t>
  </si>
  <si>
    <t>19/08/2026 08:42</t>
  </si>
  <si>
    <t>604</t>
  </si>
  <si>
    <t>D 06</t>
  </si>
  <si>
    <t>D 07</t>
  </si>
  <si>
    <t>PABLO JAIME CORNEJO PEREDA</t>
  </si>
  <si>
    <t>07763504</t>
  </si>
  <si>
    <t>Lima - Lima - San Miguel - Jr. Simon Bolivar 105 Dpto 1201</t>
  </si>
  <si>
    <t>998912031</t>
  </si>
  <si>
    <t>pablocornejo@yahoo.com</t>
  </si>
  <si>
    <t>435048</t>
  </si>
  <si>
    <t>29/05/2026 02:48</t>
  </si>
  <si>
    <t>004422892</t>
  </si>
  <si>
    <t>0748099</t>
  </si>
  <si>
    <t>0737014</t>
  </si>
  <si>
    <t>0825269</t>
  </si>
  <si>
    <t>0828384</t>
  </si>
  <si>
    <t>0831202</t>
  </si>
  <si>
    <t>0836496</t>
  </si>
  <si>
    <t>0836780</t>
  </si>
  <si>
    <t>0837109</t>
  </si>
  <si>
    <t>503</t>
  </si>
  <si>
    <t>PATROCINIO HUAMANI CUEVAS</t>
  </si>
  <si>
    <t>28965506</t>
  </si>
  <si>
    <t>AV. SALAVERRY N°2080 DPTO. 304</t>
  </si>
  <si>
    <t>991730000</t>
  </si>
  <si>
    <t>oftalmconsulta@gmail.com</t>
  </si>
  <si>
    <t>00016000000018</t>
  </si>
  <si>
    <t>006905091</t>
  </si>
  <si>
    <t>07/07/2026 09:46</t>
  </si>
  <si>
    <t>006913096</t>
  </si>
  <si>
    <t>405</t>
  </si>
  <si>
    <t>E 29 - D 14</t>
  </si>
  <si>
    <t>Petronila Tisnado Meneses</t>
  </si>
  <si>
    <t>01207150</t>
  </si>
  <si>
    <t>Jr. Jose de La Mar Nº 460 Barrio San Josè</t>
  </si>
  <si>
    <t>989735959</t>
  </si>
  <si>
    <t>lupequis60@hotmail.com</t>
  </si>
  <si>
    <t>00921160</t>
  </si>
  <si>
    <t>24/05/2026 19:37</t>
  </si>
  <si>
    <t>01202614</t>
  </si>
  <si>
    <t>000031195011094090000001705</t>
  </si>
  <si>
    <t>04/06/2026 08:45</t>
  </si>
  <si>
    <t>U28921</t>
  </si>
  <si>
    <t>08/06/2026 11:42</t>
  </si>
  <si>
    <t>U26974</t>
  </si>
  <si>
    <t>08/06/2026 11:44</t>
  </si>
  <si>
    <t>07/07/2026 11:34</t>
  </si>
  <si>
    <t>602</t>
  </si>
  <si>
    <t>E 24 - D 5</t>
  </si>
  <si>
    <t>Rocio Chuquimango Valencia</t>
  </si>
  <si>
    <t>26707781</t>
  </si>
  <si>
    <t xml:space="preserve">AV.ATAHUALPA 337.INT 2 </t>
  </si>
  <si>
    <t>976685767</t>
  </si>
  <si>
    <t>rocio-0511@hotmail.com</t>
  </si>
  <si>
    <t>CAJAMARCA</t>
  </si>
  <si>
    <t>5529054</t>
  </si>
  <si>
    <t>24/05/2026 20:38</t>
  </si>
  <si>
    <t>29082025</t>
  </si>
  <si>
    <t>24/05/2026 20:40</t>
  </si>
  <si>
    <t>5521148</t>
  </si>
  <si>
    <t>E 07</t>
  </si>
  <si>
    <t>Ronald José Claudio Ramírez</t>
  </si>
  <si>
    <t>41129584</t>
  </si>
  <si>
    <t>Av. Nicolas Allyon 7550 torre 2 dpto. 302</t>
  </si>
  <si>
    <t>991470542</t>
  </si>
  <si>
    <t>ronald.claudio@gmail.com</t>
  </si>
  <si>
    <t>ATE</t>
  </si>
  <si>
    <t>04546190</t>
  </si>
  <si>
    <t>01/05/2026 19:05</t>
  </si>
  <si>
    <t>0500010135</t>
  </si>
  <si>
    <t>0500010060</t>
  </si>
  <si>
    <t>0270800001</t>
  </si>
  <si>
    <t>14/07/2026 09:19</t>
  </si>
  <si>
    <t>Sussan Yassmine Rubin Domínguez</t>
  </si>
  <si>
    <t>46963168</t>
  </si>
  <si>
    <t xml:space="preserve">URB LOS PORTALES MZ E LT 21 </t>
  </si>
  <si>
    <t>962099777</t>
  </si>
  <si>
    <t>yassmine.rubin12@gmail.com</t>
  </si>
  <si>
    <t>000000025900000000260</t>
  </si>
  <si>
    <t>07/07/2026 15:13</t>
  </si>
  <si>
    <t>006211911</t>
  </si>
  <si>
    <t>07/07/2026 15:15</t>
  </si>
  <si>
    <t>AHORRO CASA</t>
  </si>
  <si>
    <t>Tania Jackeline Valladares Timana</t>
  </si>
  <si>
    <t>43216992</t>
  </si>
  <si>
    <t>Jr. Maria Antonieta 130 Dpto. 301</t>
  </si>
  <si>
    <t>990000227</t>
  </si>
  <si>
    <t>tania.valladarest@gmail.com</t>
  </si>
  <si>
    <t>02514905</t>
  </si>
  <si>
    <t>22/05/2026 12:10</t>
  </si>
  <si>
    <t>03446386</t>
  </si>
  <si>
    <t>17/08/2026 14:36</t>
  </si>
  <si>
    <t>04482206</t>
  </si>
  <si>
    <t>17/08/2026 14:37</t>
  </si>
  <si>
    <t>0999590</t>
  </si>
  <si>
    <t>04/06/2026 10:43</t>
  </si>
  <si>
    <t>702</t>
  </si>
  <si>
    <t>Víctor Daniel Chuquihuaccha Hernandez</t>
  </si>
  <si>
    <t>73229140</t>
  </si>
  <si>
    <t>Calle Los Licopodios 468</t>
  </si>
  <si>
    <t>999533600</t>
  </si>
  <si>
    <t>victor.d.ch.h@gmail.com</t>
  </si>
  <si>
    <t>04023883</t>
  </si>
  <si>
    <t>12/05/2026 13:44</t>
  </si>
  <si>
    <t>wendy carolina junes Gonzáles Junes Gonzáles</t>
  </si>
  <si>
    <t>45871126</t>
  </si>
  <si>
    <t>Jr.Huiracocha 1430 Dpto 407</t>
  </si>
  <si>
    <t>951990410</t>
  </si>
  <si>
    <t>jg_wendy-14@hotmail.com</t>
  </si>
  <si>
    <t>00992597</t>
  </si>
  <si>
    <t>007626769</t>
  </si>
  <si>
    <t>07/07/2026 12:06</t>
  </si>
  <si>
    <t>02708000001</t>
  </si>
  <si>
    <t>07/07/2026 12:07</t>
  </si>
  <si>
    <t>Cobranzas_2026.csv</t>
  </si>
  <si>
    <t>1705</t>
  </si>
  <si>
    <t>E 13 - D 11</t>
  </si>
  <si>
    <t>Alejandro David Dianderas Leyzaquia</t>
  </si>
  <si>
    <t>71802853</t>
  </si>
  <si>
    <t>Av. Revolucion 530 - Urb. Collique Etapa 1</t>
  </si>
  <si>
    <t>926428673</t>
  </si>
  <si>
    <t>926428673@gmail.com</t>
  </si>
  <si>
    <t>03334230</t>
  </si>
  <si>
    <t>09/06/2026 17:38</t>
  </si>
  <si>
    <t>03947119</t>
  </si>
  <si>
    <t>09/06/2026 17:40</t>
  </si>
  <si>
    <t>0624782</t>
  </si>
  <si>
    <t>PENDIENTE</t>
  </si>
  <si>
    <t>00000404300004045</t>
  </si>
  <si>
    <t>03/07/2026 11:19</t>
  </si>
  <si>
    <t>02222650</t>
  </si>
  <si>
    <t>23/06/2026 16:01</t>
  </si>
  <si>
    <t>5561540</t>
  </si>
  <si>
    <t>23/06/2026 16:02</t>
  </si>
  <si>
    <t>U100751</t>
  </si>
  <si>
    <t>23/06/2026 16:06</t>
  </si>
  <si>
    <t>02700800069</t>
  </si>
  <si>
    <t>23/06/2026 16:08</t>
  </si>
  <si>
    <t>7844655572337</t>
  </si>
  <si>
    <t>u100751</t>
  </si>
  <si>
    <t>18/08/2026 11:39</t>
  </si>
  <si>
    <t>7844655536372</t>
  </si>
  <si>
    <t>18/08/2026 11:40</t>
  </si>
  <si>
    <t>U101167</t>
  </si>
  <si>
    <t>18/08/2026 11:41</t>
  </si>
  <si>
    <t>u24436</t>
  </si>
  <si>
    <t>18/08/2026 11:42</t>
  </si>
  <si>
    <t>7844655569258</t>
  </si>
  <si>
    <t>16944610</t>
  </si>
  <si>
    <t>04/06/2026 09:50</t>
  </si>
  <si>
    <t>19/08/2026 11:06</t>
  </si>
  <si>
    <t>0623921</t>
  </si>
  <si>
    <t>09/06/2026 09:48</t>
  </si>
  <si>
    <t>0756802</t>
  </si>
  <si>
    <t>09/06/2026 09:51</t>
  </si>
  <si>
    <t>00262072</t>
  </si>
  <si>
    <t>28/06/2026 21:34</t>
  </si>
  <si>
    <t>02227091</t>
  </si>
  <si>
    <t>28/06/2026 21:35</t>
  </si>
  <si>
    <t>1105</t>
  </si>
  <si>
    <t>CARLOS ENRIQUE MORANTE ARROYO</t>
  </si>
  <si>
    <t>74307522</t>
  </si>
  <si>
    <t xml:space="preserve">JR. DANIEL ALCIDES CARRION 570, INT. 15 – MAGDALENA DEL MAR </t>
  </si>
  <si>
    <t>921881457</t>
  </si>
  <si>
    <t>cmorantea@uni.pe</t>
  </si>
  <si>
    <t>00000089000000091</t>
  </si>
  <si>
    <t>03/06/2026 15:51</t>
  </si>
  <si>
    <t>023801</t>
  </si>
  <si>
    <t>05/06/2026 15:32</t>
  </si>
  <si>
    <t>00005827000000000</t>
  </si>
  <si>
    <t>05/06/2026 15:34</t>
  </si>
  <si>
    <t>0270800070</t>
  </si>
  <si>
    <t>05/06/2026 15:37</t>
  </si>
  <si>
    <t>E 04 - D 02</t>
  </si>
  <si>
    <t>000033156</t>
  </si>
  <si>
    <t>12/08/2026 14:13</t>
  </si>
  <si>
    <t>7844655523667</t>
  </si>
  <si>
    <t>18/08/2026 10:52</t>
  </si>
  <si>
    <t>18/08/2026 10:53</t>
  </si>
  <si>
    <t>18/08/2026 13:42</t>
  </si>
  <si>
    <t>4832000004834</t>
  </si>
  <si>
    <t>00010719</t>
  </si>
  <si>
    <t>615597</t>
  </si>
  <si>
    <t>18/08/2026 13:43</t>
  </si>
  <si>
    <t>001368634</t>
  </si>
  <si>
    <t>18/08/2026 13:44</t>
  </si>
  <si>
    <t>002240036</t>
  </si>
  <si>
    <t>004987948</t>
  </si>
  <si>
    <t>18/08/2026 13:45</t>
  </si>
  <si>
    <t>0270800012</t>
  </si>
  <si>
    <t>05/06/2026 13:43</t>
  </si>
  <si>
    <t>214000000001254</t>
  </si>
  <si>
    <t>05/06/2026 14:23</t>
  </si>
  <si>
    <t>2768484</t>
  </si>
  <si>
    <t>05/06/2026 14:25</t>
  </si>
  <si>
    <t>068000000001139</t>
  </si>
  <si>
    <t>05/06/2026 14:30</t>
  </si>
  <si>
    <t>30032026</t>
  </si>
  <si>
    <t>07/07/2026 14:04</t>
  </si>
  <si>
    <t>05/06/2026 11:16</t>
  </si>
  <si>
    <t>02708000033</t>
  </si>
  <si>
    <t>07/07/2026 12:18</t>
  </si>
  <si>
    <t>1202</t>
  </si>
  <si>
    <t>Diana Carolina Asmat Cuno</t>
  </si>
  <si>
    <t>47198881</t>
  </si>
  <si>
    <t>Jr. Las Cidras 684 Coop Las Flores</t>
  </si>
  <si>
    <t>+61451852811</t>
  </si>
  <si>
    <t>ianikro@outlook.com</t>
  </si>
  <si>
    <t>03758507</t>
  </si>
  <si>
    <t>23/05/2026 21:55</t>
  </si>
  <si>
    <t>05503990</t>
  </si>
  <si>
    <t>23/05/2026 22:02</t>
  </si>
  <si>
    <t>06610290</t>
  </si>
  <si>
    <t>23/05/2026 22:03</t>
  </si>
  <si>
    <t>0152562</t>
  </si>
  <si>
    <t>24/05/2026 00:22</t>
  </si>
  <si>
    <t>21419525</t>
  </si>
  <si>
    <t>20/08/2026 09:40</t>
  </si>
  <si>
    <t>7844655587482</t>
  </si>
  <si>
    <t>26/06/2026 17:06</t>
  </si>
  <si>
    <t>7844655511642</t>
  </si>
  <si>
    <t>26/06/2026 17:07</t>
  </si>
  <si>
    <t>EDWIN VICTOR ASHTU ACOSTA</t>
  </si>
  <si>
    <t>40910651</t>
  </si>
  <si>
    <t>Psj. Ramon Castilla 146 , San Felipe</t>
  </si>
  <si>
    <t>943011992</t>
  </si>
  <si>
    <t>edwin.ashtu@gmail.com</t>
  </si>
  <si>
    <t>430551</t>
  </si>
  <si>
    <t>02/06/2026 17:37</t>
  </si>
  <si>
    <t>170000003308</t>
  </si>
  <si>
    <t>09/06/2026 16:10</t>
  </si>
  <si>
    <t>210009</t>
  </si>
  <si>
    <t>09/06/2026 16:12</t>
  </si>
  <si>
    <t>9170</t>
  </si>
  <si>
    <t>16/06/2026 09:13</t>
  </si>
  <si>
    <t>E 44</t>
  </si>
  <si>
    <t>17032026</t>
  </si>
  <si>
    <t>14/07/2026 09:38</t>
  </si>
  <si>
    <t>00000235200000000</t>
  </si>
  <si>
    <t>501043</t>
  </si>
  <si>
    <t>14/07/2026 09:40</t>
  </si>
  <si>
    <t>PENDIENTE - PARC. CANCELADO</t>
  </si>
  <si>
    <t>Elizabeth Bertha Fierro Cancho</t>
  </si>
  <si>
    <t>10599276</t>
  </si>
  <si>
    <t>Calle uno Numero 270 Edif D Dpto. 301 – Urb. Los Parques del El Agustino</t>
  </si>
  <si>
    <t>966794666</t>
  </si>
  <si>
    <t>esdrasjoelpatillarojas@hotmail.com</t>
  </si>
  <si>
    <t>EL AGUSTINO</t>
  </si>
  <si>
    <t>0909063</t>
  </si>
  <si>
    <t>18/05/2026 05:29</t>
  </si>
  <si>
    <t>0962588</t>
  </si>
  <si>
    <t>23/05/2026 23:48</t>
  </si>
  <si>
    <t>0944792</t>
  </si>
  <si>
    <t>23/05/2026 23:49</t>
  </si>
  <si>
    <t>0637495</t>
  </si>
  <si>
    <t>09/06/2026 15:04</t>
  </si>
  <si>
    <t>0950768</t>
  </si>
  <si>
    <t>09/06/2026 15:05</t>
  </si>
  <si>
    <t>1301</t>
  </si>
  <si>
    <t>ELIZABETH MINDY DELGADO PEREYRA</t>
  </si>
  <si>
    <t>44350777</t>
  </si>
  <si>
    <t xml:space="preserve">Jr. Jorge Chavez 1219 </t>
  </si>
  <si>
    <t>988599067</t>
  </si>
  <si>
    <t>mindydelgado@hotmail.com</t>
  </si>
  <si>
    <t>095850</t>
  </si>
  <si>
    <t>23/05/2026 20:50</t>
  </si>
  <si>
    <t>0918237</t>
  </si>
  <si>
    <t>23/05/2026 20:52</t>
  </si>
  <si>
    <t>04691094</t>
  </si>
  <si>
    <t>8047007</t>
  </si>
  <si>
    <t>03/07/2026 10:26</t>
  </si>
  <si>
    <t>2798845</t>
  </si>
  <si>
    <t>03/07/2026 10:27</t>
  </si>
  <si>
    <t>7844655587205</t>
  </si>
  <si>
    <t>26/06/2026 15:30</t>
  </si>
  <si>
    <t>E 12 - D 10</t>
  </si>
  <si>
    <t>ERICK RAUL BEDOYA BACA</t>
  </si>
  <si>
    <t>47551103</t>
  </si>
  <si>
    <t>Urb. Virgen del Rosario I Etapa Mz D Lt 11</t>
  </si>
  <si>
    <t>961968687</t>
  </si>
  <si>
    <t>ebedoyaba@gmail.com</t>
  </si>
  <si>
    <t>02283860</t>
  </si>
  <si>
    <t>01/05/2026 18:42</t>
  </si>
  <si>
    <t>00462579</t>
  </si>
  <si>
    <t>13/08/2026 15:29</t>
  </si>
  <si>
    <t>76518</t>
  </si>
  <si>
    <t>13/08/2026 15:31</t>
  </si>
  <si>
    <t>98161</t>
  </si>
  <si>
    <t>13/08/2026 16:11</t>
  </si>
  <si>
    <t>13/08/2026 16:12</t>
  </si>
  <si>
    <t>01039447</t>
  </si>
  <si>
    <t>13/08/2026 16:54</t>
  </si>
  <si>
    <t>00547264</t>
  </si>
  <si>
    <t>13/08/2026 16:55</t>
  </si>
  <si>
    <t>005129</t>
  </si>
  <si>
    <t>13/08/2026 12:14</t>
  </si>
  <si>
    <t>1560</t>
  </si>
  <si>
    <t>13/08/2026 12:15</t>
  </si>
  <si>
    <t>1562</t>
  </si>
  <si>
    <t>4313</t>
  </si>
  <si>
    <t>13/08/2026 12:16</t>
  </si>
  <si>
    <t>1784</t>
  </si>
  <si>
    <t>13/08/2026 12:23</t>
  </si>
  <si>
    <t>4315</t>
  </si>
  <si>
    <t>13/08/2026 12:24</t>
  </si>
  <si>
    <t>0315785</t>
  </si>
  <si>
    <t>24/05/2026 19:17</t>
  </si>
  <si>
    <t>U24661</t>
  </si>
  <si>
    <t>24/05/2026 19:20</t>
  </si>
  <si>
    <t>18/08/2026 16:07</t>
  </si>
  <si>
    <t>02/07/2026 16:08</t>
  </si>
  <si>
    <t>U27655</t>
  </si>
  <si>
    <t>02/07/2026 16:09</t>
  </si>
  <si>
    <t>02/07/2026 16:10</t>
  </si>
  <si>
    <t>U1000499</t>
  </si>
  <si>
    <t>02/07/2026 16:11</t>
  </si>
  <si>
    <t>02/07/2026 16:12</t>
  </si>
  <si>
    <t>U101281</t>
  </si>
  <si>
    <t>100645</t>
  </si>
  <si>
    <t>18/08/2026 16:41</t>
  </si>
  <si>
    <t>U27443</t>
  </si>
  <si>
    <t>21/08/2026 10:47</t>
  </si>
  <si>
    <t>1205</t>
  </si>
  <si>
    <t>Fabiola Maria Lecca Vargas</t>
  </si>
  <si>
    <t>08034254</t>
  </si>
  <si>
    <t>Jr. Manuel Irribarren 1012 dpto 1</t>
  </si>
  <si>
    <t>988708317</t>
  </si>
  <si>
    <t>fabiolaleccavargas@g.mail.com</t>
  </si>
  <si>
    <t>0107263</t>
  </si>
  <si>
    <t>26/06/2026 11:53</t>
  </si>
  <si>
    <t>7844654520780</t>
  </si>
  <si>
    <t>26/06/2026 11:54</t>
  </si>
  <si>
    <t>7844655871084</t>
  </si>
  <si>
    <t>26/06/2026 11:55</t>
  </si>
  <si>
    <t>7844651936594</t>
  </si>
  <si>
    <t>26/06/2026 11:56</t>
  </si>
  <si>
    <t>7844655870147</t>
  </si>
  <si>
    <t>26/06/2026 11:57</t>
  </si>
  <si>
    <t>7844651936636</t>
  </si>
  <si>
    <t>26/06/2026 12:07</t>
  </si>
  <si>
    <t>7844651974157</t>
  </si>
  <si>
    <t>26/06/2026 12:08</t>
  </si>
  <si>
    <t>7844651928802</t>
  </si>
  <si>
    <t>26/06/2026 12:09</t>
  </si>
  <si>
    <t>7844651931615</t>
  </si>
  <si>
    <t>7844651932376</t>
  </si>
  <si>
    <t>26/06/2026 12:10</t>
  </si>
  <si>
    <t>7844654501651</t>
  </si>
  <si>
    <t>21/07/2026 08:08</t>
  </si>
  <si>
    <t>1939721</t>
  </si>
  <si>
    <t>21/08/2026 10:23</t>
  </si>
  <si>
    <t>0730895</t>
  </si>
  <si>
    <t>13/08/2026 14:52</t>
  </si>
  <si>
    <t>00002865000000000</t>
  </si>
  <si>
    <t>23/08/2026 13:30</t>
  </si>
  <si>
    <t>339900000</t>
  </si>
  <si>
    <t>24/08/2026 14:08</t>
  </si>
  <si>
    <t>02249650</t>
  </si>
  <si>
    <t>30/06/2026 18:17</t>
  </si>
  <si>
    <t>02734027</t>
  </si>
  <si>
    <t>30/06/2026 18:19</t>
  </si>
  <si>
    <t>04494431</t>
  </si>
  <si>
    <t>30/06/2026 18:20</t>
  </si>
  <si>
    <t>E 21 - D 16</t>
  </si>
  <si>
    <t>0000010930000001095</t>
  </si>
  <si>
    <t>29/06/2026 00:47</t>
  </si>
  <si>
    <t>0000109300000001095</t>
  </si>
  <si>
    <t>29/06/2026 00:50</t>
  </si>
  <si>
    <t>000016840000001686</t>
  </si>
  <si>
    <t>29/06/2026 00:51</t>
  </si>
  <si>
    <t>27022026</t>
  </si>
  <si>
    <t>402</t>
  </si>
  <si>
    <t>E 44 - D 26</t>
  </si>
  <si>
    <t>Gina Victoria Saenz Pasco</t>
  </si>
  <si>
    <t>70436237</t>
  </si>
  <si>
    <t>Av. Cordialidad 8079 Urb. La Floresta</t>
  </si>
  <si>
    <t>992686657</t>
  </si>
  <si>
    <t>g.saenz22@gmail.com</t>
  </si>
  <si>
    <t>00060044</t>
  </si>
  <si>
    <t>01/05/2026 17:30</t>
  </si>
  <si>
    <t>06683896</t>
  </si>
  <si>
    <t>13/08/2026 10:46</t>
  </si>
  <si>
    <t>02662119</t>
  </si>
  <si>
    <t>13/08/2026 10:48</t>
  </si>
  <si>
    <t>18/08/2026 15:10</t>
  </si>
  <si>
    <t>E 27 - D 21</t>
  </si>
  <si>
    <t>Gisella Isabel Martinez Andrade</t>
  </si>
  <si>
    <t>41633863</t>
  </si>
  <si>
    <t xml:space="preserve"> Pasaje Manuel Gonzales Prada 1286</t>
  </si>
  <si>
    <t>993079451</t>
  </si>
  <si>
    <t>gisella.martinez01@gmail.com</t>
  </si>
  <si>
    <t>03360743</t>
  </si>
  <si>
    <t>14/07/2026 12:19</t>
  </si>
  <si>
    <t>000078289</t>
  </si>
  <si>
    <t>14/07/2026 12:33</t>
  </si>
  <si>
    <t>06099409</t>
  </si>
  <si>
    <t>14/07/2026 12:36</t>
  </si>
  <si>
    <t>005509418</t>
  </si>
  <si>
    <t>0142288</t>
  </si>
  <si>
    <t>03/07/2026 11:59</t>
  </si>
  <si>
    <t>006621198</t>
  </si>
  <si>
    <t>26/08/2026 17:26</t>
  </si>
  <si>
    <t>03579619</t>
  </si>
  <si>
    <t>26/08/2026 17:27</t>
  </si>
  <si>
    <t>06062341</t>
  </si>
  <si>
    <t>17/08/2026 12:27</t>
  </si>
  <si>
    <t>06063406</t>
  </si>
  <si>
    <t>17/08/2026 12:28</t>
  </si>
  <si>
    <t>02259551</t>
  </si>
  <si>
    <t>17/08/2026 12:29</t>
  </si>
  <si>
    <t>502</t>
  </si>
  <si>
    <t>HONOFRE JUAN GONZALES ATAHUALPA</t>
  </si>
  <si>
    <t>09518829</t>
  </si>
  <si>
    <t xml:space="preserve">Av. 17 de noviembre 229 - 231 </t>
  </si>
  <si>
    <t>990889063</t>
  </si>
  <si>
    <t>juanga0420@hotmail.com</t>
  </si>
  <si>
    <t>INDEPENDENCIA</t>
  </si>
  <si>
    <t>0000606321425788</t>
  </si>
  <si>
    <t>03/06/2026 08:37</t>
  </si>
  <si>
    <t>0500010095</t>
  </si>
  <si>
    <t>05/06/2026 08:47</t>
  </si>
  <si>
    <t>0500010046</t>
  </si>
  <si>
    <t>05/06/2026 08:48</t>
  </si>
  <si>
    <t>0270800024</t>
  </si>
  <si>
    <t>07/07/2026 09:38</t>
  </si>
  <si>
    <t>Irma Paulina Palomino Huaman</t>
  </si>
  <si>
    <t>76840101</t>
  </si>
  <si>
    <t>Jr. Manco Segundo 2202 Dpto. 102</t>
  </si>
  <si>
    <t>939315617</t>
  </si>
  <si>
    <t>paulinapalomino8@gmail.com</t>
  </si>
  <si>
    <t>04546375</t>
  </si>
  <si>
    <t>24/05/2026 20:56</t>
  </si>
  <si>
    <t>04640462</t>
  </si>
  <si>
    <t>24/05/2026 20:58</t>
  </si>
  <si>
    <t>Isabel Cristina Franco Zegarra</t>
  </si>
  <si>
    <t>09884970</t>
  </si>
  <si>
    <t>Coop Union Mz D Lt 5</t>
  </si>
  <si>
    <t>959158450</t>
  </si>
  <si>
    <t>959158450@gmail.com</t>
  </si>
  <si>
    <t>0038</t>
  </si>
  <si>
    <t>Josue andres Perez Chamorro</t>
  </si>
  <si>
    <t>17/05/2026 17:56</t>
  </si>
  <si>
    <t>109884970</t>
  </si>
  <si>
    <t>23/06/2026 10:59</t>
  </si>
  <si>
    <t>109884870</t>
  </si>
  <si>
    <t>23/06/2026 11:00</t>
  </si>
  <si>
    <t>23/06/2026 11:01</t>
  </si>
  <si>
    <t>U100717</t>
  </si>
  <si>
    <t>23/06/2026 11:02</t>
  </si>
  <si>
    <t>0635520</t>
  </si>
  <si>
    <t>23/06/2026 11:03</t>
  </si>
  <si>
    <t>19/08/2026 12:19</t>
  </si>
  <si>
    <t>1401</t>
  </si>
  <si>
    <t>Jacqueline Elsa Moreno Huaman</t>
  </si>
  <si>
    <t>28276212</t>
  </si>
  <si>
    <t>Calle Padr Urraca 111 Edifc. 6 - Dpto. 603</t>
  </si>
  <si>
    <t>966689822</t>
  </si>
  <si>
    <t>jmoreno.incorp@gmail.com</t>
  </si>
  <si>
    <t>00833460</t>
  </si>
  <si>
    <t>11/07/2026 09:36</t>
  </si>
  <si>
    <t>06218150</t>
  </si>
  <si>
    <t>11/07/2026 09:37</t>
  </si>
  <si>
    <t>E 20 - D 15</t>
  </si>
  <si>
    <t>Jazmin Elizabeth Ramirez Lazaro</t>
  </si>
  <si>
    <t>75662644</t>
  </si>
  <si>
    <t>Av. Arnaldo Marquez 1440 Dpto.906</t>
  </si>
  <si>
    <t>915176274</t>
  </si>
  <si>
    <t>jazmin.ramirez.lazaro8@gmail.com</t>
  </si>
  <si>
    <t>4969236</t>
  </si>
  <si>
    <t>13/05/2026 17:12</t>
  </si>
  <si>
    <t>0319831</t>
  </si>
  <si>
    <t>09/06/2026 18:11</t>
  </si>
  <si>
    <t>00368899</t>
  </si>
  <si>
    <t>02476804</t>
  </si>
  <si>
    <t>18/05/2026 04:34</t>
  </si>
  <si>
    <t>1303</t>
  </si>
  <si>
    <t>E 50 - D 30</t>
  </si>
  <si>
    <t>Jimena Melissa Huayanca Lopez</t>
  </si>
  <si>
    <t>73268311</t>
  </si>
  <si>
    <t xml:space="preserve">Av. Cuba 560, Dpto N°1703 </t>
  </si>
  <si>
    <t>923732315</t>
  </si>
  <si>
    <t>jimelissahl@gmail.com</t>
  </si>
  <si>
    <t>008557</t>
  </si>
  <si>
    <t>22/05/2026 12:08</t>
  </si>
  <si>
    <t>01474178</t>
  </si>
  <si>
    <t>21/08/2026 11:57</t>
  </si>
  <si>
    <t>Jiri Ruzicka R</t>
  </si>
  <si>
    <t>001831906</t>
  </si>
  <si>
    <t xml:space="preserve">Calle Los Mirtos 230 Edificio Live Lima Flats Torre C </t>
  </si>
  <si>
    <t>943541529</t>
  </si>
  <si>
    <t>jiriruzicka@web.de</t>
  </si>
  <si>
    <t>0083</t>
  </si>
  <si>
    <t>17/05/2026 16:35</t>
  </si>
  <si>
    <t>046664</t>
  </si>
  <si>
    <t>02/06/2026 16:38</t>
  </si>
  <si>
    <t>E 28 - D 18</t>
  </si>
  <si>
    <t>Jorge Luis Montoya Mendoza</t>
  </si>
  <si>
    <t>21458250</t>
  </si>
  <si>
    <t>luismm65@hotmail.com</t>
  </si>
  <si>
    <t>962673705</t>
  </si>
  <si>
    <t>14032026</t>
  </si>
  <si>
    <t>23/05/2026 23:39</t>
  </si>
  <si>
    <t>00119</t>
  </si>
  <si>
    <t>23/05/2026 23:43</t>
  </si>
  <si>
    <t>5535877</t>
  </si>
  <si>
    <t>24/05/2026 20:06</t>
  </si>
  <si>
    <t>5527318</t>
  </si>
  <si>
    <t xml:space="preserve">EB01-98 </t>
  </si>
  <si>
    <t>27/07/2026 11:53</t>
  </si>
  <si>
    <t>EB01-100</t>
  </si>
  <si>
    <t>27/07/2026 11:54</t>
  </si>
  <si>
    <t>18/08/2026 18:12</t>
  </si>
  <si>
    <t>E 10 - D 1</t>
  </si>
  <si>
    <t>Jose Edgardo Cespedes Camacho</t>
  </si>
  <si>
    <t>784465558963</t>
  </si>
  <si>
    <t>02/08/2026 09:07</t>
  </si>
  <si>
    <t>7844655521396</t>
  </si>
  <si>
    <t>02/07/2026 11:50</t>
  </si>
  <si>
    <t>7844655521516</t>
  </si>
  <si>
    <t>02/07/2026 11:52</t>
  </si>
  <si>
    <t>7844655529714</t>
  </si>
  <si>
    <t>02/08/2026 09:04</t>
  </si>
  <si>
    <t>7844655603094</t>
  </si>
  <si>
    <t>02/08/2026 09:05</t>
  </si>
  <si>
    <t>7844655573313</t>
  </si>
  <si>
    <t>29/06/2026 20:51</t>
  </si>
  <si>
    <t>7844655628914</t>
  </si>
  <si>
    <t>29/06/2026 20:52</t>
  </si>
  <si>
    <t>7844655533003</t>
  </si>
  <si>
    <t>29/06/2026 20:59</t>
  </si>
  <si>
    <t>29/06/2026 21:00</t>
  </si>
  <si>
    <t>7844655544040</t>
  </si>
  <si>
    <t>7844655527739</t>
  </si>
  <si>
    <t>29/06/2026 21:02</t>
  </si>
  <si>
    <t>23/08/2026 19:34</t>
  </si>
  <si>
    <t>03115533</t>
  </si>
  <si>
    <t>13/08/2026 14:12</t>
  </si>
  <si>
    <t>1672391</t>
  </si>
  <si>
    <t>13/08/2026 14:14</t>
  </si>
  <si>
    <t>1764662</t>
  </si>
  <si>
    <t>13/08/2026 14:15</t>
  </si>
  <si>
    <t>E 51 - D 39</t>
  </si>
  <si>
    <t>JUDITH MEDINA ALVAREZ</t>
  </si>
  <si>
    <t>45149889</t>
  </si>
  <si>
    <t>Calle Union 212 SubLt 2 Seccion 3 Dpto. 301</t>
  </si>
  <si>
    <t>959555038</t>
  </si>
  <si>
    <t>Judith_2588@hotmail.com</t>
  </si>
  <si>
    <t>0000607419191558</t>
  </si>
  <si>
    <t>05/06/2026 09:50</t>
  </si>
  <si>
    <t>00063</t>
  </si>
  <si>
    <t>07/07/2026 11:24</t>
  </si>
  <si>
    <t>0270800003</t>
  </si>
  <si>
    <t>09/07/2026 13:49</t>
  </si>
  <si>
    <t>000006702000000</t>
  </si>
  <si>
    <t>07/07/2026 16:53</t>
  </si>
  <si>
    <t>5543493</t>
  </si>
  <si>
    <t>07/07/2026 16:54</t>
  </si>
  <si>
    <t>305</t>
  </si>
  <si>
    <t>Karla Ivette Necochea Lopezv</t>
  </si>
  <si>
    <t>71128732</t>
  </si>
  <si>
    <t>Av. Venezuela 1036 Dpto. 301</t>
  </si>
  <si>
    <t>+19145079719</t>
  </si>
  <si>
    <t>karlanecoche_lo@hotmail.com</t>
  </si>
  <si>
    <t>04157602</t>
  </si>
  <si>
    <t>01/05/2026 16:39</t>
  </si>
  <si>
    <t>0534345</t>
  </si>
  <si>
    <t>14/08/2026 10:25</t>
  </si>
  <si>
    <t>03009075</t>
  </si>
  <si>
    <t>12/08/2026 17:56</t>
  </si>
  <si>
    <t>7844655508247</t>
  </si>
  <si>
    <t>04/06/2026 08:34</t>
  </si>
  <si>
    <t>EB01-101</t>
  </si>
  <si>
    <t>27/07/2026 12:06</t>
  </si>
  <si>
    <t>904</t>
  </si>
  <si>
    <t xml:space="preserve">Lizet Lopez Paucar </t>
  </si>
  <si>
    <t>42459734</t>
  </si>
  <si>
    <t>Av. Arnaldo Márquez 1526 Dpto. 34 - Jesús María - Lima</t>
  </si>
  <si>
    <t>999889061</t>
  </si>
  <si>
    <t>lizetlopezp@gmail.com</t>
  </si>
  <si>
    <t>0000600519140030</t>
  </si>
  <si>
    <t>03/06/2026 10:04</t>
  </si>
  <si>
    <t>02462401</t>
  </si>
  <si>
    <t>07/07/2026 13:49</t>
  </si>
  <si>
    <t>02011578</t>
  </si>
  <si>
    <t>07/07/2026 13:50</t>
  </si>
  <si>
    <t>7844655529167</t>
  </si>
  <si>
    <t>07/07/2026 13:54</t>
  </si>
  <si>
    <t>7844655513571</t>
  </si>
  <si>
    <t>07/07/2026 13:56</t>
  </si>
  <si>
    <t>EB01-293</t>
  </si>
  <si>
    <t>18/08/2026 11:54</t>
  </si>
  <si>
    <t>000074230000007425</t>
  </si>
  <si>
    <t>07/07/2026 11:20</t>
  </si>
  <si>
    <t>04175259</t>
  </si>
  <si>
    <t>13/08/2026 10:02</t>
  </si>
  <si>
    <t>04172859</t>
  </si>
  <si>
    <t>13/08/2026 10:08</t>
  </si>
  <si>
    <t>587896</t>
  </si>
  <si>
    <t>13/08/2026 10:09</t>
  </si>
  <si>
    <t>25718</t>
  </si>
  <si>
    <t>18/08/2026 10:50</t>
  </si>
  <si>
    <t>Luisa Liliana Esther Erazo Medina</t>
  </si>
  <si>
    <t>74477120</t>
  </si>
  <si>
    <t>Jr. Lastenia Larriva Se Llona 526 Urb. Esmeralda</t>
  </si>
  <si>
    <t>922975710</t>
  </si>
  <si>
    <t>lulleem95@gmail.com</t>
  </si>
  <si>
    <t>4280825</t>
  </si>
  <si>
    <t>01/05/2026 20:15</t>
  </si>
  <si>
    <t>03954028</t>
  </si>
  <si>
    <t>24/05/2026 14:32</t>
  </si>
  <si>
    <t>0697429</t>
  </si>
  <si>
    <t>18/05/2026 00:00</t>
  </si>
  <si>
    <t>18/05/2026 03:48</t>
  </si>
  <si>
    <t>18/05/2026 03:51</t>
  </si>
  <si>
    <t>0683287</t>
  </si>
  <si>
    <t>12/08/2026 15:09</t>
  </si>
  <si>
    <t>1930178170153624</t>
  </si>
  <si>
    <t>24/08/2026 15:27</t>
  </si>
  <si>
    <t>0914981</t>
  </si>
  <si>
    <t>03/07/2026 17:41</t>
  </si>
  <si>
    <t>E 03 - D 01</t>
  </si>
  <si>
    <t>05225356</t>
  </si>
  <si>
    <t>24/06/2026 17:40</t>
  </si>
  <si>
    <t>01886785</t>
  </si>
  <si>
    <t>24/06/2026 17:47</t>
  </si>
  <si>
    <t>02381234</t>
  </si>
  <si>
    <t>26/06/2026 11:33</t>
  </si>
  <si>
    <t>01282313</t>
  </si>
  <si>
    <t>18/05/2026 04:20</t>
  </si>
  <si>
    <t>004006999</t>
  </si>
  <si>
    <t>03/07/2026 19:11</t>
  </si>
  <si>
    <t>06084927</t>
  </si>
  <si>
    <t>14/07/2026 16:54</t>
  </si>
  <si>
    <t>06101897</t>
  </si>
  <si>
    <t>14/07/2026 16:55</t>
  </si>
  <si>
    <t>5529685</t>
  </si>
  <si>
    <t>18/08/2026 13:34</t>
  </si>
  <si>
    <t>06093252</t>
  </si>
  <si>
    <t>20/08/2026 14:20</t>
  </si>
  <si>
    <t>1004</t>
  </si>
  <si>
    <t>Marita Angeles Milla</t>
  </si>
  <si>
    <t>09096071</t>
  </si>
  <si>
    <t>Av. Olavegoya 1879 Dpto. 301</t>
  </si>
  <si>
    <t>997627864</t>
  </si>
  <si>
    <t>marita.angeles.milla@gmail.com</t>
  </si>
  <si>
    <t>002909488</t>
  </si>
  <si>
    <t>01633221410</t>
  </si>
  <si>
    <t>05/06/2026 14:47</t>
  </si>
  <si>
    <t>0857979</t>
  </si>
  <si>
    <t>24/05/2026 08:51</t>
  </si>
  <si>
    <t>09718908</t>
  </si>
  <si>
    <t>20/08/2026 11:49</t>
  </si>
  <si>
    <t>09750977</t>
  </si>
  <si>
    <t>19/08/2026 12:07</t>
  </si>
  <si>
    <t>Medaly Mendoza .</t>
  </si>
  <si>
    <t>75197073</t>
  </si>
  <si>
    <t>.</t>
  </si>
  <si>
    <t>979218897</t>
  </si>
  <si>
    <t>medalymendoza223@gmail.com</t>
  </si>
  <si>
    <t>05001718</t>
  </si>
  <si>
    <t>11/07/2026 08:51</t>
  </si>
  <si>
    <t>04992682</t>
  </si>
  <si>
    <t>11/07/2026 09:30</t>
  </si>
  <si>
    <t>1502</t>
  </si>
  <si>
    <t>E 39</t>
  </si>
  <si>
    <t>Melanny Dayanna Flores Blas</t>
  </si>
  <si>
    <t>75334346</t>
  </si>
  <si>
    <t xml:space="preserve">Av. Los Alisos Urb. Naranjal MZ Ñ-1 LT 27 </t>
  </si>
  <si>
    <t>979775301</t>
  </si>
  <si>
    <t>flores.d19958@gmail.com</t>
  </si>
  <si>
    <t>02463717</t>
  </si>
  <si>
    <t>23/05/2026 18:42</t>
  </si>
  <si>
    <t>00676390</t>
  </si>
  <si>
    <t>23/05/2026 18:50</t>
  </si>
  <si>
    <t>0062</t>
  </si>
  <si>
    <t>0724405</t>
  </si>
  <si>
    <t>27/07/2026 16:50</t>
  </si>
  <si>
    <t>02742529</t>
  </si>
  <si>
    <t>27/07/2026 16:51</t>
  </si>
  <si>
    <t>02149551</t>
  </si>
  <si>
    <t>17/08/2026 18:10</t>
  </si>
  <si>
    <t>07550624</t>
  </si>
  <si>
    <t>1603</t>
  </si>
  <si>
    <t>E 08 - D 08</t>
  </si>
  <si>
    <t>Mohammed Belhaj b</t>
  </si>
  <si>
    <t>NUoF6KHK3</t>
  </si>
  <si>
    <t>Jr. Los Aromos Coop. Las Flores Mz 21LT. 31</t>
  </si>
  <si>
    <t>922412765</t>
  </si>
  <si>
    <t>mo.belhaj@outlook.com</t>
  </si>
  <si>
    <t>559275</t>
  </si>
  <si>
    <t>23/05/2026 17:54</t>
  </si>
  <si>
    <t>9872572</t>
  </si>
  <si>
    <t>18/08/2026 09:05</t>
  </si>
  <si>
    <t>9899803</t>
  </si>
  <si>
    <t>18/08/2026 09:06</t>
  </si>
  <si>
    <t>18/08/2026 09:19</t>
  </si>
  <si>
    <t>5526008</t>
  </si>
  <si>
    <t>24/05/2026 22:05</t>
  </si>
  <si>
    <t>19/08/2026 13:58</t>
  </si>
  <si>
    <t>U28949</t>
  </si>
  <si>
    <t>19/08/2026 08:43</t>
  </si>
  <si>
    <t>U100694</t>
  </si>
  <si>
    <t>19/08/2026 08:44</t>
  </si>
  <si>
    <t>1302</t>
  </si>
  <si>
    <t>Omar Edwin Riveros Tejada</t>
  </si>
  <si>
    <t>47136409</t>
  </si>
  <si>
    <t>Calle Berlin 734 - Dpto. 302</t>
  </si>
  <si>
    <t>959940936</t>
  </si>
  <si>
    <t>omarriveros91@gmail.com</t>
  </si>
  <si>
    <t>MIRAFLORES</t>
  </si>
  <si>
    <t>007665</t>
  </si>
  <si>
    <t>23/05/2026 20:30</t>
  </si>
  <si>
    <t>0991441</t>
  </si>
  <si>
    <t>23/05/2026 20:33</t>
  </si>
  <si>
    <t>0987426</t>
  </si>
  <si>
    <t>20/08/2026 08:14</t>
  </si>
  <si>
    <t>0555411</t>
  </si>
  <si>
    <t>20/08/2026 08:16</t>
  </si>
  <si>
    <t>0950793</t>
  </si>
  <si>
    <t>0952614</t>
  </si>
  <si>
    <t>20/08/2026 08:17</t>
  </si>
  <si>
    <t>0954794</t>
  </si>
  <si>
    <t>20/08/2026 08:18</t>
  </si>
  <si>
    <t>0957377</t>
  </si>
  <si>
    <t>0959126</t>
  </si>
  <si>
    <t>20/08/2026 08:19</t>
  </si>
  <si>
    <t>0449934</t>
  </si>
  <si>
    <t>Patricia Salazar Aparcana</t>
  </si>
  <si>
    <t>10142891</t>
  </si>
  <si>
    <t xml:space="preserve"> Jr. Manco segundo 2258 dpto 207</t>
  </si>
  <si>
    <t>996611448</t>
  </si>
  <si>
    <t>PATRICIASALAZAR25@HOTMAIL.COM</t>
  </si>
  <si>
    <t>575319</t>
  </si>
  <si>
    <t>28/03/2026 21:25</t>
  </si>
  <si>
    <t>00378339</t>
  </si>
  <si>
    <t>29/03/2026 17:29</t>
  </si>
  <si>
    <t>00602289</t>
  </si>
  <si>
    <t>29/03/2026 17:40</t>
  </si>
  <si>
    <t>009487222</t>
  </si>
  <si>
    <t>07/07/2026 10:03</t>
  </si>
  <si>
    <t>00001378000001380</t>
  </si>
  <si>
    <t>07/07/2026 10:04</t>
  </si>
  <si>
    <t>00001381000001383</t>
  </si>
  <si>
    <t>07/07/2026 10:05</t>
  </si>
  <si>
    <t>000001384000001386</t>
  </si>
  <si>
    <t>07/07/2026 10:06</t>
  </si>
  <si>
    <t>00001387000001389</t>
  </si>
  <si>
    <t>07/07/2026 10:08</t>
  </si>
  <si>
    <t>00004571000004573</t>
  </si>
  <si>
    <t>07/07/2026 10:09</t>
  </si>
  <si>
    <t>001334856</t>
  </si>
  <si>
    <t>07/07/2026 10:15</t>
  </si>
  <si>
    <t>476098</t>
  </si>
  <si>
    <t>08/06/2026 11:45</t>
  </si>
  <si>
    <t>162237</t>
  </si>
  <si>
    <t>08/06/2026 11:46</t>
  </si>
  <si>
    <t>172844</t>
  </si>
  <si>
    <t>08/06/2026 11:47</t>
  </si>
  <si>
    <t>4071419</t>
  </si>
  <si>
    <t>18/08/2026 17:17</t>
  </si>
  <si>
    <t>RENZO VALDERRAMA REYES</t>
  </si>
  <si>
    <t>45416570</t>
  </si>
  <si>
    <t>Jr. Almudena 194</t>
  </si>
  <si>
    <t>932290459</t>
  </si>
  <si>
    <t>rvalderrama2488@hotmail.com</t>
  </si>
  <si>
    <t>SAN LUIS</t>
  </si>
  <si>
    <t>7844655550510</t>
  </si>
  <si>
    <t xml:space="preserve">Glenda Solano </t>
  </si>
  <si>
    <t>16/05/2026 19:32</t>
  </si>
  <si>
    <t>395586</t>
  </si>
  <si>
    <t>02/07/2026 13:43</t>
  </si>
  <si>
    <t>804</t>
  </si>
  <si>
    <t>E 42 - D 33</t>
  </si>
  <si>
    <t>RICARDO DANIEL ESPINOZA ANCHAYGUA</t>
  </si>
  <si>
    <t>71229453</t>
  </si>
  <si>
    <t>CALLE CALESA</t>
  </si>
  <si>
    <t>999698265</t>
  </si>
  <si>
    <t>RMENDOZA@GMAIL.COM</t>
  </si>
  <si>
    <t>LA MOLINA</t>
  </si>
  <si>
    <t>184</t>
  </si>
  <si>
    <t>26/06/2026 14:18</t>
  </si>
  <si>
    <t>7844655545806</t>
  </si>
  <si>
    <t>26/06/2026 14:20</t>
  </si>
  <si>
    <t>7844655545781</t>
  </si>
  <si>
    <t>26/06/2026 14:21</t>
  </si>
  <si>
    <t>7844655524245</t>
  </si>
  <si>
    <t>26/06/2026 14:22</t>
  </si>
  <si>
    <t>U101199</t>
  </si>
  <si>
    <t>26/06/2026 14:26</t>
  </si>
  <si>
    <t>U26606</t>
  </si>
  <si>
    <t>26/06/2026 14:27</t>
  </si>
  <si>
    <t>EB01291</t>
  </si>
  <si>
    <t>OTROS</t>
  </si>
  <si>
    <t>18/08/2026 12:01</t>
  </si>
  <si>
    <t>1503</t>
  </si>
  <si>
    <t>E 01</t>
  </si>
  <si>
    <t>Rita Hermelinda Monje Casafranca</t>
  </si>
  <si>
    <t>23959890</t>
  </si>
  <si>
    <t>Av. Gregorio Escobedo 570, Dpto N°1602</t>
  </si>
  <si>
    <t>984620296</t>
  </si>
  <si>
    <t>rhmc1611@gmail.com</t>
  </si>
  <si>
    <t>03078443</t>
  </si>
  <si>
    <t>11/07/2026 09:42</t>
  </si>
  <si>
    <t>04176966</t>
  </si>
  <si>
    <t>11/07/2026 09:43</t>
  </si>
  <si>
    <t>905</t>
  </si>
  <si>
    <t>Rocio del Pilar Quispe Vivanco</t>
  </si>
  <si>
    <t>46571077</t>
  </si>
  <si>
    <t>Calle 49 MZ UU2 Lt.14 Urb. La Floresta</t>
  </si>
  <si>
    <t>942198649</t>
  </si>
  <si>
    <t>chio22011@hotmail.com</t>
  </si>
  <si>
    <t>4926</t>
  </si>
  <si>
    <t>28/05/2026 15:37</t>
  </si>
  <si>
    <t>0835217</t>
  </si>
  <si>
    <t>17/08/2026 13:50</t>
  </si>
  <si>
    <t>E 46 - D 35</t>
  </si>
  <si>
    <t>RODRIGO SANDRO CARDENAS BULLON</t>
  </si>
  <si>
    <t>72200919</t>
  </si>
  <si>
    <t>CALLE LOS NEGOCIOS 280 BLOCK 3 DPTO A401</t>
  </si>
  <si>
    <t>944456394</t>
  </si>
  <si>
    <t>rodrigo.cardenas.bullon@gmail.com</t>
  </si>
  <si>
    <t>SURQUILLO</t>
  </si>
  <si>
    <t>0123</t>
  </si>
  <si>
    <t>18/05/2026 16:40</t>
  </si>
  <si>
    <t>P046133</t>
  </si>
  <si>
    <t>23/06/2026 15:54</t>
  </si>
  <si>
    <t>RONALD ANTONIO TICONA ARONES</t>
  </si>
  <si>
    <t>41639626</t>
  </si>
  <si>
    <t>Av. Gregorio Escobedo 426 Dpto. N°402 - Jesus Maria.</t>
  </si>
  <si>
    <t>959833373</t>
  </si>
  <si>
    <t>gr103@gmail.com</t>
  </si>
  <si>
    <t>000</t>
  </si>
  <si>
    <t>19/08/2026 16:05</t>
  </si>
  <si>
    <t>00832062</t>
  </si>
  <si>
    <t>17/08/2026 09:13</t>
  </si>
  <si>
    <t>00843529</t>
  </si>
  <si>
    <t>17/08/2026 09:14</t>
  </si>
  <si>
    <t>193.6699</t>
  </si>
  <si>
    <t>17/08/2026 09:15</t>
  </si>
  <si>
    <t>193.6798</t>
  </si>
  <si>
    <t>06620675</t>
  </si>
  <si>
    <t>17/08/2026 09:18</t>
  </si>
  <si>
    <t>06666092</t>
  </si>
  <si>
    <t>17/08/2026 09:22</t>
  </si>
  <si>
    <t>06667712</t>
  </si>
  <si>
    <t>17/08/2026 09:23</t>
  </si>
  <si>
    <t>06684580</t>
  </si>
  <si>
    <t>17/08/2026 09:24</t>
  </si>
  <si>
    <t>01529879</t>
  </si>
  <si>
    <t>13/08/2026 17:18</t>
  </si>
  <si>
    <t>00471002</t>
  </si>
  <si>
    <t>13/08/2026 17:20</t>
  </si>
  <si>
    <t>09611256</t>
  </si>
  <si>
    <t>26/08/2026 16:13</t>
  </si>
  <si>
    <t>01352771</t>
  </si>
  <si>
    <t>31/08/2026 12:18</t>
  </si>
  <si>
    <t>STEPHANIE LIZETH AQUINO HERRERA</t>
  </si>
  <si>
    <t>70292339</t>
  </si>
  <si>
    <t xml:space="preserve">Jr. Juan Olaechea Arnao 1217 URB. Elio 1era Et. Lima - Lima </t>
  </si>
  <si>
    <t>966050658</t>
  </si>
  <si>
    <t>nxtsyox@gmail.com</t>
  </si>
  <si>
    <t>60423122</t>
  </si>
  <si>
    <t>03/06/2026 15:38</t>
  </si>
  <si>
    <t>06360653</t>
  </si>
  <si>
    <t>05/06/2026 14:53</t>
  </si>
  <si>
    <t>06494216</t>
  </si>
  <si>
    <t>05/06/2026 14:54</t>
  </si>
  <si>
    <t>AFP TITULAR</t>
  </si>
  <si>
    <t>Ubaldo Yovera Puruguay</t>
  </si>
  <si>
    <t>44369489</t>
  </si>
  <si>
    <t>Av. Gerardo Unger 3601</t>
  </si>
  <si>
    <t>916692937</t>
  </si>
  <si>
    <t>ubaldoyoverap@gmail.com</t>
  </si>
  <si>
    <t>04099142</t>
  </si>
  <si>
    <t>24/05/2026 18:53</t>
  </si>
  <si>
    <t>01539288</t>
  </si>
  <si>
    <t>24/05/2026 18:56</t>
  </si>
  <si>
    <t>00672532</t>
  </si>
  <si>
    <t>23/05/2026 23:59</t>
  </si>
  <si>
    <t>02493584</t>
  </si>
  <si>
    <t>7844651926764</t>
  </si>
  <si>
    <t>24/05/2026 00:00</t>
  </si>
  <si>
    <t>013309973</t>
  </si>
  <si>
    <t>24/05/2026 00:01</t>
  </si>
  <si>
    <t>E 37 - D 23</t>
  </si>
  <si>
    <t>Vivina Pasco Blas Vda. De Saenz</t>
  </si>
  <si>
    <t>08494885</t>
  </si>
  <si>
    <t>Av. Cordialidad 8079 Urb. Floresta De Pro</t>
  </si>
  <si>
    <t>0046485044</t>
  </si>
  <si>
    <t>01/05/2026 20:31</t>
  </si>
  <si>
    <t>00034</t>
  </si>
  <si>
    <t>20/08/2026 07:55</t>
  </si>
  <si>
    <t>00112</t>
  </si>
  <si>
    <t>E 36</t>
  </si>
  <si>
    <t>Walther Antonio Espinoza Gomez</t>
  </si>
  <si>
    <t>08657121</t>
  </si>
  <si>
    <t>Jr. El Chaco 2422</t>
  </si>
  <si>
    <t>998144198</t>
  </si>
  <si>
    <t>wespinozawaeg@gmail.com</t>
  </si>
  <si>
    <t>7844655534658</t>
  </si>
  <si>
    <t>07/07/2026 15:44</t>
  </si>
  <si>
    <t>039000000012211</t>
  </si>
  <si>
    <t>07/07/2026 15:45</t>
  </si>
  <si>
    <t>0270800039</t>
  </si>
  <si>
    <t>07/07/2026 15:46</t>
  </si>
  <si>
    <t>Cobranzas_2027.csv</t>
  </si>
  <si>
    <t>Beyond</t>
  </si>
  <si>
    <t>Venecia</t>
  </si>
  <si>
    <t>DEUDA TOTAL</t>
  </si>
  <si>
    <t>CLIENTES CON DEUDA</t>
  </si>
  <si>
    <t>PRADA</t>
  </si>
  <si>
    <t>CLIENTE</t>
  </si>
  <si>
    <t>Rank</t>
  </si>
  <si>
    <t>Cliente</t>
  </si>
  <si>
    <t>Unidad</t>
  </si>
  <si>
    <t>Financiamiento</t>
  </si>
  <si>
    <t>Precio Venta</t>
  </si>
  <si>
    <t>Monto Cobrado</t>
  </si>
  <si>
    <t>Monto Deuda</t>
  </si>
  <si>
    <t>Días de atraso</t>
  </si>
  <si>
    <t>Dpto 1005</t>
  </si>
  <si>
    <t>Dpto 304, Estc E 27 - D 21</t>
  </si>
  <si>
    <t>Dpto 805</t>
  </si>
  <si>
    <t>Dpto 1004</t>
  </si>
  <si>
    <t>Dpto 503</t>
  </si>
  <si>
    <t>Estc E 37 - D 28</t>
  </si>
  <si>
    <t>Dpto 402, Estc E 46 - D 35</t>
  </si>
  <si>
    <t>Estc E 09 - D 06</t>
  </si>
  <si>
    <t>Estc E 13 - D 10</t>
  </si>
  <si>
    <t>Estc E 16</t>
  </si>
  <si>
    <t>Estc E 14 - D 11</t>
  </si>
  <si>
    <t>BEYOND</t>
  </si>
  <si>
    <t>Dpto 703, Dpto 704</t>
  </si>
  <si>
    <t>Dpto 205</t>
  </si>
  <si>
    <t>Dpto 1001</t>
  </si>
  <si>
    <t>Dpto 601</t>
  </si>
  <si>
    <t>Dpto 303</t>
  </si>
  <si>
    <t>Dpto 501, Estc E 14 - D 12</t>
  </si>
  <si>
    <t>Dpto 701, Estc E 17</t>
  </si>
  <si>
    <t>Dpto 204</t>
  </si>
  <si>
    <t>Dpto 605</t>
  </si>
  <si>
    <t>Dpto 202</t>
  </si>
  <si>
    <t>Dpto 602</t>
  </si>
  <si>
    <t>Dpto 702</t>
  </si>
  <si>
    <t>Dpto 403, Estc E 06</t>
  </si>
  <si>
    <t>Dpto 302</t>
  </si>
  <si>
    <t>Dpto 305</t>
  </si>
  <si>
    <t>Dpto 1306</t>
  </si>
  <si>
    <t>Dpto 505, Estc E 05, Depósito D 05</t>
  </si>
  <si>
    <t>Dpto 503, Estc E 12 - D 10</t>
  </si>
  <si>
    <t>Dpto 1202</t>
  </si>
  <si>
    <t>Dpto 1401</t>
  </si>
  <si>
    <t>Dpto 604, Estc E 11, Depósito D 06, Depósito D 07</t>
  </si>
  <si>
    <t>Dpto 402, Estc E 44 - D 26</t>
  </si>
  <si>
    <t>Dpto 801</t>
  </si>
  <si>
    <t>Dpto 1502, Estc E 39</t>
  </si>
  <si>
    <t>Dpto 1205</t>
  </si>
  <si>
    <t>VENECIA</t>
  </si>
  <si>
    <t>Dpto 205, Estc E 20</t>
  </si>
  <si>
    <t>Dpto 602, Estc E 24 - D 5</t>
  </si>
  <si>
    <t>Dpto 402</t>
  </si>
  <si>
    <t>Dpto 601, Estc E 11</t>
  </si>
  <si>
    <t>Dpto 701</t>
  </si>
  <si>
    <t>REPORTE DE COBRANZAS POR CLIENTE</t>
  </si>
  <si>
    <t>Tipo de Financiamiento</t>
  </si>
  <si>
    <t>Monto Vendido</t>
  </si>
  <si>
    <t>Deuda</t>
  </si>
  <si>
    <t>Días Atrasados</t>
  </si>
  <si>
    <t>Unidad Inmobiliaria</t>
  </si>
  <si>
    <t>RESUMEN DE COBRANZAS</t>
  </si>
  <si>
    <t>Tasa Morosidad</t>
  </si>
  <si>
    <t>Cantidad de Clientes Morosos</t>
  </si>
  <si>
    <t>Días de Atraso Promedio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</si>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</sst>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dd/mm/yyyy"/>
    <numFmt numFmtId="167" formatCode="yyyy\-mm\-dd\ h:mm:ss"/>
    <numFmt numFmtId="168" formatCode="#,##0;\-#,##0;\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6"/>
      <color rgb="FFFFFFFF"/>
      <name val="Aptos Narrow"/>
      <family val="2"/>
    </font>
    <font>
      <b/>
      <sz val="13"/>
      <color rgb="FFFFFFFF"/>
      <name val="Aptos Narrow"/>
      <family val="2"/>
    </font>
    <font>
      <b/>
      <sz val="13"/>
      <color rgb="FF0F2344"/>
      <name val="Aptos Narrow"/>
      <family val="2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b/>
      <sz val="12"/>
      <color rgb="FFF4F6F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rgb="FF0F2344"/>
      <name val="Aptos Narrow"/>
      <family val="2"/>
    </font>
    <font>
      <b/>
      <sz val="11"/>
      <color rgb="FFFFFFFF"/>
      <name val="Aptos Narrow"/>
      <family val="2"/>
    </font>
    <font>
      <b/>
      <sz val="12"/>
      <color rgb="FF0F2344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A7679"/>
        <bgColor indexed="64"/>
      </patternFill>
    </fill>
    <fill>
      <patternFill patternType="solid">
        <fgColor rgb="FF0F2344"/>
        <bgColor indexed="64"/>
      </patternFill>
    </fill>
    <fill>
      <patternFill patternType="solid">
        <fgColor rgb="FF80171B"/>
        <bgColor indexed="64"/>
      </patternFill>
    </fill>
    <fill>
      <patternFill patternType="solid">
        <fgColor rgb="FFF2F2F2"/>
      </patternFill>
    </fill>
    <fill>
      <patternFill patternType="solid">
        <fgColor rgb="FFD0D0D0"/>
      </patternFill>
    </fill>
    <fill>
      <patternFill patternType="solid">
        <fgColor rgb="FF0F2344"/>
      </patternFill>
    </fill>
    <fill>
      <patternFill patternType="solid">
        <fgColor rgb="FFC17510"/>
      </patternFill>
    </fill>
    <fill>
      <patternFill patternType="solid">
        <fgColor rgb="FFF9DABD"/>
      </patternFill>
    </fill>
    <fill>
      <patternFill patternType="solid">
        <fgColor rgb="FFC17510"/>
        <bgColor indexed="64"/>
      </patternFill>
    </fill>
    <fill>
      <patternFill patternType="solid">
        <fgColor rgb="FFF9DABD"/>
        <bgColor indexed="64"/>
      </patternFill>
    </fill>
    <fill>
      <patternFill patternType="solid">
        <fgColor rgb="FFDC0D22"/>
      </patternFill>
    </fill>
    <fill>
      <patternFill patternType="solid">
        <fgColor theme="0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80171B"/>
      </patternFill>
    </fill>
    <fill>
      <patternFill patternType="solid">
        <fgColor theme="0"/>
      </patternFill>
    </fill>
    <fill>
      <patternFill patternType="solid">
        <fgColor rgb="FFF4F6F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01">
    <xf numFmtId="0" fontId="0" fillId="0" borderId="0" xfId="0"/>
    <xf numFmtId="0" fontId="4" fillId="0" borderId="0" xfId="0" applyFont="1"/>
    <xf numFmtId="164" fontId="0" fillId="0" borderId="0" xfId="0" applyNumberFormat="1"/>
    <xf numFmtId="0" fontId="0" fillId="0" borderId="1" xfId="0" applyBorder="1"/>
    <xf numFmtId="0" fontId="2" fillId="2" borderId="0" xfId="0" applyFont="1" applyFill="1"/>
    <xf numFmtId="0" fontId="3" fillId="3" borderId="0" xfId="0" applyFont="1" applyFill="1"/>
    <xf numFmtId="0" fontId="2" fillId="4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0" borderId="0" xfId="0" applyFont="1"/>
    <xf numFmtId="17" fontId="3" fillId="6" borderId="1" xfId="0" applyNumberFormat="1" applyFont="1" applyFill="1" applyBorder="1"/>
    <xf numFmtId="17" fontId="3" fillId="6" borderId="1" xfId="0" applyNumberFormat="1" applyFont="1" applyFill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65" fontId="0" fillId="5" borderId="1" xfId="2" applyNumberFormat="1" applyFont="1" applyFill="1" applyBorder="1" applyAlignment="1">
      <alignment horizontal="center" vertical="center"/>
    </xf>
    <xf numFmtId="0" fontId="2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5" fontId="0" fillId="0" borderId="0" xfId="0" applyNumberFormat="1"/>
    <xf numFmtId="168" fontId="3" fillId="6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 vertical="center" wrapText="1"/>
    </xf>
    <xf numFmtId="168" fontId="3" fillId="7" borderId="1" xfId="0" applyNumberFormat="1" applyFont="1" applyFill="1" applyBorder="1" applyAlignment="1">
      <alignment horizontal="center" vertical="center" wrapText="1"/>
    </xf>
    <xf numFmtId="165" fontId="3" fillId="7" borderId="2" xfId="0" applyNumberFormat="1" applyFont="1" applyFill="1" applyBorder="1" applyAlignment="1">
      <alignment horizontal="center" vertical="center" wrapText="1"/>
    </xf>
    <xf numFmtId="168" fontId="3" fillId="7" borderId="2" xfId="0" applyNumberFormat="1" applyFont="1" applyFill="1" applyBorder="1" applyAlignment="1">
      <alignment horizontal="center" vertical="center" wrapText="1"/>
    </xf>
    <xf numFmtId="168" fontId="2" fillId="4" borderId="1" xfId="1" applyNumberFormat="1" applyFont="1" applyFill="1" applyBorder="1"/>
    <xf numFmtId="168" fontId="0" fillId="5" borderId="1" xfId="1" applyNumberFormat="1" applyFont="1" applyFill="1" applyBorder="1" applyAlignment="1">
      <alignment horizontal="center" vertical="center"/>
    </xf>
    <xf numFmtId="168" fontId="0" fillId="0" borderId="1" xfId="0" applyNumberFormat="1" applyBorder="1"/>
    <xf numFmtId="168" fontId="0" fillId="0" borderId="1" xfId="1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5" fontId="0" fillId="5" borderId="1" xfId="1" applyNumberFormat="1" applyFont="1" applyFill="1" applyBorder="1" applyAlignment="1">
      <alignment horizontal="center" vertical="center"/>
    </xf>
    <xf numFmtId="168" fontId="6" fillId="5" borderId="1" xfId="1" applyNumberFormat="1" applyFont="1" applyFill="1" applyBorder="1" applyAlignment="1">
      <alignment horizontal="center" vertical="center"/>
    </xf>
    <xf numFmtId="168" fontId="6" fillId="0" borderId="0" xfId="0" applyNumberFormat="1" applyFont="1"/>
    <xf numFmtId="168" fontId="3" fillId="6" borderId="1" xfId="0" applyNumberFormat="1" applyFont="1" applyFill="1" applyBorder="1"/>
    <xf numFmtId="165" fontId="3" fillId="7" borderId="1" xfId="2" applyNumberFormat="1" applyFont="1" applyFill="1" applyBorder="1" applyAlignment="1">
      <alignment horizontal="center" vertical="center"/>
    </xf>
    <xf numFmtId="168" fontId="3" fillId="7" borderId="1" xfId="1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168" fontId="7" fillId="7" borderId="1" xfId="1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/>
    </xf>
    <xf numFmtId="168" fontId="1" fillId="0" borderId="0" xfId="1" applyNumberFormat="1"/>
    <xf numFmtId="168" fontId="1" fillId="8" borderId="0" xfId="1" applyNumberFormat="1" applyFill="1"/>
    <xf numFmtId="168" fontId="1" fillId="9" borderId="0" xfId="1" applyNumberFormat="1" applyFill="1"/>
    <xf numFmtId="168" fontId="1" fillId="2" borderId="0" xfId="0" applyNumberFormat="1" applyFont="1" applyFill="1"/>
    <xf numFmtId="0" fontId="1" fillId="0" borderId="0" xfId="0" applyFont="1"/>
    <xf numFmtId="168" fontId="1" fillId="2" borderId="0" xfId="1" applyNumberFormat="1" applyFill="1"/>
    <xf numFmtId="0" fontId="16" fillId="6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168" fontId="1" fillId="16" borderId="0" xfId="1" applyNumberFormat="1" applyFill="1" applyAlignment="1">
      <alignment horizontal="center" vertical="center" wrapText="1"/>
    </xf>
    <xf numFmtId="168" fontId="17" fillId="16" borderId="0" xfId="0" applyNumberFormat="1" applyFont="1" applyFill="1" applyAlignment="1">
      <alignment horizontal="center" vertical="center" wrapText="1"/>
    </xf>
    <xf numFmtId="165" fontId="17" fillId="16" borderId="0" xfId="0" applyNumberFormat="1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168" fontId="1" fillId="17" borderId="0" xfId="1" applyNumberFormat="1" applyFill="1" applyAlignment="1">
      <alignment horizontal="center" vertical="center" wrapText="1"/>
    </xf>
    <xf numFmtId="168" fontId="17" fillId="17" borderId="0" xfId="0" applyNumberFormat="1" applyFont="1" applyFill="1" applyAlignment="1">
      <alignment horizontal="center" vertical="center" wrapText="1"/>
    </xf>
    <xf numFmtId="165" fontId="17" fillId="17" borderId="0" xfId="0" applyNumberFormat="1" applyFont="1" applyFill="1" applyAlignment="1">
      <alignment horizontal="center" vertical="center" wrapText="1"/>
    </xf>
    <xf numFmtId="168" fontId="1" fillId="17" borderId="0" xfId="0" applyNumberFormat="1" applyFont="1" applyFill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168" fontId="17" fillId="19" borderId="0" xfId="0" applyNumberFormat="1" applyFont="1" applyFill="1" applyAlignment="1">
      <alignment horizontal="center" vertical="center" wrapText="1"/>
    </xf>
    <xf numFmtId="1" fontId="17" fillId="19" borderId="0" xfId="0" applyNumberFormat="1" applyFont="1" applyFill="1" applyAlignment="1">
      <alignment horizontal="center" vertical="center" wrapText="1"/>
    </xf>
    <xf numFmtId="0" fontId="17" fillId="20" borderId="0" xfId="0" applyFont="1" applyFill="1" applyAlignment="1">
      <alignment horizontal="center" vertical="center" wrapText="1"/>
    </xf>
    <xf numFmtId="168" fontId="17" fillId="20" borderId="0" xfId="0" applyNumberFormat="1" applyFont="1" applyFill="1" applyAlignment="1">
      <alignment horizontal="center" vertical="center" wrapText="1"/>
    </xf>
    <xf numFmtId="1" fontId="17" fillId="20" borderId="0" xfId="0" applyNumberFormat="1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68" fontId="1" fillId="16" borderId="0" xfId="0" applyNumberFormat="1" applyFont="1" applyFill="1" applyAlignment="1">
      <alignment horizontal="center" vertical="center" wrapText="1"/>
    </xf>
    <xf numFmtId="165" fontId="1" fillId="16" borderId="0" xfId="0" applyNumberFormat="1" applyFont="1" applyFill="1" applyAlignment="1">
      <alignment horizontal="center" vertical="center" wrapText="1"/>
    </xf>
    <xf numFmtId="168" fontId="17" fillId="21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17" borderId="0" xfId="0" applyFont="1" applyFill="1" applyAlignment="1">
      <alignment horizontal="center" vertical="center" wrapText="1"/>
    </xf>
    <xf numFmtId="165" fontId="1" fillId="17" borderId="0" xfId="0" applyNumberFormat="1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168" fontId="18" fillId="10" borderId="0" xfId="1" applyNumberFormat="1" applyFont="1" applyFill="1" applyAlignment="1">
      <alignment horizontal="center" vertical="center" wrapText="1"/>
    </xf>
    <xf numFmtId="165" fontId="3" fillId="6" borderId="0" xfId="0" applyNumberFormat="1" applyFont="1" applyFill="1" applyAlignment="1">
      <alignment horizontal="center" vertical="center" wrapText="1"/>
    </xf>
    <xf numFmtId="168" fontId="3" fillId="6" borderId="0" xfId="1" applyNumberFormat="1" applyFont="1" applyFill="1" applyAlignment="1">
      <alignment horizontal="center" vertical="center" wrapText="1"/>
    </xf>
    <xf numFmtId="168" fontId="3" fillId="6" borderId="0" xfId="0" applyNumberFormat="1" applyFont="1" applyFill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168" fontId="5" fillId="0" borderId="0" xfId="0" applyNumberFormat="1" applyFont="1" applyAlignment="1">
      <alignment horizontal="center"/>
    </xf>
    <xf numFmtId="0" fontId="0" fillId="0" borderId="0" xfId="0"/>
    <xf numFmtId="168" fontId="3" fillId="6" borderId="1" xfId="0" applyNumberFormat="1" applyFont="1" applyFill="1" applyBorder="1" applyAlignment="1">
      <alignment horizontal="center"/>
    </xf>
    <xf numFmtId="0" fontId="10" fillId="12" borderId="0" xfId="0" applyFont="1" applyFill="1" applyAlignment="1">
      <alignment horizontal="center" vertical="center"/>
    </xf>
    <xf numFmtId="168" fontId="17" fillId="17" borderId="0" xfId="0" applyNumberFormat="1" applyFont="1" applyFill="1" applyAlignment="1">
      <alignment horizontal="center" vertical="center" wrapText="1"/>
    </xf>
    <xf numFmtId="168" fontId="17" fillId="16" borderId="0" xfId="0" applyNumberFormat="1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168" fontId="11" fillId="13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 wrapText="1"/>
    </xf>
    <xf numFmtId="168" fontId="14" fillId="13" borderId="0" xfId="0" applyNumberFormat="1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168" fontId="12" fillId="14" borderId="0" xfId="0" applyNumberFormat="1" applyFont="1" applyFill="1" applyAlignment="1">
      <alignment horizontal="center" vertical="center"/>
    </xf>
    <xf numFmtId="0" fontId="17" fillId="19" borderId="0" xfId="0" applyFont="1" applyFill="1" applyAlignment="1">
      <alignment horizontal="center" vertical="center" wrapText="1"/>
    </xf>
    <xf numFmtId="0" fontId="17" fillId="20" borderId="0" xfId="0" applyFont="1" applyFill="1" applyAlignment="1">
      <alignment horizontal="center" vertical="center" wrapText="1"/>
    </xf>
    <xf numFmtId="165" fontId="1" fillId="19" borderId="0" xfId="0" applyNumberFormat="1" applyFont="1" applyFill="1" applyAlignment="1">
      <alignment horizontal="center" vertical="center" wrapText="1"/>
    </xf>
    <xf numFmtId="168" fontId="17" fillId="20" borderId="0" xfId="0" applyNumberFormat="1" applyFont="1" applyFill="1" applyAlignment="1">
      <alignment horizontal="center" vertical="center" wrapText="1"/>
    </xf>
    <xf numFmtId="165" fontId="1" fillId="20" borderId="0" xfId="0" applyNumberFormat="1" applyFont="1" applyFill="1" applyAlignment="1">
      <alignment horizontal="center" vertical="center" wrapText="1"/>
    </xf>
    <xf numFmtId="168" fontId="17" fillId="19" borderId="0" xfId="0" applyNumberFormat="1" applyFont="1" applyFill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2">
    <dxf>
      <font>
        <b/>
        <color rgb="FF80171B"/>
      </font>
      <fill>
        <patternFill patternType="solid">
          <bgColor rgb="FFF9DABD"/>
        </patternFill>
      </fill>
    </dxf>
    <dxf>
      <font>
        <b/>
        <color rgb="FF80171B"/>
      </font>
      <fill>
        <patternFill patternType="solid">
          <bgColor rgb="FFF9DA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0</xdr:rowOff>
    </xdr:from>
    <xdr:to>
      <xdr:col>2</xdr:col>
      <xdr:colOff>137160</xdr:colOff>
      <xdr:row>1</xdr:row>
      <xdr:rowOff>367447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1" y="0"/>
          <a:ext cx="1470659" cy="7865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0</xdr:rowOff>
    </xdr:from>
    <xdr:to>
      <xdr:col>2</xdr:col>
      <xdr:colOff>137160</xdr:colOff>
      <xdr:row>1</xdr:row>
      <xdr:rowOff>352207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1" y="0"/>
          <a:ext cx="1470659" cy="7865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0</xdr:rowOff>
    </xdr:from>
    <xdr:to>
      <xdr:col>1</xdr:col>
      <xdr:colOff>121920</xdr:colOff>
      <xdr:row>1</xdr:row>
      <xdr:rowOff>329347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1" y="0"/>
          <a:ext cx="1470659" cy="7865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14"/>
  <sheetViews>
    <sheetView topLeftCell="CD1" workbookViewId="0">
      <pane ySplit="1" topLeftCell="A2" activePane="bottomLeft" state="frozen"/>
      <selection pane="bottomLeft" activeCell="CI12" sqref="CI12"/>
    </sheetView>
  </sheetViews>
  <sheetFormatPr baseColWidth="10" defaultColWidth="8.88671875" defaultRowHeight="14.4" x14ac:dyDescent="0.3"/>
  <cols>
    <col min="1" max="87" width="15" customWidth="1"/>
  </cols>
  <sheetData>
    <row r="1" spans="1:87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</row>
    <row r="2" spans="1:87" x14ac:dyDescent="0.3">
      <c r="A2" t="s">
        <v>115</v>
      </c>
      <c r="B2" t="s">
        <v>116</v>
      </c>
      <c r="C2" t="s">
        <v>117</v>
      </c>
      <c r="D2" t="s">
        <v>118</v>
      </c>
      <c r="E2" t="s">
        <v>14</v>
      </c>
      <c r="F2" t="s">
        <v>119</v>
      </c>
      <c r="G2">
        <v>60.94</v>
      </c>
      <c r="H2">
        <v>30.59</v>
      </c>
      <c r="I2" s="14">
        <v>520400</v>
      </c>
      <c r="J2" s="14">
        <v>520400</v>
      </c>
      <c r="Q2" s="14"/>
      <c r="R2" s="14"/>
      <c r="Y2" s="14"/>
      <c r="Z2" s="14"/>
      <c r="AG2" s="14"/>
      <c r="AH2" s="14"/>
      <c r="AI2" t="s">
        <v>120</v>
      </c>
      <c r="AJ2" t="s">
        <v>121</v>
      </c>
      <c r="AK2" t="s">
        <v>122</v>
      </c>
      <c r="AL2">
        <v>978722675</v>
      </c>
      <c r="AM2" t="s">
        <v>123</v>
      </c>
      <c r="AN2" t="s">
        <v>124</v>
      </c>
      <c r="AO2" t="s">
        <v>125</v>
      </c>
      <c r="AP2" t="s">
        <v>126</v>
      </c>
      <c r="AQ2" s="15">
        <v>45578</v>
      </c>
      <c r="AR2" s="15">
        <v>45578</v>
      </c>
      <c r="AS2" t="s">
        <v>127</v>
      </c>
      <c r="AT2">
        <v>1</v>
      </c>
      <c r="AU2">
        <v>3000</v>
      </c>
      <c r="AV2">
        <v>0</v>
      </c>
      <c r="AW2">
        <v>0</v>
      </c>
      <c r="AX2" s="14">
        <v>3000</v>
      </c>
      <c r="AY2" s="14">
        <v>3000</v>
      </c>
      <c r="AZ2" s="14">
        <v>0</v>
      </c>
      <c r="BA2">
        <v>0</v>
      </c>
      <c r="BB2" t="s">
        <v>23</v>
      </c>
      <c r="BC2" t="s">
        <v>128</v>
      </c>
      <c r="BD2" t="s">
        <v>129</v>
      </c>
      <c r="BE2" t="s">
        <v>130</v>
      </c>
      <c r="BG2" t="s">
        <v>131</v>
      </c>
      <c r="BH2" t="s">
        <v>132</v>
      </c>
      <c r="BJ2">
        <v>4</v>
      </c>
      <c r="BK2" t="s">
        <v>133</v>
      </c>
      <c r="BV2" t="s">
        <v>134</v>
      </c>
      <c r="BW2" s="16">
        <v>45663.588194444441</v>
      </c>
      <c r="BX2" t="s">
        <v>135</v>
      </c>
      <c r="BZ2">
        <v>31</v>
      </c>
      <c r="CA2" t="s">
        <v>136</v>
      </c>
      <c r="CB2">
        <v>0</v>
      </c>
      <c r="CF2" t="s">
        <v>137</v>
      </c>
      <c r="CG2">
        <v>2024</v>
      </c>
      <c r="CH2" t="s">
        <v>138</v>
      </c>
      <c r="CI2" t="s">
        <v>139</v>
      </c>
    </row>
    <row r="3" spans="1:87" x14ac:dyDescent="0.3">
      <c r="A3" t="s">
        <v>115</v>
      </c>
      <c r="B3" t="s">
        <v>116</v>
      </c>
      <c r="C3" t="s">
        <v>117</v>
      </c>
      <c r="D3" t="s">
        <v>118</v>
      </c>
      <c r="E3" t="s">
        <v>140</v>
      </c>
      <c r="F3" t="s">
        <v>141</v>
      </c>
      <c r="G3">
        <v>14.63</v>
      </c>
      <c r="H3">
        <v>2.37</v>
      </c>
      <c r="I3" s="14">
        <v>56300</v>
      </c>
      <c r="J3" s="14">
        <v>56300</v>
      </c>
      <c r="Q3" s="14"/>
      <c r="R3" s="14"/>
      <c r="Y3" s="14"/>
      <c r="Z3" s="14"/>
      <c r="AG3" s="14"/>
      <c r="AH3" s="14"/>
      <c r="AI3" t="s">
        <v>120</v>
      </c>
      <c r="AJ3" t="s">
        <v>121</v>
      </c>
      <c r="AK3" t="s">
        <v>122</v>
      </c>
      <c r="AL3">
        <v>978722675</v>
      </c>
      <c r="AM3" t="s">
        <v>123</v>
      </c>
      <c r="AN3" t="s">
        <v>124</v>
      </c>
      <c r="AO3" t="s">
        <v>125</v>
      </c>
      <c r="AP3" t="s">
        <v>126</v>
      </c>
      <c r="AQ3" s="15">
        <v>45628</v>
      </c>
      <c r="AR3" s="15">
        <v>45628</v>
      </c>
      <c r="AS3" t="s">
        <v>127</v>
      </c>
      <c r="AT3">
        <v>1</v>
      </c>
      <c r="AU3">
        <v>3000</v>
      </c>
      <c r="AV3">
        <v>0</v>
      </c>
      <c r="AW3">
        <v>0</v>
      </c>
      <c r="AX3" s="14">
        <v>3000</v>
      </c>
      <c r="AY3" s="14">
        <v>3000</v>
      </c>
      <c r="AZ3" s="14">
        <v>0</v>
      </c>
      <c r="BA3">
        <v>0</v>
      </c>
      <c r="BB3" t="s">
        <v>22</v>
      </c>
      <c r="BC3" t="s">
        <v>128</v>
      </c>
      <c r="BD3" t="s">
        <v>129</v>
      </c>
      <c r="BE3" t="s">
        <v>130</v>
      </c>
      <c r="BG3" t="s">
        <v>142</v>
      </c>
      <c r="BH3" t="s">
        <v>132</v>
      </c>
      <c r="BJ3">
        <v>4</v>
      </c>
      <c r="BK3" t="s">
        <v>133</v>
      </c>
      <c r="BV3" t="s">
        <v>134</v>
      </c>
      <c r="BW3" s="16">
        <v>45748.629861111112</v>
      </c>
      <c r="BX3" t="s">
        <v>143</v>
      </c>
      <c r="BZ3">
        <v>56</v>
      </c>
      <c r="CA3" t="s">
        <v>144</v>
      </c>
      <c r="CB3">
        <v>0</v>
      </c>
      <c r="CF3" t="s">
        <v>137</v>
      </c>
      <c r="CG3">
        <v>2024</v>
      </c>
      <c r="CH3" t="s">
        <v>138</v>
      </c>
      <c r="CI3" t="s">
        <v>139</v>
      </c>
    </row>
    <row r="4" spans="1:87" x14ac:dyDescent="0.3">
      <c r="A4" t="s">
        <v>115</v>
      </c>
      <c r="B4" t="s">
        <v>116</v>
      </c>
      <c r="C4" t="s">
        <v>117</v>
      </c>
      <c r="D4" t="s">
        <v>118</v>
      </c>
      <c r="E4" t="s">
        <v>140</v>
      </c>
      <c r="F4" t="s">
        <v>141</v>
      </c>
      <c r="G4">
        <v>14.63</v>
      </c>
      <c r="H4">
        <v>2.37</v>
      </c>
      <c r="I4" s="14">
        <v>56300</v>
      </c>
      <c r="J4" s="14">
        <v>56300</v>
      </c>
      <c r="Q4" s="14"/>
      <c r="R4" s="14"/>
      <c r="Y4" s="14"/>
      <c r="Z4" s="14"/>
      <c r="AG4" s="14"/>
      <c r="AH4" s="14"/>
      <c r="AI4" t="s">
        <v>120</v>
      </c>
      <c r="AJ4" t="s">
        <v>121</v>
      </c>
      <c r="AK4" t="s">
        <v>122</v>
      </c>
      <c r="AL4">
        <v>978722675</v>
      </c>
      <c r="AM4" t="s">
        <v>123</v>
      </c>
      <c r="AN4" t="s">
        <v>124</v>
      </c>
      <c r="AO4" t="s">
        <v>125</v>
      </c>
      <c r="AP4" t="s">
        <v>126</v>
      </c>
      <c r="AQ4" s="15">
        <v>45628</v>
      </c>
      <c r="AR4" s="15">
        <v>45628</v>
      </c>
      <c r="AS4" t="s">
        <v>145</v>
      </c>
      <c r="AT4">
        <v>1</v>
      </c>
      <c r="AU4">
        <v>7000</v>
      </c>
      <c r="AV4">
        <v>0</v>
      </c>
      <c r="AW4">
        <v>0</v>
      </c>
      <c r="AX4" s="14">
        <v>7000</v>
      </c>
      <c r="AY4" s="14">
        <v>7000</v>
      </c>
      <c r="AZ4" s="14">
        <v>0</v>
      </c>
      <c r="BA4">
        <v>0</v>
      </c>
      <c r="BB4" t="s">
        <v>22</v>
      </c>
      <c r="BC4" t="s">
        <v>128</v>
      </c>
      <c r="BD4" t="s">
        <v>129</v>
      </c>
      <c r="BE4" t="s">
        <v>130</v>
      </c>
      <c r="BG4" t="s">
        <v>142</v>
      </c>
      <c r="BH4" t="s">
        <v>132</v>
      </c>
      <c r="BJ4">
        <v>4</v>
      </c>
      <c r="BK4" t="s">
        <v>133</v>
      </c>
      <c r="BV4" t="s">
        <v>134</v>
      </c>
      <c r="BW4" s="16">
        <v>45748.629861111112</v>
      </c>
      <c r="BX4" t="s">
        <v>143</v>
      </c>
      <c r="BZ4">
        <v>56</v>
      </c>
      <c r="CA4" t="s">
        <v>144</v>
      </c>
      <c r="CB4">
        <v>0</v>
      </c>
      <c r="CF4" t="s">
        <v>137</v>
      </c>
      <c r="CG4">
        <v>2024</v>
      </c>
      <c r="CH4" t="s">
        <v>138</v>
      </c>
      <c r="CI4" t="s">
        <v>139</v>
      </c>
    </row>
    <row r="5" spans="1:87" x14ac:dyDescent="0.3">
      <c r="A5" t="s">
        <v>115</v>
      </c>
      <c r="B5" t="s">
        <v>116</v>
      </c>
      <c r="C5" t="s">
        <v>117</v>
      </c>
      <c r="D5" t="s">
        <v>118</v>
      </c>
      <c r="E5" t="s">
        <v>14</v>
      </c>
      <c r="F5" t="s">
        <v>146</v>
      </c>
      <c r="G5">
        <v>55</v>
      </c>
      <c r="H5">
        <v>0</v>
      </c>
      <c r="I5" s="14">
        <v>435500</v>
      </c>
      <c r="J5" s="14">
        <v>435500</v>
      </c>
      <c r="Q5" s="14"/>
      <c r="R5" s="14"/>
      <c r="Y5" s="14"/>
      <c r="Z5" s="14"/>
      <c r="AG5" s="14"/>
      <c r="AH5" s="14"/>
      <c r="AI5" t="s">
        <v>147</v>
      </c>
      <c r="AJ5" t="s">
        <v>148</v>
      </c>
      <c r="AK5" t="s">
        <v>149</v>
      </c>
      <c r="AL5">
        <v>992532732</v>
      </c>
      <c r="AM5" t="s">
        <v>150</v>
      </c>
      <c r="AN5" t="s">
        <v>151</v>
      </c>
      <c r="AO5" t="s">
        <v>125</v>
      </c>
      <c r="AP5" t="s">
        <v>152</v>
      </c>
      <c r="AQ5" s="15">
        <v>45473</v>
      </c>
      <c r="AR5" s="15">
        <v>45473</v>
      </c>
      <c r="AS5" t="s">
        <v>127</v>
      </c>
      <c r="AT5">
        <v>1</v>
      </c>
      <c r="AU5">
        <v>3000</v>
      </c>
      <c r="AV5">
        <v>0</v>
      </c>
      <c r="AW5">
        <v>0</v>
      </c>
      <c r="AX5" s="14">
        <v>3000</v>
      </c>
      <c r="AY5" s="14">
        <v>3000</v>
      </c>
      <c r="AZ5" s="14">
        <v>0</v>
      </c>
      <c r="BA5">
        <v>0</v>
      </c>
      <c r="BB5" t="s">
        <v>23</v>
      </c>
      <c r="BC5" t="s">
        <v>128</v>
      </c>
      <c r="BD5" t="s">
        <v>129</v>
      </c>
      <c r="BE5" t="s">
        <v>130</v>
      </c>
      <c r="BF5" t="s">
        <v>148</v>
      </c>
      <c r="BG5" t="s">
        <v>153</v>
      </c>
      <c r="BH5" t="s">
        <v>132</v>
      </c>
      <c r="BI5" t="s">
        <v>154</v>
      </c>
      <c r="BJ5">
        <v>4</v>
      </c>
      <c r="BK5" t="s">
        <v>133</v>
      </c>
      <c r="BV5" t="s">
        <v>134</v>
      </c>
      <c r="BW5" s="16">
        <v>45499.613194444442</v>
      </c>
      <c r="BX5" t="s">
        <v>135</v>
      </c>
      <c r="BZ5">
        <v>34</v>
      </c>
      <c r="CA5" t="s">
        <v>155</v>
      </c>
      <c r="CB5">
        <v>0</v>
      </c>
      <c r="CF5" t="s">
        <v>137</v>
      </c>
      <c r="CG5">
        <v>2024</v>
      </c>
      <c r="CH5" t="s">
        <v>138</v>
      </c>
      <c r="CI5" t="s">
        <v>139</v>
      </c>
    </row>
    <row r="6" spans="1:87" x14ac:dyDescent="0.3">
      <c r="A6" t="s">
        <v>115</v>
      </c>
      <c r="B6" t="s">
        <v>116</v>
      </c>
      <c r="C6" t="s">
        <v>117</v>
      </c>
      <c r="D6" t="s">
        <v>118</v>
      </c>
      <c r="E6" t="s">
        <v>14</v>
      </c>
      <c r="F6" t="s">
        <v>146</v>
      </c>
      <c r="G6">
        <v>55</v>
      </c>
      <c r="H6">
        <v>0</v>
      </c>
      <c r="I6" s="14">
        <v>435500</v>
      </c>
      <c r="J6" s="14">
        <v>435500</v>
      </c>
      <c r="Q6" s="14"/>
      <c r="R6" s="14"/>
      <c r="Y6" s="14"/>
      <c r="Z6" s="14"/>
      <c r="AG6" s="14"/>
      <c r="AH6" s="14"/>
      <c r="AI6" t="s">
        <v>147</v>
      </c>
      <c r="AJ6" t="s">
        <v>148</v>
      </c>
      <c r="AK6" t="s">
        <v>149</v>
      </c>
      <c r="AL6">
        <v>992532732</v>
      </c>
      <c r="AM6" t="s">
        <v>150</v>
      </c>
      <c r="AN6" t="s">
        <v>151</v>
      </c>
      <c r="AO6" t="s">
        <v>125</v>
      </c>
      <c r="AP6" t="s">
        <v>152</v>
      </c>
      <c r="AQ6" s="15">
        <v>45499</v>
      </c>
      <c r="AR6" s="15">
        <v>45499</v>
      </c>
      <c r="AS6" t="s">
        <v>145</v>
      </c>
      <c r="AT6">
        <v>1</v>
      </c>
      <c r="AU6">
        <v>20000</v>
      </c>
      <c r="AV6">
        <v>0</v>
      </c>
      <c r="AW6">
        <v>0</v>
      </c>
      <c r="AX6" s="14">
        <v>20000</v>
      </c>
      <c r="AY6" s="14">
        <v>20000</v>
      </c>
      <c r="AZ6" s="14">
        <v>0</v>
      </c>
      <c r="BA6">
        <v>0</v>
      </c>
      <c r="BB6" t="s">
        <v>23</v>
      </c>
      <c r="BC6" t="s">
        <v>128</v>
      </c>
      <c r="BD6" t="s">
        <v>129</v>
      </c>
      <c r="BE6" t="s">
        <v>156</v>
      </c>
      <c r="BF6" t="s">
        <v>148</v>
      </c>
      <c r="BG6" t="s">
        <v>157</v>
      </c>
      <c r="BH6" t="s">
        <v>134</v>
      </c>
      <c r="BI6" t="s">
        <v>154</v>
      </c>
      <c r="BJ6">
        <v>4</v>
      </c>
      <c r="BK6" t="s">
        <v>133</v>
      </c>
      <c r="BV6" t="s">
        <v>134</v>
      </c>
      <c r="BW6" s="16">
        <v>45499.613194444442</v>
      </c>
      <c r="BX6" t="s">
        <v>135</v>
      </c>
      <c r="BZ6">
        <v>34</v>
      </c>
      <c r="CA6" t="s">
        <v>158</v>
      </c>
      <c r="CB6">
        <v>0</v>
      </c>
      <c r="CF6" t="s">
        <v>137</v>
      </c>
      <c r="CG6">
        <v>2024</v>
      </c>
      <c r="CH6" t="s">
        <v>138</v>
      </c>
      <c r="CI6" t="s">
        <v>139</v>
      </c>
    </row>
    <row r="7" spans="1:87" x14ac:dyDescent="0.3">
      <c r="A7" t="s">
        <v>115</v>
      </c>
      <c r="B7" t="s">
        <v>116</v>
      </c>
      <c r="C7" t="s">
        <v>117</v>
      </c>
      <c r="D7" t="s">
        <v>118</v>
      </c>
      <c r="E7" t="s">
        <v>14</v>
      </c>
      <c r="F7" t="s">
        <v>146</v>
      </c>
      <c r="G7">
        <v>55</v>
      </c>
      <c r="H7">
        <v>0</v>
      </c>
      <c r="I7" s="14">
        <v>435500</v>
      </c>
      <c r="J7" s="14">
        <v>435500</v>
      </c>
      <c r="Q7" s="14"/>
      <c r="R7" s="14"/>
      <c r="Y7" s="14"/>
      <c r="Z7" s="14"/>
      <c r="AG7" s="14"/>
      <c r="AH7" s="14"/>
      <c r="AI7" t="s">
        <v>147</v>
      </c>
      <c r="AJ7" t="s">
        <v>148</v>
      </c>
      <c r="AK7" t="s">
        <v>149</v>
      </c>
      <c r="AL7">
        <v>992532732</v>
      </c>
      <c r="AM7" t="s">
        <v>150</v>
      </c>
      <c r="AN7" t="s">
        <v>151</v>
      </c>
      <c r="AO7" t="s">
        <v>125</v>
      </c>
      <c r="AP7" t="s">
        <v>152</v>
      </c>
      <c r="AQ7" s="15">
        <v>45534</v>
      </c>
      <c r="AR7" s="15">
        <v>45538</v>
      </c>
      <c r="AS7" t="s">
        <v>145</v>
      </c>
      <c r="AT7">
        <v>2</v>
      </c>
      <c r="AU7">
        <v>8775</v>
      </c>
      <c r="AV7">
        <v>0</v>
      </c>
      <c r="AW7">
        <v>0</v>
      </c>
      <c r="AX7" s="14">
        <v>8775</v>
      </c>
      <c r="AY7" s="14">
        <v>8775</v>
      </c>
      <c r="AZ7" s="14">
        <v>0</v>
      </c>
      <c r="BA7">
        <v>0</v>
      </c>
      <c r="BB7" t="s">
        <v>23</v>
      </c>
      <c r="BC7" t="s">
        <v>128</v>
      </c>
      <c r="BD7" t="s">
        <v>129</v>
      </c>
      <c r="BE7" t="s">
        <v>130</v>
      </c>
      <c r="BG7" t="s">
        <v>159</v>
      </c>
      <c r="BH7" t="s">
        <v>132</v>
      </c>
      <c r="BJ7">
        <v>4</v>
      </c>
      <c r="BK7" t="s">
        <v>133</v>
      </c>
      <c r="BV7" t="s">
        <v>134</v>
      </c>
      <c r="BW7" s="16">
        <v>45499.613194444442</v>
      </c>
      <c r="BX7" t="s">
        <v>135</v>
      </c>
      <c r="BZ7">
        <v>34</v>
      </c>
      <c r="CA7" t="s">
        <v>160</v>
      </c>
      <c r="CB7">
        <v>0</v>
      </c>
      <c r="CF7" t="s">
        <v>137</v>
      </c>
      <c r="CG7">
        <v>2024</v>
      </c>
      <c r="CH7" t="s">
        <v>138</v>
      </c>
      <c r="CI7" t="s">
        <v>139</v>
      </c>
    </row>
    <row r="8" spans="1:87" x14ac:dyDescent="0.3">
      <c r="A8" t="s">
        <v>115</v>
      </c>
      <c r="B8" t="s">
        <v>116</v>
      </c>
      <c r="C8" t="s">
        <v>117</v>
      </c>
      <c r="D8" t="s">
        <v>118</v>
      </c>
      <c r="E8" t="s">
        <v>14</v>
      </c>
      <c r="F8" t="s">
        <v>146</v>
      </c>
      <c r="G8">
        <v>55</v>
      </c>
      <c r="H8">
        <v>0</v>
      </c>
      <c r="I8" s="14">
        <v>435500</v>
      </c>
      <c r="J8" s="14">
        <v>435500</v>
      </c>
      <c r="Q8" s="14"/>
      <c r="R8" s="14"/>
      <c r="Y8" s="14"/>
      <c r="Z8" s="14"/>
      <c r="AG8" s="14"/>
      <c r="AH8" s="14"/>
      <c r="AI8" t="s">
        <v>147</v>
      </c>
      <c r="AJ8" t="s">
        <v>148</v>
      </c>
      <c r="AK8" t="s">
        <v>149</v>
      </c>
      <c r="AL8">
        <v>992532732</v>
      </c>
      <c r="AM8" t="s">
        <v>150</v>
      </c>
      <c r="AN8" t="s">
        <v>151</v>
      </c>
      <c r="AO8" t="s">
        <v>125</v>
      </c>
      <c r="AP8" t="s">
        <v>152</v>
      </c>
      <c r="AQ8" s="15">
        <v>45565</v>
      </c>
      <c r="AR8" s="15">
        <v>45538</v>
      </c>
      <c r="AS8" t="s">
        <v>145</v>
      </c>
      <c r="AT8">
        <v>3</v>
      </c>
      <c r="AU8">
        <v>0</v>
      </c>
      <c r="AV8">
        <v>0</v>
      </c>
      <c r="AW8">
        <v>0</v>
      </c>
      <c r="AX8" s="14">
        <v>11775</v>
      </c>
      <c r="AY8" s="14">
        <v>1225</v>
      </c>
      <c r="AZ8" s="14">
        <v>0</v>
      </c>
      <c r="BA8">
        <v>0</v>
      </c>
      <c r="BB8" t="s">
        <v>23</v>
      </c>
      <c r="BC8" t="s">
        <v>128</v>
      </c>
      <c r="BD8" t="s">
        <v>129</v>
      </c>
      <c r="BE8" t="s">
        <v>130</v>
      </c>
      <c r="BG8" t="s">
        <v>159</v>
      </c>
      <c r="BH8" t="s">
        <v>132</v>
      </c>
      <c r="BJ8">
        <v>4</v>
      </c>
      <c r="BK8" t="s">
        <v>133</v>
      </c>
      <c r="BV8" t="s">
        <v>134</v>
      </c>
      <c r="BW8" s="16">
        <v>45499.613194444442</v>
      </c>
      <c r="BX8" t="s">
        <v>135</v>
      </c>
      <c r="BZ8">
        <v>34</v>
      </c>
      <c r="CA8" t="s">
        <v>160</v>
      </c>
      <c r="CB8">
        <v>0</v>
      </c>
      <c r="CF8" t="s">
        <v>137</v>
      </c>
      <c r="CG8">
        <v>2024</v>
      </c>
      <c r="CH8" t="s">
        <v>138</v>
      </c>
      <c r="CI8" t="s">
        <v>139</v>
      </c>
    </row>
    <row r="9" spans="1:87" x14ac:dyDescent="0.3">
      <c r="A9" t="s">
        <v>115</v>
      </c>
      <c r="B9" t="s">
        <v>116</v>
      </c>
      <c r="C9" t="s">
        <v>117</v>
      </c>
      <c r="D9" t="s">
        <v>118</v>
      </c>
      <c r="E9" t="s">
        <v>14</v>
      </c>
      <c r="F9" t="s">
        <v>146</v>
      </c>
      <c r="G9">
        <v>55</v>
      </c>
      <c r="H9">
        <v>0</v>
      </c>
      <c r="I9" s="14">
        <v>435500</v>
      </c>
      <c r="J9" s="14">
        <v>435500</v>
      </c>
      <c r="Q9" s="14"/>
      <c r="R9" s="14"/>
      <c r="Y9" s="14"/>
      <c r="Z9" s="14"/>
      <c r="AG9" s="14"/>
      <c r="AH9" s="14"/>
      <c r="AI9" t="s">
        <v>147</v>
      </c>
      <c r="AJ9" t="s">
        <v>148</v>
      </c>
      <c r="AK9" t="s">
        <v>149</v>
      </c>
      <c r="AL9">
        <v>992532732</v>
      </c>
      <c r="AM9" t="s">
        <v>150</v>
      </c>
      <c r="AN9" t="s">
        <v>151</v>
      </c>
      <c r="AO9" t="s">
        <v>125</v>
      </c>
      <c r="AP9" t="s">
        <v>152</v>
      </c>
      <c r="AQ9" s="15">
        <v>45565</v>
      </c>
      <c r="AR9" s="15">
        <v>45569</v>
      </c>
      <c r="AS9" t="s">
        <v>145</v>
      </c>
      <c r="AT9">
        <v>3</v>
      </c>
      <c r="AU9">
        <v>0</v>
      </c>
      <c r="AV9">
        <v>0</v>
      </c>
      <c r="AW9">
        <v>0</v>
      </c>
      <c r="AX9" s="14">
        <v>0</v>
      </c>
      <c r="AY9" s="14">
        <v>10000</v>
      </c>
      <c r="AZ9" s="14">
        <v>0</v>
      </c>
      <c r="BA9">
        <v>0</v>
      </c>
      <c r="BB9" t="s">
        <v>23</v>
      </c>
      <c r="BC9" t="s">
        <v>128</v>
      </c>
      <c r="BD9" t="s">
        <v>129</v>
      </c>
      <c r="BE9" t="s">
        <v>130</v>
      </c>
      <c r="BG9" t="s">
        <v>161</v>
      </c>
      <c r="BH9" t="s">
        <v>132</v>
      </c>
      <c r="BJ9">
        <v>4</v>
      </c>
      <c r="BK9" t="s">
        <v>133</v>
      </c>
      <c r="BV9" t="s">
        <v>134</v>
      </c>
      <c r="BW9" s="16">
        <v>45499.613194444442</v>
      </c>
      <c r="BX9" t="s">
        <v>135</v>
      </c>
      <c r="BZ9">
        <v>34</v>
      </c>
      <c r="CA9" t="s">
        <v>162</v>
      </c>
      <c r="CB9">
        <v>0</v>
      </c>
      <c r="CF9" t="s">
        <v>137</v>
      </c>
      <c r="CG9">
        <v>2024</v>
      </c>
      <c r="CH9" t="s">
        <v>138</v>
      </c>
      <c r="CI9" t="s">
        <v>139</v>
      </c>
    </row>
    <row r="10" spans="1:87" x14ac:dyDescent="0.3">
      <c r="A10" t="s">
        <v>115</v>
      </c>
      <c r="B10" t="s">
        <v>116</v>
      </c>
      <c r="C10" t="s">
        <v>117</v>
      </c>
      <c r="D10" t="s">
        <v>118</v>
      </c>
      <c r="E10" t="s">
        <v>14</v>
      </c>
      <c r="F10" t="s">
        <v>146</v>
      </c>
      <c r="G10">
        <v>55</v>
      </c>
      <c r="H10">
        <v>0</v>
      </c>
      <c r="I10" s="14">
        <v>435500</v>
      </c>
      <c r="J10" s="14">
        <v>435500</v>
      </c>
      <c r="Q10" s="14"/>
      <c r="R10" s="14"/>
      <c r="Y10" s="14"/>
      <c r="Z10" s="14"/>
      <c r="AG10" s="14"/>
      <c r="AH10" s="14"/>
      <c r="AI10" t="s">
        <v>147</v>
      </c>
      <c r="AJ10" t="s">
        <v>148</v>
      </c>
      <c r="AK10" t="s">
        <v>149</v>
      </c>
      <c r="AL10">
        <v>992532732</v>
      </c>
      <c r="AM10" t="s">
        <v>150</v>
      </c>
      <c r="AN10" t="s">
        <v>151</v>
      </c>
      <c r="AO10" t="s">
        <v>125</v>
      </c>
      <c r="AP10" t="s">
        <v>152</v>
      </c>
      <c r="AQ10" s="15">
        <v>45565</v>
      </c>
      <c r="AR10" s="15">
        <v>45693</v>
      </c>
      <c r="AS10" t="s">
        <v>145</v>
      </c>
      <c r="AT10">
        <v>3</v>
      </c>
      <c r="AU10">
        <v>11775</v>
      </c>
      <c r="AV10">
        <v>0</v>
      </c>
      <c r="AW10">
        <v>0</v>
      </c>
      <c r="AX10" s="14">
        <v>0</v>
      </c>
      <c r="AY10" s="14">
        <v>550</v>
      </c>
      <c r="AZ10" s="14">
        <v>0</v>
      </c>
      <c r="BA10">
        <v>0</v>
      </c>
      <c r="BB10" t="s">
        <v>23</v>
      </c>
      <c r="BC10" t="s">
        <v>128</v>
      </c>
      <c r="BD10" t="s">
        <v>129</v>
      </c>
      <c r="BE10" t="s">
        <v>130</v>
      </c>
      <c r="BG10" t="s">
        <v>163</v>
      </c>
      <c r="BH10" t="s">
        <v>132</v>
      </c>
      <c r="BJ10">
        <v>4</v>
      </c>
      <c r="BK10" t="s">
        <v>133</v>
      </c>
      <c r="BV10" t="s">
        <v>134</v>
      </c>
      <c r="BW10" s="16">
        <v>45499.613194444442</v>
      </c>
      <c r="BX10" t="s">
        <v>135</v>
      </c>
      <c r="BZ10">
        <v>34</v>
      </c>
      <c r="CA10" t="s">
        <v>164</v>
      </c>
      <c r="CB10">
        <v>0</v>
      </c>
      <c r="CF10" t="s">
        <v>137</v>
      </c>
      <c r="CG10">
        <v>2024</v>
      </c>
      <c r="CH10" t="s">
        <v>138</v>
      </c>
      <c r="CI10" t="s">
        <v>139</v>
      </c>
    </row>
    <row r="11" spans="1:87" x14ac:dyDescent="0.3">
      <c r="A11" t="s">
        <v>115</v>
      </c>
      <c r="B11" t="s">
        <v>116</v>
      </c>
      <c r="C11" t="s">
        <v>117</v>
      </c>
      <c r="D11" t="s">
        <v>118</v>
      </c>
      <c r="E11" t="s">
        <v>14</v>
      </c>
      <c r="F11" t="s">
        <v>146</v>
      </c>
      <c r="G11">
        <v>55</v>
      </c>
      <c r="H11">
        <v>0</v>
      </c>
      <c r="I11" s="14">
        <v>435500</v>
      </c>
      <c r="J11" s="14">
        <v>435500</v>
      </c>
      <c r="Q11" s="14"/>
      <c r="R11" s="14"/>
      <c r="Y11" s="14"/>
      <c r="Z11" s="14"/>
      <c r="AG11" s="14"/>
      <c r="AH11" s="14"/>
      <c r="AI11" t="s">
        <v>147</v>
      </c>
      <c r="AJ11" t="s">
        <v>148</v>
      </c>
      <c r="AK11" t="s">
        <v>149</v>
      </c>
      <c r="AL11">
        <v>992532732</v>
      </c>
      <c r="AM11" t="s">
        <v>150</v>
      </c>
      <c r="AN11" t="s">
        <v>151</v>
      </c>
      <c r="AO11" t="s">
        <v>125</v>
      </c>
      <c r="AP11" t="s">
        <v>152</v>
      </c>
      <c r="AQ11" s="15">
        <v>45656</v>
      </c>
      <c r="AR11" s="15">
        <v>45693</v>
      </c>
      <c r="AS11" t="s">
        <v>145</v>
      </c>
      <c r="AT11">
        <v>4</v>
      </c>
      <c r="AU11">
        <v>21000</v>
      </c>
      <c r="AV11">
        <v>0</v>
      </c>
      <c r="AW11">
        <v>0</v>
      </c>
      <c r="AX11" s="14">
        <v>21000</v>
      </c>
      <c r="AY11" s="14">
        <v>21000</v>
      </c>
      <c r="AZ11" s="14">
        <v>0</v>
      </c>
      <c r="BA11">
        <v>0</v>
      </c>
      <c r="BB11" t="s">
        <v>23</v>
      </c>
      <c r="BC11" t="s">
        <v>128</v>
      </c>
      <c r="BD11" t="s">
        <v>129</v>
      </c>
      <c r="BE11" t="s">
        <v>130</v>
      </c>
      <c r="BG11" t="s">
        <v>163</v>
      </c>
      <c r="BH11" t="s">
        <v>132</v>
      </c>
      <c r="BJ11">
        <v>4</v>
      </c>
      <c r="BK11" t="s">
        <v>133</v>
      </c>
      <c r="BV11" t="s">
        <v>134</v>
      </c>
      <c r="BW11" s="16">
        <v>45499.613194444442</v>
      </c>
      <c r="BX11" t="s">
        <v>135</v>
      </c>
      <c r="BZ11">
        <v>34</v>
      </c>
      <c r="CA11" t="s">
        <v>164</v>
      </c>
      <c r="CB11">
        <v>0</v>
      </c>
      <c r="CF11" t="s">
        <v>137</v>
      </c>
      <c r="CG11">
        <v>2024</v>
      </c>
      <c r="CH11" t="s">
        <v>138</v>
      </c>
      <c r="CI11" t="s">
        <v>139</v>
      </c>
    </row>
    <row r="12" spans="1:87" x14ac:dyDescent="0.3">
      <c r="A12" t="s">
        <v>165</v>
      </c>
      <c r="B12" t="s">
        <v>116</v>
      </c>
      <c r="C12" t="s">
        <v>117</v>
      </c>
      <c r="D12" t="s">
        <v>118</v>
      </c>
      <c r="E12" t="s">
        <v>14</v>
      </c>
      <c r="F12" t="s">
        <v>166</v>
      </c>
      <c r="G12">
        <v>72</v>
      </c>
      <c r="H12">
        <v>0</v>
      </c>
      <c r="I12" s="14">
        <v>532100</v>
      </c>
      <c r="J12" s="14">
        <v>500000</v>
      </c>
      <c r="K12" t="s">
        <v>117</v>
      </c>
      <c r="L12" t="s">
        <v>118</v>
      </c>
      <c r="M12" t="s">
        <v>140</v>
      </c>
      <c r="N12" t="s">
        <v>167</v>
      </c>
      <c r="O12">
        <v>12</v>
      </c>
      <c r="P12">
        <v>0</v>
      </c>
      <c r="Q12" s="14">
        <v>45600</v>
      </c>
      <c r="R12" s="14">
        <v>45600</v>
      </c>
      <c r="S12" t="s">
        <v>117</v>
      </c>
      <c r="T12" t="s">
        <v>118</v>
      </c>
      <c r="U12" t="s">
        <v>168</v>
      </c>
      <c r="V12" t="s">
        <v>169</v>
      </c>
      <c r="W12">
        <v>4.4000000000000004</v>
      </c>
      <c r="X12">
        <v>0</v>
      </c>
      <c r="Y12" s="14">
        <v>15900</v>
      </c>
      <c r="Z12" s="14">
        <v>15900</v>
      </c>
      <c r="AG12" s="14"/>
      <c r="AH12" s="14"/>
      <c r="AI12" t="s">
        <v>170</v>
      </c>
      <c r="AJ12" t="s">
        <v>171</v>
      </c>
      <c r="AK12" t="s">
        <v>172</v>
      </c>
      <c r="AL12">
        <v>0</v>
      </c>
      <c r="AM12" t="s">
        <v>173</v>
      </c>
      <c r="AN12" t="s">
        <v>174</v>
      </c>
      <c r="AQ12" s="15">
        <v>45368</v>
      </c>
      <c r="AR12" s="15">
        <v>45368</v>
      </c>
      <c r="AS12" t="s">
        <v>127</v>
      </c>
      <c r="AT12">
        <v>1</v>
      </c>
      <c r="AU12">
        <v>3000</v>
      </c>
      <c r="AV12">
        <v>0</v>
      </c>
      <c r="AW12">
        <v>0</v>
      </c>
      <c r="AX12" s="14">
        <v>3000</v>
      </c>
      <c r="AY12" s="14">
        <v>3000</v>
      </c>
      <c r="AZ12" s="14">
        <v>0</v>
      </c>
      <c r="BA12">
        <v>0</v>
      </c>
      <c r="BB12" t="s">
        <v>22</v>
      </c>
      <c r="BC12" t="s">
        <v>175</v>
      </c>
      <c r="BD12" t="s">
        <v>176</v>
      </c>
      <c r="BE12" t="s">
        <v>130</v>
      </c>
      <c r="BG12" t="s">
        <v>177</v>
      </c>
      <c r="BH12" t="s">
        <v>132</v>
      </c>
      <c r="BJ12">
        <v>4</v>
      </c>
      <c r="BK12" t="s">
        <v>133</v>
      </c>
      <c r="BV12" t="s">
        <v>134</v>
      </c>
      <c r="BW12" s="16">
        <v>45386.40347222222</v>
      </c>
      <c r="BX12" t="s">
        <v>178</v>
      </c>
      <c r="BZ12">
        <v>35</v>
      </c>
      <c r="CA12" t="s">
        <v>179</v>
      </c>
      <c r="CB12">
        <v>0</v>
      </c>
      <c r="CF12" t="s">
        <v>137</v>
      </c>
      <c r="CG12">
        <v>2024</v>
      </c>
      <c r="CH12" t="s">
        <v>138</v>
      </c>
      <c r="CI12" t="s">
        <v>139</v>
      </c>
    </row>
    <row r="13" spans="1:87" x14ac:dyDescent="0.3">
      <c r="A13" t="s">
        <v>115</v>
      </c>
      <c r="B13" t="s">
        <v>116</v>
      </c>
      <c r="C13" t="s">
        <v>117</v>
      </c>
      <c r="D13" t="s">
        <v>118</v>
      </c>
      <c r="E13" t="s">
        <v>14</v>
      </c>
      <c r="F13" t="s">
        <v>180</v>
      </c>
      <c r="G13">
        <v>88.27</v>
      </c>
      <c r="H13">
        <v>0</v>
      </c>
      <c r="I13" s="14">
        <v>654000</v>
      </c>
      <c r="J13" s="14">
        <v>654000</v>
      </c>
      <c r="K13" t="s">
        <v>117</v>
      </c>
      <c r="L13" t="s">
        <v>118</v>
      </c>
      <c r="M13" t="s">
        <v>140</v>
      </c>
      <c r="N13" t="s">
        <v>181</v>
      </c>
      <c r="O13">
        <v>15.9</v>
      </c>
      <c r="P13">
        <v>2.2599999999999998</v>
      </c>
      <c r="Q13" s="14">
        <v>57500</v>
      </c>
      <c r="R13" s="14">
        <v>57500</v>
      </c>
      <c r="Y13" s="14"/>
      <c r="Z13" s="14"/>
      <c r="AG13" s="14"/>
      <c r="AH13" s="14"/>
      <c r="AI13" t="s">
        <v>182</v>
      </c>
      <c r="AJ13" t="s">
        <v>183</v>
      </c>
      <c r="AK13" t="s">
        <v>184</v>
      </c>
      <c r="AL13">
        <v>991846561</v>
      </c>
      <c r="AM13" t="s">
        <v>185</v>
      </c>
      <c r="AN13" t="s">
        <v>186</v>
      </c>
      <c r="AO13" t="s">
        <v>125</v>
      </c>
      <c r="AP13" t="s">
        <v>187</v>
      </c>
      <c r="AQ13" s="15">
        <v>45655</v>
      </c>
      <c r="AR13" s="15">
        <v>45655</v>
      </c>
      <c r="AS13" t="s">
        <v>127</v>
      </c>
      <c r="AT13">
        <v>1</v>
      </c>
      <c r="AU13">
        <v>3000</v>
      </c>
      <c r="AV13">
        <v>0</v>
      </c>
      <c r="AW13">
        <v>0</v>
      </c>
      <c r="AX13" s="14">
        <v>3000</v>
      </c>
      <c r="AY13" s="14">
        <v>3000</v>
      </c>
      <c r="AZ13" s="14">
        <v>0</v>
      </c>
      <c r="BA13">
        <v>0</v>
      </c>
      <c r="BB13" t="s">
        <v>23</v>
      </c>
      <c r="BC13" t="s">
        <v>128</v>
      </c>
      <c r="BD13" t="s">
        <v>129</v>
      </c>
      <c r="BE13" t="s">
        <v>130</v>
      </c>
      <c r="BF13" t="s">
        <v>183</v>
      </c>
      <c r="BG13" t="s">
        <v>188</v>
      </c>
      <c r="BH13" t="s">
        <v>132</v>
      </c>
      <c r="BI13" t="s">
        <v>154</v>
      </c>
      <c r="BJ13">
        <v>4</v>
      </c>
      <c r="BK13" t="s">
        <v>133</v>
      </c>
      <c r="BV13" t="s">
        <v>134</v>
      </c>
      <c r="BW13" s="16">
        <v>45687.617361111108</v>
      </c>
      <c r="BX13" t="s">
        <v>178</v>
      </c>
      <c r="BZ13">
        <v>38</v>
      </c>
      <c r="CA13" t="s">
        <v>189</v>
      </c>
      <c r="CB13">
        <v>0</v>
      </c>
      <c r="CF13" t="s">
        <v>137</v>
      </c>
      <c r="CG13">
        <v>2024</v>
      </c>
      <c r="CH13" t="s">
        <v>138</v>
      </c>
      <c r="CI13" t="s">
        <v>139</v>
      </c>
    </row>
    <row r="14" spans="1:87" x14ac:dyDescent="0.3">
      <c r="A14" t="s">
        <v>115</v>
      </c>
      <c r="B14" t="s">
        <v>116</v>
      </c>
      <c r="C14" t="s">
        <v>117</v>
      </c>
      <c r="D14" t="s">
        <v>118</v>
      </c>
      <c r="E14" t="s">
        <v>14</v>
      </c>
      <c r="F14" t="s">
        <v>190</v>
      </c>
      <c r="G14">
        <v>68.72</v>
      </c>
      <c r="H14">
        <v>0</v>
      </c>
      <c r="I14" s="14">
        <v>490000</v>
      </c>
      <c r="J14" s="14">
        <v>490000</v>
      </c>
      <c r="Q14" s="14"/>
      <c r="R14" s="14"/>
      <c r="Y14" s="14"/>
      <c r="Z14" s="14"/>
      <c r="AG14" s="14"/>
      <c r="AH14" s="14"/>
      <c r="AI14" t="s">
        <v>191</v>
      </c>
      <c r="AJ14" t="s">
        <v>192</v>
      </c>
      <c r="AK14" t="s">
        <v>193</v>
      </c>
      <c r="AM14" t="s">
        <v>194</v>
      </c>
      <c r="AN14" t="s">
        <v>195</v>
      </c>
      <c r="AO14" t="s">
        <v>125</v>
      </c>
      <c r="AP14" t="s">
        <v>196</v>
      </c>
      <c r="AQ14" s="15">
        <v>45620</v>
      </c>
      <c r="AR14" s="15">
        <v>45620</v>
      </c>
      <c r="AS14" t="s">
        <v>127</v>
      </c>
      <c r="AT14">
        <v>1</v>
      </c>
      <c r="AU14">
        <v>2000</v>
      </c>
      <c r="AV14">
        <v>0</v>
      </c>
      <c r="AW14">
        <v>0</v>
      </c>
      <c r="AX14" s="14">
        <v>2000</v>
      </c>
      <c r="AY14" s="14">
        <v>2000</v>
      </c>
      <c r="AZ14" s="14">
        <v>0</v>
      </c>
      <c r="BA14">
        <v>0</v>
      </c>
      <c r="BB14" t="s">
        <v>23</v>
      </c>
      <c r="BC14" t="s">
        <v>128</v>
      </c>
      <c r="BD14" t="s">
        <v>129</v>
      </c>
      <c r="BE14" t="s">
        <v>130</v>
      </c>
      <c r="BG14" t="s">
        <v>197</v>
      </c>
      <c r="BH14" t="s">
        <v>132</v>
      </c>
      <c r="BJ14">
        <v>4</v>
      </c>
      <c r="BK14" t="s">
        <v>133</v>
      </c>
      <c r="BV14" t="s">
        <v>134</v>
      </c>
      <c r="BW14" s="16">
        <v>45750.732638888891</v>
      </c>
      <c r="BX14" t="s">
        <v>178</v>
      </c>
      <c r="BZ14">
        <v>5</v>
      </c>
      <c r="CA14" t="s">
        <v>198</v>
      </c>
      <c r="CB14">
        <v>0</v>
      </c>
      <c r="CF14" t="s">
        <v>137</v>
      </c>
      <c r="CG14">
        <v>2024</v>
      </c>
      <c r="CH14" t="s">
        <v>138</v>
      </c>
      <c r="CI14" t="s">
        <v>139</v>
      </c>
    </row>
    <row r="15" spans="1:87" x14ac:dyDescent="0.3">
      <c r="A15" t="s">
        <v>115</v>
      </c>
      <c r="B15" t="s">
        <v>116</v>
      </c>
      <c r="C15" t="s">
        <v>117</v>
      </c>
      <c r="D15" t="s">
        <v>118</v>
      </c>
      <c r="E15" t="s">
        <v>14</v>
      </c>
      <c r="F15" t="s">
        <v>199</v>
      </c>
      <c r="G15">
        <v>80.58</v>
      </c>
      <c r="H15">
        <v>18.899999999999999</v>
      </c>
      <c r="I15" s="14">
        <v>637000</v>
      </c>
      <c r="J15" s="14">
        <v>637000</v>
      </c>
      <c r="Q15" s="14"/>
      <c r="R15" s="14"/>
      <c r="Y15" s="14"/>
      <c r="Z15" s="14"/>
      <c r="AG15" s="14"/>
      <c r="AH15" s="14"/>
      <c r="AI15" t="s">
        <v>200</v>
      </c>
      <c r="AJ15" t="s">
        <v>201</v>
      </c>
      <c r="AK15" t="s">
        <v>202</v>
      </c>
      <c r="AL15">
        <v>955600933</v>
      </c>
      <c r="AM15" t="s">
        <v>203</v>
      </c>
      <c r="AN15" t="s">
        <v>204</v>
      </c>
      <c r="AO15" t="s">
        <v>125</v>
      </c>
      <c r="AP15" t="s">
        <v>205</v>
      </c>
      <c r="AQ15" s="15">
        <v>45595</v>
      </c>
      <c r="AR15" s="15">
        <v>45595</v>
      </c>
      <c r="AS15" t="s">
        <v>127</v>
      </c>
      <c r="AT15">
        <v>1</v>
      </c>
      <c r="AU15">
        <v>3000</v>
      </c>
      <c r="AV15">
        <v>0</v>
      </c>
      <c r="AW15">
        <v>0</v>
      </c>
      <c r="AX15" s="14">
        <v>3000</v>
      </c>
      <c r="AY15" s="14">
        <v>3000</v>
      </c>
      <c r="AZ15" s="14">
        <v>0</v>
      </c>
      <c r="BA15">
        <v>0</v>
      </c>
      <c r="BB15" t="s">
        <v>23</v>
      </c>
      <c r="BC15" t="s">
        <v>128</v>
      </c>
      <c r="BD15" t="s">
        <v>129</v>
      </c>
      <c r="BE15" t="s">
        <v>130</v>
      </c>
      <c r="BG15" t="s">
        <v>206</v>
      </c>
      <c r="BH15" t="s">
        <v>132</v>
      </c>
      <c r="BJ15">
        <v>4</v>
      </c>
      <c r="BK15" t="s">
        <v>133</v>
      </c>
      <c r="BV15" t="s">
        <v>134</v>
      </c>
      <c r="BW15" s="16">
        <v>45626.65</v>
      </c>
      <c r="BX15" t="s">
        <v>178</v>
      </c>
      <c r="BZ15">
        <v>25</v>
      </c>
      <c r="CA15" t="s">
        <v>207</v>
      </c>
      <c r="CB15">
        <v>0</v>
      </c>
      <c r="CF15" t="s">
        <v>137</v>
      </c>
      <c r="CG15">
        <v>2024</v>
      </c>
      <c r="CH15" t="s">
        <v>138</v>
      </c>
      <c r="CI15" t="s">
        <v>139</v>
      </c>
    </row>
    <row r="16" spans="1:87" x14ac:dyDescent="0.3">
      <c r="A16" t="s">
        <v>115</v>
      </c>
      <c r="B16" t="s">
        <v>116</v>
      </c>
      <c r="C16" t="s">
        <v>117</v>
      </c>
      <c r="D16" t="s">
        <v>118</v>
      </c>
      <c r="E16" t="s">
        <v>14</v>
      </c>
      <c r="F16" t="s">
        <v>199</v>
      </c>
      <c r="G16">
        <v>80.58</v>
      </c>
      <c r="H16">
        <v>18.899999999999999</v>
      </c>
      <c r="I16" s="14">
        <v>637000</v>
      </c>
      <c r="J16" s="14">
        <v>637000</v>
      </c>
      <c r="Q16" s="14"/>
      <c r="R16" s="14"/>
      <c r="Y16" s="14"/>
      <c r="Z16" s="14"/>
      <c r="AG16" s="14"/>
      <c r="AH16" s="14"/>
      <c r="AI16" t="s">
        <v>200</v>
      </c>
      <c r="AJ16" t="s">
        <v>201</v>
      </c>
      <c r="AK16" t="s">
        <v>202</v>
      </c>
      <c r="AL16">
        <v>955600933</v>
      </c>
      <c r="AM16" t="s">
        <v>203</v>
      </c>
      <c r="AN16" t="s">
        <v>204</v>
      </c>
      <c r="AO16" t="s">
        <v>125</v>
      </c>
      <c r="AP16" t="s">
        <v>205</v>
      </c>
      <c r="AQ16" s="15">
        <v>45626</v>
      </c>
      <c r="AR16" s="15">
        <v>45626</v>
      </c>
      <c r="AS16" t="s">
        <v>145</v>
      </c>
      <c r="AT16">
        <v>1</v>
      </c>
      <c r="AU16">
        <v>27000</v>
      </c>
      <c r="AV16">
        <v>0</v>
      </c>
      <c r="AW16">
        <v>0</v>
      </c>
      <c r="AX16" s="14">
        <v>27000</v>
      </c>
      <c r="AY16" s="14">
        <v>27000</v>
      </c>
      <c r="AZ16" s="14">
        <v>0</v>
      </c>
      <c r="BA16">
        <v>0</v>
      </c>
      <c r="BB16" t="s">
        <v>23</v>
      </c>
      <c r="BC16" t="s">
        <v>128</v>
      </c>
      <c r="BD16" t="s">
        <v>129</v>
      </c>
      <c r="BE16" t="s">
        <v>130</v>
      </c>
      <c r="BG16" t="s">
        <v>208</v>
      </c>
      <c r="BH16" t="s">
        <v>132</v>
      </c>
      <c r="BJ16">
        <v>4</v>
      </c>
      <c r="BK16" t="s">
        <v>133</v>
      </c>
      <c r="BV16" t="s">
        <v>134</v>
      </c>
      <c r="BW16" s="16">
        <v>45626.65</v>
      </c>
      <c r="BX16" t="s">
        <v>178</v>
      </c>
      <c r="BZ16">
        <v>25</v>
      </c>
      <c r="CA16" t="s">
        <v>209</v>
      </c>
      <c r="CB16">
        <v>0</v>
      </c>
      <c r="CF16" t="s">
        <v>137</v>
      </c>
      <c r="CG16">
        <v>2024</v>
      </c>
      <c r="CH16" t="s">
        <v>138</v>
      </c>
      <c r="CI16" t="s">
        <v>139</v>
      </c>
    </row>
    <row r="17" spans="1:87" x14ac:dyDescent="0.3">
      <c r="A17" t="s">
        <v>115</v>
      </c>
      <c r="B17" t="s">
        <v>116</v>
      </c>
      <c r="C17" t="s">
        <v>117</v>
      </c>
      <c r="D17" t="s">
        <v>118</v>
      </c>
      <c r="E17" t="s">
        <v>14</v>
      </c>
      <c r="F17" t="s">
        <v>199</v>
      </c>
      <c r="G17">
        <v>80.58</v>
      </c>
      <c r="H17">
        <v>18.899999999999999</v>
      </c>
      <c r="I17" s="14">
        <v>637000</v>
      </c>
      <c r="J17" s="14">
        <v>637000</v>
      </c>
      <c r="Q17" s="14"/>
      <c r="R17" s="14"/>
      <c r="Y17" s="14"/>
      <c r="Z17" s="14"/>
      <c r="AG17" s="14"/>
      <c r="AH17" s="14"/>
      <c r="AI17" t="s">
        <v>200</v>
      </c>
      <c r="AJ17" t="s">
        <v>201</v>
      </c>
      <c r="AK17" t="s">
        <v>202</v>
      </c>
      <c r="AL17">
        <v>955600933</v>
      </c>
      <c r="AM17" t="s">
        <v>203</v>
      </c>
      <c r="AN17" t="s">
        <v>204</v>
      </c>
      <c r="AO17" t="s">
        <v>125</v>
      </c>
      <c r="AP17" t="s">
        <v>205</v>
      </c>
      <c r="AQ17" s="15">
        <v>45626</v>
      </c>
      <c r="AR17" s="15">
        <v>45626</v>
      </c>
      <c r="AS17" t="s">
        <v>145</v>
      </c>
      <c r="AT17">
        <v>2</v>
      </c>
      <c r="AU17">
        <v>3000</v>
      </c>
      <c r="AV17">
        <v>0</v>
      </c>
      <c r="AW17">
        <v>0</v>
      </c>
      <c r="AX17" s="14">
        <v>3000</v>
      </c>
      <c r="AY17" s="14">
        <v>3000</v>
      </c>
      <c r="AZ17" s="14">
        <v>0</v>
      </c>
      <c r="BA17">
        <v>0</v>
      </c>
      <c r="BB17" t="s">
        <v>23</v>
      </c>
      <c r="BC17" t="s">
        <v>128</v>
      </c>
      <c r="BD17" t="s">
        <v>129</v>
      </c>
      <c r="BE17" t="s">
        <v>130</v>
      </c>
      <c r="BG17" t="s">
        <v>210</v>
      </c>
      <c r="BH17" t="s">
        <v>132</v>
      </c>
      <c r="BJ17">
        <v>4</v>
      </c>
      <c r="BK17" t="s">
        <v>133</v>
      </c>
      <c r="BV17" t="s">
        <v>134</v>
      </c>
      <c r="BW17" s="16">
        <v>45626.65</v>
      </c>
      <c r="BX17" t="s">
        <v>178</v>
      </c>
      <c r="BZ17">
        <v>25</v>
      </c>
      <c r="CA17" t="s">
        <v>209</v>
      </c>
      <c r="CB17">
        <v>0</v>
      </c>
      <c r="CF17" t="s">
        <v>137</v>
      </c>
      <c r="CG17">
        <v>2024</v>
      </c>
      <c r="CH17" t="s">
        <v>138</v>
      </c>
      <c r="CI17" t="s">
        <v>139</v>
      </c>
    </row>
    <row r="18" spans="1:87" x14ac:dyDescent="0.3">
      <c r="A18" t="s">
        <v>115</v>
      </c>
      <c r="B18" t="s">
        <v>116</v>
      </c>
      <c r="C18" t="s">
        <v>117</v>
      </c>
      <c r="D18" t="s">
        <v>118</v>
      </c>
      <c r="E18" t="s">
        <v>14</v>
      </c>
      <c r="F18" t="s">
        <v>199</v>
      </c>
      <c r="G18">
        <v>80.58</v>
      </c>
      <c r="H18">
        <v>18.899999999999999</v>
      </c>
      <c r="I18" s="14">
        <v>637000</v>
      </c>
      <c r="J18" s="14">
        <v>637000</v>
      </c>
      <c r="Q18" s="14"/>
      <c r="R18" s="14"/>
      <c r="Y18" s="14"/>
      <c r="Z18" s="14"/>
      <c r="AG18" s="14"/>
      <c r="AH18" s="14"/>
      <c r="AI18" t="s">
        <v>200</v>
      </c>
      <c r="AJ18" t="s">
        <v>201</v>
      </c>
      <c r="AK18" t="s">
        <v>202</v>
      </c>
      <c r="AL18">
        <v>955600933</v>
      </c>
      <c r="AM18" t="s">
        <v>203</v>
      </c>
      <c r="AN18" t="s">
        <v>204</v>
      </c>
      <c r="AO18" t="s">
        <v>125</v>
      </c>
      <c r="AP18" t="s">
        <v>205</v>
      </c>
      <c r="AQ18" s="15">
        <v>45656</v>
      </c>
      <c r="AR18" s="15">
        <v>45656</v>
      </c>
      <c r="AS18" t="s">
        <v>145</v>
      </c>
      <c r="AT18">
        <v>3</v>
      </c>
      <c r="AU18">
        <v>0</v>
      </c>
      <c r="AV18">
        <v>0</v>
      </c>
      <c r="AW18">
        <v>0</v>
      </c>
      <c r="AX18" s="14">
        <v>30700</v>
      </c>
      <c r="AY18" s="14">
        <v>30000</v>
      </c>
      <c r="AZ18" s="14">
        <v>0</v>
      </c>
      <c r="BA18">
        <v>0</v>
      </c>
      <c r="BB18" t="s">
        <v>23</v>
      </c>
      <c r="BC18" t="s">
        <v>128</v>
      </c>
      <c r="BD18" t="s">
        <v>129</v>
      </c>
      <c r="BE18" t="s">
        <v>130</v>
      </c>
      <c r="BG18" t="s">
        <v>211</v>
      </c>
      <c r="BH18" t="s">
        <v>132</v>
      </c>
      <c r="BJ18">
        <v>4</v>
      </c>
      <c r="BK18" t="s">
        <v>133</v>
      </c>
      <c r="BV18" t="s">
        <v>134</v>
      </c>
      <c r="BW18" s="16">
        <v>45626.65</v>
      </c>
      <c r="BX18" t="s">
        <v>178</v>
      </c>
      <c r="BZ18">
        <v>25</v>
      </c>
      <c r="CA18" t="s">
        <v>212</v>
      </c>
      <c r="CB18">
        <v>0</v>
      </c>
      <c r="CF18" t="s">
        <v>137</v>
      </c>
      <c r="CG18">
        <v>2024</v>
      </c>
      <c r="CH18" t="s">
        <v>138</v>
      </c>
      <c r="CI18" t="s">
        <v>139</v>
      </c>
    </row>
    <row r="19" spans="1:87" x14ac:dyDescent="0.3">
      <c r="A19" t="s">
        <v>115</v>
      </c>
      <c r="B19" t="s">
        <v>116</v>
      </c>
      <c r="C19" t="s">
        <v>117</v>
      </c>
      <c r="D19" t="s">
        <v>118</v>
      </c>
      <c r="E19" t="s">
        <v>14</v>
      </c>
      <c r="F19" t="s">
        <v>199</v>
      </c>
      <c r="G19">
        <v>80.58</v>
      </c>
      <c r="H19">
        <v>18.899999999999999</v>
      </c>
      <c r="I19" s="14">
        <v>637000</v>
      </c>
      <c r="J19" s="14">
        <v>637000</v>
      </c>
      <c r="Q19" s="14"/>
      <c r="R19" s="14"/>
      <c r="Y19" s="14"/>
      <c r="Z19" s="14"/>
      <c r="AG19" s="14"/>
      <c r="AH19" s="14"/>
      <c r="AI19" t="s">
        <v>200</v>
      </c>
      <c r="AJ19" t="s">
        <v>201</v>
      </c>
      <c r="AK19" t="s">
        <v>202</v>
      </c>
      <c r="AL19">
        <v>955600933</v>
      </c>
      <c r="AM19" t="s">
        <v>203</v>
      </c>
      <c r="AN19" t="s">
        <v>204</v>
      </c>
      <c r="AO19" t="s">
        <v>125</v>
      </c>
      <c r="AP19" t="s">
        <v>205</v>
      </c>
      <c r="AQ19" s="15">
        <v>45656</v>
      </c>
      <c r="AR19" s="15">
        <v>45656</v>
      </c>
      <c r="AS19" t="s">
        <v>145</v>
      </c>
      <c r="AT19">
        <v>3</v>
      </c>
      <c r="AU19">
        <v>30700</v>
      </c>
      <c r="AV19">
        <v>0</v>
      </c>
      <c r="AW19">
        <v>0</v>
      </c>
      <c r="AX19" s="14">
        <v>0</v>
      </c>
      <c r="AY19" s="14">
        <v>700</v>
      </c>
      <c r="AZ19" s="14">
        <v>0</v>
      </c>
      <c r="BA19">
        <v>0</v>
      </c>
      <c r="BB19" t="s">
        <v>23</v>
      </c>
      <c r="BC19" t="s">
        <v>128</v>
      </c>
      <c r="BD19" t="s">
        <v>129</v>
      </c>
      <c r="BE19" t="s">
        <v>130</v>
      </c>
      <c r="BG19" t="s">
        <v>213</v>
      </c>
      <c r="BH19" t="s">
        <v>132</v>
      </c>
      <c r="BJ19">
        <v>4</v>
      </c>
      <c r="BK19" t="s">
        <v>133</v>
      </c>
      <c r="BV19" t="s">
        <v>134</v>
      </c>
      <c r="BW19" s="16">
        <v>45626.65</v>
      </c>
      <c r="BX19" t="s">
        <v>178</v>
      </c>
      <c r="BZ19">
        <v>25</v>
      </c>
      <c r="CA19" t="s">
        <v>214</v>
      </c>
      <c r="CB19">
        <v>0</v>
      </c>
      <c r="CF19" t="s">
        <v>137</v>
      </c>
      <c r="CG19">
        <v>2024</v>
      </c>
      <c r="CH19" t="s">
        <v>138</v>
      </c>
      <c r="CI19" t="s">
        <v>139</v>
      </c>
    </row>
    <row r="20" spans="1:87" x14ac:dyDescent="0.3">
      <c r="A20" t="s">
        <v>115</v>
      </c>
      <c r="B20" t="s">
        <v>116</v>
      </c>
      <c r="C20" t="s">
        <v>117</v>
      </c>
      <c r="D20" t="s">
        <v>118</v>
      </c>
      <c r="E20" t="s">
        <v>14</v>
      </c>
      <c r="F20" t="s">
        <v>215</v>
      </c>
      <c r="G20">
        <v>88.27</v>
      </c>
      <c r="H20">
        <v>0</v>
      </c>
      <c r="I20" s="14">
        <v>654000</v>
      </c>
      <c r="J20" s="14">
        <v>654000</v>
      </c>
      <c r="K20" t="s">
        <v>117</v>
      </c>
      <c r="L20" t="s">
        <v>118</v>
      </c>
      <c r="M20" t="s">
        <v>140</v>
      </c>
      <c r="N20" t="s">
        <v>216</v>
      </c>
      <c r="O20">
        <v>13</v>
      </c>
      <c r="P20">
        <v>3.89</v>
      </c>
      <c r="Q20" s="14">
        <v>56300</v>
      </c>
      <c r="R20" s="14">
        <v>56300</v>
      </c>
      <c r="Y20" s="14"/>
      <c r="Z20" s="14"/>
      <c r="AG20" s="14"/>
      <c r="AH20" s="14"/>
      <c r="AI20" t="s">
        <v>217</v>
      </c>
      <c r="AJ20" t="s">
        <v>218</v>
      </c>
      <c r="AK20" t="s">
        <v>219</v>
      </c>
      <c r="AM20" t="s">
        <v>220</v>
      </c>
      <c r="AN20" t="s">
        <v>221</v>
      </c>
      <c r="AO20" t="s">
        <v>125</v>
      </c>
      <c r="AP20" t="s">
        <v>205</v>
      </c>
      <c r="AQ20" s="15">
        <v>45535</v>
      </c>
      <c r="AR20" s="15">
        <v>45535</v>
      </c>
      <c r="AS20" t="s">
        <v>127</v>
      </c>
      <c r="AT20">
        <v>1</v>
      </c>
      <c r="AU20">
        <v>3000</v>
      </c>
      <c r="AV20">
        <v>0</v>
      </c>
      <c r="AW20">
        <v>0</v>
      </c>
      <c r="AX20" s="14">
        <v>3000</v>
      </c>
      <c r="AY20" s="14">
        <v>3000</v>
      </c>
      <c r="AZ20" s="14">
        <v>0</v>
      </c>
      <c r="BA20">
        <v>0</v>
      </c>
      <c r="BB20" t="s">
        <v>22</v>
      </c>
      <c r="BC20" t="s">
        <v>128</v>
      </c>
      <c r="BD20" t="s">
        <v>129</v>
      </c>
      <c r="BE20" t="s">
        <v>222</v>
      </c>
      <c r="BF20" t="s">
        <v>218</v>
      </c>
      <c r="BG20" t="s">
        <v>223</v>
      </c>
      <c r="BH20" t="s">
        <v>132</v>
      </c>
      <c r="BI20" t="s">
        <v>154</v>
      </c>
      <c r="BJ20">
        <v>1</v>
      </c>
      <c r="BK20" t="s">
        <v>133</v>
      </c>
      <c r="BV20" t="s">
        <v>134</v>
      </c>
      <c r="BW20" s="16">
        <v>45539.380555555559</v>
      </c>
      <c r="BX20" t="s">
        <v>178</v>
      </c>
      <c r="BZ20">
        <v>24</v>
      </c>
      <c r="CA20" t="s">
        <v>224</v>
      </c>
      <c r="CB20">
        <v>0</v>
      </c>
      <c r="CF20" t="s">
        <v>137</v>
      </c>
      <c r="CG20">
        <v>2024</v>
      </c>
      <c r="CH20" t="s">
        <v>138</v>
      </c>
      <c r="CI20" t="s">
        <v>139</v>
      </c>
    </row>
    <row r="21" spans="1:87" x14ac:dyDescent="0.3">
      <c r="A21" t="s">
        <v>115</v>
      </c>
      <c r="B21" t="s">
        <v>116</v>
      </c>
      <c r="C21" t="s">
        <v>117</v>
      </c>
      <c r="D21" t="s">
        <v>118</v>
      </c>
      <c r="E21" t="s">
        <v>14</v>
      </c>
      <c r="F21" t="s">
        <v>215</v>
      </c>
      <c r="G21">
        <v>88.27</v>
      </c>
      <c r="H21">
        <v>0</v>
      </c>
      <c r="I21" s="14">
        <v>654000</v>
      </c>
      <c r="J21" s="14">
        <v>654000</v>
      </c>
      <c r="K21" t="s">
        <v>117</v>
      </c>
      <c r="L21" t="s">
        <v>118</v>
      </c>
      <c r="M21" t="s">
        <v>140</v>
      </c>
      <c r="N21" t="s">
        <v>216</v>
      </c>
      <c r="O21">
        <v>13</v>
      </c>
      <c r="P21">
        <v>3.89</v>
      </c>
      <c r="Q21" s="14">
        <v>56300</v>
      </c>
      <c r="R21" s="14">
        <v>56300</v>
      </c>
      <c r="Y21" s="14"/>
      <c r="Z21" s="14"/>
      <c r="AG21" s="14"/>
      <c r="AH21" s="14"/>
      <c r="AI21" t="s">
        <v>217</v>
      </c>
      <c r="AJ21" t="s">
        <v>218</v>
      </c>
      <c r="AK21" t="s">
        <v>219</v>
      </c>
      <c r="AM21" t="s">
        <v>220</v>
      </c>
      <c r="AN21" t="s">
        <v>221</v>
      </c>
      <c r="AO21" t="s">
        <v>125</v>
      </c>
      <c r="AP21" t="s">
        <v>205</v>
      </c>
      <c r="AQ21" s="15">
        <v>45539</v>
      </c>
      <c r="AR21" s="15">
        <v>45539</v>
      </c>
      <c r="AS21" t="s">
        <v>145</v>
      </c>
      <c r="AT21">
        <v>2</v>
      </c>
      <c r="AU21">
        <v>281120</v>
      </c>
      <c r="AV21">
        <v>0</v>
      </c>
      <c r="AW21">
        <v>0</v>
      </c>
      <c r="AX21" s="14">
        <v>281120</v>
      </c>
      <c r="AY21" s="14">
        <v>281120</v>
      </c>
      <c r="AZ21" s="14">
        <v>0</v>
      </c>
      <c r="BA21">
        <v>0</v>
      </c>
      <c r="BB21" t="s">
        <v>22</v>
      </c>
      <c r="BC21" t="s">
        <v>128</v>
      </c>
      <c r="BD21" t="s">
        <v>129</v>
      </c>
      <c r="BE21" t="s">
        <v>130</v>
      </c>
      <c r="BG21" t="s">
        <v>225</v>
      </c>
      <c r="BH21" t="s">
        <v>132</v>
      </c>
      <c r="BJ21">
        <v>4</v>
      </c>
      <c r="BK21" t="s">
        <v>133</v>
      </c>
      <c r="BV21" t="s">
        <v>134</v>
      </c>
      <c r="BW21" s="16">
        <v>45539.380555555559</v>
      </c>
      <c r="BX21" t="s">
        <v>178</v>
      </c>
      <c r="BZ21">
        <v>24</v>
      </c>
      <c r="CA21" t="s">
        <v>226</v>
      </c>
      <c r="CB21">
        <v>0</v>
      </c>
      <c r="CF21" t="s">
        <v>137</v>
      </c>
      <c r="CG21">
        <v>2024</v>
      </c>
      <c r="CH21" t="s">
        <v>138</v>
      </c>
      <c r="CI21" t="s">
        <v>139</v>
      </c>
    </row>
    <row r="22" spans="1:87" x14ac:dyDescent="0.3">
      <c r="A22" t="s">
        <v>115</v>
      </c>
      <c r="B22" t="s">
        <v>116</v>
      </c>
      <c r="C22" t="s">
        <v>117</v>
      </c>
      <c r="D22" t="s">
        <v>118</v>
      </c>
      <c r="E22" t="s">
        <v>14</v>
      </c>
      <c r="F22" t="s">
        <v>215</v>
      </c>
      <c r="G22">
        <v>88.27</v>
      </c>
      <c r="H22">
        <v>0</v>
      </c>
      <c r="I22" s="14">
        <v>654000</v>
      </c>
      <c r="J22" s="14">
        <v>654000</v>
      </c>
      <c r="K22" t="s">
        <v>117</v>
      </c>
      <c r="L22" t="s">
        <v>118</v>
      </c>
      <c r="M22" t="s">
        <v>140</v>
      </c>
      <c r="N22" t="s">
        <v>216</v>
      </c>
      <c r="O22">
        <v>13</v>
      </c>
      <c r="P22">
        <v>3.89</v>
      </c>
      <c r="Q22" s="14">
        <v>56300</v>
      </c>
      <c r="R22" s="14">
        <v>56300</v>
      </c>
      <c r="Y22" s="14"/>
      <c r="Z22" s="14"/>
      <c r="AG22" s="14"/>
      <c r="AH22" s="14"/>
      <c r="AI22" t="s">
        <v>217</v>
      </c>
      <c r="AJ22" t="s">
        <v>218</v>
      </c>
      <c r="AK22" t="s">
        <v>219</v>
      </c>
      <c r="AM22" t="s">
        <v>220</v>
      </c>
      <c r="AN22" t="s">
        <v>221</v>
      </c>
      <c r="AO22" t="s">
        <v>125</v>
      </c>
      <c r="AP22" t="s">
        <v>205</v>
      </c>
      <c r="AQ22" s="15">
        <v>45559</v>
      </c>
      <c r="AR22" s="15">
        <v>45559</v>
      </c>
      <c r="AS22" t="s">
        <v>227</v>
      </c>
      <c r="AT22">
        <v>3</v>
      </c>
      <c r="AU22">
        <v>248605</v>
      </c>
      <c r="AV22">
        <v>0</v>
      </c>
      <c r="AW22">
        <v>0</v>
      </c>
      <c r="AX22" s="14">
        <v>248605</v>
      </c>
      <c r="AY22" s="14">
        <v>248605</v>
      </c>
      <c r="AZ22" s="14">
        <v>0</v>
      </c>
      <c r="BA22">
        <v>0</v>
      </c>
      <c r="BB22" t="s">
        <v>22</v>
      </c>
      <c r="BC22" t="s">
        <v>128</v>
      </c>
      <c r="BD22" t="s">
        <v>129</v>
      </c>
      <c r="BE22" t="s">
        <v>130</v>
      </c>
      <c r="BG22" t="s">
        <v>228</v>
      </c>
      <c r="BH22" t="s">
        <v>132</v>
      </c>
      <c r="BJ22">
        <v>4</v>
      </c>
      <c r="BK22" t="s">
        <v>133</v>
      </c>
      <c r="BV22" t="s">
        <v>134</v>
      </c>
      <c r="BW22" s="16">
        <v>45539.380555555559</v>
      </c>
      <c r="BX22" t="s">
        <v>178</v>
      </c>
      <c r="BZ22">
        <v>24</v>
      </c>
      <c r="CA22" t="s">
        <v>229</v>
      </c>
      <c r="CB22">
        <v>0</v>
      </c>
      <c r="CF22" t="s">
        <v>137</v>
      </c>
      <c r="CG22">
        <v>2024</v>
      </c>
      <c r="CH22" t="s">
        <v>138</v>
      </c>
      <c r="CI22" t="s">
        <v>139</v>
      </c>
    </row>
    <row r="23" spans="1:87" x14ac:dyDescent="0.3">
      <c r="A23" t="s">
        <v>115</v>
      </c>
      <c r="B23" t="s">
        <v>116</v>
      </c>
      <c r="C23" t="s">
        <v>117</v>
      </c>
      <c r="D23" t="s">
        <v>118</v>
      </c>
      <c r="E23" t="s">
        <v>14</v>
      </c>
      <c r="F23" t="s">
        <v>230</v>
      </c>
      <c r="G23">
        <v>68.52</v>
      </c>
      <c r="H23">
        <v>31.7</v>
      </c>
      <c r="I23" s="14">
        <v>609100</v>
      </c>
      <c r="J23" s="14">
        <v>609100</v>
      </c>
      <c r="K23" t="s">
        <v>117</v>
      </c>
      <c r="L23" t="s">
        <v>118</v>
      </c>
      <c r="M23" t="s">
        <v>140</v>
      </c>
      <c r="N23" t="s">
        <v>231</v>
      </c>
      <c r="O23">
        <v>14.6</v>
      </c>
      <c r="P23">
        <v>3.89</v>
      </c>
      <c r="Q23" s="14">
        <v>64600</v>
      </c>
      <c r="R23" s="14">
        <v>64600</v>
      </c>
      <c r="Y23" s="14"/>
      <c r="Z23" s="14"/>
      <c r="AG23" s="14"/>
      <c r="AH23" s="14"/>
      <c r="AI23" t="s">
        <v>232</v>
      </c>
      <c r="AJ23" t="s">
        <v>233</v>
      </c>
      <c r="AK23" t="s">
        <v>234</v>
      </c>
      <c r="AL23">
        <v>966422784</v>
      </c>
      <c r="AM23" t="s">
        <v>235</v>
      </c>
      <c r="AN23" t="s">
        <v>236</v>
      </c>
      <c r="AO23" t="s">
        <v>125</v>
      </c>
      <c r="AP23" t="s">
        <v>152</v>
      </c>
      <c r="AQ23" s="15">
        <v>45494</v>
      </c>
      <c r="AR23" s="15">
        <v>45494</v>
      </c>
      <c r="AS23" t="s">
        <v>127</v>
      </c>
      <c r="AT23">
        <v>1</v>
      </c>
      <c r="AU23">
        <v>3000</v>
      </c>
      <c r="AV23">
        <v>0</v>
      </c>
      <c r="AW23">
        <v>0</v>
      </c>
      <c r="AX23" s="14">
        <v>3000</v>
      </c>
      <c r="AY23" s="14">
        <v>3000</v>
      </c>
      <c r="AZ23" s="14">
        <v>0</v>
      </c>
      <c r="BA23">
        <v>0</v>
      </c>
      <c r="BB23" t="s">
        <v>23</v>
      </c>
      <c r="BC23" t="s">
        <v>128</v>
      </c>
      <c r="BD23" t="s">
        <v>129</v>
      </c>
      <c r="BE23" t="s">
        <v>130</v>
      </c>
      <c r="BF23" t="s">
        <v>233</v>
      </c>
      <c r="BG23" t="s">
        <v>237</v>
      </c>
      <c r="BH23" t="s">
        <v>132</v>
      </c>
      <c r="BI23" t="s">
        <v>154</v>
      </c>
      <c r="BJ23">
        <v>4</v>
      </c>
      <c r="BK23" t="s">
        <v>133</v>
      </c>
      <c r="BV23" t="s">
        <v>134</v>
      </c>
      <c r="BW23" s="16">
        <v>45537.593055555553</v>
      </c>
      <c r="BX23" t="s">
        <v>135</v>
      </c>
      <c r="BZ23">
        <v>32</v>
      </c>
      <c r="CA23" t="s">
        <v>238</v>
      </c>
      <c r="CB23">
        <v>0</v>
      </c>
      <c r="CF23" t="s">
        <v>137</v>
      </c>
      <c r="CG23">
        <v>2024</v>
      </c>
      <c r="CH23" t="s">
        <v>138</v>
      </c>
      <c r="CI23" t="s">
        <v>139</v>
      </c>
    </row>
    <row r="24" spans="1:87" x14ac:dyDescent="0.3">
      <c r="A24" t="s">
        <v>115</v>
      </c>
      <c r="B24" t="s">
        <v>116</v>
      </c>
      <c r="C24" t="s">
        <v>117</v>
      </c>
      <c r="D24" t="s">
        <v>118</v>
      </c>
      <c r="E24" t="s">
        <v>14</v>
      </c>
      <c r="F24" t="s">
        <v>230</v>
      </c>
      <c r="G24">
        <v>68.52</v>
      </c>
      <c r="H24">
        <v>31.7</v>
      </c>
      <c r="I24" s="14">
        <v>609100</v>
      </c>
      <c r="J24" s="14">
        <v>609100</v>
      </c>
      <c r="K24" t="s">
        <v>117</v>
      </c>
      <c r="L24" t="s">
        <v>118</v>
      </c>
      <c r="M24" t="s">
        <v>140</v>
      </c>
      <c r="N24" t="s">
        <v>231</v>
      </c>
      <c r="O24">
        <v>14.6</v>
      </c>
      <c r="P24">
        <v>3.89</v>
      </c>
      <c r="Q24" s="14">
        <v>64600</v>
      </c>
      <c r="R24" s="14">
        <v>64600</v>
      </c>
      <c r="Y24" s="14"/>
      <c r="Z24" s="14"/>
      <c r="AG24" s="14"/>
      <c r="AH24" s="14"/>
      <c r="AI24" t="s">
        <v>232</v>
      </c>
      <c r="AJ24" t="s">
        <v>233</v>
      </c>
      <c r="AK24" t="s">
        <v>234</v>
      </c>
      <c r="AL24">
        <v>966422784</v>
      </c>
      <c r="AM24" t="s">
        <v>235</v>
      </c>
      <c r="AN24" t="s">
        <v>236</v>
      </c>
      <c r="AO24" t="s">
        <v>125</v>
      </c>
      <c r="AP24" t="s">
        <v>152</v>
      </c>
      <c r="AQ24" s="15">
        <v>45537</v>
      </c>
      <c r="AR24" s="15">
        <v>45537</v>
      </c>
      <c r="AS24" t="s">
        <v>145</v>
      </c>
      <c r="AT24">
        <v>1</v>
      </c>
      <c r="AU24">
        <v>134740</v>
      </c>
      <c r="AV24">
        <v>0</v>
      </c>
      <c r="AW24">
        <v>0</v>
      </c>
      <c r="AX24" s="14">
        <v>134740</v>
      </c>
      <c r="AY24" s="14">
        <v>134740</v>
      </c>
      <c r="AZ24" s="14">
        <v>0</v>
      </c>
      <c r="BA24">
        <v>0</v>
      </c>
      <c r="BB24" t="s">
        <v>23</v>
      </c>
      <c r="BC24" t="s">
        <v>128</v>
      </c>
      <c r="BD24" t="s">
        <v>129</v>
      </c>
      <c r="BE24" t="s">
        <v>130</v>
      </c>
      <c r="BF24" t="s">
        <v>233</v>
      </c>
      <c r="BG24" t="s">
        <v>239</v>
      </c>
      <c r="BH24" t="s">
        <v>132</v>
      </c>
      <c r="BI24" t="s">
        <v>154</v>
      </c>
      <c r="BJ24">
        <v>4</v>
      </c>
      <c r="BK24" t="s">
        <v>133</v>
      </c>
      <c r="BV24" t="s">
        <v>134</v>
      </c>
      <c r="BW24" s="16">
        <v>45537.593055555553</v>
      </c>
      <c r="BX24" t="s">
        <v>135</v>
      </c>
      <c r="BZ24">
        <v>32</v>
      </c>
      <c r="CA24" t="s">
        <v>240</v>
      </c>
      <c r="CB24">
        <v>0</v>
      </c>
      <c r="CF24" t="s">
        <v>137</v>
      </c>
      <c r="CG24">
        <v>2024</v>
      </c>
      <c r="CH24" t="s">
        <v>138</v>
      </c>
      <c r="CI24" t="s">
        <v>139</v>
      </c>
    </row>
    <row r="25" spans="1:87" x14ac:dyDescent="0.3">
      <c r="A25" t="s">
        <v>115</v>
      </c>
      <c r="B25" t="s">
        <v>116</v>
      </c>
      <c r="C25" t="s">
        <v>117</v>
      </c>
      <c r="D25" t="s">
        <v>118</v>
      </c>
      <c r="E25" t="s">
        <v>14</v>
      </c>
      <c r="F25" t="s">
        <v>241</v>
      </c>
      <c r="G25">
        <v>68.72</v>
      </c>
      <c r="H25">
        <v>0</v>
      </c>
      <c r="I25" s="14">
        <v>501000</v>
      </c>
      <c r="J25" s="14">
        <v>501000</v>
      </c>
      <c r="K25" t="s">
        <v>117</v>
      </c>
      <c r="L25" t="s">
        <v>118</v>
      </c>
      <c r="M25" t="s">
        <v>140</v>
      </c>
      <c r="N25" t="s">
        <v>242</v>
      </c>
      <c r="O25">
        <v>15.4</v>
      </c>
      <c r="P25">
        <v>2.2599999999999998</v>
      </c>
      <c r="Q25" s="14">
        <v>57300</v>
      </c>
      <c r="R25" s="14">
        <v>57300</v>
      </c>
      <c r="Y25" s="14"/>
      <c r="Z25" s="14"/>
      <c r="AG25" s="14"/>
      <c r="AH25" s="14"/>
      <c r="AI25" t="s">
        <v>243</v>
      </c>
      <c r="AJ25" t="s">
        <v>244</v>
      </c>
      <c r="AK25" t="s">
        <v>245</v>
      </c>
      <c r="AM25" t="s">
        <v>246</v>
      </c>
      <c r="AN25" t="s">
        <v>247</v>
      </c>
      <c r="AO25" t="s">
        <v>125</v>
      </c>
      <c r="AP25" t="s">
        <v>248</v>
      </c>
      <c r="AQ25" s="15">
        <v>45338</v>
      </c>
      <c r="AR25" s="15">
        <v>45698</v>
      </c>
      <c r="AS25" t="s">
        <v>127</v>
      </c>
      <c r="AT25">
        <v>1</v>
      </c>
      <c r="AU25">
        <v>3000</v>
      </c>
      <c r="AV25">
        <v>0</v>
      </c>
      <c r="AW25">
        <v>0</v>
      </c>
      <c r="AX25" s="14">
        <v>3000</v>
      </c>
      <c r="AY25" s="14">
        <v>3000</v>
      </c>
      <c r="AZ25" s="14">
        <v>0</v>
      </c>
      <c r="BA25">
        <v>0</v>
      </c>
      <c r="BB25" t="s">
        <v>23</v>
      </c>
      <c r="BC25" t="s">
        <v>128</v>
      </c>
      <c r="BD25" t="s">
        <v>129</v>
      </c>
      <c r="BE25" t="s">
        <v>130</v>
      </c>
      <c r="BF25" t="s">
        <v>244</v>
      </c>
      <c r="BG25" t="s">
        <v>249</v>
      </c>
      <c r="BH25" t="s">
        <v>132</v>
      </c>
      <c r="BI25" t="s">
        <v>154</v>
      </c>
      <c r="BJ25">
        <v>1</v>
      </c>
      <c r="BK25" t="s">
        <v>133</v>
      </c>
      <c r="BV25" t="s">
        <v>134</v>
      </c>
      <c r="BW25" s="16">
        <v>45709.696527777778</v>
      </c>
      <c r="BX25" t="s">
        <v>178</v>
      </c>
      <c r="BZ25">
        <v>10</v>
      </c>
      <c r="CA25" t="s">
        <v>224</v>
      </c>
      <c r="CB25">
        <v>0</v>
      </c>
      <c r="CF25" t="s">
        <v>137</v>
      </c>
      <c r="CG25">
        <v>2024</v>
      </c>
      <c r="CH25" t="s">
        <v>138</v>
      </c>
      <c r="CI25" t="s">
        <v>139</v>
      </c>
    </row>
    <row r="26" spans="1:87" x14ac:dyDescent="0.3">
      <c r="A26" t="s">
        <v>115</v>
      </c>
      <c r="B26" t="s">
        <v>116</v>
      </c>
      <c r="C26" t="s">
        <v>117</v>
      </c>
      <c r="D26" t="s">
        <v>118</v>
      </c>
      <c r="E26" t="s">
        <v>14</v>
      </c>
      <c r="F26" t="s">
        <v>250</v>
      </c>
      <c r="G26">
        <v>84</v>
      </c>
      <c r="H26">
        <v>0</v>
      </c>
      <c r="I26" s="14">
        <v>622500</v>
      </c>
      <c r="J26" s="14">
        <v>622500</v>
      </c>
      <c r="Q26" s="14"/>
      <c r="R26" s="14"/>
      <c r="Y26" s="14"/>
      <c r="Z26" s="14"/>
      <c r="AG26" s="14"/>
      <c r="AH26" s="14"/>
      <c r="AI26" t="s">
        <v>251</v>
      </c>
      <c r="AJ26" t="s">
        <v>252</v>
      </c>
      <c r="AK26" t="s">
        <v>253</v>
      </c>
      <c r="AM26" t="s">
        <v>254</v>
      </c>
      <c r="AN26" t="s">
        <v>255</v>
      </c>
      <c r="AO26" t="s">
        <v>125</v>
      </c>
      <c r="AP26" t="s">
        <v>256</v>
      </c>
      <c r="AQ26" s="15">
        <v>45479</v>
      </c>
      <c r="AR26" s="15">
        <v>45479</v>
      </c>
      <c r="AS26" t="s">
        <v>145</v>
      </c>
      <c r="AT26">
        <v>1</v>
      </c>
      <c r="AU26">
        <v>3000</v>
      </c>
      <c r="AV26">
        <v>0</v>
      </c>
      <c r="AW26">
        <v>0</v>
      </c>
      <c r="AX26" s="14">
        <v>3000</v>
      </c>
      <c r="AY26" s="14">
        <v>3000</v>
      </c>
      <c r="AZ26" s="14">
        <v>0</v>
      </c>
      <c r="BA26">
        <v>0</v>
      </c>
      <c r="BB26" t="s">
        <v>24</v>
      </c>
      <c r="BC26" t="s">
        <v>128</v>
      </c>
      <c r="BD26" t="s">
        <v>129</v>
      </c>
      <c r="BE26" t="s">
        <v>130</v>
      </c>
      <c r="BG26" t="s">
        <v>257</v>
      </c>
      <c r="BH26" t="s">
        <v>134</v>
      </c>
      <c r="BJ26">
        <v>4</v>
      </c>
      <c r="BK26" t="s">
        <v>133</v>
      </c>
      <c r="BV26" t="s">
        <v>134</v>
      </c>
      <c r="BW26" s="16">
        <v>45488.654861111107</v>
      </c>
      <c r="BX26" t="s">
        <v>178</v>
      </c>
      <c r="BZ26">
        <v>6</v>
      </c>
      <c r="CA26" t="s">
        <v>258</v>
      </c>
      <c r="CB26">
        <v>0</v>
      </c>
      <c r="CF26" t="s">
        <v>137</v>
      </c>
      <c r="CG26">
        <v>2024</v>
      </c>
      <c r="CH26" t="s">
        <v>138</v>
      </c>
      <c r="CI26" t="s">
        <v>139</v>
      </c>
    </row>
    <row r="27" spans="1:87" x14ac:dyDescent="0.3">
      <c r="A27" t="s">
        <v>115</v>
      </c>
      <c r="B27" t="s">
        <v>116</v>
      </c>
      <c r="C27" t="s">
        <v>117</v>
      </c>
      <c r="D27" t="s">
        <v>118</v>
      </c>
      <c r="E27" t="s">
        <v>14</v>
      </c>
      <c r="F27" t="s">
        <v>250</v>
      </c>
      <c r="G27">
        <v>84</v>
      </c>
      <c r="H27">
        <v>0</v>
      </c>
      <c r="I27" s="14">
        <v>622500</v>
      </c>
      <c r="J27" s="14">
        <v>622500</v>
      </c>
      <c r="Q27" s="14"/>
      <c r="R27" s="14"/>
      <c r="Y27" s="14"/>
      <c r="Z27" s="14"/>
      <c r="AG27" s="14"/>
      <c r="AH27" s="14"/>
      <c r="AI27" t="s">
        <v>251</v>
      </c>
      <c r="AJ27" t="s">
        <v>252</v>
      </c>
      <c r="AK27" t="s">
        <v>253</v>
      </c>
      <c r="AM27" t="s">
        <v>254</v>
      </c>
      <c r="AN27" t="s">
        <v>255</v>
      </c>
      <c r="AO27" t="s">
        <v>125</v>
      </c>
      <c r="AP27" t="s">
        <v>256</v>
      </c>
      <c r="AQ27" s="15">
        <v>45488</v>
      </c>
      <c r="AR27" s="15">
        <v>45488</v>
      </c>
      <c r="AS27" t="s">
        <v>145</v>
      </c>
      <c r="AT27">
        <v>2</v>
      </c>
      <c r="AU27">
        <v>20000</v>
      </c>
      <c r="AV27">
        <v>0</v>
      </c>
      <c r="AW27">
        <v>0</v>
      </c>
      <c r="AX27" s="14">
        <v>20000</v>
      </c>
      <c r="AY27" s="14">
        <v>20000</v>
      </c>
      <c r="AZ27" s="14">
        <v>0</v>
      </c>
      <c r="BA27">
        <v>0</v>
      </c>
      <c r="BB27" t="s">
        <v>24</v>
      </c>
      <c r="BC27" t="s">
        <v>128</v>
      </c>
      <c r="BD27" t="s">
        <v>129</v>
      </c>
      <c r="BE27" t="s">
        <v>130</v>
      </c>
      <c r="BG27" t="s">
        <v>259</v>
      </c>
      <c r="BH27" t="s">
        <v>132</v>
      </c>
      <c r="BJ27">
        <v>4</v>
      </c>
      <c r="BK27" t="s">
        <v>133</v>
      </c>
      <c r="BV27" t="s">
        <v>134</v>
      </c>
      <c r="BW27" s="16">
        <v>45488.654861111107</v>
      </c>
      <c r="BX27" t="s">
        <v>178</v>
      </c>
      <c r="BZ27">
        <v>6</v>
      </c>
      <c r="CA27" t="s">
        <v>260</v>
      </c>
      <c r="CB27">
        <v>0</v>
      </c>
      <c r="CF27" t="s">
        <v>137</v>
      </c>
      <c r="CG27">
        <v>2024</v>
      </c>
      <c r="CH27" t="s">
        <v>138</v>
      </c>
      <c r="CI27" t="s">
        <v>139</v>
      </c>
    </row>
    <row r="28" spans="1:87" x14ac:dyDescent="0.3">
      <c r="A28" t="s">
        <v>115</v>
      </c>
      <c r="B28" t="s">
        <v>116</v>
      </c>
      <c r="C28" t="s">
        <v>117</v>
      </c>
      <c r="D28" t="s">
        <v>118</v>
      </c>
      <c r="E28" t="s">
        <v>14</v>
      </c>
      <c r="F28" t="s">
        <v>250</v>
      </c>
      <c r="G28">
        <v>84</v>
      </c>
      <c r="H28">
        <v>0</v>
      </c>
      <c r="I28" s="14">
        <v>622500</v>
      </c>
      <c r="J28" s="14">
        <v>622500</v>
      </c>
      <c r="Q28" s="14"/>
      <c r="R28" s="14"/>
      <c r="Y28" s="14"/>
      <c r="Z28" s="14"/>
      <c r="AG28" s="14"/>
      <c r="AH28" s="14"/>
      <c r="AI28" t="s">
        <v>251</v>
      </c>
      <c r="AJ28" t="s">
        <v>252</v>
      </c>
      <c r="AK28" t="s">
        <v>253</v>
      </c>
      <c r="AM28" t="s">
        <v>254</v>
      </c>
      <c r="AN28" t="s">
        <v>255</v>
      </c>
      <c r="AO28" t="s">
        <v>125</v>
      </c>
      <c r="AP28" t="s">
        <v>256</v>
      </c>
      <c r="AQ28" s="15">
        <v>45656</v>
      </c>
      <c r="AR28" s="15">
        <v>45722</v>
      </c>
      <c r="AS28" t="s">
        <v>145</v>
      </c>
      <c r="AT28">
        <v>3</v>
      </c>
      <c r="AU28">
        <v>0</v>
      </c>
      <c r="AV28">
        <v>0</v>
      </c>
      <c r="AW28">
        <v>0</v>
      </c>
      <c r="AX28" s="14">
        <v>67000</v>
      </c>
      <c r="AY28" s="14">
        <v>65000</v>
      </c>
      <c r="AZ28" s="14">
        <v>0</v>
      </c>
      <c r="BA28">
        <v>0</v>
      </c>
      <c r="BB28" t="s">
        <v>24</v>
      </c>
      <c r="BC28" t="s">
        <v>128</v>
      </c>
      <c r="BD28" t="s">
        <v>129</v>
      </c>
      <c r="BE28" t="s">
        <v>130</v>
      </c>
      <c r="BG28" t="s">
        <v>261</v>
      </c>
      <c r="BH28" t="s">
        <v>132</v>
      </c>
      <c r="BJ28">
        <v>4</v>
      </c>
      <c r="BK28" t="s">
        <v>133</v>
      </c>
      <c r="BV28" t="s">
        <v>134</v>
      </c>
      <c r="BW28" s="16">
        <v>45488.654861111107</v>
      </c>
      <c r="BX28" t="s">
        <v>178</v>
      </c>
      <c r="BZ28">
        <v>6</v>
      </c>
      <c r="CA28" t="s">
        <v>262</v>
      </c>
      <c r="CB28">
        <v>0</v>
      </c>
      <c r="CF28" t="s">
        <v>137</v>
      </c>
      <c r="CG28">
        <v>2024</v>
      </c>
      <c r="CH28" t="s">
        <v>138</v>
      </c>
      <c r="CI28" t="s">
        <v>139</v>
      </c>
    </row>
    <row r="29" spans="1:87" x14ac:dyDescent="0.3">
      <c r="A29" t="s">
        <v>115</v>
      </c>
      <c r="B29" t="s">
        <v>116</v>
      </c>
      <c r="C29" t="s">
        <v>117</v>
      </c>
      <c r="D29" t="s">
        <v>118</v>
      </c>
      <c r="E29" t="s">
        <v>14</v>
      </c>
      <c r="F29" t="s">
        <v>250</v>
      </c>
      <c r="G29">
        <v>84</v>
      </c>
      <c r="H29">
        <v>0</v>
      </c>
      <c r="I29" s="14">
        <v>622500</v>
      </c>
      <c r="J29" s="14">
        <v>622500</v>
      </c>
      <c r="Q29" s="14"/>
      <c r="R29" s="14"/>
      <c r="Y29" s="14"/>
      <c r="Z29" s="14"/>
      <c r="AG29" s="14"/>
      <c r="AH29" s="14"/>
      <c r="AI29" t="s">
        <v>251</v>
      </c>
      <c r="AJ29" t="s">
        <v>252</v>
      </c>
      <c r="AK29" t="s">
        <v>253</v>
      </c>
      <c r="AM29" t="s">
        <v>254</v>
      </c>
      <c r="AN29" t="s">
        <v>255</v>
      </c>
      <c r="AO29" t="s">
        <v>125</v>
      </c>
      <c r="AP29" t="s">
        <v>256</v>
      </c>
      <c r="AQ29" s="15">
        <v>45656</v>
      </c>
      <c r="AR29" s="15">
        <v>45722</v>
      </c>
      <c r="AS29" t="s">
        <v>145</v>
      </c>
      <c r="AT29">
        <v>3</v>
      </c>
      <c r="AU29">
        <v>67000</v>
      </c>
      <c r="AV29">
        <v>0</v>
      </c>
      <c r="AW29">
        <v>0</v>
      </c>
      <c r="AX29" s="14">
        <v>0</v>
      </c>
      <c r="AY29" s="14">
        <v>2000</v>
      </c>
      <c r="AZ29" s="14">
        <v>0</v>
      </c>
      <c r="BA29">
        <v>0</v>
      </c>
      <c r="BB29" t="s">
        <v>24</v>
      </c>
      <c r="BC29" t="s">
        <v>128</v>
      </c>
      <c r="BD29" t="s">
        <v>129</v>
      </c>
      <c r="BE29" t="s">
        <v>130</v>
      </c>
      <c r="BG29" t="s">
        <v>263</v>
      </c>
      <c r="BH29" t="s">
        <v>132</v>
      </c>
      <c r="BJ29">
        <v>4</v>
      </c>
      <c r="BK29" t="s">
        <v>133</v>
      </c>
      <c r="BV29" t="s">
        <v>134</v>
      </c>
      <c r="BW29" s="16">
        <v>45488.654861111107</v>
      </c>
      <c r="BX29" t="s">
        <v>178</v>
      </c>
      <c r="BZ29">
        <v>6</v>
      </c>
      <c r="CA29" t="s">
        <v>264</v>
      </c>
      <c r="CB29">
        <v>0</v>
      </c>
      <c r="CF29" t="s">
        <v>137</v>
      </c>
      <c r="CG29">
        <v>2024</v>
      </c>
      <c r="CH29" t="s">
        <v>138</v>
      </c>
      <c r="CI29" t="s">
        <v>139</v>
      </c>
    </row>
    <row r="30" spans="1:87" x14ac:dyDescent="0.3">
      <c r="A30" t="s">
        <v>115</v>
      </c>
      <c r="B30" t="s">
        <v>116</v>
      </c>
      <c r="C30" t="s">
        <v>117</v>
      </c>
      <c r="D30" t="s">
        <v>118</v>
      </c>
      <c r="E30" t="s">
        <v>14</v>
      </c>
      <c r="F30" t="s">
        <v>265</v>
      </c>
      <c r="G30">
        <v>83</v>
      </c>
      <c r="H30">
        <v>0</v>
      </c>
      <c r="I30" s="14">
        <v>612000</v>
      </c>
      <c r="J30" s="14">
        <v>612000</v>
      </c>
      <c r="Q30" s="14"/>
      <c r="R30" s="14"/>
      <c r="Y30" s="14"/>
      <c r="Z30" s="14"/>
      <c r="AG30" s="14"/>
      <c r="AH30" s="14"/>
      <c r="AI30" t="s">
        <v>266</v>
      </c>
      <c r="AJ30" t="s">
        <v>267</v>
      </c>
      <c r="AK30" t="s">
        <v>268</v>
      </c>
      <c r="AM30" t="s">
        <v>269</v>
      </c>
      <c r="AN30" t="s">
        <v>270</v>
      </c>
      <c r="AO30" t="s">
        <v>271</v>
      </c>
      <c r="AP30" t="s">
        <v>271</v>
      </c>
      <c r="AQ30" s="15">
        <v>45520</v>
      </c>
      <c r="AR30" s="15">
        <v>45520</v>
      </c>
      <c r="AS30" t="s">
        <v>127</v>
      </c>
      <c r="AT30">
        <v>1</v>
      </c>
      <c r="AU30">
        <v>3000</v>
      </c>
      <c r="AV30">
        <v>0</v>
      </c>
      <c r="AW30">
        <v>0</v>
      </c>
      <c r="AX30" s="14">
        <v>3000</v>
      </c>
      <c r="AY30" s="14">
        <v>3000</v>
      </c>
      <c r="AZ30" s="14">
        <v>0</v>
      </c>
      <c r="BA30">
        <v>0</v>
      </c>
      <c r="BB30" t="s">
        <v>24</v>
      </c>
      <c r="BC30" t="s">
        <v>128</v>
      </c>
      <c r="BD30" t="s">
        <v>129</v>
      </c>
      <c r="BE30" t="s">
        <v>130</v>
      </c>
      <c r="BF30" t="s">
        <v>267</v>
      </c>
      <c r="BG30" t="s">
        <v>272</v>
      </c>
      <c r="BH30" t="s">
        <v>132</v>
      </c>
      <c r="BI30" t="s">
        <v>154</v>
      </c>
      <c r="BJ30">
        <v>1</v>
      </c>
      <c r="BK30" t="s">
        <v>133</v>
      </c>
      <c r="BV30" t="s">
        <v>134</v>
      </c>
      <c r="BW30" s="16">
        <v>45541.594444444447</v>
      </c>
      <c r="BX30" t="s">
        <v>178</v>
      </c>
      <c r="BZ30">
        <v>21</v>
      </c>
      <c r="CA30" t="s">
        <v>224</v>
      </c>
      <c r="CB30">
        <v>0</v>
      </c>
      <c r="CF30" t="s">
        <v>137</v>
      </c>
      <c r="CG30">
        <v>2024</v>
      </c>
      <c r="CH30" t="s">
        <v>138</v>
      </c>
      <c r="CI30" t="s">
        <v>139</v>
      </c>
    </row>
    <row r="31" spans="1:87" x14ac:dyDescent="0.3">
      <c r="A31" t="s">
        <v>115</v>
      </c>
      <c r="B31" t="s">
        <v>116</v>
      </c>
      <c r="C31" t="s">
        <v>117</v>
      </c>
      <c r="D31" t="s">
        <v>118</v>
      </c>
      <c r="E31" t="s">
        <v>14</v>
      </c>
      <c r="F31" t="s">
        <v>265</v>
      </c>
      <c r="G31">
        <v>83</v>
      </c>
      <c r="H31">
        <v>0</v>
      </c>
      <c r="I31" s="14">
        <v>612000</v>
      </c>
      <c r="J31" s="14">
        <v>612000</v>
      </c>
      <c r="Q31" s="14"/>
      <c r="R31" s="14"/>
      <c r="Y31" s="14"/>
      <c r="Z31" s="14"/>
      <c r="AG31" s="14"/>
      <c r="AH31" s="14"/>
      <c r="AI31" t="s">
        <v>266</v>
      </c>
      <c r="AJ31" t="s">
        <v>267</v>
      </c>
      <c r="AK31" t="s">
        <v>268</v>
      </c>
      <c r="AM31" t="s">
        <v>269</v>
      </c>
      <c r="AN31" t="s">
        <v>270</v>
      </c>
      <c r="AO31" t="s">
        <v>271</v>
      </c>
      <c r="AP31" t="s">
        <v>271</v>
      </c>
      <c r="AQ31" s="15">
        <v>45541</v>
      </c>
      <c r="AR31" s="15">
        <v>45541</v>
      </c>
      <c r="AS31" t="s">
        <v>145</v>
      </c>
      <c r="AT31">
        <v>2</v>
      </c>
      <c r="AU31">
        <v>29500</v>
      </c>
      <c r="AV31">
        <v>0</v>
      </c>
      <c r="AW31">
        <v>0</v>
      </c>
      <c r="AX31" s="14">
        <v>29500</v>
      </c>
      <c r="AY31" s="14">
        <v>29500</v>
      </c>
      <c r="AZ31" s="14">
        <v>0</v>
      </c>
      <c r="BA31">
        <v>0</v>
      </c>
      <c r="BB31" t="s">
        <v>24</v>
      </c>
      <c r="BC31" t="s">
        <v>128</v>
      </c>
      <c r="BD31" t="s">
        <v>129</v>
      </c>
      <c r="BE31" t="s">
        <v>130</v>
      </c>
      <c r="BF31" t="s">
        <v>267</v>
      </c>
      <c r="BG31" t="s">
        <v>273</v>
      </c>
      <c r="BH31" t="s">
        <v>132</v>
      </c>
      <c r="BI31" t="s">
        <v>154</v>
      </c>
      <c r="BJ31">
        <v>1</v>
      </c>
      <c r="BK31" t="s">
        <v>133</v>
      </c>
      <c r="BV31" t="s">
        <v>134</v>
      </c>
      <c r="BW31" s="16">
        <v>45541.594444444447</v>
      </c>
      <c r="BX31" t="s">
        <v>178</v>
      </c>
      <c r="BZ31">
        <v>21</v>
      </c>
      <c r="CA31" t="s">
        <v>224</v>
      </c>
      <c r="CB31">
        <v>0</v>
      </c>
      <c r="CF31" t="s">
        <v>137</v>
      </c>
      <c r="CG31">
        <v>2024</v>
      </c>
      <c r="CH31" t="s">
        <v>138</v>
      </c>
      <c r="CI31" t="s">
        <v>139</v>
      </c>
    </row>
    <row r="32" spans="1:87" x14ac:dyDescent="0.3">
      <c r="A32" t="s">
        <v>115</v>
      </c>
      <c r="B32" t="s">
        <v>116</v>
      </c>
      <c r="C32" t="s">
        <v>117</v>
      </c>
      <c r="D32" t="s">
        <v>118</v>
      </c>
      <c r="E32" t="s">
        <v>14</v>
      </c>
      <c r="F32" t="s">
        <v>274</v>
      </c>
      <c r="G32">
        <v>88.27</v>
      </c>
      <c r="H32">
        <v>0</v>
      </c>
      <c r="I32" s="14">
        <v>654000</v>
      </c>
      <c r="J32" s="14">
        <v>654000</v>
      </c>
      <c r="Q32" s="14"/>
      <c r="R32" s="14"/>
      <c r="Y32" s="14"/>
      <c r="Z32" s="14"/>
      <c r="AG32" s="14"/>
      <c r="AH32" s="14"/>
      <c r="AI32" t="s">
        <v>275</v>
      </c>
      <c r="AJ32" t="s">
        <v>276</v>
      </c>
      <c r="AK32" t="s">
        <v>277</v>
      </c>
      <c r="AM32" t="s">
        <v>278</v>
      </c>
      <c r="AN32" t="s">
        <v>279</v>
      </c>
      <c r="AO32" t="s">
        <v>280</v>
      </c>
      <c r="AP32" t="s">
        <v>281</v>
      </c>
      <c r="AQ32" s="15">
        <v>45586</v>
      </c>
      <c r="AR32" s="15">
        <v>45586</v>
      </c>
      <c r="AS32" t="s">
        <v>127</v>
      </c>
      <c r="AT32">
        <v>1</v>
      </c>
      <c r="AU32">
        <v>3000</v>
      </c>
      <c r="AV32">
        <v>0</v>
      </c>
      <c r="AW32">
        <v>0</v>
      </c>
      <c r="AX32" s="14">
        <v>3000</v>
      </c>
      <c r="AY32" s="14">
        <v>3000</v>
      </c>
      <c r="AZ32" s="14">
        <v>0</v>
      </c>
      <c r="BA32">
        <v>0</v>
      </c>
      <c r="BB32" t="s">
        <v>23</v>
      </c>
      <c r="BC32" t="s">
        <v>128</v>
      </c>
      <c r="BD32" t="s">
        <v>129</v>
      </c>
      <c r="BE32" t="s">
        <v>282</v>
      </c>
      <c r="BF32" t="s">
        <v>276</v>
      </c>
      <c r="BG32" t="s">
        <v>283</v>
      </c>
      <c r="BH32" t="s">
        <v>132</v>
      </c>
      <c r="BI32" t="s">
        <v>154</v>
      </c>
      <c r="BJ32">
        <v>1</v>
      </c>
      <c r="BK32" t="s">
        <v>133</v>
      </c>
      <c r="BV32" t="s">
        <v>134</v>
      </c>
      <c r="BW32" s="16">
        <v>45619.386111111111</v>
      </c>
      <c r="BX32" t="s">
        <v>178</v>
      </c>
      <c r="BZ32">
        <v>1</v>
      </c>
      <c r="CA32" t="s">
        <v>284</v>
      </c>
      <c r="CB32">
        <v>0</v>
      </c>
      <c r="CF32" t="s">
        <v>137</v>
      </c>
      <c r="CG32">
        <v>2024</v>
      </c>
      <c r="CH32" t="s">
        <v>138</v>
      </c>
      <c r="CI32" t="s">
        <v>139</v>
      </c>
    </row>
    <row r="33" spans="1:87" x14ac:dyDescent="0.3">
      <c r="A33" t="s">
        <v>115</v>
      </c>
      <c r="B33" t="s">
        <v>116</v>
      </c>
      <c r="C33" t="s">
        <v>117</v>
      </c>
      <c r="D33" t="s">
        <v>118</v>
      </c>
      <c r="E33" t="s">
        <v>14</v>
      </c>
      <c r="F33" t="s">
        <v>274</v>
      </c>
      <c r="G33">
        <v>88.27</v>
      </c>
      <c r="H33">
        <v>0</v>
      </c>
      <c r="I33" s="14">
        <v>654000</v>
      </c>
      <c r="J33" s="14">
        <v>654000</v>
      </c>
      <c r="Q33" s="14"/>
      <c r="R33" s="14"/>
      <c r="Y33" s="14"/>
      <c r="Z33" s="14"/>
      <c r="AG33" s="14"/>
      <c r="AH33" s="14"/>
      <c r="AI33" t="s">
        <v>275</v>
      </c>
      <c r="AJ33" t="s">
        <v>276</v>
      </c>
      <c r="AK33" t="s">
        <v>277</v>
      </c>
      <c r="AM33" t="s">
        <v>278</v>
      </c>
      <c r="AN33" t="s">
        <v>279</v>
      </c>
      <c r="AO33" t="s">
        <v>280</v>
      </c>
      <c r="AP33" t="s">
        <v>281</v>
      </c>
      <c r="AQ33" s="15">
        <v>45619</v>
      </c>
      <c r="AR33" s="15">
        <v>45619</v>
      </c>
      <c r="AS33" t="s">
        <v>145</v>
      </c>
      <c r="AT33">
        <v>2</v>
      </c>
      <c r="AU33">
        <v>97800</v>
      </c>
      <c r="AV33">
        <v>0</v>
      </c>
      <c r="AW33">
        <v>0</v>
      </c>
      <c r="AX33" s="14">
        <v>97800</v>
      </c>
      <c r="AY33" s="14">
        <v>97800</v>
      </c>
      <c r="AZ33" s="14">
        <v>0</v>
      </c>
      <c r="BA33">
        <v>0</v>
      </c>
      <c r="BB33" t="s">
        <v>23</v>
      </c>
      <c r="BC33" t="s">
        <v>128</v>
      </c>
      <c r="BD33" t="s">
        <v>129</v>
      </c>
      <c r="BE33" t="s">
        <v>130</v>
      </c>
      <c r="BG33" t="s">
        <v>285</v>
      </c>
      <c r="BH33" t="s">
        <v>132</v>
      </c>
      <c r="BJ33">
        <v>4</v>
      </c>
      <c r="BK33" t="s">
        <v>133</v>
      </c>
      <c r="BV33" t="s">
        <v>134</v>
      </c>
      <c r="BW33" s="16">
        <v>45619.386111111111</v>
      </c>
      <c r="BX33" t="s">
        <v>178</v>
      </c>
      <c r="BZ33">
        <v>1</v>
      </c>
      <c r="CA33" t="s">
        <v>286</v>
      </c>
      <c r="CB33">
        <v>0</v>
      </c>
      <c r="CF33" t="s">
        <v>137</v>
      </c>
      <c r="CG33">
        <v>2024</v>
      </c>
      <c r="CH33" t="s">
        <v>138</v>
      </c>
      <c r="CI33" t="s">
        <v>139</v>
      </c>
    </row>
    <row r="34" spans="1:87" x14ac:dyDescent="0.3">
      <c r="A34" t="s">
        <v>115</v>
      </c>
      <c r="B34" t="s">
        <v>116</v>
      </c>
      <c r="C34" t="s">
        <v>117</v>
      </c>
      <c r="D34" t="s">
        <v>118</v>
      </c>
      <c r="E34" t="s">
        <v>14</v>
      </c>
      <c r="F34" t="s">
        <v>274</v>
      </c>
      <c r="G34">
        <v>88.27</v>
      </c>
      <c r="H34">
        <v>0</v>
      </c>
      <c r="I34" s="14">
        <v>654000</v>
      </c>
      <c r="J34" s="14">
        <v>654000</v>
      </c>
      <c r="Q34" s="14"/>
      <c r="R34" s="14"/>
      <c r="Y34" s="14"/>
      <c r="Z34" s="14"/>
      <c r="AG34" s="14"/>
      <c r="AH34" s="14"/>
      <c r="AI34" t="s">
        <v>275</v>
      </c>
      <c r="AJ34" t="s">
        <v>276</v>
      </c>
      <c r="AK34" t="s">
        <v>277</v>
      </c>
      <c r="AM34" t="s">
        <v>278</v>
      </c>
      <c r="AN34" t="s">
        <v>279</v>
      </c>
      <c r="AO34" t="s">
        <v>280</v>
      </c>
      <c r="AP34" t="s">
        <v>281</v>
      </c>
      <c r="AQ34" s="15">
        <v>45631</v>
      </c>
      <c r="AR34" s="15">
        <v>45631</v>
      </c>
      <c r="AS34" t="s">
        <v>145</v>
      </c>
      <c r="AT34">
        <v>3</v>
      </c>
      <c r="AU34">
        <v>30000</v>
      </c>
      <c r="AV34">
        <v>0</v>
      </c>
      <c r="AW34">
        <v>0</v>
      </c>
      <c r="AX34" s="14">
        <v>30000</v>
      </c>
      <c r="AY34" s="14">
        <v>30000</v>
      </c>
      <c r="AZ34" s="14">
        <v>0</v>
      </c>
      <c r="BA34">
        <v>0</v>
      </c>
      <c r="BB34" t="s">
        <v>23</v>
      </c>
      <c r="BC34" t="s">
        <v>128</v>
      </c>
      <c r="BD34" t="s">
        <v>129</v>
      </c>
      <c r="BE34" t="s">
        <v>287</v>
      </c>
      <c r="BF34" t="s">
        <v>276</v>
      </c>
      <c r="BG34" t="s">
        <v>288</v>
      </c>
      <c r="BH34" t="s">
        <v>132</v>
      </c>
      <c r="BI34" t="s">
        <v>154</v>
      </c>
      <c r="BJ34">
        <v>1</v>
      </c>
      <c r="BK34" t="s">
        <v>133</v>
      </c>
      <c r="BV34" t="s">
        <v>134</v>
      </c>
      <c r="BW34" s="16">
        <v>45619.386111111111</v>
      </c>
      <c r="BX34" t="s">
        <v>178</v>
      </c>
      <c r="BZ34">
        <v>1</v>
      </c>
      <c r="CA34" t="s">
        <v>284</v>
      </c>
      <c r="CB34">
        <v>0</v>
      </c>
      <c r="CF34" t="s">
        <v>137</v>
      </c>
      <c r="CG34">
        <v>2024</v>
      </c>
      <c r="CH34" t="s">
        <v>138</v>
      </c>
      <c r="CI34" t="s">
        <v>139</v>
      </c>
    </row>
    <row r="35" spans="1:87" x14ac:dyDescent="0.3">
      <c r="A35" t="s">
        <v>115</v>
      </c>
      <c r="B35" t="s">
        <v>116</v>
      </c>
      <c r="C35" t="s">
        <v>117</v>
      </c>
      <c r="D35" t="s">
        <v>118</v>
      </c>
      <c r="E35" t="s">
        <v>14</v>
      </c>
      <c r="F35" t="s">
        <v>274</v>
      </c>
      <c r="G35">
        <v>88.27</v>
      </c>
      <c r="H35">
        <v>0</v>
      </c>
      <c r="I35" s="14">
        <v>654000</v>
      </c>
      <c r="J35" s="14">
        <v>654000</v>
      </c>
      <c r="Q35" s="14"/>
      <c r="R35" s="14"/>
      <c r="Y35" s="14"/>
      <c r="Z35" s="14"/>
      <c r="AG35" s="14"/>
      <c r="AH35" s="14"/>
      <c r="AI35" t="s">
        <v>275</v>
      </c>
      <c r="AJ35" t="s">
        <v>276</v>
      </c>
      <c r="AK35" t="s">
        <v>277</v>
      </c>
      <c r="AM35" t="s">
        <v>278</v>
      </c>
      <c r="AN35" t="s">
        <v>279</v>
      </c>
      <c r="AO35" t="s">
        <v>280</v>
      </c>
      <c r="AP35" t="s">
        <v>281</v>
      </c>
      <c r="AQ35" s="15">
        <v>45657</v>
      </c>
      <c r="AR35" s="15">
        <v>45723</v>
      </c>
      <c r="AS35" t="s">
        <v>227</v>
      </c>
      <c r="AT35">
        <v>4</v>
      </c>
      <c r="AU35">
        <v>523200</v>
      </c>
      <c r="AV35">
        <v>0</v>
      </c>
      <c r="AW35">
        <v>0</v>
      </c>
      <c r="AX35" s="14">
        <v>523200</v>
      </c>
      <c r="AY35" s="14">
        <v>523200</v>
      </c>
      <c r="AZ35" s="14">
        <v>0</v>
      </c>
      <c r="BA35">
        <v>0</v>
      </c>
      <c r="BB35" t="s">
        <v>23</v>
      </c>
      <c r="BC35" t="s">
        <v>128</v>
      </c>
      <c r="BD35" t="s">
        <v>129</v>
      </c>
      <c r="BE35" t="s">
        <v>130</v>
      </c>
      <c r="BG35" t="s">
        <v>289</v>
      </c>
      <c r="BH35" t="s">
        <v>134</v>
      </c>
      <c r="BJ35">
        <v>4</v>
      </c>
      <c r="BK35" t="s">
        <v>133</v>
      </c>
      <c r="BV35" t="s">
        <v>134</v>
      </c>
      <c r="BW35" s="16">
        <v>45619.386111111111</v>
      </c>
      <c r="BX35" t="s">
        <v>178</v>
      </c>
      <c r="BZ35">
        <v>1</v>
      </c>
      <c r="CA35" t="s">
        <v>290</v>
      </c>
      <c r="CB35">
        <v>0</v>
      </c>
      <c r="CF35" t="s">
        <v>137</v>
      </c>
      <c r="CG35">
        <v>2024</v>
      </c>
      <c r="CH35" t="s">
        <v>138</v>
      </c>
      <c r="CI35" t="s">
        <v>139</v>
      </c>
    </row>
    <row r="36" spans="1:87" x14ac:dyDescent="0.3">
      <c r="A36" t="s">
        <v>115</v>
      </c>
      <c r="B36" t="s">
        <v>116</v>
      </c>
      <c r="C36" t="s">
        <v>117</v>
      </c>
      <c r="D36" t="s">
        <v>118</v>
      </c>
      <c r="E36" t="s">
        <v>14</v>
      </c>
      <c r="F36" t="s">
        <v>291</v>
      </c>
      <c r="G36">
        <v>88.27</v>
      </c>
      <c r="H36">
        <v>0</v>
      </c>
      <c r="I36" s="14">
        <v>654000</v>
      </c>
      <c r="J36" s="14">
        <v>654000</v>
      </c>
      <c r="Q36" s="14"/>
      <c r="R36" s="14"/>
      <c r="Y36" s="14"/>
      <c r="Z36" s="14"/>
      <c r="AG36" s="14"/>
      <c r="AH36" s="14"/>
      <c r="AI36" t="s">
        <v>292</v>
      </c>
      <c r="AJ36" t="s">
        <v>293</v>
      </c>
      <c r="AK36" t="s">
        <v>294</v>
      </c>
      <c r="AM36" t="s">
        <v>295</v>
      </c>
      <c r="AN36" t="s">
        <v>296</v>
      </c>
      <c r="AO36" t="s">
        <v>125</v>
      </c>
      <c r="AP36" t="s">
        <v>297</v>
      </c>
      <c r="AQ36" s="15">
        <v>45477</v>
      </c>
      <c r="AR36" s="15">
        <v>45477</v>
      </c>
      <c r="AS36" t="s">
        <v>127</v>
      </c>
      <c r="AT36">
        <v>1</v>
      </c>
      <c r="AU36">
        <v>3000</v>
      </c>
      <c r="AV36">
        <v>0</v>
      </c>
      <c r="AW36">
        <v>0</v>
      </c>
      <c r="AX36" s="14">
        <v>3000</v>
      </c>
      <c r="AY36" s="14">
        <v>3000</v>
      </c>
      <c r="AZ36" s="14">
        <v>0</v>
      </c>
      <c r="BA36">
        <v>0</v>
      </c>
      <c r="BB36" t="s">
        <v>24</v>
      </c>
      <c r="BC36" t="s">
        <v>128</v>
      </c>
      <c r="BD36" t="s">
        <v>129</v>
      </c>
      <c r="BE36" t="s">
        <v>130</v>
      </c>
      <c r="BG36" t="s">
        <v>298</v>
      </c>
      <c r="BH36" t="s">
        <v>132</v>
      </c>
      <c r="BJ36">
        <v>4</v>
      </c>
      <c r="BK36" t="s">
        <v>133</v>
      </c>
      <c r="BV36" t="s">
        <v>134</v>
      </c>
      <c r="BW36" s="16">
        <v>45567.694444444453</v>
      </c>
      <c r="BX36" t="s">
        <v>178</v>
      </c>
      <c r="BZ36">
        <v>11</v>
      </c>
      <c r="CA36" t="s">
        <v>299</v>
      </c>
      <c r="CB36">
        <v>0</v>
      </c>
      <c r="CF36" t="s">
        <v>137</v>
      </c>
      <c r="CG36">
        <v>2024</v>
      </c>
      <c r="CH36" t="s">
        <v>138</v>
      </c>
      <c r="CI36" t="s">
        <v>139</v>
      </c>
    </row>
    <row r="37" spans="1:87" x14ac:dyDescent="0.3">
      <c r="A37" t="s">
        <v>115</v>
      </c>
      <c r="B37" t="s">
        <v>116</v>
      </c>
      <c r="C37" t="s">
        <v>117</v>
      </c>
      <c r="D37" t="s">
        <v>118</v>
      </c>
      <c r="E37" t="s">
        <v>14</v>
      </c>
      <c r="F37" t="s">
        <v>291</v>
      </c>
      <c r="G37">
        <v>88.27</v>
      </c>
      <c r="H37">
        <v>0</v>
      </c>
      <c r="I37" s="14">
        <v>654000</v>
      </c>
      <c r="J37" s="14">
        <v>654000</v>
      </c>
      <c r="Q37" s="14"/>
      <c r="R37" s="14"/>
      <c r="Y37" s="14"/>
      <c r="Z37" s="14"/>
      <c r="AG37" s="14"/>
      <c r="AH37" s="14"/>
      <c r="AI37" t="s">
        <v>292</v>
      </c>
      <c r="AJ37" t="s">
        <v>293</v>
      </c>
      <c r="AK37" t="s">
        <v>294</v>
      </c>
      <c r="AM37" t="s">
        <v>295</v>
      </c>
      <c r="AN37" t="s">
        <v>296</v>
      </c>
      <c r="AO37" t="s">
        <v>125</v>
      </c>
      <c r="AP37" t="s">
        <v>297</v>
      </c>
      <c r="AQ37" s="15">
        <v>45656</v>
      </c>
      <c r="AR37" s="15">
        <v>45567</v>
      </c>
      <c r="AS37" t="s">
        <v>127</v>
      </c>
      <c r="AT37">
        <v>5</v>
      </c>
      <c r="AU37">
        <v>5000</v>
      </c>
      <c r="AV37">
        <v>0</v>
      </c>
      <c r="AW37">
        <v>0</v>
      </c>
      <c r="AX37" s="14">
        <v>5000</v>
      </c>
      <c r="AY37" s="14">
        <v>5000</v>
      </c>
      <c r="AZ37" s="14">
        <v>0</v>
      </c>
      <c r="BA37">
        <v>0</v>
      </c>
      <c r="BB37" t="s">
        <v>24</v>
      </c>
      <c r="BC37" t="s">
        <v>128</v>
      </c>
      <c r="BD37" t="s">
        <v>129</v>
      </c>
      <c r="BE37" t="s">
        <v>130</v>
      </c>
      <c r="BG37" t="s">
        <v>300</v>
      </c>
      <c r="BH37" t="s">
        <v>132</v>
      </c>
      <c r="BJ37">
        <v>4</v>
      </c>
      <c r="BK37" t="s">
        <v>133</v>
      </c>
      <c r="BV37" t="s">
        <v>134</v>
      </c>
      <c r="BW37" s="16">
        <v>45567.694444444453</v>
      </c>
      <c r="BX37" t="s">
        <v>178</v>
      </c>
      <c r="BZ37">
        <v>11</v>
      </c>
      <c r="CA37" t="s">
        <v>301</v>
      </c>
      <c r="CB37">
        <v>0</v>
      </c>
      <c r="CF37" t="s">
        <v>137</v>
      </c>
      <c r="CG37">
        <v>2024</v>
      </c>
      <c r="CH37" t="s">
        <v>138</v>
      </c>
      <c r="CI37" t="s">
        <v>139</v>
      </c>
    </row>
    <row r="38" spans="1:87" x14ac:dyDescent="0.3">
      <c r="A38" t="s">
        <v>115</v>
      </c>
      <c r="B38" t="s">
        <v>116</v>
      </c>
      <c r="C38" t="s">
        <v>117</v>
      </c>
      <c r="D38" t="s">
        <v>118</v>
      </c>
      <c r="E38" t="s">
        <v>14</v>
      </c>
      <c r="F38" t="s">
        <v>291</v>
      </c>
      <c r="G38">
        <v>88.27</v>
      </c>
      <c r="H38">
        <v>0</v>
      </c>
      <c r="I38" s="14">
        <v>654000</v>
      </c>
      <c r="J38" s="14">
        <v>654000</v>
      </c>
      <c r="Q38" s="14"/>
      <c r="R38" s="14"/>
      <c r="Y38" s="14"/>
      <c r="Z38" s="14"/>
      <c r="AG38" s="14"/>
      <c r="AH38" s="14"/>
      <c r="AI38" t="s">
        <v>292</v>
      </c>
      <c r="AJ38" t="s">
        <v>293</v>
      </c>
      <c r="AK38" t="s">
        <v>294</v>
      </c>
      <c r="AM38" t="s">
        <v>295</v>
      </c>
      <c r="AN38" t="s">
        <v>296</v>
      </c>
      <c r="AO38" t="s">
        <v>125</v>
      </c>
      <c r="AP38" t="s">
        <v>297</v>
      </c>
      <c r="AQ38" s="15">
        <v>45656</v>
      </c>
      <c r="AR38" s="15">
        <v>45567</v>
      </c>
      <c r="AS38" t="s">
        <v>145</v>
      </c>
      <c r="AT38">
        <v>1</v>
      </c>
      <c r="AU38">
        <v>57400</v>
      </c>
      <c r="AV38">
        <v>0</v>
      </c>
      <c r="AW38">
        <v>0</v>
      </c>
      <c r="AX38" s="14">
        <v>57400</v>
      </c>
      <c r="AY38" s="14">
        <v>20000</v>
      </c>
      <c r="AZ38" s="14">
        <v>0</v>
      </c>
      <c r="BA38">
        <v>0</v>
      </c>
      <c r="BB38" t="s">
        <v>24</v>
      </c>
      <c r="BC38" t="s">
        <v>128</v>
      </c>
      <c r="BD38" t="s">
        <v>129</v>
      </c>
      <c r="BE38" t="s">
        <v>130</v>
      </c>
      <c r="BG38" t="s">
        <v>300</v>
      </c>
      <c r="BH38" t="s">
        <v>132</v>
      </c>
      <c r="BJ38">
        <v>4</v>
      </c>
      <c r="BK38" t="s">
        <v>133</v>
      </c>
      <c r="BV38" t="s">
        <v>134</v>
      </c>
      <c r="BW38" s="16">
        <v>45567.694444444453</v>
      </c>
      <c r="BX38" t="s">
        <v>178</v>
      </c>
      <c r="BZ38">
        <v>11</v>
      </c>
      <c r="CA38" t="s">
        <v>301</v>
      </c>
      <c r="CB38">
        <v>0</v>
      </c>
      <c r="CF38" t="s">
        <v>137</v>
      </c>
      <c r="CG38">
        <v>2024</v>
      </c>
      <c r="CH38" t="s">
        <v>138</v>
      </c>
      <c r="CI38" t="s">
        <v>139</v>
      </c>
    </row>
    <row r="39" spans="1:87" x14ac:dyDescent="0.3">
      <c r="A39" t="s">
        <v>115</v>
      </c>
      <c r="B39" t="s">
        <v>116</v>
      </c>
      <c r="C39" t="s">
        <v>117</v>
      </c>
      <c r="D39" t="s">
        <v>118</v>
      </c>
      <c r="E39" t="s">
        <v>14</v>
      </c>
      <c r="F39" t="s">
        <v>291</v>
      </c>
      <c r="G39">
        <v>88.27</v>
      </c>
      <c r="H39">
        <v>0</v>
      </c>
      <c r="I39" s="14">
        <v>654000</v>
      </c>
      <c r="J39" s="14">
        <v>654000</v>
      </c>
      <c r="Q39" s="14"/>
      <c r="R39" s="14"/>
      <c r="Y39" s="14"/>
      <c r="Z39" s="14"/>
      <c r="AG39" s="14"/>
      <c r="AH39" s="14"/>
      <c r="AI39" t="s">
        <v>292</v>
      </c>
      <c r="AJ39" t="s">
        <v>293</v>
      </c>
      <c r="AK39" t="s">
        <v>294</v>
      </c>
      <c r="AM39" t="s">
        <v>295</v>
      </c>
      <c r="AN39" t="s">
        <v>296</v>
      </c>
      <c r="AO39" t="s">
        <v>125</v>
      </c>
      <c r="AP39" t="s">
        <v>297</v>
      </c>
      <c r="AQ39" s="15">
        <v>45656</v>
      </c>
      <c r="AR39" s="15">
        <v>45723</v>
      </c>
      <c r="AS39" t="s">
        <v>145</v>
      </c>
      <c r="AT39">
        <v>1</v>
      </c>
      <c r="AU39">
        <v>0</v>
      </c>
      <c r="AV39">
        <v>0</v>
      </c>
      <c r="AW39">
        <v>0</v>
      </c>
      <c r="AX39" s="14">
        <v>0</v>
      </c>
      <c r="AY39" s="14">
        <v>37400</v>
      </c>
      <c r="AZ39" s="14">
        <v>0</v>
      </c>
      <c r="BA39">
        <v>0</v>
      </c>
      <c r="BB39" t="s">
        <v>24</v>
      </c>
      <c r="BC39" t="s">
        <v>128</v>
      </c>
      <c r="BD39" t="s">
        <v>129</v>
      </c>
      <c r="BE39" t="s">
        <v>130</v>
      </c>
      <c r="BG39" t="s">
        <v>302</v>
      </c>
      <c r="BH39" t="s">
        <v>132</v>
      </c>
      <c r="BJ39">
        <v>4</v>
      </c>
      <c r="BK39" t="s">
        <v>133</v>
      </c>
      <c r="BV39" t="s">
        <v>134</v>
      </c>
      <c r="BW39" s="16">
        <v>45567.694444444453</v>
      </c>
      <c r="BX39" t="s">
        <v>178</v>
      </c>
      <c r="BZ39">
        <v>11</v>
      </c>
      <c r="CA39" t="s">
        <v>303</v>
      </c>
      <c r="CB39">
        <v>0</v>
      </c>
      <c r="CF39" t="s">
        <v>137</v>
      </c>
      <c r="CG39">
        <v>2024</v>
      </c>
      <c r="CH39" t="s">
        <v>138</v>
      </c>
      <c r="CI39" t="s">
        <v>139</v>
      </c>
    </row>
    <row r="40" spans="1:87" x14ac:dyDescent="0.3">
      <c r="A40" t="s">
        <v>115</v>
      </c>
      <c r="B40" t="s">
        <v>116</v>
      </c>
      <c r="C40" t="s">
        <v>117</v>
      </c>
      <c r="D40" t="s">
        <v>118</v>
      </c>
      <c r="E40" t="s">
        <v>14</v>
      </c>
      <c r="F40" t="s">
        <v>304</v>
      </c>
      <c r="G40">
        <v>56</v>
      </c>
      <c r="H40">
        <v>0</v>
      </c>
      <c r="I40" s="14">
        <v>446900</v>
      </c>
      <c r="J40" s="14">
        <v>446900</v>
      </c>
      <c r="Q40" s="14"/>
      <c r="R40" s="14"/>
      <c r="Y40" s="14"/>
      <c r="Z40" s="14"/>
      <c r="AG40" s="14"/>
      <c r="AH40" s="14"/>
      <c r="AI40" t="s">
        <v>305</v>
      </c>
      <c r="AJ40" t="s">
        <v>306</v>
      </c>
      <c r="AK40" t="s">
        <v>307</v>
      </c>
      <c r="AL40">
        <v>969870030</v>
      </c>
      <c r="AM40" t="s">
        <v>308</v>
      </c>
      <c r="AN40" t="s">
        <v>309</v>
      </c>
      <c r="AO40" t="s">
        <v>310</v>
      </c>
      <c r="AP40" t="s">
        <v>310</v>
      </c>
      <c r="AQ40" s="15">
        <v>45526</v>
      </c>
      <c r="AR40" s="15">
        <v>45526</v>
      </c>
      <c r="AS40" t="s">
        <v>127</v>
      </c>
      <c r="AT40">
        <v>1</v>
      </c>
      <c r="AU40">
        <v>3000</v>
      </c>
      <c r="AV40">
        <v>0</v>
      </c>
      <c r="AW40">
        <v>0</v>
      </c>
      <c r="AX40" s="14">
        <v>3000</v>
      </c>
      <c r="AY40" s="14">
        <v>3000</v>
      </c>
      <c r="AZ40" s="14">
        <v>0</v>
      </c>
      <c r="BA40">
        <v>0</v>
      </c>
      <c r="BB40" t="s">
        <v>23</v>
      </c>
      <c r="BC40" t="s">
        <v>128</v>
      </c>
      <c r="BD40" t="s">
        <v>129</v>
      </c>
      <c r="BE40" t="s">
        <v>130</v>
      </c>
      <c r="BF40" t="s">
        <v>306</v>
      </c>
      <c r="BG40" t="s">
        <v>311</v>
      </c>
      <c r="BH40" t="s">
        <v>132</v>
      </c>
      <c r="BI40" t="s">
        <v>154</v>
      </c>
      <c r="BJ40">
        <v>4</v>
      </c>
      <c r="BK40" t="s">
        <v>133</v>
      </c>
      <c r="BV40" t="s">
        <v>134</v>
      </c>
      <c r="BW40" s="16">
        <v>45911.606944444437</v>
      </c>
      <c r="BX40" t="s">
        <v>135</v>
      </c>
      <c r="BZ40">
        <v>33</v>
      </c>
      <c r="CA40" t="s">
        <v>312</v>
      </c>
      <c r="CB40">
        <v>0</v>
      </c>
      <c r="CF40" t="s">
        <v>137</v>
      </c>
      <c r="CG40">
        <v>2024</v>
      </c>
      <c r="CH40" t="s">
        <v>138</v>
      </c>
      <c r="CI40" t="s">
        <v>139</v>
      </c>
    </row>
    <row r="41" spans="1:87" x14ac:dyDescent="0.3">
      <c r="A41" t="s">
        <v>115</v>
      </c>
      <c r="B41" t="s">
        <v>116</v>
      </c>
      <c r="C41" t="s">
        <v>117</v>
      </c>
      <c r="D41" t="s">
        <v>118</v>
      </c>
      <c r="E41" t="s">
        <v>14</v>
      </c>
      <c r="F41" t="s">
        <v>166</v>
      </c>
      <c r="G41">
        <v>68.72</v>
      </c>
      <c r="H41">
        <v>0</v>
      </c>
      <c r="I41" s="14">
        <v>490000</v>
      </c>
      <c r="J41" s="14">
        <v>490000</v>
      </c>
      <c r="Q41" s="14"/>
      <c r="R41" s="14"/>
      <c r="Y41" s="14"/>
      <c r="Z41" s="14"/>
      <c r="AG41" s="14"/>
      <c r="AH41" s="14"/>
      <c r="AI41" t="s">
        <v>313</v>
      </c>
      <c r="AJ41" t="s">
        <v>314</v>
      </c>
      <c r="AK41" t="s">
        <v>315</v>
      </c>
      <c r="AL41">
        <v>964247615</v>
      </c>
      <c r="AM41" t="s">
        <v>316</v>
      </c>
      <c r="AN41" t="s">
        <v>317</v>
      </c>
      <c r="AO41" t="s">
        <v>125</v>
      </c>
      <c r="AP41" t="s">
        <v>318</v>
      </c>
      <c r="AQ41" s="15">
        <v>45617</v>
      </c>
      <c r="AR41" s="15">
        <v>45617</v>
      </c>
      <c r="AS41" t="s">
        <v>127</v>
      </c>
      <c r="AT41">
        <v>1</v>
      </c>
      <c r="AU41">
        <v>3000</v>
      </c>
      <c r="AV41">
        <v>0</v>
      </c>
      <c r="AW41">
        <v>0</v>
      </c>
      <c r="AX41" s="14">
        <v>3000</v>
      </c>
      <c r="AY41" s="14">
        <v>3000</v>
      </c>
      <c r="AZ41" s="14">
        <v>0</v>
      </c>
      <c r="BA41">
        <v>0</v>
      </c>
      <c r="BB41" t="s">
        <v>23</v>
      </c>
      <c r="BC41" t="s">
        <v>128</v>
      </c>
      <c r="BD41" t="s">
        <v>129</v>
      </c>
      <c r="BE41" t="s">
        <v>130</v>
      </c>
      <c r="BF41" t="s">
        <v>314</v>
      </c>
      <c r="BG41" t="s">
        <v>319</v>
      </c>
      <c r="BH41" t="s">
        <v>132</v>
      </c>
      <c r="BI41" t="s">
        <v>154</v>
      </c>
      <c r="BJ41">
        <v>4</v>
      </c>
      <c r="BK41" t="s">
        <v>133</v>
      </c>
      <c r="BV41" t="s">
        <v>134</v>
      </c>
      <c r="BW41" s="16">
        <v>45652.616666666669</v>
      </c>
      <c r="BX41" t="s">
        <v>178</v>
      </c>
      <c r="BZ41">
        <v>37</v>
      </c>
      <c r="CA41" t="s">
        <v>320</v>
      </c>
      <c r="CB41">
        <v>0</v>
      </c>
      <c r="CF41" t="s">
        <v>137</v>
      </c>
      <c r="CG41">
        <v>2024</v>
      </c>
      <c r="CH41" t="s">
        <v>138</v>
      </c>
      <c r="CI41" t="s">
        <v>139</v>
      </c>
    </row>
    <row r="42" spans="1:87" x14ac:dyDescent="0.3">
      <c r="A42" t="s">
        <v>115</v>
      </c>
      <c r="B42" t="s">
        <v>116</v>
      </c>
      <c r="C42" t="s">
        <v>117</v>
      </c>
      <c r="D42" t="s">
        <v>118</v>
      </c>
      <c r="E42" t="s">
        <v>14</v>
      </c>
      <c r="F42" t="s">
        <v>166</v>
      </c>
      <c r="G42">
        <v>68.72</v>
      </c>
      <c r="H42">
        <v>0</v>
      </c>
      <c r="I42" s="14">
        <v>490000</v>
      </c>
      <c r="J42" s="14">
        <v>490000</v>
      </c>
      <c r="Q42" s="14"/>
      <c r="R42" s="14"/>
      <c r="Y42" s="14"/>
      <c r="Z42" s="14"/>
      <c r="AG42" s="14"/>
      <c r="AH42" s="14"/>
      <c r="AI42" t="s">
        <v>313</v>
      </c>
      <c r="AJ42" t="s">
        <v>314</v>
      </c>
      <c r="AK42" t="s">
        <v>315</v>
      </c>
      <c r="AL42">
        <v>964247615</v>
      </c>
      <c r="AM42" t="s">
        <v>316</v>
      </c>
      <c r="AN42" t="s">
        <v>317</v>
      </c>
      <c r="AO42" t="s">
        <v>125</v>
      </c>
      <c r="AP42" t="s">
        <v>318</v>
      </c>
      <c r="AQ42" s="15">
        <v>45652</v>
      </c>
      <c r="AR42" s="15">
        <v>45652</v>
      </c>
      <c r="AS42" t="s">
        <v>145</v>
      </c>
      <c r="AT42">
        <v>1</v>
      </c>
      <c r="AU42">
        <v>20000</v>
      </c>
      <c r="AV42">
        <v>0</v>
      </c>
      <c r="AW42">
        <v>0</v>
      </c>
      <c r="AX42" s="14">
        <v>20000</v>
      </c>
      <c r="AY42" s="14">
        <v>20000</v>
      </c>
      <c r="AZ42" s="14">
        <v>0</v>
      </c>
      <c r="BA42">
        <v>0</v>
      </c>
      <c r="BB42" t="s">
        <v>23</v>
      </c>
      <c r="BC42" t="s">
        <v>128</v>
      </c>
      <c r="BD42" t="s">
        <v>129</v>
      </c>
      <c r="BE42" t="s">
        <v>130</v>
      </c>
      <c r="BG42" t="s">
        <v>321</v>
      </c>
      <c r="BH42" t="s">
        <v>132</v>
      </c>
      <c r="BJ42">
        <v>4</v>
      </c>
      <c r="BK42" t="s">
        <v>133</v>
      </c>
      <c r="BV42" t="s">
        <v>134</v>
      </c>
      <c r="BW42" s="16">
        <v>45652.616666666669</v>
      </c>
      <c r="BX42" t="s">
        <v>178</v>
      </c>
      <c r="BZ42">
        <v>37</v>
      </c>
      <c r="CA42" t="s">
        <v>322</v>
      </c>
      <c r="CB42">
        <v>0</v>
      </c>
      <c r="CF42" t="s">
        <v>137</v>
      </c>
      <c r="CG42">
        <v>2024</v>
      </c>
      <c r="CH42" t="s">
        <v>138</v>
      </c>
      <c r="CI42" t="s">
        <v>139</v>
      </c>
    </row>
    <row r="43" spans="1:87" x14ac:dyDescent="0.3">
      <c r="A43" t="s">
        <v>115</v>
      </c>
      <c r="B43" t="s">
        <v>116</v>
      </c>
      <c r="C43" t="s">
        <v>117</v>
      </c>
      <c r="D43" t="s">
        <v>118</v>
      </c>
      <c r="E43" t="s">
        <v>14</v>
      </c>
      <c r="F43" t="s">
        <v>323</v>
      </c>
      <c r="G43">
        <v>84</v>
      </c>
      <c r="H43">
        <v>0</v>
      </c>
      <c r="I43" s="14">
        <v>592500</v>
      </c>
      <c r="J43" s="14">
        <v>592500</v>
      </c>
      <c r="Q43" s="14"/>
      <c r="R43" s="14"/>
      <c r="Y43" s="14"/>
      <c r="Z43" s="14"/>
      <c r="AG43" s="14"/>
      <c r="AH43" s="14"/>
      <c r="AI43" t="s">
        <v>324</v>
      </c>
      <c r="AJ43" t="s">
        <v>325</v>
      </c>
      <c r="AK43" t="s">
        <v>326</v>
      </c>
      <c r="AM43" t="s">
        <v>327</v>
      </c>
      <c r="AN43" t="s">
        <v>328</v>
      </c>
      <c r="AO43" t="s">
        <v>125</v>
      </c>
      <c r="AP43" t="s">
        <v>329</v>
      </c>
      <c r="AQ43" s="15">
        <v>45593</v>
      </c>
      <c r="AR43" s="15">
        <v>45593</v>
      </c>
      <c r="AS43" t="s">
        <v>127</v>
      </c>
      <c r="AT43">
        <v>1</v>
      </c>
      <c r="AU43">
        <v>3000</v>
      </c>
      <c r="AV43">
        <v>0</v>
      </c>
      <c r="AW43">
        <v>0</v>
      </c>
      <c r="AX43" s="14">
        <v>3000</v>
      </c>
      <c r="AY43" s="14">
        <v>3000</v>
      </c>
      <c r="AZ43" s="14">
        <v>0</v>
      </c>
      <c r="BA43">
        <v>0</v>
      </c>
      <c r="BB43" t="s">
        <v>23</v>
      </c>
      <c r="BC43" t="s">
        <v>128</v>
      </c>
      <c r="BD43" t="s">
        <v>129</v>
      </c>
      <c r="BE43" t="s">
        <v>130</v>
      </c>
      <c r="BF43" t="s">
        <v>325</v>
      </c>
      <c r="BG43" t="s">
        <v>330</v>
      </c>
      <c r="BH43" t="s">
        <v>132</v>
      </c>
      <c r="BI43" t="s">
        <v>154</v>
      </c>
      <c r="BJ43">
        <v>1</v>
      </c>
      <c r="BK43" t="s">
        <v>133</v>
      </c>
      <c r="BV43" t="s">
        <v>134</v>
      </c>
      <c r="BW43" s="16">
        <v>45638.388194444437</v>
      </c>
      <c r="BX43" t="s">
        <v>178</v>
      </c>
      <c r="BZ43">
        <v>3</v>
      </c>
      <c r="CA43" t="s">
        <v>224</v>
      </c>
      <c r="CB43">
        <v>0</v>
      </c>
      <c r="CF43" t="s">
        <v>137</v>
      </c>
      <c r="CG43">
        <v>2024</v>
      </c>
      <c r="CH43" t="s">
        <v>138</v>
      </c>
      <c r="CI43" t="s">
        <v>139</v>
      </c>
    </row>
    <row r="44" spans="1:87" x14ac:dyDescent="0.3">
      <c r="A44" t="s">
        <v>115</v>
      </c>
      <c r="B44" t="s">
        <v>116</v>
      </c>
      <c r="C44" t="s">
        <v>117</v>
      </c>
      <c r="D44" t="s">
        <v>118</v>
      </c>
      <c r="E44" t="s">
        <v>14</v>
      </c>
      <c r="F44" t="s">
        <v>323</v>
      </c>
      <c r="G44">
        <v>84</v>
      </c>
      <c r="H44">
        <v>0</v>
      </c>
      <c r="I44" s="14">
        <v>592500</v>
      </c>
      <c r="J44" s="14">
        <v>592500</v>
      </c>
      <c r="Q44" s="14"/>
      <c r="R44" s="14"/>
      <c r="Y44" s="14"/>
      <c r="Z44" s="14"/>
      <c r="AG44" s="14"/>
      <c r="AH44" s="14"/>
      <c r="AI44" t="s">
        <v>324</v>
      </c>
      <c r="AJ44" t="s">
        <v>325</v>
      </c>
      <c r="AK44" t="s">
        <v>326</v>
      </c>
      <c r="AM44" t="s">
        <v>327</v>
      </c>
      <c r="AN44" t="s">
        <v>328</v>
      </c>
      <c r="AO44" t="s">
        <v>125</v>
      </c>
      <c r="AP44" t="s">
        <v>329</v>
      </c>
      <c r="AQ44" s="15">
        <v>45618</v>
      </c>
      <c r="AR44" s="15">
        <v>45618</v>
      </c>
      <c r="AS44" t="s">
        <v>145</v>
      </c>
      <c r="AT44">
        <v>2</v>
      </c>
      <c r="AU44">
        <v>48000</v>
      </c>
      <c r="AV44">
        <v>0</v>
      </c>
      <c r="AW44">
        <v>0</v>
      </c>
      <c r="AX44" s="14">
        <v>48000</v>
      </c>
      <c r="AY44" s="14">
        <v>48000</v>
      </c>
      <c r="AZ44" s="14">
        <v>0</v>
      </c>
      <c r="BA44">
        <v>0</v>
      </c>
      <c r="BB44" t="s">
        <v>23</v>
      </c>
      <c r="BC44" t="s">
        <v>128</v>
      </c>
      <c r="BD44" t="s">
        <v>129</v>
      </c>
      <c r="BE44" t="s">
        <v>130</v>
      </c>
      <c r="BG44" t="s">
        <v>331</v>
      </c>
      <c r="BH44" t="s">
        <v>132</v>
      </c>
      <c r="BJ44">
        <v>4</v>
      </c>
      <c r="BK44" t="s">
        <v>133</v>
      </c>
      <c r="BV44" t="s">
        <v>134</v>
      </c>
      <c r="BW44" s="16">
        <v>45638.388194444437</v>
      </c>
      <c r="BX44" t="s">
        <v>178</v>
      </c>
      <c r="BZ44">
        <v>3</v>
      </c>
      <c r="CA44" t="s">
        <v>332</v>
      </c>
      <c r="CB44">
        <v>0</v>
      </c>
      <c r="CF44" t="s">
        <v>137</v>
      </c>
      <c r="CG44">
        <v>2024</v>
      </c>
      <c r="CH44" t="s">
        <v>138</v>
      </c>
      <c r="CI44" t="s">
        <v>139</v>
      </c>
    </row>
    <row r="45" spans="1:87" x14ac:dyDescent="0.3">
      <c r="A45" t="s">
        <v>115</v>
      </c>
      <c r="B45" t="s">
        <v>116</v>
      </c>
      <c r="C45" t="s">
        <v>117</v>
      </c>
      <c r="D45" t="s">
        <v>118</v>
      </c>
      <c r="E45" t="s">
        <v>14</v>
      </c>
      <c r="F45" t="s">
        <v>323</v>
      </c>
      <c r="G45">
        <v>84</v>
      </c>
      <c r="H45">
        <v>0</v>
      </c>
      <c r="I45" s="14">
        <v>592500</v>
      </c>
      <c r="J45" s="14">
        <v>592500</v>
      </c>
      <c r="Q45" s="14"/>
      <c r="R45" s="14"/>
      <c r="Y45" s="14"/>
      <c r="Z45" s="14"/>
      <c r="AG45" s="14"/>
      <c r="AH45" s="14"/>
      <c r="AI45" t="s">
        <v>324</v>
      </c>
      <c r="AJ45" t="s">
        <v>325</v>
      </c>
      <c r="AK45" t="s">
        <v>326</v>
      </c>
      <c r="AM45" t="s">
        <v>327</v>
      </c>
      <c r="AN45" t="s">
        <v>328</v>
      </c>
      <c r="AO45" t="s">
        <v>125</v>
      </c>
      <c r="AP45" t="s">
        <v>329</v>
      </c>
      <c r="AQ45" s="15">
        <v>45638</v>
      </c>
      <c r="AR45" s="15">
        <v>45638</v>
      </c>
      <c r="AS45" t="s">
        <v>145</v>
      </c>
      <c r="AT45">
        <v>3</v>
      </c>
      <c r="AU45">
        <v>8250</v>
      </c>
      <c r="AV45">
        <v>0</v>
      </c>
      <c r="AW45">
        <v>0</v>
      </c>
      <c r="AX45" s="14">
        <v>8250</v>
      </c>
      <c r="AY45" s="14">
        <v>8250</v>
      </c>
      <c r="AZ45" s="14">
        <v>0</v>
      </c>
      <c r="BA45">
        <v>0</v>
      </c>
      <c r="BB45" t="s">
        <v>23</v>
      </c>
      <c r="BC45" t="s">
        <v>128</v>
      </c>
      <c r="BD45" t="s">
        <v>129</v>
      </c>
      <c r="BE45" t="s">
        <v>130</v>
      </c>
      <c r="BF45" t="s">
        <v>325</v>
      </c>
      <c r="BG45" t="s">
        <v>333</v>
      </c>
      <c r="BH45" t="s">
        <v>132</v>
      </c>
      <c r="BI45" t="s">
        <v>154</v>
      </c>
      <c r="BJ45">
        <v>1</v>
      </c>
      <c r="BK45" t="s">
        <v>133</v>
      </c>
      <c r="BV45" t="s">
        <v>134</v>
      </c>
      <c r="BW45" s="16">
        <v>45638.388194444437</v>
      </c>
      <c r="BX45" t="s">
        <v>178</v>
      </c>
      <c r="BZ45">
        <v>3</v>
      </c>
      <c r="CA45" t="s">
        <v>224</v>
      </c>
      <c r="CB45">
        <v>0</v>
      </c>
      <c r="CF45" t="s">
        <v>137</v>
      </c>
      <c r="CG45">
        <v>2024</v>
      </c>
      <c r="CH45" t="s">
        <v>138</v>
      </c>
      <c r="CI45" t="s">
        <v>139</v>
      </c>
    </row>
    <row r="46" spans="1:87" x14ac:dyDescent="0.3">
      <c r="A46" t="s">
        <v>115</v>
      </c>
      <c r="B46" t="s">
        <v>116</v>
      </c>
      <c r="C46" t="s">
        <v>117</v>
      </c>
      <c r="D46" t="s">
        <v>118</v>
      </c>
      <c r="E46" t="s">
        <v>14</v>
      </c>
      <c r="F46" t="s">
        <v>334</v>
      </c>
      <c r="G46">
        <v>68.72</v>
      </c>
      <c r="H46">
        <v>0</v>
      </c>
      <c r="I46" s="14">
        <v>496000</v>
      </c>
      <c r="J46" s="14">
        <v>496000</v>
      </c>
      <c r="Q46" s="14"/>
      <c r="R46" s="14"/>
      <c r="Y46" s="14"/>
      <c r="Z46" s="14"/>
      <c r="AG46" s="14"/>
      <c r="AH46" s="14"/>
      <c r="AI46" t="s">
        <v>335</v>
      </c>
      <c r="AJ46" t="s">
        <v>336</v>
      </c>
      <c r="AK46" t="s">
        <v>245</v>
      </c>
      <c r="AM46" t="s">
        <v>337</v>
      </c>
      <c r="AN46" t="s">
        <v>338</v>
      </c>
      <c r="AO46" t="s">
        <v>125</v>
      </c>
      <c r="AP46" t="s">
        <v>339</v>
      </c>
      <c r="AQ46" s="15">
        <v>45586</v>
      </c>
      <c r="AR46" s="15">
        <v>45586</v>
      </c>
      <c r="AS46" t="s">
        <v>127</v>
      </c>
      <c r="AT46">
        <v>1</v>
      </c>
      <c r="AU46">
        <v>200</v>
      </c>
      <c r="AV46">
        <v>0</v>
      </c>
      <c r="AW46">
        <v>0</v>
      </c>
      <c r="AX46" s="14">
        <v>200</v>
      </c>
      <c r="AY46" s="14">
        <v>200</v>
      </c>
      <c r="AZ46" s="14">
        <v>0</v>
      </c>
      <c r="BA46">
        <v>0</v>
      </c>
      <c r="BB46" t="s">
        <v>24</v>
      </c>
      <c r="BC46" t="s">
        <v>128</v>
      </c>
      <c r="BD46" t="s">
        <v>129</v>
      </c>
      <c r="BE46" t="s">
        <v>130</v>
      </c>
      <c r="BF46" t="s">
        <v>336</v>
      </c>
      <c r="BG46" t="s">
        <v>340</v>
      </c>
      <c r="BH46" t="s">
        <v>132</v>
      </c>
      <c r="BI46" t="s">
        <v>154</v>
      </c>
      <c r="BJ46">
        <v>1</v>
      </c>
      <c r="BK46" t="s">
        <v>133</v>
      </c>
      <c r="BV46" t="s">
        <v>134</v>
      </c>
      <c r="BW46" s="16">
        <v>45829.38958333333</v>
      </c>
      <c r="BX46" t="s">
        <v>178</v>
      </c>
      <c r="BZ46">
        <v>2</v>
      </c>
      <c r="CA46" t="s">
        <v>284</v>
      </c>
      <c r="CB46">
        <v>0</v>
      </c>
      <c r="CF46" t="s">
        <v>137</v>
      </c>
      <c r="CG46">
        <v>2024</v>
      </c>
      <c r="CH46" t="s">
        <v>138</v>
      </c>
      <c r="CI46" t="s">
        <v>139</v>
      </c>
    </row>
    <row r="47" spans="1:87" x14ac:dyDescent="0.3">
      <c r="A47" t="s">
        <v>115</v>
      </c>
      <c r="B47" t="s">
        <v>116</v>
      </c>
      <c r="C47" t="s">
        <v>117</v>
      </c>
      <c r="D47" t="s">
        <v>118</v>
      </c>
      <c r="E47" t="s">
        <v>14</v>
      </c>
      <c r="F47" t="s">
        <v>334</v>
      </c>
      <c r="G47">
        <v>68.72</v>
      </c>
      <c r="H47">
        <v>0</v>
      </c>
      <c r="I47" s="14">
        <v>496000</v>
      </c>
      <c r="J47" s="14">
        <v>496000</v>
      </c>
      <c r="Q47" s="14"/>
      <c r="R47" s="14"/>
      <c r="Y47" s="14"/>
      <c r="Z47" s="14"/>
      <c r="AG47" s="14"/>
      <c r="AH47" s="14"/>
      <c r="AI47" t="s">
        <v>335</v>
      </c>
      <c r="AJ47" t="s">
        <v>336</v>
      </c>
      <c r="AK47" t="s">
        <v>245</v>
      </c>
      <c r="AM47" t="s">
        <v>337</v>
      </c>
      <c r="AN47" t="s">
        <v>338</v>
      </c>
      <c r="AO47" t="s">
        <v>125</v>
      </c>
      <c r="AP47" t="s">
        <v>339</v>
      </c>
      <c r="AQ47" s="15">
        <v>45587</v>
      </c>
      <c r="AR47" s="15">
        <v>45587</v>
      </c>
      <c r="AS47" t="s">
        <v>127</v>
      </c>
      <c r="AT47">
        <v>2</v>
      </c>
      <c r="AU47">
        <v>2800</v>
      </c>
      <c r="AV47">
        <v>0</v>
      </c>
      <c r="AW47">
        <v>0</v>
      </c>
      <c r="AX47" s="14">
        <v>2800</v>
      </c>
      <c r="AY47" s="14">
        <v>2800</v>
      </c>
      <c r="AZ47" s="14">
        <v>0</v>
      </c>
      <c r="BA47">
        <v>0</v>
      </c>
      <c r="BB47" t="s">
        <v>24</v>
      </c>
      <c r="BC47" t="s">
        <v>128</v>
      </c>
      <c r="BD47" t="s">
        <v>129</v>
      </c>
      <c r="BE47" t="s">
        <v>282</v>
      </c>
      <c r="BF47" t="s">
        <v>336</v>
      </c>
      <c r="BG47" t="s">
        <v>341</v>
      </c>
      <c r="BH47" t="s">
        <v>132</v>
      </c>
      <c r="BI47" t="s">
        <v>154</v>
      </c>
      <c r="BJ47">
        <v>1</v>
      </c>
      <c r="BK47" t="s">
        <v>133</v>
      </c>
      <c r="BV47" t="s">
        <v>134</v>
      </c>
      <c r="BW47" s="16">
        <v>45829.38958333333</v>
      </c>
      <c r="BX47" t="s">
        <v>178</v>
      </c>
      <c r="BZ47">
        <v>2</v>
      </c>
      <c r="CA47" t="s">
        <v>284</v>
      </c>
      <c r="CB47">
        <v>0</v>
      </c>
      <c r="CF47" t="s">
        <v>137</v>
      </c>
      <c r="CG47">
        <v>2024</v>
      </c>
      <c r="CH47" t="s">
        <v>138</v>
      </c>
      <c r="CI47" t="s">
        <v>139</v>
      </c>
    </row>
    <row r="48" spans="1:87" x14ac:dyDescent="0.3">
      <c r="A48" t="s">
        <v>165</v>
      </c>
      <c r="B48" t="s">
        <v>116</v>
      </c>
      <c r="C48" t="s">
        <v>117</v>
      </c>
      <c r="D48" t="s">
        <v>118</v>
      </c>
      <c r="E48" t="s">
        <v>14</v>
      </c>
      <c r="F48" t="s">
        <v>190</v>
      </c>
      <c r="G48">
        <v>72</v>
      </c>
      <c r="H48">
        <v>16</v>
      </c>
      <c r="I48" s="14">
        <v>587000</v>
      </c>
      <c r="J48" s="14">
        <v>577000</v>
      </c>
      <c r="Q48" s="14"/>
      <c r="R48" s="14"/>
      <c r="Y48" s="14"/>
      <c r="Z48" s="14"/>
      <c r="AG48" s="14"/>
      <c r="AH48" s="14"/>
      <c r="AI48" t="s">
        <v>342</v>
      </c>
      <c r="AJ48" t="s">
        <v>343</v>
      </c>
      <c r="AK48" t="s">
        <v>344</v>
      </c>
      <c r="AL48">
        <v>0</v>
      </c>
      <c r="AM48" t="s">
        <v>345</v>
      </c>
      <c r="AN48" t="s">
        <v>346</v>
      </c>
      <c r="AO48" t="s">
        <v>125</v>
      </c>
      <c r="AP48" t="s">
        <v>152</v>
      </c>
      <c r="AQ48" s="15">
        <v>45641</v>
      </c>
      <c r="AR48" s="15">
        <v>45641</v>
      </c>
      <c r="AS48" t="s">
        <v>127</v>
      </c>
      <c r="AT48">
        <v>1</v>
      </c>
      <c r="AU48">
        <v>3000</v>
      </c>
      <c r="AV48">
        <v>0</v>
      </c>
      <c r="AW48">
        <v>0</v>
      </c>
      <c r="AX48" s="14">
        <v>3000</v>
      </c>
      <c r="AY48" s="14">
        <v>3000</v>
      </c>
      <c r="AZ48" s="14">
        <v>0</v>
      </c>
      <c r="BA48">
        <v>0</v>
      </c>
      <c r="BB48" t="s">
        <v>24</v>
      </c>
      <c r="BC48" t="s">
        <v>175</v>
      </c>
      <c r="BD48" t="s">
        <v>176</v>
      </c>
      <c r="BE48" t="s">
        <v>222</v>
      </c>
      <c r="BF48" t="s">
        <v>343</v>
      </c>
      <c r="BG48" t="s">
        <v>347</v>
      </c>
      <c r="BH48" t="s">
        <v>132</v>
      </c>
      <c r="BI48" t="s">
        <v>154</v>
      </c>
      <c r="BJ48">
        <v>4</v>
      </c>
      <c r="BK48" t="s">
        <v>133</v>
      </c>
      <c r="BV48" t="s">
        <v>134</v>
      </c>
      <c r="BW48" s="16">
        <v>45918.415972222218</v>
      </c>
      <c r="BX48" t="s">
        <v>143</v>
      </c>
      <c r="BZ48">
        <v>4</v>
      </c>
      <c r="CA48" t="s">
        <v>348</v>
      </c>
      <c r="CB48">
        <v>0</v>
      </c>
      <c r="CF48" t="s">
        <v>137</v>
      </c>
      <c r="CG48">
        <v>2024</v>
      </c>
      <c r="CH48" t="s">
        <v>138</v>
      </c>
      <c r="CI48" t="s">
        <v>139</v>
      </c>
    </row>
    <row r="49" spans="1:87" x14ac:dyDescent="0.3">
      <c r="A49" t="s">
        <v>165</v>
      </c>
      <c r="B49" t="s">
        <v>116</v>
      </c>
      <c r="C49" t="s">
        <v>117</v>
      </c>
      <c r="D49" t="s">
        <v>118</v>
      </c>
      <c r="E49" t="s">
        <v>14</v>
      </c>
      <c r="F49" t="s">
        <v>349</v>
      </c>
      <c r="G49">
        <v>40</v>
      </c>
      <c r="H49">
        <v>0</v>
      </c>
      <c r="I49" s="14">
        <v>312500</v>
      </c>
      <c r="J49" s="14">
        <v>265000</v>
      </c>
      <c r="Q49" s="14"/>
      <c r="R49" s="14"/>
      <c r="Y49" s="14"/>
      <c r="Z49" s="14"/>
      <c r="AG49" s="14"/>
      <c r="AH49" s="14"/>
      <c r="AI49" t="s">
        <v>350</v>
      </c>
      <c r="AJ49" t="s">
        <v>351</v>
      </c>
      <c r="AK49" t="s">
        <v>352</v>
      </c>
      <c r="AL49">
        <v>0</v>
      </c>
      <c r="AM49" t="s">
        <v>353</v>
      </c>
      <c r="AN49" t="s">
        <v>354</v>
      </c>
      <c r="AO49" t="s">
        <v>125</v>
      </c>
      <c r="AP49" t="s">
        <v>339</v>
      </c>
      <c r="AQ49" s="15">
        <v>45919</v>
      </c>
      <c r="AR49" s="15">
        <v>45919</v>
      </c>
      <c r="AS49" t="s">
        <v>127</v>
      </c>
      <c r="AT49">
        <v>1</v>
      </c>
      <c r="AU49">
        <v>3000</v>
      </c>
      <c r="AV49">
        <v>0</v>
      </c>
      <c r="AW49">
        <v>0</v>
      </c>
      <c r="AX49" s="14">
        <v>3000</v>
      </c>
      <c r="AY49" s="14">
        <v>3000</v>
      </c>
      <c r="AZ49" s="14">
        <v>0</v>
      </c>
      <c r="BA49">
        <v>0</v>
      </c>
      <c r="BB49" t="s">
        <v>24</v>
      </c>
      <c r="BC49" t="s">
        <v>175</v>
      </c>
      <c r="BD49" t="s">
        <v>176</v>
      </c>
      <c r="BE49" t="s">
        <v>130</v>
      </c>
      <c r="BG49" t="s">
        <v>355</v>
      </c>
      <c r="BH49" t="s">
        <v>132</v>
      </c>
      <c r="BJ49">
        <v>4</v>
      </c>
      <c r="BK49" t="s">
        <v>133</v>
      </c>
      <c r="BV49" t="s">
        <v>134</v>
      </c>
      <c r="BW49" s="16">
        <v>45904.805555555547</v>
      </c>
      <c r="BX49" t="s">
        <v>178</v>
      </c>
      <c r="BZ49">
        <v>11</v>
      </c>
      <c r="CA49" t="s">
        <v>356</v>
      </c>
      <c r="CB49">
        <v>0</v>
      </c>
      <c r="CF49" t="s">
        <v>357</v>
      </c>
      <c r="CG49">
        <v>2025</v>
      </c>
      <c r="CH49" t="s">
        <v>138</v>
      </c>
      <c r="CI49" t="s">
        <v>139</v>
      </c>
    </row>
    <row r="50" spans="1:87" x14ac:dyDescent="0.3">
      <c r="A50" t="s">
        <v>165</v>
      </c>
      <c r="B50" t="s">
        <v>116</v>
      </c>
      <c r="C50" t="s">
        <v>117</v>
      </c>
      <c r="D50" t="s">
        <v>118</v>
      </c>
      <c r="E50" t="s">
        <v>14</v>
      </c>
      <c r="F50" t="s">
        <v>349</v>
      </c>
      <c r="G50">
        <v>40</v>
      </c>
      <c r="H50">
        <v>0</v>
      </c>
      <c r="I50" s="14">
        <v>312500</v>
      </c>
      <c r="J50" s="14">
        <v>265000</v>
      </c>
      <c r="Q50" s="14"/>
      <c r="R50" s="14"/>
      <c r="Y50" s="14"/>
      <c r="Z50" s="14"/>
      <c r="AG50" s="14"/>
      <c r="AH50" s="14"/>
      <c r="AI50" t="s">
        <v>350</v>
      </c>
      <c r="AJ50" t="s">
        <v>351</v>
      </c>
      <c r="AK50" t="s">
        <v>352</v>
      </c>
      <c r="AL50">
        <v>0</v>
      </c>
      <c r="AM50" t="s">
        <v>353</v>
      </c>
      <c r="AN50" t="s">
        <v>354</v>
      </c>
      <c r="AO50" t="s">
        <v>125</v>
      </c>
      <c r="AP50" t="s">
        <v>339</v>
      </c>
      <c r="AQ50" s="15">
        <v>45904</v>
      </c>
      <c r="AR50" s="15">
        <v>45904</v>
      </c>
      <c r="AS50" t="s">
        <v>145</v>
      </c>
      <c r="AT50">
        <v>1</v>
      </c>
      <c r="AU50">
        <v>65600</v>
      </c>
      <c r="AV50">
        <v>0</v>
      </c>
      <c r="AW50">
        <v>0</v>
      </c>
      <c r="AX50" s="14">
        <v>65600</v>
      </c>
      <c r="AY50" s="14">
        <v>65600</v>
      </c>
      <c r="AZ50" s="14">
        <v>0</v>
      </c>
      <c r="BA50">
        <v>0</v>
      </c>
      <c r="BB50" t="s">
        <v>24</v>
      </c>
      <c r="BC50" t="s">
        <v>175</v>
      </c>
      <c r="BD50" t="s">
        <v>176</v>
      </c>
      <c r="BE50" t="s">
        <v>130</v>
      </c>
      <c r="BG50" t="s">
        <v>358</v>
      </c>
      <c r="BH50" t="s">
        <v>132</v>
      </c>
      <c r="BJ50">
        <v>4</v>
      </c>
      <c r="BK50" t="s">
        <v>133</v>
      </c>
      <c r="BV50" t="s">
        <v>134</v>
      </c>
      <c r="BW50" s="16">
        <v>45904.805555555547</v>
      </c>
      <c r="BX50" t="s">
        <v>178</v>
      </c>
      <c r="BZ50">
        <v>11</v>
      </c>
      <c r="CA50" t="s">
        <v>359</v>
      </c>
      <c r="CB50">
        <v>0</v>
      </c>
      <c r="CF50" t="s">
        <v>357</v>
      </c>
      <c r="CG50">
        <v>2025</v>
      </c>
      <c r="CH50" t="s">
        <v>138</v>
      </c>
      <c r="CI50" t="s">
        <v>139</v>
      </c>
    </row>
    <row r="51" spans="1:87" x14ac:dyDescent="0.3">
      <c r="A51" t="s">
        <v>115</v>
      </c>
      <c r="B51" t="s">
        <v>116</v>
      </c>
      <c r="C51" t="s">
        <v>117</v>
      </c>
      <c r="D51" t="s">
        <v>118</v>
      </c>
      <c r="E51" t="s">
        <v>14</v>
      </c>
      <c r="F51" t="s">
        <v>360</v>
      </c>
      <c r="G51">
        <v>84</v>
      </c>
      <c r="H51">
        <v>0</v>
      </c>
      <c r="I51" s="14">
        <v>630000</v>
      </c>
      <c r="J51" s="14">
        <v>630000</v>
      </c>
      <c r="Q51" s="14"/>
      <c r="R51" s="14"/>
      <c r="Y51" s="14"/>
      <c r="Z51" s="14"/>
      <c r="AG51" s="14"/>
      <c r="AH51" s="14"/>
      <c r="AI51" t="s">
        <v>361</v>
      </c>
      <c r="AJ51" t="s">
        <v>362</v>
      </c>
      <c r="AK51" t="s">
        <v>363</v>
      </c>
      <c r="AM51" t="s">
        <v>364</v>
      </c>
      <c r="AN51" t="s">
        <v>365</v>
      </c>
      <c r="AO51" t="s">
        <v>125</v>
      </c>
      <c r="AP51" t="s">
        <v>366</v>
      </c>
      <c r="AQ51" s="15">
        <v>45754</v>
      </c>
      <c r="AR51" s="15">
        <v>45754</v>
      </c>
      <c r="AS51" t="s">
        <v>127</v>
      </c>
      <c r="AT51">
        <v>1</v>
      </c>
      <c r="AU51">
        <v>3000</v>
      </c>
      <c r="AV51">
        <v>0</v>
      </c>
      <c r="AW51">
        <v>0</v>
      </c>
      <c r="AX51" s="14">
        <v>3000</v>
      </c>
      <c r="AY51" s="14">
        <v>3000</v>
      </c>
      <c r="AZ51" s="14">
        <v>0</v>
      </c>
      <c r="BA51">
        <v>0</v>
      </c>
      <c r="BB51" t="s">
        <v>23</v>
      </c>
      <c r="BC51" t="s">
        <v>128</v>
      </c>
      <c r="BD51" t="s">
        <v>129</v>
      </c>
      <c r="BE51" t="s">
        <v>130</v>
      </c>
      <c r="BF51" t="s">
        <v>362</v>
      </c>
      <c r="BG51" t="s">
        <v>367</v>
      </c>
      <c r="BH51" t="s">
        <v>132</v>
      </c>
      <c r="BI51" t="s">
        <v>154</v>
      </c>
      <c r="BJ51">
        <v>1</v>
      </c>
      <c r="BK51" t="s">
        <v>133</v>
      </c>
      <c r="BV51" t="s">
        <v>134</v>
      </c>
      <c r="BW51" s="16">
        <v>45775.390972222223</v>
      </c>
      <c r="BX51" t="s">
        <v>178</v>
      </c>
      <c r="BZ51">
        <v>8</v>
      </c>
      <c r="CA51" t="s">
        <v>224</v>
      </c>
      <c r="CB51">
        <v>0</v>
      </c>
      <c r="CF51" t="s">
        <v>357</v>
      </c>
      <c r="CG51">
        <v>2025</v>
      </c>
      <c r="CH51" t="s">
        <v>138</v>
      </c>
      <c r="CI51" t="s">
        <v>139</v>
      </c>
    </row>
    <row r="52" spans="1:87" x14ac:dyDescent="0.3">
      <c r="A52" t="s">
        <v>115</v>
      </c>
      <c r="B52" t="s">
        <v>116</v>
      </c>
      <c r="C52" t="s">
        <v>117</v>
      </c>
      <c r="D52" t="s">
        <v>118</v>
      </c>
      <c r="E52" t="s">
        <v>14</v>
      </c>
      <c r="F52" t="s">
        <v>360</v>
      </c>
      <c r="G52">
        <v>84</v>
      </c>
      <c r="H52">
        <v>0</v>
      </c>
      <c r="I52" s="14">
        <v>630000</v>
      </c>
      <c r="J52" s="14">
        <v>630000</v>
      </c>
      <c r="Q52" s="14"/>
      <c r="R52" s="14"/>
      <c r="Y52" s="14"/>
      <c r="Z52" s="14"/>
      <c r="AG52" s="14"/>
      <c r="AH52" s="14"/>
      <c r="AI52" t="s">
        <v>361</v>
      </c>
      <c r="AJ52" t="s">
        <v>362</v>
      </c>
      <c r="AK52" t="s">
        <v>363</v>
      </c>
      <c r="AM52" t="s">
        <v>364</v>
      </c>
      <c r="AN52" t="s">
        <v>365</v>
      </c>
      <c r="AO52" t="s">
        <v>125</v>
      </c>
      <c r="AP52" t="s">
        <v>366</v>
      </c>
      <c r="AQ52" s="15">
        <v>45775</v>
      </c>
      <c r="AR52" s="15">
        <v>45775</v>
      </c>
      <c r="AS52" t="s">
        <v>127</v>
      </c>
      <c r="AT52">
        <v>6</v>
      </c>
      <c r="AU52">
        <v>10000</v>
      </c>
      <c r="AV52">
        <v>0</v>
      </c>
      <c r="AW52">
        <v>0</v>
      </c>
      <c r="AX52" s="14">
        <v>10000</v>
      </c>
      <c r="AY52" s="14">
        <v>10000</v>
      </c>
      <c r="AZ52" s="14">
        <v>0</v>
      </c>
      <c r="BA52">
        <v>0</v>
      </c>
      <c r="BB52" t="s">
        <v>23</v>
      </c>
      <c r="BC52" t="s">
        <v>128</v>
      </c>
      <c r="BD52" t="s">
        <v>129</v>
      </c>
      <c r="BE52" t="s">
        <v>130</v>
      </c>
      <c r="BG52" t="s">
        <v>368</v>
      </c>
      <c r="BH52" t="s">
        <v>132</v>
      </c>
      <c r="BJ52">
        <v>4</v>
      </c>
      <c r="BK52" t="s">
        <v>133</v>
      </c>
      <c r="BV52" t="s">
        <v>134</v>
      </c>
      <c r="BW52" s="16">
        <v>45775.390972222223</v>
      </c>
      <c r="BX52" t="s">
        <v>178</v>
      </c>
      <c r="BZ52">
        <v>8</v>
      </c>
      <c r="CA52" t="s">
        <v>369</v>
      </c>
      <c r="CB52">
        <v>0</v>
      </c>
      <c r="CF52" t="s">
        <v>357</v>
      </c>
      <c r="CG52">
        <v>2025</v>
      </c>
      <c r="CH52" t="s">
        <v>138</v>
      </c>
      <c r="CI52" t="s">
        <v>139</v>
      </c>
    </row>
    <row r="53" spans="1:87" x14ac:dyDescent="0.3">
      <c r="A53" t="s">
        <v>115</v>
      </c>
      <c r="B53" t="s">
        <v>116</v>
      </c>
      <c r="C53" t="s">
        <v>117</v>
      </c>
      <c r="D53" t="s">
        <v>118</v>
      </c>
      <c r="E53" t="s">
        <v>14</v>
      </c>
      <c r="F53" t="s">
        <v>360</v>
      </c>
      <c r="G53">
        <v>84</v>
      </c>
      <c r="H53">
        <v>0</v>
      </c>
      <c r="I53" s="14">
        <v>630000</v>
      </c>
      <c r="J53" s="14">
        <v>630000</v>
      </c>
      <c r="Q53" s="14"/>
      <c r="R53" s="14"/>
      <c r="Y53" s="14"/>
      <c r="Z53" s="14"/>
      <c r="AG53" s="14"/>
      <c r="AH53" s="14"/>
      <c r="AI53" t="s">
        <v>361</v>
      </c>
      <c r="AJ53" t="s">
        <v>362</v>
      </c>
      <c r="AK53" t="s">
        <v>363</v>
      </c>
      <c r="AM53" t="s">
        <v>364</v>
      </c>
      <c r="AN53" t="s">
        <v>365</v>
      </c>
      <c r="AO53" t="s">
        <v>125</v>
      </c>
      <c r="AP53" t="s">
        <v>366</v>
      </c>
      <c r="AQ53" s="15">
        <v>45775</v>
      </c>
      <c r="AR53" s="15">
        <v>45775</v>
      </c>
      <c r="AS53" t="s">
        <v>145</v>
      </c>
      <c r="AT53">
        <v>1</v>
      </c>
      <c r="AU53">
        <v>45000</v>
      </c>
      <c r="AV53">
        <v>0</v>
      </c>
      <c r="AW53">
        <v>0</v>
      </c>
      <c r="AX53" s="14">
        <v>45000</v>
      </c>
      <c r="AY53" s="14">
        <v>45000</v>
      </c>
      <c r="AZ53" s="14">
        <v>0</v>
      </c>
      <c r="BA53">
        <v>0</v>
      </c>
      <c r="BB53" t="s">
        <v>23</v>
      </c>
      <c r="BC53" t="s">
        <v>128</v>
      </c>
      <c r="BD53" t="s">
        <v>129</v>
      </c>
      <c r="BE53" t="s">
        <v>130</v>
      </c>
      <c r="BG53" t="s">
        <v>368</v>
      </c>
      <c r="BH53" t="s">
        <v>132</v>
      </c>
      <c r="BJ53">
        <v>4</v>
      </c>
      <c r="BK53" t="s">
        <v>133</v>
      </c>
      <c r="BV53" t="s">
        <v>134</v>
      </c>
      <c r="BW53" s="16">
        <v>45775.390972222223</v>
      </c>
      <c r="BX53" t="s">
        <v>178</v>
      </c>
      <c r="BZ53">
        <v>8</v>
      </c>
      <c r="CA53" t="s">
        <v>369</v>
      </c>
      <c r="CB53">
        <v>0</v>
      </c>
      <c r="CF53" t="s">
        <v>357</v>
      </c>
      <c r="CG53">
        <v>2025</v>
      </c>
      <c r="CH53" t="s">
        <v>138</v>
      </c>
      <c r="CI53" t="s">
        <v>139</v>
      </c>
    </row>
    <row r="54" spans="1:87" x14ac:dyDescent="0.3">
      <c r="A54" t="s">
        <v>115</v>
      </c>
      <c r="B54" t="s">
        <v>116</v>
      </c>
      <c r="C54" t="s">
        <v>117</v>
      </c>
      <c r="D54" t="s">
        <v>118</v>
      </c>
      <c r="E54" t="s">
        <v>14</v>
      </c>
      <c r="F54" t="s">
        <v>360</v>
      </c>
      <c r="G54">
        <v>84</v>
      </c>
      <c r="H54">
        <v>0</v>
      </c>
      <c r="I54" s="14">
        <v>630000</v>
      </c>
      <c r="J54" s="14">
        <v>630000</v>
      </c>
      <c r="Q54" s="14"/>
      <c r="R54" s="14"/>
      <c r="Y54" s="14"/>
      <c r="Z54" s="14"/>
      <c r="AG54" s="14"/>
      <c r="AH54" s="14"/>
      <c r="AI54" t="s">
        <v>361</v>
      </c>
      <c r="AJ54" t="s">
        <v>362</v>
      </c>
      <c r="AK54" t="s">
        <v>363</v>
      </c>
      <c r="AM54" t="s">
        <v>364</v>
      </c>
      <c r="AN54" t="s">
        <v>365</v>
      </c>
      <c r="AO54" t="s">
        <v>125</v>
      </c>
      <c r="AP54" t="s">
        <v>366</v>
      </c>
      <c r="AQ54" s="15">
        <v>45833</v>
      </c>
      <c r="AR54" s="15">
        <v>45833</v>
      </c>
      <c r="AS54" t="s">
        <v>145</v>
      </c>
      <c r="AT54">
        <v>2</v>
      </c>
      <c r="AU54">
        <v>44000</v>
      </c>
      <c r="AV54">
        <v>0</v>
      </c>
      <c r="AW54">
        <v>0</v>
      </c>
      <c r="AX54" s="14">
        <v>44000</v>
      </c>
      <c r="AY54" s="14">
        <v>44000</v>
      </c>
      <c r="AZ54" s="14">
        <v>0</v>
      </c>
      <c r="BA54">
        <v>0</v>
      </c>
      <c r="BB54" t="s">
        <v>23</v>
      </c>
      <c r="BC54" t="s">
        <v>128</v>
      </c>
      <c r="BD54" t="s">
        <v>129</v>
      </c>
      <c r="BE54" t="s">
        <v>130</v>
      </c>
      <c r="BG54" t="s">
        <v>370</v>
      </c>
      <c r="BH54" t="s">
        <v>132</v>
      </c>
      <c r="BJ54">
        <v>4</v>
      </c>
      <c r="BK54" t="s">
        <v>133</v>
      </c>
      <c r="BV54" t="s">
        <v>134</v>
      </c>
      <c r="BW54" s="16">
        <v>45775.390972222223</v>
      </c>
      <c r="BX54" t="s">
        <v>178</v>
      </c>
      <c r="BZ54">
        <v>8</v>
      </c>
      <c r="CA54" t="s">
        <v>371</v>
      </c>
      <c r="CB54">
        <v>0</v>
      </c>
      <c r="CF54" t="s">
        <v>357</v>
      </c>
      <c r="CG54">
        <v>2025</v>
      </c>
      <c r="CH54" t="s">
        <v>138</v>
      </c>
      <c r="CI54" t="s">
        <v>139</v>
      </c>
    </row>
    <row r="55" spans="1:87" x14ac:dyDescent="0.3">
      <c r="A55" t="s">
        <v>115</v>
      </c>
      <c r="B55" t="s">
        <v>116</v>
      </c>
      <c r="C55" t="s">
        <v>117</v>
      </c>
      <c r="D55" t="s">
        <v>118</v>
      </c>
      <c r="E55" t="s">
        <v>14</v>
      </c>
      <c r="F55" t="s">
        <v>360</v>
      </c>
      <c r="G55">
        <v>84</v>
      </c>
      <c r="H55">
        <v>0</v>
      </c>
      <c r="I55" s="14">
        <v>630000</v>
      </c>
      <c r="J55" s="14">
        <v>630000</v>
      </c>
      <c r="Q55" s="14"/>
      <c r="R55" s="14"/>
      <c r="Y55" s="14"/>
      <c r="Z55" s="14"/>
      <c r="AG55" s="14"/>
      <c r="AH55" s="14"/>
      <c r="AI55" t="s">
        <v>361</v>
      </c>
      <c r="AJ55" t="s">
        <v>362</v>
      </c>
      <c r="AK55" t="s">
        <v>363</v>
      </c>
      <c r="AM55" t="s">
        <v>364</v>
      </c>
      <c r="AN55" t="s">
        <v>365</v>
      </c>
      <c r="AO55" t="s">
        <v>125</v>
      </c>
      <c r="AP55" t="s">
        <v>366</v>
      </c>
      <c r="AQ55" s="15">
        <v>45869</v>
      </c>
      <c r="AR55" s="15">
        <v>45833</v>
      </c>
      <c r="AS55" t="s">
        <v>227</v>
      </c>
      <c r="AT55">
        <v>1</v>
      </c>
      <c r="AU55">
        <v>528000</v>
      </c>
      <c r="AV55">
        <v>0</v>
      </c>
      <c r="AW55">
        <v>0</v>
      </c>
      <c r="AX55" s="14">
        <v>528000</v>
      </c>
      <c r="AY55" s="14">
        <v>68000</v>
      </c>
      <c r="AZ55" s="14">
        <v>0</v>
      </c>
      <c r="BA55">
        <v>0</v>
      </c>
      <c r="BB55" t="s">
        <v>23</v>
      </c>
      <c r="BC55" t="s">
        <v>128</v>
      </c>
      <c r="BD55" t="s">
        <v>129</v>
      </c>
      <c r="BE55" t="s">
        <v>130</v>
      </c>
      <c r="BG55" t="s">
        <v>372</v>
      </c>
      <c r="BH55" t="s">
        <v>132</v>
      </c>
      <c r="BJ55">
        <v>4</v>
      </c>
      <c r="BK55" t="s">
        <v>133</v>
      </c>
      <c r="BV55" t="s">
        <v>134</v>
      </c>
      <c r="BW55" s="16">
        <v>45775.390972222223</v>
      </c>
      <c r="BX55" t="s">
        <v>178</v>
      </c>
      <c r="BZ55">
        <v>8</v>
      </c>
      <c r="CA55" t="s">
        <v>373</v>
      </c>
      <c r="CB55">
        <v>0</v>
      </c>
      <c r="CF55" t="s">
        <v>357</v>
      </c>
      <c r="CG55">
        <v>2025</v>
      </c>
      <c r="CH55" t="s">
        <v>138</v>
      </c>
      <c r="CI55" t="s">
        <v>139</v>
      </c>
    </row>
    <row r="56" spans="1:87" x14ac:dyDescent="0.3">
      <c r="A56" t="s">
        <v>115</v>
      </c>
      <c r="B56" t="s">
        <v>116</v>
      </c>
      <c r="C56" t="s">
        <v>117</v>
      </c>
      <c r="D56" t="s">
        <v>118</v>
      </c>
      <c r="E56" t="s">
        <v>14</v>
      </c>
      <c r="F56" t="s">
        <v>360</v>
      </c>
      <c r="G56">
        <v>84</v>
      </c>
      <c r="H56">
        <v>0</v>
      </c>
      <c r="I56" s="14">
        <v>630000</v>
      </c>
      <c r="J56" s="14">
        <v>630000</v>
      </c>
      <c r="Q56" s="14"/>
      <c r="R56" s="14"/>
      <c r="Y56" s="14"/>
      <c r="Z56" s="14"/>
      <c r="AG56" s="14"/>
      <c r="AH56" s="14"/>
      <c r="AI56" t="s">
        <v>361</v>
      </c>
      <c r="AJ56" t="s">
        <v>362</v>
      </c>
      <c r="AK56" t="s">
        <v>363</v>
      </c>
      <c r="AM56" t="s">
        <v>364</v>
      </c>
      <c r="AN56" t="s">
        <v>365</v>
      </c>
      <c r="AO56" t="s">
        <v>125</v>
      </c>
      <c r="AP56" t="s">
        <v>366</v>
      </c>
      <c r="AQ56" s="15">
        <v>45869</v>
      </c>
      <c r="AR56" s="15">
        <v>45868</v>
      </c>
      <c r="AS56" t="s">
        <v>227</v>
      </c>
      <c r="AT56">
        <v>1</v>
      </c>
      <c r="AU56">
        <v>0</v>
      </c>
      <c r="AV56">
        <v>0</v>
      </c>
      <c r="AW56">
        <v>0</v>
      </c>
      <c r="AX56" s="14">
        <v>0</v>
      </c>
      <c r="AY56" s="14">
        <v>460000</v>
      </c>
      <c r="AZ56" s="14">
        <v>0</v>
      </c>
      <c r="BA56">
        <v>0</v>
      </c>
      <c r="BB56" t="s">
        <v>23</v>
      </c>
      <c r="BC56" t="s">
        <v>128</v>
      </c>
      <c r="BD56" t="s">
        <v>129</v>
      </c>
      <c r="BE56" t="s">
        <v>130</v>
      </c>
      <c r="BG56" t="s">
        <v>374</v>
      </c>
      <c r="BH56" t="s">
        <v>132</v>
      </c>
      <c r="BJ56">
        <v>4</v>
      </c>
      <c r="BK56" t="s">
        <v>133</v>
      </c>
      <c r="BV56" t="s">
        <v>134</v>
      </c>
      <c r="BW56" s="16">
        <v>45775.390972222223</v>
      </c>
      <c r="BX56" t="s">
        <v>178</v>
      </c>
      <c r="BZ56">
        <v>8</v>
      </c>
      <c r="CA56" t="s">
        <v>375</v>
      </c>
      <c r="CB56">
        <v>0</v>
      </c>
      <c r="CF56" t="s">
        <v>357</v>
      </c>
      <c r="CG56">
        <v>2025</v>
      </c>
      <c r="CH56" t="s">
        <v>138</v>
      </c>
      <c r="CI56" t="s">
        <v>139</v>
      </c>
    </row>
    <row r="57" spans="1:87" x14ac:dyDescent="0.3">
      <c r="A57" t="s">
        <v>115</v>
      </c>
      <c r="B57" t="s">
        <v>116</v>
      </c>
      <c r="C57" t="s">
        <v>117</v>
      </c>
      <c r="D57" t="s">
        <v>118</v>
      </c>
      <c r="E57" t="s">
        <v>140</v>
      </c>
      <c r="F57" t="s">
        <v>376</v>
      </c>
      <c r="G57">
        <v>12.49</v>
      </c>
      <c r="H57">
        <v>1.83</v>
      </c>
      <c r="I57" s="14">
        <v>52000</v>
      </c>
      <c r="J57" s="14">
        <v>52000</v>
      </c>
      <c r="Q57" s="14"/>
      <c r="R57" s="14"/>
      <c r="Y57" s="14"/>
      <c r="Z57" s="14"/>
      <c r="AG57" s="14"/>
      <c r="AH57" s="14"/>
      <c r="AI57" t="s">
        <v>361</v>
      </c>
      <c r="AJ57" t="s">
        <v>362</v>
      </c>
      <c r="AK57" t="s">
        <v>363</v>
      </c>
      <c r="AL57">
        <v>0</v>
      </c>
      <c r="AM57" t="s">
        <v>364</v>
      </c>
      <c r="AN57" t="s">
        <v>365</v>
      </c>
      <c r="AO57" t="s">
        <v>125</v>
      </c>
      <c r="AP57" t="s">
        <v>366</v>
      </c>
      <c r="AQ57" s="15">
        <v>45877</v>
      </c>
      <c r="AR57" s="15">
        <v>45873</v>
      </c>
      <c r="AS57" t="s">
        <v>127</v>
      </c>
      <c r="AT57">
        <v>1</v>
      </c>
      <c r="AU57">
        <v>3000</v>
      </c>
      <c r="AV57">
        <v>0</v>
      </c>
      <c r="AW57">
        <v>0</v>
      </c>
      <c r="AX57" s="14">
        <v>3000</v>
      </c>
      <c r="AY57" s="14">
        <v>3000</v>
      </c>
      <c r="AZ57" s="14">
        <v>0</v>
      </c>
      <c r="BA57">
        <v>0</v>
      </c>
      <c r="BB57" t="s">
        <v>22</v>
      </c>
      <c r="BC57" t="s">
        <v>128</v>
      </c>
      <c r="BD57" t="s">
        <v>129</v>
      </c>
      <c r="BE57" t="s">
        <v>130</v>
      </c>
      <c r="BG57" t="s">
        <v>377</v>
      </c>
      <c r="BH57" t="s">
        <v>132</v>
      </c>
      <c r="BJ57">
        <v>4</v>
      </c>
      <c r="BK57" t="s">
        <v>133</v>
      </c>
      <c r="BV57" t="s">
        <v>134</v>
      </c>
      <c r="BW57" s="16">
        <v>45961.432638888888</v>
      </c>
      <c r="BX57" t="s">
        <v>143</v>
      </c>
      <c r="BZ57">
        <v>54</v>
      </c>
      <c r="CA57" t="s">
        <v>378</v>
      </c>
      <c r="CB57">
        <v>0</v>
      </c>
      <c r="CF57" t="s">
        <v>357</v>
      </c>
      <c r="CG57">
        <v>2025</v>
      </c>
      <c r="CH57" t="s">
        <v>138</v>
      </c>
      <c r="CI57" t="s">
        <v>139</v>
      </c>
    </row>
    <row r="58" spans="1:87" x14ac:dyDescent="0.3">
      <c r="A58" t="s">
        <v>115</v>
      </c>
      <c r="B58" t="s">
        <v>116</v>
      </c>
      <c r="C58" t="s">
        <v>117</v>
      </c>
      <c r="D58" t="s">
        <v>118</v>
      </c>
      <c r="E58" t="s">
        <v>140</v>
      </c>
      <c r="F58" t="s">
        <v>376</v>
      </c>
      <c r="G58">
        <v>12.49</v>
      </c>
      <c r="H58">
        <v>1.83</v>
      </c>
      <c r="I58" s="14">
        <v>52000</v>
      </c>
      <c r="J58" s="14">
        <v>52000</v>
      </c>
      <c r="Q58" s="14"/>
      <c r="R58" s="14"/>
      <c r="Y58" s="14"/>
      <c r="Z58" s="14"/>
      <c r="AG58" s="14"/>
      <c r="AH58" s="14"/>
      <c r="AI58" t="s">
        <v>361</v>
      </c>
      <c r="AJ58" t="s">
        <v>362</v>
      </c>
      <c r="AK58" t="s">
        <v>363</v>
      </c>
      <c r="AL58">
        <v>0</v>
      </c>
      <c r="AM58" t="s">
        <v>364</v>
      </c>
      <c r="AN58" t="s">
        <v>365</v>
      </c>
      <c r="AO58" t="s">
        <v>125</v>
      </c>
      <c r="AP58" t="s">
        <v>366</v>
      </c>
      <c r="AQ58" s="15">
        <v>45877</v>
      </c>
      <c r="AR58" s="15">
        <v>45873</v>
      </c>
      <c r="AS58" t="s">
        <v>145</v>
      </c>
      <c r="AT58">
        <v>1</v>
      </c>
      <c r="AU58">
        <v>7000</v>
      </c>
      <c r="AV58">
        <v>0</v>
      </c>
      <c r="AW58">
        <v>0</v>
      </c>
      <c r="AX58" s="14">
        <v>7000</v>
      </c>
      <c r="AY58" s="14">
        <v>7000</v>
      </c>
      <c r="AZ58" s="14">
        <v>0</v>
      </c>
      <c r="BA58">
        <v>0</v>
      </c>
      <c r="BB58" t="s">
        <v>22</v>
      </c>
      <c r="BC58" t="s">
        <v>128</v>
      </c>
      <c r="BD58" t="s">
        <v>129</v>
      </c>
      <c r="BE58" t="s">
        <v>130</v>
      </c>
      <c r="BG58" t="s">
        <v>377</v>
      </c>
      <c r="BH58" t="s">
        <v>132</v>
      </c>
      <c r="BJ58">
        <v>4</v>
      </c>
      <c r="BK58" t="s">
        <v>133</v>
      </c>
      <c r="BV58" t="s">
        <v>134</v>
      </c>
      <c r="BW58" s="16">
        <v>45961.432638888888</v>
      </c>
      <c r="BX58" t="s">
        <v>143</v>
      </c>
      <c r="BZ58">
        <v>54</v>
      </c>
      <c r="CA58" t="s">
        <v>378</v>
      </c>
      <c r="CB58">
        <v>0</v>
      </c>
      <c r="CF58" t="s">
        <v>357</v>
      </c>
      <c r="CG58">
        <v>2025</v>
      </c>
      <c r="CH58" t="s">
        <v>138</v>
      </c>
      <c r="CI58" t="s">
        <v>139</v>
      </c>
    </row>
    <row r="59" spans="1:87" x14ac:dyDescent="0.3">
      <c r="A59" t="s">
        <v>115</v>
      </c>
      <c r="B59" t="s">
        <v>116</v>
      </c>
      <c r="C59" t="s">
        <v>117</v>
      </c>
      <c r="D59" t="s">
        <v>118</v>
      </c>
      <c r="E59" t="s">
        <v>140</v>
      </c>
      <c r="F59" t="s">
        <v>376</v>
      </c>
      <c r="G59">
        <v>12.49</v>
      </c>
      <c r="H59">
        <v>1.83</v>
      </c>
      <c r="I59" s="14">
        <v>52000</v>
      </c>
      <c r="J59" s="14">
        <v>52000</v>
      </c>
      <c r="Q59" s="14"/>
      <c r="R59" s="14"/>
      <c r="Y59" s="14"/>
      <c r="Z59" s="14"/>
      <c r="AG59" s="14"/>
      <c r="AH59" s="14"/>
      <c r="AI59" t="s">
        <v>361</v>
      </c>
      <c r="AJ59" t="s">
        <v>362</v>
      </c>
      <c r="AK59" t="s">
        <v>363</v>
      </c>
      <c r="AL59">
        <v>0</v>
      </c>
      <c r="AM59" t="s">
        <v>364</v>
      </c>
      <c r="AN59" t="s">
        <v>365</v>
      </c>
      <c r="AO59" t="s">
        <v>125</v>
      </c>
      <c r="AP59" t="s">
        <v>366</v>
      </c>
      <c r="AQ59" s="15">
        <v>45961</v>
      </c>
      <c r="AR59" s="15">
        <v>45961</v>
      </c>
      <c r="AS59" t="s">
        <v>227</v>
      </c>
      <c r="AT59">
        <v>1</v>
      </c>
      <c r="AU59">
        <v>14000</v>
      </c>
      <c r="AV59">
        <v>0</v>
      </c>
      <c r="AW59">
        <v>0</v>
      </c>
      <c r="AX59" s="14">
        <v>14000</v>
      </c>
      <c r="AY59" s="14">
        <v>14000</v>
      </c>
      <c r="AZ59" s="14">
        <v>0</v>
      </c>
      <c r="BA59">
        <v>0</v>
      </c>
      <c r="BB59" t="s">
        <v>22</v>
      </c>
      <c r="BC59" t="s">
        <v>128</v>
      </c>
      <c r="BD59" t="s">
        <v>129</v>
      </c>
      <c r="BE59" t="s">
        <v>130</v>
      </c>
      <c r="BG59" t="s">
        <v>379</v>
      </c>
      <c r="BH59" t="s">
        <v>132</v>
      </c>
      <c r="BJ59">
        <v>4</v>
      </c>
      <c r="BK59" t="s">
        <v>133</v>
      </c>
      <c r="BV59" t="s">
        <v>134</v>
      </c>
      <c r="BW59" s="16">
        <v>45961.432638888888</v>
      </c>
      <c r="BX59" t="s">
        <v>143</v>
      </c>
      <c r="BZ59">
        <v>54</v>
      </c>
      <c r="CA59" t="s">
        <v>380</v>
      </c>
      <c r="CB59">
        <v>0</v>
      </c>
      <c r="CF59" t="s">
        <v>357</v>
      </c>
      <c r="CG59">
        <v>2025</v>
      </c>
      <c r="CH59" t="s">
        <v>138</v>
      </c>
      <c r="CI59" t="s">
        <v>139</v>
      </c>
    </row>
    <row r="60" spans="1:87" x14ac:dyDescent="0.3">
      <c r="A60" t="s">
        <v>115</v>
      </c>
      <c r="B60" t="s">
        <v>116</v>
      </c>
      <c r="C60" t="s">
        <v>117</v>
      </c>
      <c r="D60" t="s">
        <v>118</v>
      </c>
      <c r="E60" t="s">
        <v>140</v>
      </c>
      <c r="F60" t="s">
        <v>376</v>
      </c>
      <c r="G60">
        <v>12.49</v>
      </c>
      <c r="H60">
        <v>1.83</v>
      </c>
      <c r="I60" s="14">
        <v>52000</v>
      </c>
      <c r="J60" s="14">
        <v>52000</v>
      </c>
      <c r="Q60" s="14"/>
      <c r="R60" s="14"/>
      <c r="Y60" s="14"/>
      <c r="Z60" s="14"/>
      <c r="AG60" s="14"/>
      <c r="AH60" s="14"/>
      <c r="AI60" t="s">
        <v>361</v>
      </c>
      <c r="AJ60" t="s">
        <v>362</v>
      </c>
      <c r="AK60" t="s">
        <v>363</v>
      </c>
      <c r="AL60">
        <v>0</v>
      </c>
      <c r="AM60" t="s">
        <v>364</v>
      </c>
      <c r="AN60" t="s">
        <v>365</v>
      </c>
      <c r="AO60" t="s">
        <v>125</v>
      </c>
      <c r="AP60" t="s">
        <v>366</v>
      </c>
      <c r="AQ60" s="15">
        <v>46022</v>
      </c>
      <c r="AR60" s="15">
        <v>46022</v>
      </c>
      <c r="AS60" t="s">
        <v>227</v>
      </c>
      <c r="AT60">
        <v>2</v>
      </c>
      <c r="AU60">
        <v>14000</v>
      </c>
      <c r="AV60">
        <v>0</v>
      </c>
      <c r="AW60">
        <v>0</v>
      </c>
      <c r="AX60" s="14">
        <v>14000</v>
      </c>
      <c r="AY60" s="14">
        <v>14000</v>
      </c>
      <c r="AZ60" s="14">
        <v>0</v>
      </c>
      <c r="BA60">
        <v>0</v>
      </c>
      <c r="BB60" t="s">
        <v>22</v>
      </c>
      <c r="BC60" t="s">
        <v>128</v>
      </c>
      <c r="BD60" t="s">
        <v>129</v>
      </c>
      <c r="BE60" t="s">
        <v>130</v>
      </c>
      <c r="BG60" t="s">
        <v>381</v>
      </c>
      <c r="BH60" t="s">
        <v>132</v>
      </c>
      <c r="BJ60">
        <v>4</v>
      </c>
      <c r="BK60" t="s">
        <v>133</v>
      </c>
      <c r="BV60" t="s">
        <v>134</v>
      </c>
      <c r="BW60" s="16">
        <v>45961.432638888888</v>
      </c>
      <c r="BX60" t="s">
        <v>143</v>
      </c>
      <c r="BZ60">
        <v>54</v>
      </c>
      <c r="CA60" t="s">
        <v>382</v>
      </c>
      <c r="CB60">
        <v>0</v>
      </c>
      <c r="CF60" t="s">
        <v>357</v>
      </c>
      <c r="CG60">
        <v>2025</v>
      </c>
      <c r="CH60" t="s">
        <v>138</v>
      </c>
      <c r="CI60" t="s">
        <v>139</v>
      </c>
    </row>
    <row r="61" spans="1:87" x14ac:dyDescent="0.3">
      <c r="A61" t="s">
        <v>115</v>
      </c>
      <c r="B61" t="s">
        <v>116</v>
      </c>
      <c r="C61" t="s">
        <v>117</v>
      </c>
      <c r="D61" t="s">
        <v>118</v>
      </c>
      <c r="E61" t="s">
        <v>14</v>
      </c>
      <c r="F61" t="s">
        <v>383</v>
      </c>
      <c r="G61">
        <v>60.93</v>
      </c>
      <c r="H61">
        <v>0</v>
      </c>
      <c r="I61" s="14">
        <v>417700</v>
      </c>
      <c r="J61" s="14">
        <v>417700</v>
      </c>
      <c r="Q61" s="14"/>
      <c r="R61" s="14"/>
      <c r="Y61" s="14"/>
      <c r="Z61" s="14"/>
      <c r="AG61" s="14"/>
      <c r="AH61" s="14"/>
      <c r="AI61" t="s">
        <v>384</v>
      </c>
      <c r="AJ61" t="s">
        <v>385</v>
      </c>
      <c r="AK61" t="s">
        <v>386</v>
      </c>
      <c r="AL61">
        <v>938217737</v>
      </c>
      <c r="AM61" t="s">
        <v>387</v>
      </c>
      <c r="AN61" t="s">
        <v>388</v>
      </c>
      <c r="AO61" t="s">
        <v>389</v>
      </c>
      <c r="AP61" t="s">
        <v>390</v>
      </c>
      <c r="AQ61" s="15">
        <v>45912</v>
      </c>
      <c r="AR61" s="15">
        <v>45912</v>
      </c>
      <c r="AS61" t="s">
        <v>127</v>
      </c>
      <c r="AT61">
        <v>1</v>
      </c>
      <c r="AU61">
        <v>3000</v>
      </c>
      <c r="AV61">
        <v>0</v>
      </c>
      <c r="AW61">
        <v>0</v>
      </c>
      <c r="AX61" s="14">
        <v>3000</v>
      </c>
      <c r="AY61" s="14">
        <v>3000</v>
      </c>
      <c r="AZ61" s="14">
        <v>0</v>
      </c>
      <c r="BA61">
        <v>0</v>
      </c>
      <c r="BB61" t="s">
        <v>24</v>
      </c>
      <c r="BC61" t="s">
        <v>128</v>
      </c>
      <c r="BD61" t="s">
        <v>129</v>
      </c>
      <c r="BE61" t="s">
        <v>130</v>
      </c>
      <c r="BG61" t="s">
        <v>391</v>
      </c>
      <c r="BH61" t="s">
        <v>132</v>
      </c>
      <c r="BJ61">
        <v>4</v>
      </c>
      <c r="BK61" t="s">
        <v>133</v>
      </c>
      <c r="BV61" t="s">
        <v>134</v>
      </c>
      <c r="BW61" s="16">
        <v>45919.615972222222</v>
      </c>
      <c r="BX61" t="s">
        <v>135</v>
      </c>
      <c r="BZ61">
        <v>36</v>
      </c>
      <c r="CA61" t="s">
        <v>392</v>
      </c>
      <c r="CB61">
        <v>0</v>
      </c>
      <c r="CF61" t="s">
        <v>357</v>
      </c>
      <c r="CG61">
        <v>2025</v>
      </c>
      <c r="CH61" t="s">
        <v>138</v>
      </c>
      <c r="CI61" t="s">
        <v>139</v>
      </c>
    </row>
    <row r="62" spans="1:87" x14ac:dyDescent="0.3">
      <c r="A62" t="s">
        <v>115</v>
      </c>
      <c r="B62" t="s">
        <v>116</v>
      </c>
      <c r="C62" t="s">
        <v>117</v>
      </c>
      <c r="D62" t="s">
        <v>118</v>
      </c>
      <c r="E62" t="s">
        <v>14</v>
      </c>
      <c r="F62" t="s">
        <v>383</v>
      </c>
      <c r="G62">
        <v>60.93</v>
      </c>
      <c r="H62">
        <v>0</v>
      </c>
      <c r="I62" s="14">
        <v>417700</v>
      </c>
      <c r="J62" s="14">
        <v>417700</v>
      </c>
      <c r="Q62" s="14"/>
      <c r="R62" s="14"/>
      <c r="Y62" s="14"/>
      <c r="Z62" s="14"/>
      <c r="AG62" s="14"/>
      <c r="AH62" s="14"/>
      <c r="AI62" t="s">
        <v>384</v>
      </c>
      <c r="AJ62" t="s">
        <v>385</v>
      </c>
      <c r="AK62" t="s">
        <v>386</v>
      </c>
      <c r="AL62">
        <v>938217737</v>
      </c>
      <c r="AM62" t="s">
        <v>387</v>
      </c>
      <c r="AN62" t="s">
        <v>388</v>
      </c>
      <c r="AO62" t="s">
        <v>389</v>
      </c>
      <c r="AP62" t="s">
        <v>390</v>
      </c>
      <c r="AQ62" s="15">
        <v>45919</v>
      </c>
      <c r="AR62" s="15">
        <v>45919</v>
      </c>
      <c r="AS62" t="s">
        <v>145</v>
      </c>
      <c r="AT62">
        <v>1</v>
      </c>
      <c r="AU62">
        <v>10000</v>
      </c>
      <c r="AV62">
        <v>0</v>
      </c>
      <c r="AW62">
        <v>0</v>
      </c>
      <c r="AX62" s="14">
        <v>10000</v>
      </c>
      <c r="AY62" s="14">
        <v>10000</v>
      </c>
      <c r="AZ62" s="14">
        <v>0</v>
      </c>
      <c r="BA62">
        <v>0</v>
      </c>
      <c r="BB62" t="s">
        <v>24</v>
      </c>
      <c r="BC62" t="s">
        <v>128</v>
      </c>
      <c r="BD62" t="s">
        <v>129</v>
      </c>
      <c r="BE62" t="s">
        <v>130</v>
      </c>
      <c r="BG62" t="s">
        <v>393</v>
      </c>
      <c r="BH62" t="s">
        <v>132</v>
      </c>
      <c r="BJ62">
        <v>4</v>
      </c>
      <c r="BK62" t="s">
        <v>133</v>
      </c>
      <c r="BV62" t="s">
        <v>134</v>
      </c>
      <c r="BW62" s="16">
        <v>45919.615972222222</v>
      </c>
      <c r="BX62" t="s">
        <v>135</v>
      </c>
      <c r="BZ62">
        <v>36</v>
      </c>
      <c r="CA62" t="s">
        <v>394</v>
      </c>
      <c r="CB62">
        <v>0</v>
      </c>
      <c r="CF62" t="s">
        <v>357</v>
      </c>
      <c r="CG62">
        <v>2025</v>
      </c>
      <c r="CH62" t="s">
        <v>138</v>
      </c>
      <c r="CI62" t="s">
        <v>139</v>
      </c>
    </row>
    <row r="63" spans="1:87" x14ac:dyDescent="0.3">
      <c r="A63" t="s">
        <v>115</v>
      </c>
      <c r="B63" t="s">
        <v>116</v>
      </c>
      <c r="C63" t="s">
        <v>117</v>
      </c>
      <c r="D63" t="s">
        <v>118</v>
      </c>
      <c r="E63" t="s">
        <v>14</v>
      </c>
      <c r="F63" t="s">
        <v>395</v>
      </c>
      <c r="G63">
        <v>54.26</v>
      </c>
      <c r="H63">
        <v>0</v>
      </c>
      <c r="I63" s="14">
        <v>397000</v>
      </c>
      <c r="J63" s="14">
        <v>397000</v>
      </c>
      <c r="Q63" s="14"/>
      <c r="R63" s="14"/>
      <c r="Y63" s="14"/>
      <c r="Z63" s="14"/>
      <c r="AG63" s="14"/>
      <c r="AH63" s="14"/>
      <c r="AI63" t="s">
        <v>396</v>
      </c>
      <c r="AJ63" t="s">
        <v>397</v>
      </c>
      <c r="AK63" t="s">
        <v>398</v>
      </c>
      <c r="AL63">
        <v>991502978</v>
      </c>
      <c r="AM63" t="s">
        <v>399</v>
      </c>
      <c r="AN63" t="s">
        <v>400</v>
      </c>
      <c r="AO63" t="s">
        <v>125</v>
      </c>
      <c r="AP63" t="s">
        <v>297</v>
      </c>
      <c r="AQ63" s="15">
        <v>45703</v>
      </c>
      <c r="AR63" s="15">
        <v>45703</v>
      </c>
      <c r="AS63" t="s">
        <v>127</v>
      </c>
      <c r="AT63">
        <v>1</v>
      </c>
      <c r="AU63">
        <v>3000</v>
      </c>
      <c r="AV63">
        <v>0</v>
      </c>
      <c r="AW63">
        <v>0</v>
      </c>
      <c r="AX63" s="14">
        <v>3000</v>
      </c>
      <c r="AY63" s="14">
        <v>3000</v>
      </c>
      <c r="AZ63" s="14">
        <v>0</v>
      </c>
      <c r="BA63">
        <v>0</v>
      </c>
      <c r="BB63" t="s">
        <v>23</v>
      </c>
      <c r="BC63" t="s">
        <v>128</v>
      </c>
      <c r="BD63" t="s">
        <v>129</v>
      </c>
      <c r="BE63" t="s">
        <v>222</v>
      </c>
      <c r="BF63" t="s">
        <v>397</v>
      </c>
      <c r="BG63" t="s">
        <v>401</v>
      </c>
      <c r="BH63" t="s">
        <v>132</v>
      </c>
      <c r="BI63" t="s">
        <v>154</v>
      </c>
      <c r="BJ63">
        <v>1</v>
      </c>
      <c r="BK63" t="s">
        <v>133</v>
      </c>
      <c r="BV63" t="s">
        <v>134</v>
      </c>
      <c r="BW63" s="16">
        <v>45730.740972222222</v>
      </c>
      <c r="BX63" t="s">
        <v>178</v>
      </c>
      <c r="BZ63">
        <v>9</v>
      </c>
      <c r="CA63" t="s">
        <v>224</v>
      </c>
      <c r="CB63">
        <v>0</v>
      </c>
      <c r="CF63" t="s">
        <v>357</v>
      </c>
      <c r="CG63">
        <v>2025</v>
      </c>
      <c r="CH63" t="s">
        <v>138</v>
      </c>
      <c r="CI63" t="s">
        <v>139</v>
      </c>
    </row>
    <row r="64" spans="1:87" x14ac:dyDescent="0.3">
      <c r="A64" t="s">
        <v>115</v>
      </c>
      <c r="B64" t="s">
        <v>116</v>
      </c>
      <c r="C64" t="s">
        <v>117</v>
      </c>
      <c r="D64" t="s">
        <v>118</v>
      </c>
      <c r="E64" t="s">
        <v>14</v>
      </c>
      <c r="F64" t="s">
        <v>395</v>
      </c>
      <c r="G64">
        <v>54.26</v>
      </c>
      <c r="H64">
        <v>0</v>
      </c>
      <c r="I64" s="14">
        <v>397000</v>
      </c>
      <c r="J64" s="14">
        <v>397000</v>
      </c>
      <c r="Q64" s="14"/>
      <c r="R64" s="14"/>
      <c r="Y64" s="14"/>
      <c r="Z64" s="14"/>
      <c r="AG64" s="14"/>
      <c r="AH64" s="14"/>
      <c r="AI64" t="s">
        <v>396</v>
      </c>
      <c r="AJ64" t="s">
        <v>397</v>
      </c>
      <c r="AK64" t="s">
        <v>398</v>
      </c>
      <c r="AL64">
        <v>991502978</v>
      </c>
      <c r="AM64" t="s">
        <v>399</v>
      </c>
      <c r="AN64" t="s">
        <v>400</v>
      </c>
      <c r="AO64" t="s">
        <v>125</v>
      </c>
      <c r="AP64" t="s">
        <v>297</v>
      </c>
      <c r="AQ64" s="15">
        <v>45730</v>
      </c>
      <c r="AR64" s="15">
        <v>45730</v>
      </c>
      <c r="AS64" t="s">
        <v>145</v>
      </c>
      <c r="AT64">
        <v>2</v>
      </c>
      <c r="AU64">
        <v>23450</v>
      </c>
      <c r="AV64">
        <v>0</v>
      </c>
      <c r="AW64">
        <v>0</v>
      </c>
      <c r="AX64" s="14">
        <v>23450</v>
      </c>
      <c r="AY64" s="14">
        <v>23450</v>
      </c>
      <c r="AZ64" s="14">
        <v>0</v>
      </c>
      <c r="BA64">
        <v>0</v>
      </c>
      <c r="BB64" t="s">
        <v>23</v>
      </c>
      <c r="BC64" t="s">
        <v>128</v>
      </c>
      <c r="BD64" t="s">
        <v>129</v>
      </c>
      <c r="BE64" t="s">
        <v>130</v>
      </c>
      <c r="BF64" t="s">
        <v>397</v>
      </c>
      <c r="BG64" t="s">
        <v>402</v>
      </c>
      <c r="BH64" t="s">
        <v>132</v>
      </c>
      <c r="BI64" t="s">
        <v>154</v>
      </c>
      <c r="BJ64">
        <v>1</v>
      </c>
      <c r="BK64" t="s">
        <v>133</v>
      </c>
      <c r="BV64" t="s">
        <v>134</v>
      </c>
      <c r="BW64" s="16">
        <v>45730.740972222222</v>
      </c>
      <c r="BX64" t="s">
        <v>178</v>
      </c>
      <c r="BZ64">
        <v>9</v>
      </c>
      <c r="CA64" t="s">
        <v>224</v>
      </c>
      <c r="CB64">
        <v>0</v>
      </c>
      <c r="CF64" t="s">
        <v>357</v>
      </c>
      <c r="CG64">
        <v>2025</v>
      </c>
      <c r="CH64" t="s">
        <v>138</v>
      </c>
      <c r="CI64" t="s">
        <v>139</v>
      </c>
    </row>
    <row r="65" spans="1:87" x14ac:dyDescent="0.3">
      <c r="A65" t="s">
        <v>115</v>
      </c>
      <c r="B65" t="s">
        <v>116</v>
      </c>
      <c r="C65" t="s">
        <v>117</v>
      </c>
      <c r="D65" t="s">
        <v>118</v>
      </c>
      <c r="E65" t="s">
        <v>14</v>
      </c>
      <c r="F65" t="s">
        <v>395</v>
      </c>
      <c r="G65">
        <v>54.26</v>
      </c>
      <c r="H65">
        <v>0</v>
      </c>
      <c r="I65" s="14">
        <v>397000</v>
      </c>
      <c r="J65" s="14">
        <v>397000</v>
      </c>
      <c r="Q65" s="14"/>
      <c r="R65" s="14"/>
      <c r="Y65" s="14"/>
      <c r="Z65" s="14"/>
      <c r="AG65" s="14"/>
      <c r="AH65" s="14"/>
      <c r="AI65" t="s">
        <v>396</v>
      </c>
      <c r="AJ65" t="s">
        <v>397</v>
      </c>
      <c r="AK65" t="s">
        <v>398</v>
      </c>
      <c r="AL65">
        <v>991502978</v>
      </c>
      <c r="AM65" t="s">
        <v>399</v>
      </c>
      <c r="AN65" t="s">
        <v>400</v>
      </c>
      <c r="AO65" t="s">
        <v>125</v>
      </c>
      <c r="AP65" t="s">
        <v>297</v>
      </c>
      <c r="AQ65" s="15">
        <v>45730</v>
      </c>
      <c r="AR65" s="15">
        <v>45730</v>
      </c>
      <c r="AS65" t="s">
        <v>145</v>
      </c>
      <c r="AT65">
        <v>3</v>
      </c>
      <c r="AU65">
        <v>78000</v>
      </c>
      <c r="AV65">
        <v>0</v>
      </c>
      <c r="AW65">
        <v>0</v>
      </c>
      <c r="AX65" s="14">
        <v>78000</v>
      </c>
      <c r="AY65" s="14">
        <v>78000</v>
      </c>
      <c r="AZ65" s="14">
        <v>0</v>
      </c>
      <c r="BA65">
        <v>0</v>
      </c>
      <c r="BB65" t="s">
        <v>23</v>
      </c>
      <c r="BC65" t="s">
        <v>128</v>
      </c>
      <c r="BD65" t="s">
        <v>129</v>
      </c>
      <c r="BE65" t="s">
        <v>130</v>
      </c>
      <c r="BF65" t="s">
        <v>397</v>
      </c>
      <c r="BG65" t="s">
        <v>403</v>
      </c>
      <c r="BH65" t="s">
        <v>132</v>
      </c>
      <c r="BI65" t="s">
        <v>154</v>
      </c>
      <c r="BJ65">
        <v>1</v>
      </c>
      <c r="BK65" t="s">
        <v>133</v>
      </c>
      <c r="BV65" t="s">
        <v>134</v>
      </c>
      <c r="BW65" s="16">
        <v>45730.740972222222</v>
      </c>
      <c r="BX65" t="s">
        <v>178</v>
      </c>
      <c r="BZ65">
        <v>9</v>
      </c>
      <c r="CA65" t="s">
        <v>224</v>
      </c>
      <c r="CB65">
        <v>0</v>
      </c>
      <c r="CF65" t="s">
        <v>357</v>
      </c>
      <c r="CG65">
        <v>2025</v>
      </c>
      <c r="CH65" t="s">
        <v>138</v>
      </c>
      <c r="CI65" t="s">
        <v>139</v>
      </c>
    </row>
    <row r="66" spans="1:87" x14ac:dyDescent="0.3">
      <c r="A66" t="s">
        <v>115</v>
      </c>
      <c r="B66" t="s">
        <v>116</v>
      </c>
      <c r="C66" t="s">
        <v>117</v>
      </c>
      <c r="D66" t="s">
        <v>118</v>
      </c>
      <c r="E66" t="s">
        <v>14</v>
      </c>
      <c r="F66" t="s">
        <v>395</v>
      </c>
      <c r="G66">
        <v>54.26</v>
      </c>
      <c r="H66">
        <v>0</v>
      </c>
      <c r="I66" s="14">
        <v>397000</v>
      </c>
      <c r="J66" s="14">
        <v>397000</v>
      </c>
      <c r="Q66" s="14"/>
      <c r="R66" s="14"/>
      <c r="Y66" s="14"/>
      <c r="Z66" s="14"/>
      <c r="AG66" s="14"/>
      <c r="AH66" s="14"/>
      <c r="AI66" t="s">
        <v>396</v>
      </c>
      <c r="AJ66" t="s">
        <v>397</v>
      </c>
      <c r="AK66" t="s">
        <v>398</v>
      </c>
      <c r="AL66">
        <v>991502978</v>
      </c>
      <c r="AM66" t="s">
        <v>399</v>
      </c>
      <c r="AN66" t="s">
        <v>400</v>
      </c>
      <c r="AO66" t="s">
        <v>125</v>
      </c>
      <c r="AP66" t="s">
        <v>297</v>
      </c>
      <c r="AQ66" s="15">
        <v>45746</v>
      </c>
      <c r="AR66" s="15">
        <v>45747</v>
      </c>
      <c r="AS66" t="s">
        <v>227</v>
      </c>
      <c r="AT66">
        <v>1</v>
      </c>
      <c r="AU66">
        <v>292550</v>
      </c>
      <c r="AV66">
        <v>0</v>
      </c>
      <c r="AW66">
        <v>0</v>
      </c>
      <c r="AX66" s="14">
        <v>292550</v>
      </c>
      <c r="AY66" s="14">
        <v>34500</v>
      </c>
      <c r="AZ66" s="14">
        <v>0</v>
      </c>
      <c r="BA66">
        <v>0</v>
      </c>
      <c r="BB66" t="s">
        <v>23</v>
      </c>
      <c r="BC66" t="s">
        <v>128</v>
      </c>
      <c r="BD66" t="s">
        <v>129</v>
      </c>
      <c r="BE66" t="s">
        <v>287</v>
      </c>
      <c r="BG66" t="s">
        <v>404</v>
      </c>
      <c r="BH66" t="s">
        <v>132</v>
      </c>
      <c r="BJ66">
        <v>4</v>
      </c>
      <c r="BK66" t="s">
        <v>133</v>
      </c>
      <c r="BV66" t="s">
        <v>134</v>
      </c>
      <c r="BW66" s="16">
        <v>45730.740972222222</v>
      </c>
      <c r="BX66" t="s">
        <v>178</v>
      </c>
      <c r="BZ66">
        <v>9</v>
      </c>
      <c r="CA66" t="s">
        <v>405</v>
      </c>
      <c r="CB66">
        <v>0</v>
      </c>
      <c r="CF66" t="s">
        <v>357</v>
      </c>
      <c r="CG66">
        <v>2025</v>
      </c>
      <c r="CH66" t="s">
        <v>138</v>
      </c>
      <c r="CI66" t="s">
        <v>139</v>
      </c>
    </row>
    <row r="67" spans="1:87" x14ac:dyDescent="0.3">
      <c r="A67" t="s">
        <v>115</v>
      </c>
      <c r="B67" t="s">
        <v>116</v>
      </c>
      <c r="C67" t="s">
        <v>117</v>
      </c>
      <c r="D67" t="s">
        <v>118</v>
      </c>
      <c r="E67" t="s">
        <v>14</v>
      </c>
      <c r="F67" t="s">
        <v>395</v>
      </c>
      <c r="G67">
        <v>54.26</v>
      </c>
      <c r="H67">
        <v>0</v>
      </c>
      <c r="I67" s="14">
        <v>397000</v>
      </c>
      <c r="J67" s="14">
        <v>397000</v>
      </c>
      <c r="Q67" s="14"/>
      <c r="R67" s="14"/>
      <c r="Y67" s="14"/>
      <c r="Z67" s="14"/>
      <c r="AG67" s="14"/>
      <c r="AH67" s="14"/>
      <c r="AI67" t="s">
        <v>396</v>
      </c>
      <c r="AJ67" t="s">
        <v>397</v>
      </c>
      <c r="AK67" t="s">
        <v>398</v>
      </c>
      <c r="AL67">
        <v>991502978</v>
      </c>
      <c r="AM67" t="s">
        <v>399</v>
      </c>
      <c r="AN67" t="s">
        <v>400</v>
      </c>
      <c r="AO67" t="s">
        <v>125</v>
      </c>
      <c r="AP67" t="s">
        <v>297</v>
      </c>
      <c r="AQ67" s="15">
        <v>45746</v>
      </c>
      <c r="AR67" s="15">
        <v>45747</v>
      </c>
      <c r="AS67" t="s">
        <v>227</v>
      </c>
      <c r="AT67">
        <v>1</v>
      </c>
      <c r="AU67">
        <v>0</v>
      </c>
      <c r="AV67">
        <v>0</v>
      </c>
      <c r="AW67">
        <v>0</v>
      </c>
      <c r="AX67" s="14">
        <v>0</v>
      </c>
      <c r="AY67" s="14">
        <v>258050</v>
      </c>
      <c r="AZ67" s="14">
        <v>0</v>
      </c>
      <c r="BA67">
        <v>0</v>
      </c>
      <c r="BB67" t="s">
        <v>23</v>
      </c>
      <c r="BC67" t="s">
        <v>128</v>
      </c>
      <c r="BD67" t="s">
        <v>129</v>
      </c>
      <c r="BE67" t="s">
        <v>130</v>
      </c>
      <c r="BG67" t="s">
        <v>406</v>
      </c>
      <c r="BH67" t="s">
        <v>132</v>
      </c>
      <c r="BJ67">
        <v>4</v>
      </c>
      <c r="BK67" t="s">
        <v>133</v>
      </c>
      <c r="BV67" t="s">
        <v>134</v>
      </c>
      <c r="BW67" s="16">
        <v>45730.740972222222</v>
      </c>
      <c r="BX67" t="s">
        <v>178</v>
      </c>
      <c r="BZ67">
        <v>9</v>
      </c>
      <c r="CA67" t="s">
        <v>407</v>
      </c>
      <c r="CB67">
        <v>0</v>
      </c>
      <c r="CF67" t="s">
        <v>357</v>
      </c>
      <c r="CG67">
        <v>2025</v>
      </c>
      <c r="CH67" t="s">
        <v>138</v>
      </c>
      <c r="CI67" t="s">
        <v>139</v>
      </c>
    </row>
    <row r="68" spans="1:87" x14ac:dyDescent="0.3">
      <c r="A68" t="s">
        <v>115</v>
      </c>
      <c r="B68" t="s">
        <v>116</v>
      </c>
      <c r="C68" t="s">
        <v>117</v>
      </c>
      <c r="D68" t="s">
        <v>118</v>
      </c>
      <c r="E68" t="s">
        <v>140</v>
      </c>
      <c r="F68" t="s">
        <v>408</v>
      </c>
      <c r="G68">
        <v>13.27</v>
      </c>
      <c r="H68">
        <v>0</v>
      </c>
      <c r="I68" s="14">
        <v>50500</v>
      </c>
      <c r="J68" s="14">
        <v>50500</v>
      </c>
      <c r="Q68" s="14"/>
      <c r="R68" s="14"/>
      <c r="Y68" s="14"/>
      <c r="Z68" s="14"/>
      <c r="AG68" s="14"/>
      <c r="AH68" s="14"/>
      <c r="AI68" t="s">
        <v>396</v>
      </c>
      <c r="AJ68" t="s">
        <v>397</v>
      </c>
      <c r="AK68" t="s">
        <v>398</v>
      </c>
      <c r="AL68">
        <v>0</v>
      </c>
      <c r="AM68" t="s">
        <v>399</v>
      </c>
      <c r="AN68" t="s">
        <v>400</v>
      </c>
      <c r="AO68" t="s">
        <v>125</v>
      </c>
      <c r="AP68" t="s">
        <v>297</v>
      </c>
      <c r="AQ68" s="15">
        <v>45824</v>
      </c>
      <c r="AR68" s="15">
        <v>45824</v>
      </c>
      <c r="AS68" t="s">
        <v>127</v>
      </c>
      <c r="AT68">
        <v>1</v>
      </c>
      <c r="AU68">
        <v>3000</v>
      </c>
      <c r="AV68">
        <v>0</v>
      </c>
      <c r="AW68">
        <v>0</v>
      </c>
      <c r="AX68" s="14">
        <v>3000</v>
      </c>
      <c r="AY68" s="14">
        <v>3000</v>
      </c>
      <c r="AZ68" s="14">
        <v>0</v>
      </c>
      <c r="BA68">
        <v>0</v>
      </c>
      <c r="BB68" t="s">
        <v>22</v>
      </c>
      <c r="BC68" t="s">
        <v>128</v>
      </c>
      <c r="BD68" t="s">
        <v>129</v>
      </c>
      <c r="BE68" t="s">
        <v>287</v>
      </c>
      <c r="BG68" t="s">
        <v>409</v>
      </c>
      <c r="BH68" t="s">
        <v>132</v>
      </c>
      <c r="BJ68">
        <v>4</v>
      </c>
      <c r="BK68" t="s">
        <v>133</v>
      </c>
      <c r="BV68" t="s">
        <v>134</v>
      </c>
      <c r="BW68" s="16">
        <v>45868.491666666669</v>
      </c>
      <c r="BX68" t="s">
        <v>143</v>
      </c>
      <c r="BZ68">
        <v>62</v>
      </c>
      <c r="CA68" t="s">
        <v>410</v>
      </c>
      <c r="CB68">
        <v>0</v>
      </c>
      <c r="CF68" t="s">
        <v>357</v>
      </c>
      <c r="CG68">
        <v>2025</v>
      </c>
      <c r="CH68" t="s">
        <v>138</v>
      </c>
      <c r="CI68" t="s">
        <v>139</v>
      </c>
    </row>
    <row r="69" spans="1:87" x14ac:dyDescent="0.3">
      <c r="A69" t="s">
        <v>115</v>
      </c>
      <c r="B69" t="s">
        <v>116</v>
      </c>
      <c r="C69" t="s">
        <v>117</v>
      </c>
      <c r="D69" t="s">
        <v>118</v>
      </c>
      <c r="E69" t="s">
        <v>140</v>
      </c>
      <c r="F69" t="s">
        <v>408</v>
      </c>
      <c r="G69">
        <v>13.27</v>
      </c>
      <c r="H69">
        <v>0</v>
      </c>
      <c r="I69" s="14">
        <v>50500</v>
      </c>
      <c r="J69" s="14">
        <v>50500</v>
      </c>
      <c r="Q69" s="14"/>
      <c r="R69" s="14"/>
      <c r="Y69" s="14"/>
      <c r="Z69" s="14"/>
      <c r="AG69" s="14"/>
      <c r="AH69" s="14"/>
      <c r="AI69" t="s">
        <v>396</v>
      </c>
      <c r="AJ69" t="s">
        <v>397</v>
      </c>
      <c r="AK69" t="s">
        <v>398</v>
      </c>
      <c r="AL69">
        <v>0</v>
      </c>
      <c r="AM69" t="s">
        <v>399</v>
      </c>
      <c r="AN69" t="s">
        <v>400</v>
      </c>
      <c r="AO69" t="s">
        <v>125</v>
      </c>
      <c r="AP69" t="s">
        <v>297</v>
      </c>
      <c r="AQ69" s="15">
        <v>45824</v>
      </c>
      <c r="AR69" s="15">
        <v>45824</v>
      </c>
      <c r="AS69" t="s">
        <v>145</v>
      </c>
      <c r="AT69">
        <v>1</v>
      </c>
      <c r="AU69">
        <v>7000</v>
      </c>
      <c r="AV69">
        <v>0</v>
      </c>
      <c r="AW69">
        <v>0</v>
      </c>
      <c r="AX69" s="14">
        <v>7000</v>
      </c>
      <c r="AY69" s="14">
        <v>7000</v>
      </c>
      <c r="AZ69" s="14">
        <v>0</v>
      </c>
      <c r="BA69">
        <v>0</v>
      </c>
      <c r="BB69" t="s">
        <v>22</v>
      </c>
      <c r="BC69" t="s">
        <v>128</v>
      </c>
      <c r="BD69" t="s">
        <v>129</v>
      </c>
      <c r="BE69" t="s">
        <v>130</v>
      </c>
      <c r="BG69" t="s">
        <v>411</v>
      </c>
      <c r="BH69" t="s">
        <v>132</v>
      </c>
      <c r="BJ69">
        <v>4</v>
      </c>
      <c r="BK69" t="s">
        <v>133</v>
      </c>
      <c r="BV69" t="s">
        <v>134</v>
      </c>
      <c r="BW69" s="16">
        <v>45868.491666666669</v>
      </c>
      <c r="BX69" t="s">
        <v>143</v>
      </c>
      <c r="BZ69">
        <v>62</v>
      </c>
      <c r="CA69" t="s">
        <v>412</v>
      </c>
      <c r="CB69">
        <v>0</v>
      </c>
      <c r="CF69" t="s">
        <v>357</v>
      </c>
      <c r="CG69">
        <v>2025</v>
      </c>
      <c r="CH69" t="s">
        <v>138</v>
      </c>
      <c r="CI69" t="s">
        <v>139</v>
      </c>
    </row>
    <row r="70" spans="1:87" x14ac:dyDescent="0.3">
      <c r="A70" t="s">
        <v>115</v>
      </c>
      <c r="B70" t="s">
        <v>116</v>
      </c>
      <c r="C70" t="s">
        <v>117</v>
      </c>
      <c r="D70" t="s">
        <v>118</v>
      </c>
      <c r="E70" t="s">
        <v>140</v>
      </c>
      <c r="F70" t="s">
        <v>408</v>
      </c>
      <c r="G70">
        <v>13.27</v>
      </c>
      <c r="H70">
        <v>0</v>
      </c>
      <c r="I70" s="14">
        <v>50500</v>
      </c>
      <c r="J70" s="14">
        <v>50500</v>
      </c>
      <c r="Q70" s="14"/>
      <c r="R70" s="14"/>
      <c r="Y70" s="14"/>
      <c r="Z70" s="14"/>
      <c r="AG70" s="14"/>
      <c r="AH70" s="14"/>
      <c r="AI70" t="s">
        <v>396</v>
      </c>
      <c r="AJ70" t="s">
        <v>397</v>
      </c>
      <c r="AK70" t="s">
        <v>398</v>
      </c>
      <c r="AL70">
        <v>0</v>
      </c>
      <c r="AM70" t="s">
        <v>399</v>
      </c>
      <c r="AN70" t="s">
        <v>400</v>
      </c>
      <c r="AO70" t="s">
        <v>125</v>
      </c>
      <c r="AP70" t="s">
        <v>297</v>
      </c>
      <c r="AQ70" s="15">
        <v>45868</v>
      </c>
      <c r="AR70" s="15">
        <v>45868</v>
      </c>
      <c r="AS70" t="s">
        <v>227</v>
      </c>
      <c r="AT70">
        <v>1</v>
      </c>
      <c r="AU70">
        <v>3000</v>
      </c>
      <c r="AV70">
        <v>0</v>
      </c>
      <c r="AW70">
        <v>0</v>
      </c>
      <c r="AX70" s="14">
        <v>3000</v>
      </c>
      <c r="AY70" s="14">
        <v>3000</v>
      </c>
      <c r="AZ70" s="14">
        <v>0</v>
      </c>
      <c r="BA70">
        <v>0</v>
      </c>
      <c r="BB70" t="s">
        <v>22</v>
      </c>
      <c r="BC70" t="s">
        <v>128</v>
      </c>
      <c r="BD70" t="s">
        <v>129</v>
      </c>
      <c r="BE70" t="s">
        <v>130</v>
      </c>
      <c r="BG70" t="s">
        <v>413</v>
      </c>
      <c r="BH70" t="s">
        <v>132</v>
      </c>
      <c r="BJ70">
        <v>4</v>
      </c>
      <c r="BK70" t="s">
        <v>133</v>
      </c>
      <c r="BV70" t="s">
        <v>134</v>
      </c>
      <c r="BW70" s="16">
        <v>45868.491666666669</v>
      </c>
      <c r="BX70" t="s">
        <v>143</v>
      </c>
      <c r="BZ70">
        <v>62</v>
      </c>
      <c r="CA70" t="s">
        <v>414</v>
      </c>
      <c r="CB70">
        <v>0</v>
      </c>
      <c r="CF70" t="s">
        <v>357</v>
      </c>
      <c r="CG70">
        <v>2025</v>
      </c>
      <c r="CH70" t="s">
        <v>138</v>
      </c>
      <c r="CI70" t="s">
        <v>139</v>
      </c>
    </row>
    <row r="71" spans="1:87" x14ac:dyDescent="0.3">
      <c r="A71" t="s">
        <v>115</v>
      </c>
      <c r="B71" t="s">
        <v>116</v>
      </c>
      <c r="C71" t="s">
        <v>117</v>
      </c>
      <c r="D71" t="s">
        <v>118</v>
      </c>
      <c r="E71" t="s">
        <v>140</v>
      </c>
      <c r="F71" t="s">
        <v>408</v>
      </c>
      <c r="G71">
        <v>13.27</v>
      </c>
      <c r="H71">
        <v>0</v>
      </c>
      <c r="I71" s="14">
        <v>50500</v>
      </c>
      <c r="J71" s="14">
        <v>50500</v>
      </c>
      <c r="Q71" s="14"/>
      <c r="R71" s="14"/>
      <c r="Y71" s="14"/>
      <c r="Z71" s="14"/>
      <c r="AG71" s="14"/>
      <c r="AH71" s="14"/>
      <c r="AI71" t="s">
        <v>396</v>
      </c>
      <c r="AJ71" t="s">
        <v>397</v>
      </c>
      <c r="AK71" t="s">
        <v>398</v>
      </c>
      <c r="AL71">
        <v>0</v>
      </c>
      <c r="AM71" t="s">
        <v>399</v>
      </c>
      <c r="AN71" t="s">
        <v>400</v>
      </c>
      <c r="AO71" t="s">
        <v>125</v>
      </c>
      <c r="AP71" t="s">
        <v>297</v>
      </c>
      <c r="AQ71" s="15">
        <v>45901</v>
      </c>
      <c r="AR71" s="15">
        <v>45901</v>
      </c>
      <c r="AS71" t="s">
        <v>227</v>
      </c>
      <c r="AT71">
        <v>2</v>
      </c>
      <c r="AU71">
        <v>3000</v>
      </c>
      <c r="AV71">
        <v>0</v>
      </c>
      <c r="AW71">
        <v>0</v>
      </c>
      <c r="AX71" s="14">
        <v>3000</v>
      </c>
      <c r="AY71" s="14">
        <v>3000</v>
      </c>
      <c r="AZ71" s="14">
        <v>0</v>
      </c>
      <c r="BA71">
        <v>0</v>
      </c>
      <c r="BB71" t="s">
        <v>22</v>
      </c>
      <c r="BC71" t="s">
        <v>128</v>
      </c>
      <c r="BD71" t="s">
        <v>415</v>
      </c>
      <c r="BE71" t="s">
        <v>130</v>
      </c>
      <c r="BG71" t="s">
        <v>416</v>
      </c>
      <c r="BH71" t="s">
        <v>132</v>
      </c>
      <c r="BJ71">
        <v>4</v>
      </c>
      <c r="BK71" t="s">
        <v>133</v>
      </c>
      <c r="BV71" t="s">
        <v>134</v>
      </c>
      <c r="BW71" s="16">
        <v>45868.491666666669</v>
      </c>
      <c r="BX71" t="s">
        <v>143</v>
      </c>
      <c r="BZ71">
        <v>62</v>
      </c>
      <c r="CA71" t="s">
        <v>417</v>
      </c>
      <c r="CB71">
        <v>0</v>
      </c>
      <c r="CF71" t="s">
        <v>357</v>
      </c>
      <c r="CG71">
        <v>2025</v>
      </c>
      <c r="CH71" t="s">
        <v>138</v>
      </c>
      <c r="CI71" t="s">
        <v>139</v>
      </c>
    </row>
    <row r="72" spans="1:87" x14ac:dyDescent="0.3">
      <c r="A72" t="s">
        <v>115</v>
      </c>
      <c r="B72" t="s">
        <v>116</v>
      </c>
      <c r="C72" t="s">
        <v>117</v>
      </c>
      <c r="D72" t="s">
        <v>118</v>
      </c>
      <c r="E72" t="s">
        <v>140</v>
      </c>
      <c r="F72" t="s">
        <v>408</v>
      </c>
      <c r="G72">
        <v>13.27</v>
      </c>
      <c r="H72">
        <v>0</v>
      </c>
      <c r="I72" s="14">
        <v>50500</v>
      </c>
      <c r="J72" s="14">
        <v>50500</v>
      </c>
      <c r="Q72" s="14"/>
      <c r="R72" s="14"/>
      <c r="Y72" s="14"/>
      <c r="Z72" s="14"/>
      <c r="AG72" s="14"/>
      <c r="AH72" s="14"/>
      <c r="AI72" t="s">
        <v>396</v>
      </c>
      <c r="AJ72" t="s">
        <v>397</v>
      </c>
      <c r="AK72" t="s">
        <v>398</v>
      </c>
      <c r="AL72">
        <v>0</v>
      </c>
      <c r="AM72" t="s">
        <v>399</v>
      </c>
      <c r="AN72" t="s">
        <v>400</v>
      </c>
      <c r="AO72" t="s">
        <v>125</v>
      </c>
      <c r="AP72" t="s">
        <v>297</v>
      </c>
      <c r="AQ72" s="15">
        <v>45931</v>
      </c>
      <c r="AR72" s="15">
        <v>45931</v>
      </c>
      <c r="AS72" t="s">
        <v>227</v>
      </c>
      <c r="AT72">
        <v>3</v>
      </c>
      <c r="AU72">
        <v>3000</v>
      </c>
      <c r="AV72">
        <v>0</v>
      </c>
      <c r="AW72">
        <v>0</v>
      </c>
      <c r="AX72" s="14">
        <v>3000</v>
      </c>
      <c r="AY72" s="14">
        <v>3000</v>
      </c>
      <c r="AZ72" s="14">
        <v>0</v>
      </c>
      <c r="BA72">
        <v>0</v>
      </c>
      <c r="BB72" t="s">
        <v>22</v>
      </c>
      <c r="BC72" t="s">
        <v>128</v>
      </c>
      <c r="BD72" t="s">
        <v>415</v>
      </c>
      <c r="BE72" t="s">
        <v>130</v>
      </c>
      <c r="BG72" t="s">
        <v>418</v>
      </c>
      <c r="BH72" t="s">
        <v>132</v>
      </c>
      <c r="BJ72">
        <v>4</v>
      </c>
      <c r="BK72" t="s">
        <v>133</v>
      </c>
      <c r="BV72" t="s">
        <v>134</v>
      </c>
      <c r="BW72" s="16">
        <v>45868.491666666669</v>
      </c>
      <c r="BX72" t="s">
        <v>143</v>
      </c>
      <c r="BZ72">
        <v>62</v>
      </c>
      <c r="CA72" t="s">
        <v>419</v>
      </c>
      <c r="CB72">
        <v>0</v>
      </c>
      <c r="CF72" t="s">
        <v>357</v>
      </c>
      <c r="CG72">
        <v>2025</v>
      </c>
      <c r="CH72" t="s">
        <v>138</v>
      </c>
      <c r="CI72" t="s">
        <v>139</v>
      </c>
    </row>
    <row r="73" spans="1:87" x14ac:dyDescent="0.3">
      <c r="A73" t="s">
        <v>115</v>
      </c>
      <c r="B73" t="s">
        <v>116</v>
      </c>
      <c r="C73" t="s">
        <v>117</v>
      </c>
      <c r="D73" t="s">
        <v>118</v>
      </c>
      <c r="E73" t="s">
        <v>140</v>
      </c>
      <c r="F73" t="s">
        <v>408</v>
      </c>
      <c r="G73">
        <v>13.27</v>
      </c>
      <c r="H73">
        <v>0</v>
      </c>
      <c r="I73" s="14">
        <v>50500</v>
      </c>
      <c r="J73" s="14">
        <v>50500</v>
      </c>
      <c r="Q73" s="14"/>
      <c r="R73" s="14"/>
      <c r="Y73" s="14"/>
      <c r="Z73" s="14"/>
      <c r="AG73" s="14"/>
      <c r="AH73" s="14"/>
      <c r="AI73" t="s">
        <v>396</v>
      </c>
      <c r="AJ73" t="s">
        <v>397</v>
      </c>
      <c r="AK73" t="s">
        <v>398</v>
      </c>
      <c r="AL73">
        <v>0</v>
      </c>
      <c r="AM73" t="s">
        <v>399</v>
      </c>
      <c r="AN73" t="s">
        <v>400</v>
      </c>
      <c r="AO73" t="s">
        <v>125</v>
      </c>
      <c r="AP73" t="s">
        <v>297</v>
      </c>
      <c r="AQ73" s="15">
        <v>45958</v>
      </c>
      <c r="AR73" s="15">
        <v>45958</v>
      </c>
      <c r="AS73" t="s">
        <v>227</v>
      </c>
      <c r="AT73">
        <v>4</v>
      </c>
      <c r="AU73">
        <v>3000</v>
      </c>
      <c r="AV73">
        <v>0</v>
      </c>
      <c r="AW73">
        <v>0</v>
      </c>
      <c r="AX73" s="14">
        <v>3000</v>
      </c>
      <c r="AY73" s="14">
        <v>3000</v>
      </c>
      <c r="AZ73" s="14">
        <v>0</v>
      </c>
      <c r="BA73">
        <v>0</v>
      </c>
      <c r="BB73" t="s">
        <v>22</v>
      </c>
      <c r="BC73" t="s">
        <v>128</v>
      </c>
      <c r="BD73" t="s">
        <v>129</v>
      </c>
      <c r="BE73" t="s">
        <v>130</v>
      </c>
      <c r="BG73" t="s">
        <v>420</v>
      </c>
      <c r="BH73" t="s">
        <v>132</v>
      </c>
      <c r="BJ73">
        <v>4</v>
      </c>
      <c r="BK73" t="s">
        <v>133</v>
      </c>
      <c r="BV73" t="s">
        <v>134</v>
      </c>
      <c r="BW73" s="16">
        <v>45868.491666666669</v>
      </c>
      <c r="BX73" t="s">
        <v>143</v>
      </c>
      <c r="BZ73">
        <v>62</v>
      </c>
      <c r="CA73" t="s">
        <v>419</v>
      </c>
      <c r="CB73">
        <v>0</v>
      </c>
      <c r="CF73" t="s">
        <v>357</v>
      </c>
      <c r="CG73">
        <v>2025</v>
      </c>
      <c r="CH73" t="s">
        <v>138</v>
      </c>
      <c r="CI73" t="s">
        <v>139</v>
      </c>
    </row>
    <row r="74" spans="1:87" x14ac:dyDescent="0.3">
      <c r="A74" t="s">
        <v>115</v>
      </c>
      <c r="B74" t="s">
        <v>116</v>
      </c>
      <c r="C74" t="s">
        <v>117</v>
      </c>
      <c r="D74" t="s">
        <v>118</v>
      </c>
      <c r="E74" t="s">
        <v>140</v>
      </c>
      <c r="F74" t="s">
        <v>408</v>
      </c>
      <c r="G74">
        <v>13.27</v>
      </c>
      <c r="H74">
        <v>0</v>
      </c>
      <c r="I74" s="14">
        <v>50500</v>
      </c>
      <c r="J74" s="14">
        <v>50500</v>
      </c>
      <c r="Q74" s="14"/>
      <c r="R74" s="14"/>
      <c r="Y74" s="14"/>
      <c r="Z74" s="14"/>
      <c r="AG74" s="14"/>
      <c r="AH74" s="14"/>
      <c r="AI74" t="s">
        <v>396</v>
      </c>
      <c r="AJ74" t="s">
        <v>397</v>
      </c>
      <c r="AK74" t="s">
        <v>398</v>
      </c>
      <c r="AL74">
        <v>0</v>
      </c>
      <c r="AM74" t="s">
        <v>399</v>
      </c>
      <c r="AN74" t="s">
        <v>400</v>
      </c>
      <c r="AO74" t="s">
        <v>125</v>
      </c>
      <c r="AP74" t="s">
        <v>297</v>
      </c>
      <c r="AQ74" s="15">
        <v>45992</v>
      </c>
      <c r="AR74" s="15">
        <v>45992</v>
      </c>
      <c r="AS74" t="s">
        <v>227</v>
      </c>
      <c r="AT74">
        <v>5</v>
      </c>
      <c r="AU74">
        <v>3000</v>
      </c>
      <c r="AV74">
        <v>0</v>
      </c>
      <c r="AW74">
        <v>0</v>
      </c>
      <c r="AX74" s="14">
        <v>3000</v>
      </c>
      <c r="AY74" s="14">
        <v>3000</v>
      </c>
      <c r="AZ74" s="14">
        <v>0</v>
      </c>
      <c r="BA74">
        <v>0</v>
      </c>
      <c r="BB74" t="s">
        <v>22</v>
      </c>
      <c r="BC74" t="s">
        <v>128</v>
      </c>
      <c r="BD74" t="s">
        <v>415</v>
      </c>
      <c r="BE74" t="s">
        <v>130</v>
      </c>
      <c r="BG74" t="s">
        <v>421</v>
      </c>
      <c r="BH74" t="s">
        <v>132</v>
      </c>
      <c r="BJ74">
        <v>4</v>
      </c>
      <c r="BK74" t="s">
        <v>133</v>
      </c>
      <c r="BV74" t="s">
        <v>134</v>
      </c>
      <c r="BW74" s="16">
        <v>45868.491666666669</v>
      </c>
      <c r="BX74" t="s">
        <v>143</v>
      </c>
      <c r="BZ74">
        <v>62</v>
      </c>
      <c r="CA74" t="s">
        <v>422</v>
      </c>
      <c r="CB74">
        <v>0</v>
      </c>
      <c r="CF74" t="s">
        <v>357</v>
      </c>
      <c r="CG74">
        <v>2025</v>
      </c>
      <c r="CH74" t="s">
        <v>138</v>
      </c>
      <c r="CI74" t="s">
        <v>139</v>
      </c>
    </row>
    <row r="75" spans="1:87" x14ac:dyDescent="0.3">
      <c r="A75" t="s">
        <v>115</v>
      </c>
      <c r="B75" t="s">
        <v>116</v>
      </c>
      <c r="C75" t="s">
        <v>117</v>
      </c>
      <c r="D75" t="s">
        <v>118</v>
      </c>
      <c r="E75" t="s">
        <v>140</v>
      </c>
      <c r="F75" t="s">
        <v>408</v>
      </c>
      <c r="G75">
        <v>13.27</v>
      </c>
      <c r="H75">
        <v>0</v>
      </c>
      <c r="I75" s="14">
        <v>50500</v>
      </c>
      <c r="J75" s="14">
        <v>50500</v>
      </c>
      <c r="Q75" s="14"/>
      <c r="R75" s="14"/>
      <c r="Y75" s="14"/>
      <c r="Z75" s="14"/>
      <c r="AG75" s="14"/>
      <c r="AH75" s="14"/>
      <c r="AI75" t="s">
        <v>396</v>
      </c>
      <c r="AJ75" t="s">
        <v>397</v>
      </c>
      <c r="AK75" t="s">
        <v>398</v>
      </c>
      <c r="AL75">
        <v>0</v>
      </c>
      <c r="AM75" t="s">
        <v>399</v>
      </c>
      <c r="AN75" t="s">
        <v>400</v>
      </c>
      <c r="AO75" t="s">
        <v>125</v>
      </c>
      <c r="AP75" t="s">
        <v>297</v>
      </c>
      <c r="AQ75" s="15">
        <v>46020</v>
      </c>
      <c r="AR75" s="15">
        <v>46020</v>
      </c>
      <c r="AS75" t="s">
        <v>227</v>
      </c>
      <c r="AT75">
        <v>6</v>
      </c>
      <c r="AU75">
        <v>3000</v>
      </c>
      <c r="AV75">
        <v>0</v>
      </c>
      <c r="AW75">
        <v>0</v>
      </c>
      <c r="AX75" s="14">
        <v>3000</v>
      </c>
      <c r="AY75" s="14">
        <v>3000</v>
      </c>
      <c r="AZ75" s="14">
        <v>0</v>
      </c>
      <c r="BA75">
        <v>0</v>
      </c>
      <c r="BB75" t="s">
        <v>22</v>
      </c>
      <c r="BC75" t="s">
        <v>128</v>
      </c>
      <c r="BD75" t="s">
        <v>423</v>
      </c>
      <c r="BE75" t="s">
        <v>130</v>
      </c>
      <c r="BG75" t="s">
        <v>424</v>
      </c>
      <c r="BH75" t="s">
        <v>132</v>
      </c>
      <c r="BJ75">
        <v>4</v>
      </c>
      <c r="BK75" t="s">
        <v>133</v>
      </c>
      <c r="BV75" t="s">
        <v>134</v>
      </c>
      <c r="BW75" s="16">
        <v>45868.491666666669</v>
      </c>
      <c r="BX75" t="s">
        <v>143</v>
      </c>
      <c r="BZ75">
        <v>62</v>
      </c>
      <c r="CA75" t="s">
        <v>425</v>
      </c>
      <c r="CB75">
        <v>0</v>
      </c>
      <c r="CF75" t="s">
        <v>357</v>
      </c>
      <c r="CG75">
        <v>2025</v>
      </c>
      <c r="CH75" t="s">
        <v>138</v>
      </c>
      <c r="CI75" t="s">
        <v>139</v>
      </c>
    </row>
    <row r="76" spans="1:87" x14ac:dyDescent="0.3">
      <c r="A76" t="s">
        <v>426</v>
      </c>
      <c r="B76" t="s">
        <v>116</v>
      </c>
      <c r="C76" t="s">
        <v>117</v>
      </c>
      <c r="D76" t="s">
        <v>118</v>
      </c>
      <c r="E76" t="s">
        <v>14</v>
      </c>
      <c r="F76" t="s">
        <v>427</v>
      </c>
      <c r="G76">
        <v>67</v>
      </c>
      <c r="H76">
        <v>0</v>
      </c>
      <c r="I76" s="14">
        <v>438000</v>
      </c>
      <c r="J76" s="14">
        <v>438000</v>
      </c>
      <c r="Q76" s="14"/>
      <c r="R76" s="14"/>
      <c r="Y76" s="14"/>
      <c r="Z76" s="14"/>
      <c r="AG76" s="14"/>
      <c r="AH76" s="14"/>
      <c r="AI76" t="s">
        <v>428</v>
      </c>
      <c r="AJ76" t="s">
        <v>429</v>
      </c>
      <c r="AK76" t="s">
        <v>430</v>
      </c>
      <c r="AL76">
        <v>0</v>
      </c>
      <c r="AM76" t="s">
        <v>431</v>
      </c>
      <c r="AN76" t="s">
        <v>432</v>
      </c>
      <c r="AO76" t="s">
        <v>433</v>
      </c>
      <c r="AP76" t="s">
        <v>433</v>
      </c>
      <c r="AQ76" s="15">
        <v>45972</v>
      </c>
      <c r="AR76" s="15">
        <v>45972</v>
      </c>
      <c r="AS76" t="s">
        <v>127</v>
      </c>
      <c r="AT76">
        <v>1</v>
      </c>
      <c r="AU76">
        <v>3000</v>
      </c>
      <c r="AV76">
        <v>0</v>
      </c>
      <c r="AW76">
        <v>0</v>
      </c>
      <c r="AX76" s="14">
        <v>3000</v>
      </c>
      <c r="AY76" s="14">
        <v>3000</v>
      </c>
      <c r="AZ76" s="14">
        <v>0</v>
      </c>
      <c r="BA76">
        <v>0</v>
      </c>
      <c r="BB76" t="s">
        <v>23</v>
      </c>
      <c r="BC76" t="s">
        <v>128</v>
      </c>
      <c r="BD76" t="s">
        <v>434</v>
      </c>
      <c r="BE76" t="s">
        <v>130</v>
      </c>
      <c r="BG76" t="s">
        <v>435</v>
      </c>
      <c r="BH76" t="s">
        <v>132</v>
      </c>
      <c r="BJ76">
        <v>4</v>
      </c>
      <c r="BK76" t="s">
        <v>133</v>
      </c>
      <c r="BV76" t="s">
        <v>134</v>
      </c>
      <c r="BW76" s="16">
        <v>46178.350694444453</v>
      </c>
      <c r="BX76" t="s">
        <v>143</v>
      </c>
      <c r="BZ76">
        <v>14</v>
      </c>
      <c r="CA76" t="s">
        <v>436</v>
      </c>
      <c r="CB76">
        <v>0</v>
      </c>
      <c r="CF76" t="s">
        <v>357</v>
      </c>
      <c r="CG76">
        <v>2025</v>
      </c>
      <c r="CH76" t="s">
        <v>138</v>
      </c>
      <c r="CI76" t="s">
        <v>139</v>
      </c>
    </row>
    <row r="77" spans="1:87" x14ac:dyDescent="0.3">
      <c r="A77" t="s">
        <v>426</v>
      </c>
      <c r="B77" t="s">
        <v>116</v>
      </c>
      <c r="C77" t="s">
        <v>117</v>
      </c>
      <c r="D77" t="s">
        <v>118</v>
      </c>
      <c r="E77" t="s">
        <v>14</v>
      </c>
      <c r="F77" t="s">
        <v>427</v>
      </c>
      <c r="G77">
        <v>67</v>
      </c>
      <c r="H77">
        <v>0</v>
      </c>
      <c r="I77" s="14">
        <v>438000</v>
      </c>
      <c r="J77" s="14">
        <v>438000</v>
      </c>
      <c r="Q77" s="14"/>
      <c r="R77" s="14"/>
      <c r="Y77" s="14"/>
      <c r="Z77" s="14"/>
      <c r="AG77" s="14"/>
      <c r="AH77" s="14"/>
      <c r="AI77" t="s">
        <v>428</v>
      </c>
      <c r="AJ77" t="s">
        <v>429</v>
      </c>
      <c r="AK77" t="s">
        <v>430</v>
      </c>
      <c r="AL77">
        <v>0</v>
      </c>
      <c r="AM77" t="s">
        <v>431</v>
      </c>
      <c r="AN77" t="s">
        <v>432</v>
      </c>
      <c r="AO77" t="s">
        <v>433</v>
      </c>
      <c r="AP77" t="s">
        <v>433</v>
      </c>
      <c r="AQ77" s="15">
        <v>46004</v>
      </c>
      <c r="AR77" s="15">
        <v>46004</v>
      </c>
      <c r="AS77" t="s">
        <v>145</v>
      </c>
      <c r="AT77">
        <v>1</v>
      </c>
      <c r="AU77">
        <v>20000</v>
      </c>
      <c r="AV77">
        <v>0</v>
      </c>
      <c r="AW77">
        <v>0</v>
      </c>
      <c r="AX77" s="14">
        <v>20000</v>
      </c>
      <c r="AY77" s="14">
        <v>20000</v>
      </c>
      <c r="AZ77" s="14">
        <v>0</v>
      </c>
      <c r="BA77">
        <v>0</v>
      </c>
      <c r="BB77" t="s">
        <v>23</v>
      </c>
      <c r="BC77" t="s">
        <v>128</v>
      </c>
      <c r="BD77" t="s">
        <v>434</v>
      </c>
      <c r="BE77" t="s">
        <v>130</v>
      </c>
      <c r="BG77" t="s">
        <v>437</v>
      </c>
      <c r="BH77" t="s">
        <v>132</v>
      </c>
      <c r="BJ77">
        <v>4</v>
      </c>
      <c r="BK77" t="s">
        <v>133</v>
      </c>
      <c r="BV77" t="s">
        <v>134</v>
      </c>
      <c r="BW77" s="16">
        <v>46178.350694444453</v>
      </c>
      <c r="BX77" t="s">
        <v>143</v>
      </c>
      <c r="BZ77">
        <v>14</v>
      </c>
      <c r="CA77" t="s">
        <v>438</v>
      </c>
      <c r="CB77">
        <v>0</v>
      </c>
      <c r="CF77" t="s">
        <v>357</v>
      </c>
      <c r="CG77">
        <v>2025</v>
      </c>
      <c r="CH77" t="s">
        <v>138</v>
      </c>
      <c r="CI77" t="s">
        <v>139</v>
      </c>
    </row>
    <row r="78" spans="1:87" x14ac:dyDescent="0.3">
      <c r="A78" t="s">
        <v>115</v>
      </c>
      <c r="B78" t="s">
        <v>116</v>
      </c>
      <c r="C78" t="s">
        <v>117</v>
      </c>
      <c r="D78" t="s">
        <v>118</v>
      </c>
      <c r="E78" t="s">
        <v>14</v>
      </c>
      <c r="F78" t="s">
        <v>439</v>
      </c>
      <c r="G78">
        <v>88.27</v>
      </c>
      <c r="H78">
        <v>0</v>
      </c>
      <c r="I78" s="14">
        <v>675000</v>
      </c>
      <c r="J78" s="14">
        <v>675000</v>
      </c>
      <c r="K78" t="s">
        <v>117</v>
      </c>
      <c r="L78" t="s">
        <v>118</v>
      </c>
      <c r="M78" t="s">
        <v>140</v>
      </c>
      <c r="N78" t="s">
        <v>440</v>
      </c>
      <c r="O78">
        <v>12.5</v>
      </c>
      <c r="P78">
        <v>3.8</v>
      </c>
      <c r="Q78" s="14">
        <v>60400</v>
      </c>
      <c r="R78" s="14">
        <v>60400</v>
      </c>
      <c r="Y78" s="14"/>
      <c r="Z78" s="14"/>
      <c r="AG78" s="14"/>
      <c r="AH78" s="14"/>
      <c r="AI78" t="s">
        <v>441</v>
      </c>
      <c r="AJ78" t="s">
        <v>442</v>
      </c>
      <c r="AK78" t="s">
        <v>443</v>
      </c>
      <c r="AL78">
        <v>0</v>
      </c>
      <c r="AM78" t="s">
        <v>444</v>
      </c>
      <c r="AN78" t="s">
        <v>445</v>
      </c>
      <c r="AO78" t="s">
        <v>433</v>
      </c>
      <c r="AP78" t="s">
        <v>433</v>
      </c>
      <c r="AQ78" s="15">
        <v>45835</v>
      </c>
      <c r="AR78" s="15">
        <v>45835</v>
      </c>
      <c r="AS78" t="s">
        <v>127</v>
      </c>
      <c r="AT78">
        <v>1</v>
      </c>
      <c r="AU78">
        <v>3000</v>
      </c>
      <c r="AV78">
        <v>0</v>
      </c>
      <c r="AW78">
        <v>0</v>
      </c>
      <c r="AX78" s="14">
        <v>3000</v>
      </c>
      <c r="AY78" s="14">
        <v>3000</v>
      </c>
      <c r="AZ78" s="14">
        <v>0</v>
      </c>
      <c r="BA78">
        <v>0</v>
      </c>
      <c r="BB78" t="s">
        <v>22</v>
      </c>
      <c r="BC78" t="s">
        <v>128</v>
      </c>
      <c r="BD78" t="s">
        <v>129</v>
      </c>
      <c r="BE78" t="s">
        <v>130</v>
      </c>
      <c r="BG78" t="s">
        <v>446</v>
      </c>
      <c r="BH78" t="s">
        <v>134</v>
      </c>
      <c r="BJ78">
        <v>4</v>
      </c>
      <c r="BK78" t="s">
        <v>133</v>
      </c>
      <c r="BV78" t="s">
        <v>134</v>
      </c>
      <c r="BW78" s="16">
        <v>45985.738194444442</v>
      </c>
      <c r="BX78" t="s">
        <v>143</v>
      </c>
      <c r="BZ78">
        <v>28</v>
      </c>
      <c r="CA78" t="s">
        <v>447</v>
      </c>
      <c r="CB78">
        <v>0</v>
      </c>
      <c r="CF78" t="s">
        <v>357</v>
      </c>
      <c r="CG78">
        <v>2025</v>
      </c>
      <c r="CH78" t="s">
        <v>138</v>
      </c>
      <c r="CI78" t="s">
        <v>139</v>
      </c>
    </row>
    <row r="79" spans="1:87" x14ac:dyDescent="0.3">
      <c r="A79" t="s">
        <v>115</v>
      </c>
      <c r="B79" t="s">
        <v>116</v>
      </c>
      <c r="C79" t="s">
        <v>117</v>
      </c>
      <c r="D79" t="s">
        <v>118</v>
      </c>
      <c r="E79" t="s">
        <v>14</v>
      </c>
      <c r="F79" t="s">
        <v>439</v>
      </c>
      <c r="G79">
        <v>88.27</v>
      </c>
      <c r="H79">
        <v>0</v>
      </c>
      <c r="I79" s="14">
        <v>675000</v>
      </c>
      <c r="J79" s="14">
        <v>675000</v>
      </c>
      <c r="K79" t="s">
        <v>117</v>
      </c>
      <c r="L79" t="s">
        <v>118</v>
      </c>
      <c r="M79" t="s">
        <v>140</v>
      </c>
      <c r="N79" t="s">
        <v>440</v>
      </c>
      <c r="O79">
        <v>12.5</v>
      </c>
      <c r="P79">
        <v>3.8</v>
      </c>
      <c r="Q79" s="14">
        <v>60400</v>
      </c>
      <c r="R79" s="14">
        <v>60400</v>
      </c>
      <c r="Y79" s="14"/>
      <c r="Z79" s="14"/>
      <c r="AG79" s="14"/>
      <c r="AH79" s="14"/>
      <c r="AI79" t="s">
        <v>441</v>
      </c>
      <c r="AJ79" t="s">
        <v>442</v>
      </c>
      <c r="AK79" t="s">
        <v>443</v>
      </c>
      <c r="AL79">
        <v>0</v>
      </c>
      <c r="AM79" t="s">
        <v>444</v>
      </c>
      <c r="AN79" t="s">
        <v>445</v>
      </c>
      <c r="AO79" t="s">
        <v>433</v>
      </c>
      <c r="AP79" t="s">
        <v>433</v>
      </c>
      <c r="AQ79" s="15">
        <v>45985</v>
      </c>
      <c r="AR79" s="15">
        <v>45985</v>
      </c>
      <c r="AS79" t="s">
        <v>145</v>
      </c>
      <c r="AT79">
        <v>1</v>
      </c>
      <c r="AU79">
        <v>270000</v>
      </c>
      <c r="AV79">
        <v>0</v>
      </c>
      <c r="AW79">
        <v>0</v>
      </c>
      <c r="AX79" s="14">
        <v>270000</v>
      </c>
      <c r="AY79" s="14">
        <v>270000</v>
      </c>
      <c r="AZ79" s="14">
        <v>0</v>
      </c>
      <c r="BA79">
        <v>0</v>
      </c>
      <c r="BB79" t="s">
        <v>22</v>
      </c>
      <c r="BC79" t="s">
        <v>128</v>
      </c>
      <c r="BD79" t="s">
        <v>129</v>
      </c>
      <c r="BE79" t="s">
        <v>130</v>
      </c>
      <c r="BG79" t="s">
        <v>448</v>
      </c>
      <c r="BH79" t="s">
        <v>134</v>
      </c>
      <c r="BJ79">
        <v>3.38</v>
      </c>
      <c r="BK79" t="s">
        <v>133</v>
      </c>
      <c r="BV79" t="s">
        <v>134</v>
      </c>
      <c r="BW79" s="16">
        <v>45985.738194444442</v>
      </c>
      <c r="BX79" t="s">
        <v>143</v>
      </c>
      <c r="BZ79">
        <v>28</v>
      </c>
      <c r="CA79" t="s">
        <v>449</v>
      </c>
      <c r="CB79">
        <v>0</v>
      </c>
      <c r="CF79" t="s">
        <v>357</v>
      </c>
      <c r="CG79">
        <v>2025</v>
      </c>
      <c r="CH79" t="s">
        <v>138</v>
      </c>
      <c r="CI79" t="s">
        <v>139</v>
      </c>
    </row>
    <row r="80" spans="1:87" x14ac:dyDescent="0.3">
      <c r="A80" t="s">
        <v>115</v>
      </c>
      <c r="B80" t="s">
        <v>116</v>
      </c>
      <c r="C80" t="s">
        <v>117</v>
      </c>
      <c r="D80" t="s">
        <v>118</v>
      </c>
      <c r="E80" t="s">
        <v>14</v>
      </c>
      <c r="F80" t="s">
        <v>439</v>
      </c>
      <c r="G80">
        <v>88.27</v>
      </c>
      <c r="H80">
        <v>0</v>
      </c>
      <c r="I80" s="14">
        <v>675000</v>
      </c>
      <c r="J80" s="14">
        <v>675000</v>
      </c>
      <c r="K80" t="s">
        <v>117</v>
      </c>
      <c r="L80" t="s">
        <v>118</v>
      </c>
      <c r="M80" t="s">
        <v>140</v>
      </c>
      <c r="N80" t="s">
        <v>440</v>
      </c>
      <c r="O80">
        <v>12.5</v>
      </c>
      <c r="P80">
        <v>3.8</v>
      </c>
      <c r="Q80" s="14">
        <v>60400</v>
      </c>
      <c r="R80" s="14">
        <v>60400</v>
      </c>
      <c r="Y80" s="14"/>
      <c r="Z80" s="14"/>
      <c r="AG80" s="14"/>
      <c r="AH80" s="14"/>
      <c r="AI80" t="s">
        <v>441</v>
      </c>
      <c r="AJ80" t="s">
        <v>442</v>
      </c>
      <c r="AK80" t="s">
        <v>443</v>
      </c>
      <c r="AL80">
        <v>0</v>
      </c>
      <c r="AM80" t="s">
        <v>444</v>
      </c>
      <c r="AN80" t="s">
        <v>445</v>
      </c>
      <c r="AO80" t="s">
        <v>433</v>
      </c>
      <c r="AP80" t="s">
        <v>433</v>
      </c>
      <c r="AQ80" s="15">
        <v>46008</v>
      </c>
      <c r="AR80" s="15">
        <v>46010</v>
      </c>
      <c r="AS80" t="s">
        <v>227</v>
      </c>
      <c r="AT80">
        <v>1</v>
      </c>
      <c r="AU80">
        <v>66057.14</v>
      </c>
      <c r="AV80">
        <v>0</v>
      </c>
      <c r="AW80">
        <v>0</v>
      </c>
      <c r="AX80" s="14">
        <v>66057.14</v>
      </c>
      <c r="AY80" s="14">
        <v>66057.14</v>
      </c>
      <c r="AZ80" s="14">
        <v>0</v>
      </c>
      <c r="BA80">
        <v>0</v>
      </c>
      <c r="BB80" t="s">
        <v>22</v>
      </c>
      <c r="BC80" t="s">
        <v>128</v>
      </c>
      <c r="BD80" t="s">
        <v>129</v>
      </c>
      <c r="BE80" t="s">
        <v>130</v>
      </c>
      <c r="BG80" t="s">
        <v>450</v>
      </c>
      <c r="BH80" t="s">
        <v>134</v>
      </c>
      <c r="BJ80">
        <v>3.38</v>
      </c>
      <c r="BK80" t="s">
        <v>133</v>
      </c>
      <c r="BV80" t="s">
        <v>134</v>
      </c>
      <c r="BW80" s="16">
        <v>45985.738194444442</v>
      </c>
      <c r="BX80" t="s">
        <v>143</v>
      </c>
      <c r="BZ80">
        <v>28</v>
      </c>
      <c r="CA80" t="s">
        <v>451</v>
      </c>
      <c r="CB80">
        <v>0</v>
      </c>
      <c r="CF80" t="s">
        <v>357</v>
      </c>
      <c r="CG80">
        <v>2025</v>
      </c>
      <c r="CH80" t="s">
        <v>138</v>
      </c>
      <c r="CI80" t="s">
        <v>139</v>
      </c>
    </row>
    <row r="81" spans="1:87" x14ac:dyDescent="0.3">
      <c r="A81" t="s">
        <v>115</v>
      </c>
      <c r="B81" t="s">
        <v>116</v>
      </c>
      <c r="C81" t="s">
        <v>117</v>
      </c>
      <c r="D81" t="s">
        <v>118</v>
      </c>
      <c r="E81" t="s">
        <v>14</v>
      </c>
      <c r="F81" t="s">
        <v>119</v>
      </c>
      <c r="G81">
        <v>60.94</v>
      </c>
      <c r="H81">
        <v>30.59</v>
      </c>
      <c r="I81" s="14">
        <v>520400</v>
      </c>
      <c r="J81" s="14">
        <v>520400</v>
      </c>
      <c r="Q81" s="14"/>
      <c r="R81" s="14"/>
      <c r="Y81" s="14"/>
      <c r="Z81" s="14"/>
      <c r="AG81" s="14"/>
      <c r="AH81" s="14"/>
      <c r="AI81" t="s">
        <v>120</v>
      </c>
      <c r="AJ81" t="s">
        <v>121</v>
      </c>
      <c r="AK81" t="s">
        <v>122</v>
      </c>
      <c r="AL81">
        <v>978722675</v>
      </c>
      <c r="AM81" t="s">
        <v>123</v>
      </c>
      <c r="AN81" t="s">
        <v>124</v>
      </c>
      <c r="AO81" t="s">
        <v>125</v>
      </c>
      <c r="AP81" t="s">
        <v>126</v>
      </c>
      <c r="AQ81" s="15">
        <v>45663</v>
      </c>
      <c r="AR81" s="15">
        <v>45663</v>
      </c>
      <c r="AS81" t="s">
        <v>145</v>
      </c>
      <c r="AT81">
        <v>1</v>
      </c>
      <c r="AU81">
        <v>117000</v>
      </c>
      <c r="AV81">
        <v>0</v>
      </c>
      <c r="AW81">
        <v>0</v>
      </c>
      <c r="AX81" s="14">
        <v>117000</v>
      </c>
      <c r="AY81" s="14">
        <v>117000</v>
      </c>
      <c r="AZ81" s="14">
        <v>0</v>
      </c>
      <c r="BA81">
        <v>0</v>
      </c>
      <c r="BB81" t="s">
        <v>23</v>
      </c>
      <c r="BC81" t="s">
        <v>128</v>
      </c>
      <c r="BD81" t="s">
        <v>129</v>
      </c>
      <c r="BE81" t="s">
        <v>130</v>
      </c>
      <c r="BG81" t="s">
        <v>452</v>
      </c>
      <c r="BH81" t="s">
        <v>132</v>
      </c>
      <c r="BJ81">
        <v>4</v>
      </c>
      <c r="BK81" t="s">
        <v>133</v>
      </c>
      <c r="BV81" t="s">
        <v>134</v>
      </c>
      <c r="BW81" s="16">
        <v>45663.588194444441</v>
      </c>
      <c r="BX81" t="s">
        <v>135</v>
      </c>
      <c r="BZ81">
        <v>31</v>
      </c>
      <c r="CA81" t="s">
        <v>453</v>
      </c>
      <c r="CB81">
        <v>0</v>
      </c>
      <c r="CF81" t="s">
        <v>357</v>
      </c>
      <c r="CG81">
        <v>2025</v>
      </c>
      <c r="CH81" t="s">
        <v>138</v>
      </c>
      <c r="CI81" t="s">
        <v>139</v>
      </c>
    </row>
    <row r="82" spans="1:87" x14ac:dyDescent="0.3">
      <c r="A82" t="s">
        <v>115</v>
      </c>
      <c r="B82" t="s">
        <v>116</v>
      </c>
      <c r="C82" t="s">
        <v>117</v>
      </c>
      <c r="D82" t="s">
        <v>118</v>
      </c>
      <c r="E82" t="s">
        <v>14</v>
      </c>
      <c r="F82" t="s">
        <v>119</v>
      </c>
      <c r="G82">
        <v>60.94</v>
      </c>
      <c r="H82">
        <v>30.59</v>
      </c>
      <c r="I82" s="14">
        <v>520400</v>
      </c>
      <c r="J82" s="14">
        <v>520400</v>
      </c>
      <c r="Q82" s="14"/>
      <c r="R82" s="14"/>
      <c r="Y82" s="14"/>
      <c r="Z82" s="14"/>
      <c r="AG82" s="14"/>
      <c r="AH82" s="14"/>
      <c r="AI82" t="s">
        <v>120</v>
      </c>
      <c r="AJ82" t="s">
        <v>121</v>
      </c>
      <c r="AK82" t="s">
        <v>122</v>
      </c>
      <c r="AL82">
        <v>978722675</v>
      </c>
      <c r="AM82" t="s">
        <v>123</v>
      </c>
      <c r="AN82" t="s">
        <v>124</v>
      </c>
      <c r="AO82" t="s">
        <v>125</v>
      </c>
      <c r="AP82" t="s">
        <v>126</v>
      </c>
      <c r="AQ82" s="15">
        <v>45688</v>
      </c>
      <c r="AR82" s="15">
        <v>45716</v>
      </c>
      <c r="AS82" t="s">
        <v>227</v>
      </c>
      <c r="AT82">
        <v>1</v>
      </c>
      <c r="AU82">
        <v>400400</v>
      </c>
      <c r="AV82">
        <v>0</v>
      </c>
      <c r="AW82">
        <v>0</v>
      </c>
      <c r="AX82" s="14">
        <v>400400</v>
      </c>
      <c r="AY82" s="14">
        <v>400400</v>
      </c>
      <c r="AZ82" s="14">
        <v>0</v>
      </c>
      <c r="BA82">
        <v>0</v>
      </c>
      <c r="BB82" t="s">
        <v>23</v>
      </c>
      <c r="BC82" t="s">
        <v>128</v>
      </c>
      <c r="BD82" t="s">
        <v>129</v>
      </c>
      <c r="BE82" t="s">
        <v>130</v>
      </c>
      <c r="BG82" t="s">
        <v>454</v>
      </c>
      <c r="BH82" t="s">
        <v>132</v>
      </c>
      <c r="BJ82">
        <v>4</v>
      </c>
      <c r="BK82" t="s">
        <v>133</v>
      </c>
      <c r="BV82" t="s">
        <v>134</v>
      </c>
      <c r="BW82" s="16">
        <v>45663.588194444441</v>
      </c>
      <c r="BX82" t="s">
        <v>135</v>
      </c>
      <c r="BZ82">
        <v>31</v>
      </c>
      <c r="CA82" t="s">
        <v>455</v>
      </c>
      <c r="CB82">
        <v>0</v>
      </c>
      <c r="CF82" t="s">
        <v>357</v>
      </c>
      <c r="CG82">
        <v>2025</v>
      </c>
      <c r="CH82" t="s">
        <v>138</v>
      </c>
      <c r="CI82" t="s">
        <v>139</v>
      </c>
    </row>
    <row r="83" spans="1:87" x14ac:dyDescent="0.3">
      <c r="A83" t="s">
        <v>115</v>
      </c>
      <c r="B83" t="s">
        <v>116</v>
      </c>
      <c r="C83" t="s">
        <v>117</v>
      </c>
      <c r="D83" t="s">
        <v>118</v>
      </c>
      <c r="E83" t="s">
        <v>140</v>
      </c>
      <c r="F83" t="s">
        <v>141</v>
      </c>
      <c r="G83">
        <v>14.63</v>
      </c>
      <c r="H83">
        <v>2.37</v>
      </c>
      <c r="I83" s="14">
        <v>56300</v>
      </c>
      <c r="J83" s="14">
        <v>56300</v>
      </c>
      <c r="Q83" s="14"/>
      <c r="R83" s="14"/>
      <c r="Y83" s="14"/>
      <c r="Z83" s="14"/>
      <c r="AG83" s="14"/>
      <c r="AH83" s="14"/>
      <c r="AI83" t="s">
        <v>120</v>
      </c>
      <c r="AJ83" t="s">
        <v>121</v>
      </c>
      <c r="AK83" t="s">
        <v>122</v>
      </c>
      <c r="AL83">
        <v>978722675</v>
      </c>
      <c r="AM83" t="s">
        <v>123</v>
      </c>
      <c r="AN83" t="s">
        <v>124</v>
      </c>
      <c r="AO83" t="s">
        <v>125</v>
      </c>
      <c r="AP83" t="s">
        <v>126</v>
      </c>
      <c r="AQ83" s="15">
        <v>45748</v>
      </c>
      <c r="AR83" s="15">
        <v>45748</v>
      </c>
      <c r="AS83" t="s">
        <v>227</v>
      </c>
      <c r="AT83">
        <v>1</v>
      </c>
      <c r="AU83">
        <v>3800</v>
      </c>
      <c r="AV83">
        <v>0</v>
      </c>
      <c r="AW83">
        <v>0</v>
      </c>
      <c r="AX83" s="14">
        <v>3800</v>
      </c>
      <c r="AY83" s="14">
        <v>3800</v>
      </c>
      <c r="AZ83" s="14">
        <v>0</v>
      </c>
      <c r="BA83">
        <v>0</v>
      </c>
      <c r="BB83" t="s">
        <v>22</v>
      </c>
      <c r="BC83" t="s">
        <v>128</v>
      </c>
      <c r="BD83" t="s">
        <v>129</v>
      </c>
      <c r="BE83" t="s">
        <v>130</v>
      </c>
      <c r="BG83" t="s">
        <v>456</v>
      </c>
      <c r="BH83" t="s">
        <v>132</v>
      </c>
      <c r="BJ83">
        <v>4</v>
      </c>
      <c r="BK83" t="s">
        <v>133</v>
      </c>
      <c r="BV83" t="s">
        <v>134</v>
      </c>
      <c r="BW83" s="16">
        <v>45748.629861111112</v>
      </c>
      <c r="BX83" t="s">
        <v>143</v>
      </c>
      <c r="BZ83">
        <v>56</v>
      </c>
      <c r="CA83" t="s">
        <v>457</v>
      </c>
      <c r="CB83">
        <v>0</v>
      </c>
      <c r="CF83" t="s">
        <v>357</v>
      </c>
      <c r="CG83">
        <v>2025</v>
      </c>
      <c r="CH83" t="s">
        <v>138</v>
      </c>
      <c r="CI83" t="s">
        <v>139</v>
      </c>
    </row>
    <row r="84" spans="1:87" x14ac:dyDescent="0.3">
      <c r="A84" t="s">
        <v>115</v>
      </c>
      <c r="B84" t="s">
        <v>116</v>
      </c>
      <c r="C84" t="s">
        <v>117</v>
      </c>
      <c r="D84" t="s">
        <v>118</v>
      </c>
      <c r="E84" t="s">
        <v>140</v>
      </c>
      <c r="F84" t="s">
        <v>141</v>
      </c>
      <c r="G84">
        <v>14.63</v>
      </c>
      <c r="H84">
        <v>2.37</v>
      </c>
      <c r="I84" s="14">
        <v>56300</v>
      </c>
      <c r="J84" s="14">
        <v>56300</v>
      </c>
      <c r="Q84" s="14"/>
      <c r="R84" s="14"/>
      <c r="Y84" s="14"/>
      <c r="Z84" s="14"/>
      <c r="AG84" s="14"/>
      <c r="AH84" s="14"/>
      <c r="AI84" t="s">
        <v>120</v>
      </c>
      <c r="AJ84" t="s">
        <v>121</v>
      </c>
      <c r="AK84" t="s">
        <v>122</v>
      </c>
      <c r="AL84">
        <v>978722675</v>
      </c>
      <c r="AM84" t="s">
        <v>123</v>
      </c>
      <c r="AN84" t="s">
        <v>124</v>
      </c>
      <c r="AO84" t="s">
        <v>125</v>
      </c>
      <c r="AP84" t="s">
        <v>126</v>
      </c>
      <c r="AQ84" s="15">
        <v>45778</v>
      </c>
      <c r="AR84" s="15">
        <v>45796</v>
      </c>
      <c r="AS84" t="s">
        <v>227</v>
      </c>
      <c r="AT84">
        <v>2</v>
      </c>
      <c r="AU84">
        <v>3800</v>
      </c>
      <c r="AV84">
        <v>0</v>
      </c>
      <c r="AW84">
        <v>0</v>
      </c>
      <c r="AX84" s="14">
        <v>3800</v>
      </c>
      <c r="AY84" s="14">
        <v>3800</v>
      </c>
      <c r="AZ84" s="14">
        <v>0</v>
      </c>
      <c r="BA84">
        <v>0</v>
      </c>
      <c r="BB84" t="s">
        <v>22</v>
      </c>
      <c r="BC84" t="s">
        <v>128</v>
      </c>
      <c r="BD84" t="s">
        <v>129</v>
      </c>
      <c r="BE84" t="s">
        <v>130</v>
      </c>
      <c r="BG84" t="s">
        <v>458</v>
      </c>
      <c r="BH84" t="s">
        <v>132</v>
      </c>
      <c r="BJ84">
        <v>4</v>
      </c>
      <c r="BK84" t="s">
        <v>133</v>
      </c>
      <c r="BV84" t="s">
        <v>134</v>
      </c>
      <c r="BW84" s="16">
        <v>45748.629861111112</v>
      </c>
      <c r="BX84" t="s">
        <v>143</v>
      </c>
      <c r="BZ84">
        <v>56</v>
      </c>
      <c r="CA84" t="s">
        <v>459</v>
      </c>
      <c r="CB84">
        <v>0</v>
      </c>
      <c r="CF84" t="s">
        <v>357</v>
      </c>
      <c r="CG84">
        <v>2025</v>
      </c>
      <c r="CH84" t="s">
        <v>138</v>
      </c>
      <c r="CI84" t="s">
        <v>139</v>
      </c>
    </row>
    <row r="85" spans="1:87" x14ac:dyDescent="0.3">
      <c r="A85" t="s">
        <v>115</v>
      </c>
      <c r="B85" t="s">
        <v>116</v>
      </c>
      <c r="C85" t="s">
        <v>117</v>
      </c>
      <c r="D85" t="s">
        <v>118</v>
      </c>
      <c r="E85" t="s">
        <v>140</v>
      </c>
      <c r="F85" t="s">
        <v>141</v>
      </c>
      <c r="G85">
        <v>14.63</v>
      </c>
      <c r="H85">
        <v>2.37</v>
      </c>
      <c r="I85" s="14">
        <v>56300</v>
      </c>
      <c r="J85" s="14">
        <v>56300</v>
      </c>
      <c r="Q85" s="14"/>
      <c r="R85" s="14"/>
      <c r="Y85" s="14"/>
      <c r="Z85" s="14"/>
      <c r="AG85" s="14"/>
      <c r="AH85" s="14"/>
      <c r="AI85" t="s">
        <v>120</v>
      </c>
      <c r="AJ85" t="s">
        <v>121</v>
      </c>
      <c r="AK85" t="s">
        <v>122</v>
      </c>
      <c r="AL85">
        <v>978722675</v>
      </c>
      <c r="AM85" t="s">
        <v>123</v>
      </c>
      <c r="AN85" t="s">
        <v>124</v>
      </c>
      <c r="AO85" t="s">
        <v>125</v>
      </c>
      <c r="AP85" t="s">
        <v>126</v>
      </c>
      <c r="AQ85" s="15">
        <v>45809</v>
      </c>
      <c r="AR85" s="15">
        <v>45810</v>
      </c>
      <c r="AS85" t="s">
        <v>227</v>
      </c>
      <c r="AT85">
        <v>3</v>
      </c>
      <c r="AU85">
        <v>3800</v>
      </c>
      <c r="AV85">
        <v>0</v>
      </c>
      <c r="AW85">
        <v>0</v>
      </c>
      <c r="AX85" s="14">
        <v>3800</v>
      </c>
      <c r="AY85" s="14">
        <v>3800</v>
      </c>
      <c r="AZ85" s="14">
        <v>0</v>
      </c>
      <c r="BA85">
        <v>0</v>
      </c>
      <c r="BB85" t="s">
        <v>22</v>
      </c>
      <c r="BC85" t="s">
        <v>128</v>
      </c>
      <c r="BD85" t="s">
        <v>129</v>
      </c>
      <c r="BE85" t="s">
        <v>130</v>
      </c>
      <c r="BG85" t="s">
        <v>460</v>
      </c>
      <c r="BH85" t="s">
        <v>132</v>
      </c>
      <c r="BJ85">
        <v>4</v>
      </c>
      <c r="BK85" t="s">
        <v>133</v>
      </c>
      <c r="BV85" t="s">
        <v>134</v>
      </c>
      <c r="BW85" s="16">
        <v>45748.629861111112</v>
      </c>
      <c r="BX85" t="s">
        <v>143</v>
      </c>
      <c r="BZ85">
        <v>56</v>
      </c>
      <c r="CA85" t="s">
        <v>461</v>
      </c>
      <c r="CB85">
        <v>0</v>
      </c>
      <c r="CF85" t="s">
        <v>357</v>
      </c>
      <c r="CG85">
        <v>2025</v>
      </c>
      <c r="CH85" t="s">
        <v>138</v>
      </c>
      <c r="CI85" t="s">
        <v>139</v>
      </c>
    </row>
    <row r="86" spans="1:87" x14ac:dyDescent="0.3">
      <c r="A86" t="s">
        <v>115</v>
      </c>
      <c r="B86" t="s">
        <v>116</v>
      </c>
      <c r="C86" t="s">
        <v>117</v>
      </c>
      <c r="D86" t="s">
        <v>118</v>
      </c>
      <c r="E86" t="s">
        <v>140</v>
      </c>
      <c r="F86" t="s">
        <v>141</v>
      </c>
      <c r="G86">
        <v>14.63</v>
      </c>
      <c r="H86">
        <v>2.37</v>
      </c>
      <c r="I86" s="14">
        <v>56300</v>
      </c>
      <c r="J86" s="14">
        <v>56300</v>
      </c>
      <c r="Q86" s="14"/>
      <c r="R86" s="14"/>
      <c r="Y86" s="14"/>
      <c r="Z86" s="14"/>
      <c r="AG86" s="14"/>
      <c r="AH86" s="14"/>
      <c r="AI86" t="s">
        <v>120</v>
      </c>
      <c r="AJ86" t="s">
        <v>121</v>
      </c>
      <c r="AK86" t="s">
        <v>122</v>
      </c>
      <c r="AL86">
        <v>978722675</v>
      </c>
      <c r="AM86" t="s">
        <v>123</v>
      </c>
      <c r="AN86" t="s">
        <v>124</v>
      </c>
      <c r="AO86" t="s">
        <v>125</v>
      </c>
      <c r="AP86" t="s">
        <v>126</v>
      </c>
      <c r="AQ86" s="15">
        <v>45839</v>
      </c>
      <c r="AR86" s="15">
        <v>45838</v>
      </c>
      <c r="AS86" t="s">
        <v>227</v>
      </c>
      <c r="AT86">
        <v>4</v>
      </c>
      <c r="AU86">
        <v>3800</v>
      </c>
      <c r="AV86">
        <v>0</v>
      </c>
      <c r="AW86">
        <v>0</v>
      </c>
      <c r="AX86" s="14">
        <v>3800</v>
      </c>
      <c r="AY86" s="14">
        <v>3800</v>
      </c>
      <c r="AZ86" s="14">
        <v>0</v>
      </c>
      <c r="BA86">
        <v>0</v>
      </c>
      <c r="BB86" t="s">
        <v>22</v>
      </c>
      <c r="BC86" t="s">
        <v>128</v>
      </c>
      <c r="BD86" t="s">
        <v>129</v>
      </c>
      <c r="BE86" t="s">
        <v>130</v>
      </c>
      <c r="BG86" t="s">
        <v>462</v>
      </c>
      <c r="BH86" t="s">
        <v>132</v>
      </c>
      <c r="BJ86">
        <v>4</v>
      </c>
      <c r="BK86" t="s">
        <v>133</v>
      </c>
      <c r="BV86" t="s">
        <v>134</v>
      </c>
      <c r="BW86" s="16">
        <v>45748.629861111112</v>
      </c>
      <c r="BX86" t="s">
        <v>143</v>
      </c>
      <c r="BZ86">
        <v>56</v>
      </c>
      <c r="CA86" t="s">
        <v>463</v>
      </c>
      <c r="CB86">
        <v>0</v>
      </c>
      <c r="CF86" t="s">
        <v>357</v>
      </c>
      <c r="CG86">
        <v>2025</v>
      </c>
      <c r="CH86" t="s">
        <v>138</v>
      </c>
      <c r="CI86" t="s">
        <v>139</v>
      </c>
    </row>
    <row r="87" spans="1:87" x14ac:dyDescent="0.3">
      <c r="A87" t="s">
        <v>115</v>
      </c>
      <c r="B87" t="s">
        <v>116</v>
      </c>
      <c r="C87" t="s">
        <v>117</v>
      </c>
      <c r="D87" t="s">
        <v>118</v>
      </c>
      <c r="E87" t="s">
        <v>140</v>
      </c>
      <c r="F87" t="s">
        <v>141</v>
      </c>
      <c r="G87">
        <v>14.63</v>
      </c>
      <c r="H87">
        <v>2.37</v>
      </c>
      <c r="I87" s="14">
        <v>56300</v>
      </c>
      <c r="J87" s="14">
        <v>56300</v>
      </c>
      <c r="Q87" s="14"/>
      <c r="R87" s="14"/>
      <c r="Y87" s="14"/>
      <c r="Z87" s="14"/>
      <c r="AG87" s="14"/>
      <c r="AH87" s="14"/>
      <c r="AI87" t="s">
        <v>120</v>
      </c>
      <c r="AJ87" t="s">
        <v>121</v>
      </c>
      <c r="AK87" t="s">
        <v>122</v>
      </c>
      <c r="AL87">
        <v>978722675</v>
      </c>
      <c r="AM87" t="s">
        <v>123</v>
      </c>
      <c r="AN87" t="s">
        <v>124</v>
      </c>
      <c r="AO87" t="s">
        <v>125</v>
      </c>
      <c r="AP87" t="s">
        <v>126</v>
      </c>
      <c r="AQ87" s="15">
        <v>45870</v>
      </c>
      <c r="AR87" s="15">
        <v>45868</v>
      </c>
      <c r="AS87" t="s">
        <v>227</v>
      </c>
      <c r="AT87">
        <v>5</v>
      </c>
      <c r="AU87">
        <v>3800</v>
      </c>
      <c r="AV87">
        <v>0</v>
      </c>
      <c r="AW87">
        <v>0</v>
      </c>
      <c r="AX87" s="14">
        <v>3800</v>
      </c>
      <c r="AY87" s="14">
        <v>3800</v>
      </c>
      <c r="AZ87" s="14">
        <v>0</v>
      </c>
      <c r="BA87">
        <v>0</v>
      </c>
      <c r="BB87" t="s">
        <v>22</v>
      </c>
      <c r="BC87" t="s">
        <v>128</v>
      </c>
      <c r="BD87" t="s">
        <v>129</v>
      </c>
      <c r="BE87" t="s">
        <v>130</v>
      </c>
      <c r="BG87" t="s">
        <v>464</v>
      </c>
      <c r="BH87" t="s">
        <v>132</v>
      </c>
      <c r="BJ87">
        <v>4</v>
      </c>
      <c r="BK87" t="s">
        <v>133</v>
      </c>
      <c r="BV87" t="s">
        <v>134</v>
      </c>
      <c r="BW87" s="16">
        <v>45748.629861111112</v>
      </c>
      <c r="BX87" t="s">
        <v>143</v>
      </c>
      <c r="BZ87">
        <v>56</v>
      </c>
      <c r="CA87" t="s">
        <v>465</v>
      </c>
      <c r="CB87">
        <v>0</v>
      </c>
      <c r="CF87" t="s">
        <v>357</v>
      </c>
      <c r="CG87">
        <v>2025</v>
      </c>
      <c r="CH87" t="s">
        <v>138</v>
      </c>
      <c r="CI87" t="s">
        <v>139</v>
      </c>
    </row>
    <row r="88" spans="1:87" x14ac:dyDescent="0.3">
      <c r="A88" t="s">
        <v>115</v>
      </c>
      <c r="B88" t="s">
        <v>116</v>
      </c>
      <c r="C88" t="s">
        <v>117</v>
      </c>
      <c r="D88" t="s">
        <v>118</v>
      </c>
      <c r="E88" t="s">
        <v>140</v>
      </c>
      <c r="F88" t="s">
        <v>141</v>
      </c>
      <c r="G88">
        <v>14.63</v>
      </c>
      <c r="H88">
        <v>2.37</v>
      </c>
      <c r="I88" s="14">
        <v>56300</v>
      </c>
      <c r="J88" s="14">
        <v>56300</v>
      </c>
      <c r="Q88" s="14"/>
      <c r="R88" s="14"/>
      <c r="Y88" s="14"/>
      <c r="Z88" s="14"/>
      <c r="AG88" s="14"/>
      <c r="AH88" s="14"/>
      <c r="AI88" t="s">
        <v>120</v>
      </c>
      <c r="AJ88" t="s">
        <v>121</v>
      </c>
      <c r="AK88" t="s">
        <v>122</v>
      </c>
      <c r="AL88">
        <v>978722675</v>
      </c>
      <c r="AM88" t="s">
        <v>123</v>
      </c>
      <c r="AN88" t="s">
        <v>124</v>
      </c>
      <c r="AO88" t="s">
        <v>125</v>
      </c>
      <c r="AP88" t="s">
        <v>126</v>
      </c>
      <c r="AQ88" s="15">
        <v>45901</v>
      </c>
      <c r="AR88" s="15">
        <v>45902</v>
      </c>
      <c r="AS88" t="s">
        <v>227</v>
      </c>
      <c r="AT88">
        <v>6</v>
      </c>
      <c r="AU88">
        <v>3800</v>
      </c>
      <c r="AV88">
        <v>0</v>
      </c>
      <c r="AW88">
        <v>0</v>
      </c>
      <c r="AX88" s="14">
        <v>3800</v>
      </c>
      <c r="AY88" s="14">
        <v>3800</v>
      </c>
      <c r="AZ88" s="14">
        <v>0</v>
      </c>
      <c r="BA88">
        <v>0</v>
      </c>
      <c r="BB88" t="s">
        <v>22</v>
      </c>
      <c r="BC88" t="s">
        <v>128</v>
      </c>
      <c r="BD88" t="s">
        <v>129</v>
      </c>
      <c r="BE88" t="s">
        <v>130</v>
      </c>
      <c r="BG88" t="s">
        <v>466</v>
      </c>
      <c r="BH88" t="s">
        <v>132</v>
      </c>
      <c r="BJ88">
        <v>4</v>
      </c>
      <c r="BK88" t="s">
        <v>133</v>
      </c>
      <c r="BV88" t="s">
        <v>134</v>
      </c>
      <c r="BW88" s="16">
        <v>45748.629861111112</v>
      </c>
      <c r="BX88" t="s">
        <v>143</v>
      </c>
      <c r="BZ88">
        <v>56</v>
      </c>
      <c r="CA88" t="s">
        <v>467</v>
      </c>
      <c r="CB88">
        <v>0</v>
      </c>
      <c r="CF88" t="s">
        <v>357</v>
      </c>
      <c r="CG88">
        <v>2025</v>
      </c>
      <c r="CH88" t="s">
        <v>138</v>
      </c>
      <c r="CI88" t="s">
        <v>139</v>
      </c>
    </row>
    <row r="89" spans="1:87" x14ac:dyDescent="0.3">
      <c r="A89" t="s">
        <v>115</v>
      </c>
      <c r="B89" t="s">
        <v>116</v>
      </c>
      <c r="C89" t="s">
        <v>117</v>
      </c>
      <c r="D89" t="s">
        <v>118</v>
      </c>
      <c r="E89" t="s">
        <v>140</v>
      </c>
      <c r="F89" t="s">
        <v>141</v>
      </c>
      <c r="G89">
        <v>14.63</v>
      </c>
      <c r="H89">
        <v>2.37</v>
      </c>
      <c r="I89" s="14">
        <v>56300</v>
      </c>
      <c r="J89" s="14">
        <v>56300</v>
      </c>
      <c r="Q89" s="14"/>
      <c r="R89" s="14"/>
      <c r="Y89" s="14"/>
      <c r="Z89" s="14"/>
      <c r="AG89" s="14"/>
      <c r="AH89" s="14"/>
      <c r="AI89" t="s">
        <v>120</v>
      </c>
      <c r="AJ89" t="s">
        <v>121</v>
      </c>
      <c r="AK89" t="s">
        <v>122</v>
      </c>
      <c r="AL89">
        <v>978722675</v>
      </c>
      <c r="AM89" t="s">
        <v>123</v>
      </c>
      <c r="AN89" t="s">
        <v>124</v>
      </c>
      <c r="AO89" t="s">
        <v>125</v>
      </c>
      <c r="AP89" t="s">
        <v>126</v>
      </c>
      <c r="AQ89" s="15">
        <v>45931</v>
      </c>
      <c r="AR89" s="15">
        <v>45942</v>
      </c>
      <c r="AS89" t="s">
        <v>227</v>
      </c>
      <c r="AT89">
        <v>7</v>
      </c>
      <c r="AU89">
        <v>3800</v>
      </c>
      <c r="AV89">
        <v>0</v>
      </c>
      <c r="AW89">
        <v>0</v>
      </c>
      <c r="AX89" s="14">
        <v>3800</v>
      </c>
      <c r="AY89" s="14">
        <v>3800</v>
      </c>
      <c r="AZ89" s="14">
        <v>0</v>
      </c>
      <c r="BA89">
        <v>0</v>
      </c>
      <c r="BB89" t="s">
        <v>22</v>
      </c>
      <c r="BC89" t="s">
        <v>128</v>
      </c>
      <c r="BD89" t="s">
        <v>129</v>
      </c>
      <c r="BE89" t="s">
        <v>130</v>
      </c>
      <c r="BG89" t="s">
        <v>468</v>
      </c>
      <c r="BH89" t="s">
        <v>132</v>
      </c>
      <c r="BJ89">
        <v>4</v>
      </c>
      <c r="BK89" t="s">
        <v>133</v>
      </c>
      <c r="BV89" t="s">
        <v>134</v>
      </c>
      <c r="BW89" s="16">
        <v>45748.629861111112</v>
      </c>
      <c r="BX89" t="s">
        <v>143</v>
      </c>
      <c r="BZ89">
        <v>56</v>
      </c>
      <c r="CA89" t="s">
        <v>467</v>
      </c>
      <c r="CB89">
        <v>0</v>
      </c>
      <c r="CF89" t="s">
        <v>357</v>
      </c>
      <c r="CG89">
        <v>2025</v>
      </c>
      <c r="CH89" t="s">
        <v>138</v>
      </c>
      <c r="CI89" t="s">
        <v>139</v>
      </c>
    </row>
    <row r="90" spans="1:87" x14ac:dyDescent="0.3">
      <c r="A90" t="s">
        <v>115</v>
      </c>
      <c r="B90" t="s">
        <v>116</v>
      </c>
      <c r="C90" t="s">
        <v>117</v>
      </c>
      <c r="D90" t="s">
        <v>118</v>
      </c>
      <c r="E90" t="s">
        <v>140</v>
      </c>
      <c r="F90" t="s">
        <v>141</v>
      </c>
      <c r="G90">
        <v>14.63</v>
      </c>
      <c r="H90">
        <v>2.37</v>
      </c>
      <c r="I90" s="14">
        <v>56300</v>
      </c>
      <c r="J90" s="14">
        <v>56300</v>
      </c>
      <c r="Q90" s="14"/>
      <c r="R90" s="14"/>
      <c r="Y90" s="14"/>
      <c r="Z90" s="14"/>
      <c r="AG90" s="14"/>
      <c r="AH90" s="14"/>
      <c r="AI90" t="s">
        <v>120</v>
      </c>
      <c r="AJ90" t="s">
        <v>121</v>
      </c>
      <c r="AK90" t="s">
        <v>122</v>
      </c>
      <c r="AL90">
        <v>978722675</v>
      </c>
      <c r="AM90" t="s">
        <v>123</v>
      </c>
      <c r="AN90" t="s">
        <v>124</v>
      </c>
      <c r="AO90" t="s">
        <v>125</v>
      </c>
      <c r="AP90" t="s">
        <v>126</v>
      </c>
      <c r="AQ90" s="15">
        <v>45962</v>
      </c>
      <c r="AR90" s="15">
        <v>45980</v>
      </c>
      <c r="AS90" t="s">
        <v>227</v>
      </c>
      <c r="AT90">
        <v>8</v>
      </c>
      <c r="AU90">
        <v>3800</v>
      </c>
      <c r="AV90">
        <v>0</v>
      </c>
      <c r="AW90">
        <v>0</v>
      </c>
      <c r="AX90" s="14">
        <v>3800</v>
      </c>
      <c r="AY90" s="14">
        <v>3800</v>
      </c>
      <c r="AZ90" s="14">
        <v>0</v>
      </c>
      <c r="BA90">
        <v>0</v>
      </c>
      <c r="BB90" t="s">
        <v>22</v>
      </c>
      <c r="BC90" t="s">
        <v>128</v>
      </c>
      <c r="BD90" t="s">
        <v>129</v>
      </c>
      <c r="BE90" t="s">
        <v>130</v>
      </c>
      <c r="BG90" t="s">
        <v>469</v>
      </c>
      <c r="BH90" t="s">
        <v>132</v>
      </c>
      <c r="BJ90">
        <v>4</v>
      </c>
      <c r="BK90" t="s">
        <v>133</v>
      </c>
      <c r="BV90" t="s">
        <v>134</v>
      </c>
      <c r="BW90" s="16">
        <v>45748.629861111112</v>
      </c>
      <c r="BX90" t="s">
        <v>143</v>
      </c>
      <c r="BZ90">
        <v>56</v>
      </c>
      <c r="CA90" t="s">
        <v>470</v>
      </c>
      <c r="CB90">
        <v>0</v>
      </c>
      <c r="CF90" t="s">
        <v>357</v>
      </c>
      <c r="CG90">
        <v>2025</v>
      </c>
      <c r="CH90" t="s">
        <v>138</v>
      </c>
      <c r="CI90" t="s">
        <v>139</v>
      </c>
    </row>
    <row r="91" spans="1:87" x14ac:dyDescent="0.3">
      <c r="A91" t="s">
        <v>115</v>
      </c>
      <c r="B91" t="s">
        <v>116</v>
      </c>
      <c r="C91" t="s">
        <v>117</v>
      </c>
      <c r="D91" t="s">
        <v>118</v>
      </c>
      <c r="E91" t="s">
        <v>140</v>
      </c>
      <c r="F91" t="s">
        <v>141</v>
      </c>
      <c r="G91">
        <v>14.63</v>
      </c>
      <c r="H91">
        <v>2.37</v>
      </c>
      <c r="I91" s="14">
        <v>56300</v>
      </c>
      <c r="J91" s="14">
        <v>56300</v>
      </c>
      <c r="Q91" s="14"/>
      <c r="R91" s="14"/>
      <c r="Y91" s="14"/>
      <c r="Z91" s="14"/>
      <c r="AG91" s="14"/>
      <c r="AH91" s="14"/>
      <c r="AI91" t="s">
        <v>120</v>
      </c>
      <c r="AJ91" t="s">
        <v>121</v>
      </c>
      <c r="AK91" t="s">
        <v>122</v>
      </c>
      <c r="AL91">
        <v>978722675</v>
      </c>
      <c r="AM91" t="s">
        <v>123</v>
      </c>
      <c r="AN91" t="s">
        <v>124</v>
      </c>
      <c r="AO91" t="s">
        <v>125</v>
      </c>
      <c r="AP91" t="s">
        <v>126</v>
      </c>
      <c r="AQ91" s="15">
        <v>45992</v>
      </c>
      <c r="AR91" s="15">
        <v>46033</v>
      </c>
      <c r="AS91" t="s">
        <v>227</v>
      </c>
      <c r="AT91">
        <v>9</v>
      </c>
      <c r="AU91">
        <v>3800</v>
      </c>
      <c r="AV91">
        <v>0</v>
      </c>
      <c r="AW91">
        <v>0</v>
      </c>
      <c r="AX91" s="14">
        <v>3800</v>
      </c>
      <c r="AY91" s="14">
        <v>3800</v>
      </c>
      <c r="AZ91" s="14">
        <v>0</v>
      </c>
      <c r="BA91">
        <v>0</v>
      </c>
      <c r="BB91" t="s">
        <v>22</v>
      </c>
      <c r="BC91" t="s">
        <v>128</v>
      </c>
      <c r="BD91" t="s">
        <v>129</v>
      </c>
      <c r="BE91" t="s">
        <v>130</v>
      </c>
      <c r="BG91" t="s">
        <v>471</v>
      </c>
      <c r="BH91" t="s">
        <v>132</v>
      </c>
      <c r="BJ91">
        <v>4</v>
      </c>
      <c r="BK91" t="s">
        <v>133</v>
      </c>
      <c r="BV91" t="s">
        <v>134</v>
      </c>
      <c r="BW91" s="16">
        <v>45748.629861111112</v>
      </c>
      <c r="BX91" t="s">
        <v>143</v>
      </c>
      <c r="BZ91">
        <v>56</v>
      </c>
      <c r="CA91" t="s">
        <v>472</v>
      </c>
      <c r="CB91">
        <v>0</v>
      </c>
      <c r="CF91" t="s">
        <v>357</v>
      </c>
      <c r="CG91">
        <v>2025</v>
      </c>
      <c r="CH91" t="s">
        <v>138</v>
      </c>
      <c r="CI91" t="s">
        <v>139</v>
      </c>
    </row>
    <row r="92" spans="1:87" x14ac:dyDescent="0.3">
      <c r="A92" t="s">
        <v>426</v>
      </c>
      <c r="B92" t="s">
        <v>116</v>
      </c>
      <c r="C92" t="s">
        <v>117</v>
      </c>
      <c r="D92" t="s">
        <v>118</v>
      </c>
      <c r="E92" t="s">
        <v>14</v>
      </c>
      <c r="F92" t="s">
        <v>473</v>
      </c>
      <c r="G92">
        <v>67</v>
      </c>
      <c r="H92">
        <v>0</v>
      </c>
      <c r="I92" s="14">
        <v>483000</v>
      </c>
      <c r="J92" s="14">
        <v>443000</v>
      </c>
      <c r="K92" t="s">
        <v>117</v>
      </c>
      <c r="L92" t="s">
        <v>118</v>
      </c>
      <c r="M92" t="s">
        <v>140</v>
      </c>
      <c r="N92" t="s">
        <v>474</v>
      </c>
      <c r="O92">
        <v>14.5</v>
      </c>
      <c r="P92">
        <v>0</v>
      </c>
      <c r="Q92" s="14">
        <v>42800</v>
      </c>
      <c r="R92" s="14">
        <v>42800</v>
      </c>
      <c r="Y92" s="14"/>
      <c r="Z92" s="14"/>
      <c r="AG92" s="14"/>
      <c r="AH92" s="14"/>
      <c r="AI92" t="s">
        <v>475</v>
      </c>
      <c r="AJ92" t="s">
        <v>476</v>
      </c>
      <c r="AK92" t="s">
        <v>477</v>
      </c>
      <c r="AL92">
        <v>0</v>
      </c>
      <c r="AM92" t="s">
        <v>478</v>
      </c>
      <c r="AN92" t="s">
        <v>479</v>
      </c>
      <c r="AO92" t="s">
        <v>125</v>
      </c>
      <c r="AP92" t="s">
        <v>187</v>
      </c>
      <c r="AQ92" s="15">
        <v>45795</v>
      </c>
      <c r="AR92" s="15">
        <v>45795</v>
      </c>
      <c r="AS92" t="s">
        <v>127</v>
      </c>
      <c r="AT92">
        <v>1</v>
      </c>
      <c r="AU92">
        <v>3000</v>
      </c>
      <c r="AV92">
        <v>0</v>
      </c>
      <c r="AW92">
        <v>0</v>
      </c>
      <c r="AX92" s="14">
        <v>3000</v>
      </c>
      <c r="AY92" s="14">
        <v>1000</v>
      </c>
      <c r="AZ92" s="14">
        <v>0</v>
      </c>
      <c r="BA92">
        <v>0</v>
      </c>
      <c r="BB92" t="s">
        <v>22</v>
      </c>
      <c r="BC92" t="s">
        <v>128</v>
      </c>
      <c r="BD92" t="s">
        <v>434</v>
      </c>
      <c r="BE92" t="s">
        <v>130</v>
      </c>
      <c r="BG92" t="s">
        <v>480</v>
      </c>
      <c r="BH92" t="s">
        <v>132</v>
      </c>
      <c r="BJ92">
        <v>4</v>
      </c>
      <c r="BK92" t="s">
        <v>133</v>
      </c>
      <c r="BV92" t="s">
        <v>134</v>
      </c>
      <c r="BW92" s="16">
        <v>45839.335416666669</v>
      </c>
      <c r="BX92" t="s">
        <v>143</v>
      </c>
      <c r="BZ92">
        <v>2</v>
      </c>
      <c r="CA92" t="s">
        <v>481</v>
      </c>
      <c r="CB92">
        <v>0</v>
      </c>
      <c r="CF92" t="s">
        <v>357</v>
      </c>
      <c r="CG92">
        <v>2025</v>
      </c>
      <c r="CH92" t="s">
        <v>138</v>
      </c>
      <c r="CI92" t="s">
        <v>139</v>
      </c>
    </row>
    <row r="93" spans="1:87" x14ac:dyDescent="0.3">
      <c r="A93" t="s">
        <v>426</v>
      </c>
      <c r="B93" t="s">
        <v>116</v>
      </c>
      <c r="C93" t="s">
        <v>117</v>
      </c>
      <c r="D93" t="s">
        <v>118</v>
      </c>
      <c r="E93" t="s">
        <v>14</v>
      </c>
      <c r="F93" t="s">
        <v>473</v>
      </c>
      <c r="G93">
        <v>67</v>
      </c>
      <c r="H93">
        <v>0</v>
      </c>
      <c r="I93" s="14">
        <v>483000</v>
      </c>
      <c r="J93" s="14">
        <v>443000</v>
      </c>
      <c r="K93" t="s">
        <v>117</v>
      </c>
      <c r="L93" t="s">
        <v>118</v>
      </c>
      <c r="M93" t="s">
        <v>140</v>
      </c>
      <c r="N93" t="s">
        <v>474</v>
      </c>
      <c r="O93">
        <v>14.5</v>
      </c>
      <c r="P93">
        <v>0</v>
      </c>
      <c r="Q93" s="14">
        <v>42800</v>
      </c>
      <c r="R93" s="14">
        <v>42800</v>
      </c>
      <c r="Y93" s="14"/>
      <c r="Z93" s="14"/>
      <c r="AG93" s="14"/>
      <c r="AH93" s="14"/>
      <c r="AI93" t="s">
        <v>475</v>
      </c>
      <c r="AJ93" t="s">
        <v>476</v>
      </c>
      <c r="AK93" t="s">
        <v>477</v>
      </c>
      <c r="AL93">
        <v>0</v>
      </c>
      <c r="AM93" t="s">
        <v>478</v>
      </c>
      <c r="AN93" t="s">
        <v>479</v>
      </c>
      <c r="AO93" t="s">
        <v>125</v>
      </c>
      <c r="AP93" t="s">
        <v>187</v>
      </c>
      <c r="AQ93" s="15">
        <v>45795</v>
      </c>
      <c r="AR93" s="15">
        <v>45797</v>
      </c>
      <c r="AS93" t="s">
        <v>127</v>
      </c>
      <c r="AT93">
        <v>1</v>
      </c>
      <c r="AU93">
        <v>0</v>
      </c>
      <c r="AV93">
        <v>0</v>
      </c>
      <c r="AW93">
        <v>0</v>
      </c>
      <c r="AX93" s="14">
        <v>0</v>
      </c>
      <c r="AY93" s="14">
        <v>2000</v>
      </c>
      <c r="AZ93" s="14">
        <v>0</v>
      </c>
      <c r="BA93">
        <v>0</v>
      </c>
      <c r="BB93" t="s">
        <v>22</v>
      </c>
      <c r="BC93" t="s">
        <v>128</v>
      </c>
      <c r="BD93" t="s">
        <v>434</v>
      </c>
      <c r="BE93" t="s">
        <v>130</v>
      </c>
      <c r="BG93" t="s">
        <v>482</v>
      </c>
      <c r="BH93" t="s">
        <v>132</v>
      </c>
      <c r="BJ93">
        <v>4</v>
      </c>
      <c r="BK93" t="s">
        <v>133</v>
      </c>
      <c r="BV93" t="s">
        <v>134</v>
      </c>
      <c r="BW93" s="16">
        <v>45839.335416666669</v>
      </c>
      <c r="BX93" t="s">
        <v>143</v>
      </c>
      <c r="BZ93">
        <v>2</v>
      </c>
      <c r="CA93" t="s">
        <v>481</v>
      </c>
      <c r="CB93">
        <v>0</v>
      </c>
      <c r="CF93" t="s">
        <v>357</v>
      </c>
      <c r="CG93">
        <v>2025</v>
      </c>
      <c r="CH93" t="s">
        <v>138</v>
      </c>
      <c r="CI93" t="s">
        <v>139</v>
      </c>
    </row>
    <row r="94" spans="1:87" x14ac:dyDescent="0.3">
      <c r="A94" t="s">
        <v>115</v>
      </c>
      <c r="B94" t="s">
        <v>116</v>
      </c>
      <c r="C94" t="s">
        <v>117</v>
      </c>
      <c r="D94" t="s">
        <v>118</v>
      </c>
      <c r="E94" t="s">
        <v>14</v>
      </c>
      <c r="F94" t="s">
        <v>483</v>
      </c>
      <c r="G94">
        <v>84</v>
      </c>
      <c r="H94">
        <v>0</v>
      </c>
      <c r="I94" s="14">
        <v>630000</v>
      </c>
      <c r="J94" s="14">
        <v>630000</v>
      </c>
      <c r="K94" t="s">
        <v>117</v>
      </c>
      <c r="L94" t="s">
        <v>118</v>
      </c>
      <c r="M94" t="s">
        <v>140</v>
      </c>
      <c r="N94" t="s">
        <v>484</v>
      </c>
      <c r="O94">
        <v>13</v>
      </c>
      <c r="P94">
        <v>3.89</v>
      </c>
      <c r="Q94" s="14">
        <v>60000</v>
      </c>
      <c r="R94" s="14">
        <v>60000</v>
      </c>
      <c r="Y94" s="14"/>
      <c r="Z94" s="14"/>
      <c r="AG94" s="14"/>
      <c r="AH94" s="14"/>
      <c r="AI94" t="s">
        <v>485</v>
      </c>
      <c r="AJ94" t="s">
        <v>486</v>
      </c>
      <c r="AK94" t="s">
        <v>487</v>
      </c>
      <c r="AM94" t="s">
        <v>488</v>
      </c>
      <c r="AN94" t="s">
        <v>489</v>
      </c>
      <c r="AO94" t="s">
        <v>125</v>
      </c>
      <c r="AP94" t="s">
        <v>152</v>
      </c>
      <c r="AQ94" s="15">
        <v>45804</v>
      </c>
      <c r="AR94" s="15">
        <v>45804</v>
      </c>
      <c r="AS94" t="s">
        <v>127</v>
      </c>
      <c r="AT94">
        <v>1</v>
      </c>
      <c r="AU94">
        <v>3000</v>
      </c>
      <c r="AV94">
        <v>0</v>
      </c>
      <c r="AW94">
        <v>0</v>
      </c>
      <c r="AX94" s="14">
        <v>3000</v>
      </c>
      <c r="AY94" s="14">
        <v>3000</v>
      </c>
      <c r="AZ94" s="14">
        <v>0</v>
      </c>
      <c r="BA94">
        <v>0</v>
      </c>
      <c r="BB94" t="s">
        <v>23</v>
      </c>
      <c r="BC94" t="s">
        <v>128</v>
      </c>
      <c r="BD94" t="s">
        <v>129</v>
      </c>
      <c r="BE94" t="s">
        <v>130</v>
      </c>
      <c r="BG94" t="s">
        <v>490</v>
      </c>
      <c r="BH94" t="s">
        <v>132</v>
      </c>
      <c r="BJ94">
        <v>4</v>
      </c>
      <c r="BK94" t="s">
        <v>133</v>
      </c>
      <c r="BV94" t="s">
        <v>134</v>
      </c>
      <c r="BW94" s="16">
        <v>45831.692361111112</v>
      </c>
      <c r="BX94" t="s">
        <v>178</v>
      </c>
      <c r="BZ94">
        <v>12</v>
      </c>
      <c r="CA94" t="s">
        <v>491</v>
      </c>
      <c r="CB94">
        <v>0</v>
      </c>
      <c r="CF94" t="s">
        <v>357</v>
      </c>
      <c r="CG94">
        <v>2025</v>
      </c>
      <c r="CH94" t="s">
        <v>138</v>
      </c>
      <c r="CI94" t="s">
        <v>139</v>
      </c>
    </row>
    <row r="95" spans="1:87" x14ac:dyDescent="0.3">
      <c r="A95" t="s">
        <v>115</v>
      </c>
      <c r="B95" t="s">
        <v>116</v>
      </c>
      <c r="C95" t="s">
        <v>117</v>
      </c>
      <c r="D95" t="s">
        <v>118</v>
      </c>
      <c r="E95" t="s">
        <v>14</v>
      </c>
      <c r="F95" t="s">
        <v>483</v>
      </c>
      <c r="G95">
        <v>84</v>
      </c>
      <c r="H95">
        <v>0</v>
      </c>
      <c r="I95" s="14">
        <v>630000</v>
      </c>
      <c r="J95" s="14">
        <v>630000</v>
      </c>
      <c r="K95" t="s">
        <v>117</v>
      </c>
      <c r="L95" t="s">
        <v>118</v>
      </c>
      <c r="M95" t="s">
        <v>140</v>
      </c>
      <c r="N95" t="s">
        <v>484</v>
      </c>
      <c r="O95">
        <v>13</v>
      </c>
      <c r="P95">
        <v>3.89</v>
      </c>
      <c r="Q95" s="14">
        <v>60000</v>
      </c>
      <c r="R95" s="14">
        <v>60000</v>
      </c>
      <c r="Y95" s="14"/>
      <c r="Z95" s="14"/>
      <c r="AG95" s="14"/>
      <c r="AH95" s="14"/>
      <c r="AI95" t="s">
        <v>485</v>
      </c>
      <c r="AJ95" t="s">
        <v>486</v>
      </c>
      <c r="AK95" t="s">
        <v>487</v>
      </c>
      <c r="AM95" t="s">
        <v>488</v>
      </c>
      <c r="AN95" t="s">
        <v>489</v>
      </c>
      <c r="AO95" t="s">
        <v>125</v>
      </c>
      <c r="AP95" t="s">
        <v>152</v>
      </c>
      <c r="AQ95" s="15">
        <v>45831</v>
      </c>
      <c r="AR95" s="15">
        <v>45831</v>
      </c>
      <c r="AS95" t="s">
        <v>145</v>
      </c>
      <c r="AT95">
        <v>2</v>
      </c>
      <c r="AU95">
        <v>107000</v>
      </c>
      <c r="AV95">
        <v>0</v>
      </c>
      <c r="AW95">
        <v>0</v>
      </c>
      <c r="AX95" s="14">
        <v>107000</v>
      </c>
      <c r="AY95" s="14">
        <v>107000</v>
      </c>
      <c r="AZ95" s="14">
        <v>0</v>
      </c>
      <c r="BA95">
        <v>0</v>
      </c>
      <c r="BB95" t="s">
        <v>23</v>
      </c>
      <c r="BC95" t="s">
        <v>128</v>
      </c>
      <c r="BD95" t="s">
        <v>129</v>
      </c>
      <c r="BE95" t="s">
        <v>130</v>
      </c>
      <c r="BF95" t="s">
        <v>486</v>
      </c>
      <c r="BG95" t="s">
        <v>492</v>
      </c>
      <c r="BH95" t="s">
        <v>132</v>
      </c>
      <c r="BI95" t="s">
        <v>154</v>
      </c>
      <c r="BJ95">
        <v>1</v>
      </c>
      <c r="BK95" t="s">
        <v>133</v>
      </c>
      <c r="BV95" t="s">
        <v>134</v>
      </c>
      <c r="BW95" s="16">
        <v>45831.692361111112</v>
      </c>
      <c r="BX95" t="s">
        <v>178</v>
      </c>
      <c r="BZ95">
        <v>12</v>
      </c>
      <c r="CA95" t="s">
        <v>224</v>
      </c>
      <c r="CB95">
        <v>0</v>
      </c>
      <c r="CF95" t="s">
        <v>357</v>
      </c>
      <c r="CG95">
        <v>2025</v>
      </c>
      <c r="CH95" t="s">
        <v>138</v>
      </c>
      <c r="CI95" t="s">
        <v>139</v>
      </c>
    </row>
    <row r="96" spans="1:87" x14ac:dyDescent="0.3">
      <c r="A96" t="s">
        <v>115</v>
      </c>
      <c r="B96" t="s">
        <v>116</v>
      </c>
      <c r="C96" t="s">
        <v>117</v>
      </c>
      <c r="D96" t="s">
        <v>118</v>
      </c>
      <c r="E96" t="s">
        <v>14</v>
      </c>
      <c r="F96" t="s">
        <v>483</v>
      </c>
      <c r="G96">
        <v>84</v>
      </c>
      <c r="H96">
        <v>0</v>
      </c>
      <c r="I96" s="14">
        <v>630000</v>
      </c>
      <c r="J96" s="14">
        <v>630000</v>
      </c>
      <c r="K96" t="s">
        <v>117</v>
      </c>
      <c r="L96" t="s">
        <v>118</v>
      </c>
      <c r="M96" t="s">
        <v>140</v>
      </c>
      <c r="N96" t="s">
        <v>484</v>
      </c>
      <c r="O96">
        <v>13</v>
      </c>
      <c r="P96">
        <v>3.89</v>
      </c>
      <c r="Q96" s="14">
        <v>60000</v>
      </c>
      <c r="R96" s="14">
        <v>60000</v>
      </c>
      <c r="Y96" s="14"/>
      <c r="Z96" s="14"/>
      <c r="AG96" s="14"/>
      <c r="AH96" s="14"/>
      <c r="AI96" t="s">
        <v>485</v>
      </c>
      <c r="AJ96" t="s">
        <v>486</v>
      </c>
      <c r="AK96" t="s">
        <v>487</v>
      </c>
      <c r="AM96" t="s">
        <v>488</v>
      </c>
      <c r="AN96" t="s">
        <v>489</v>
      </c>
      <c r="AO96" t="s">
        <v>125</v>
      </c>
      <c r="AP96" t="s">
        <v>152</v>
      </c>
      <c r="AQ96" s="15">
        <v>45868</v>
      </c>
      <c r="AR96" s="15">
        <v>45936</v>
      </c>
      <c r="AS96" t="s">
        <v>227</v>
      </c>
      <c r="AT96">
        <v>1</v>
      </c>
      <c r="AU96">
        <v>580000</v>
      </c>
      <c r="AV96">
        <v>0</v>
      </c>
      <c r="AW96">
        <v>0</v>
      </c>
      <c r="AX96" s="14">
        <v>580000</v>
      </c>
      <c r="AY96" s="14">
        <v>580000</v>
      </c>
      <c r="AZ96" s="14">
        <v>0</v>
      </c>
      <c r="BA96">
        <v>0</v>
      </c>
      <c r="BB96" t="s">
        <v>23</v>
      </c>
      <c r="BC96" t="s">
        <v>128</v>
      </c>
      <c r="BD96" t="s">
        <v>129</v>
      </c>
      <c r="BE96" t="s">
        <v>130</v>
      </c>
      <c r="BG96" t="s">
        <v>493</v>
      </c>
      <c r="BH96" t="s">
        <v>132</v>
      </c>
      <c r="BJ96">
        <v>4</v>
      </c>
      <c r="BK96" t="s">
        <v>133</v>
      </c>
      <c r="BV96" t="s">
        <v>134</v>
      </c>
      <c r="BW96" s="16">
        <v>45831.692361111112</v>
      </c>
      <c r="BX96" t="s">
        <v>178</v>
      </c>
      <c r="BZ96">
        <v>12</v>
      </c>
      <c r="CA96" t="s">
        <v>494</v>
      </c>
      <c r="CB96">
        <v>0</v>
      </c>
      <c r="CF96" t="s">
        <v>357</v>
      </c>
      <c r="CG96">
        <v>2025</v>
      </c>
      <c r="CH96" t="s">
        <v>138</v>
      </c>
      <c r="CI96" t="s">
        <v>139</v>
      </c>
    </row>
    <row r="97" spans="1:87" x14ac:dyDescent="0.3">
      <c r="A97" t="s">
        <v>115</v>
      </c>
      <c r="B97" t="s">
        <v>116</v>
      </c>
      <c r="C97" t="s">
        <v>117</v>
      </c>
      <c r="D97" t="s">
        <v>118</v>
      </c>
      <c r="E97" t="s">
        <v>14</v>
      </c>
      <c r="F97" t="s">
        <v>146</v>
      </c>
      <c r="G97">
        <v>55</v>
      </c>
      <c r="H97">
        <v>0</v>
      </c>
      <c r="I97" s="14">
        <v>435500</v>
      </c>
      <c r="J97" s="14">
        <v>435500</v>
      </c>
      <c r="Q97" s="14"/>
      <c r="R97" s="14"/>
      <c r="Y97" s="14"/>
      <c r="Z97" s="14"/>
      <c r="AG97" s="14"/>
      <c r="AH97" s="14"/>
      <c r="AI97" t="s">
        <v>147</v>
      </c>
      <c r="AJ97" t="s">
        <v>148</v>
      </c>
      <c r="AK97" t="s">
        <v>149</v>
      </c>
      <c r="AL97">
        <v>992532732</v>
      </c>
      <c r="AM97" t="s">
        <v>150</v>
      </c>
      <c r="AN97" t="s">
        <v>151</v>
      </c>
      <c r="AO97" t="s">
        <v>125</v>
      </c>
      <c r="AP97" t="s">
        <v>152</v>
      </c>
      <c r="AQ97" s="15">
        <v>45688</v>
      </c>
      <c r="AR97" s="15">
        <v>45838</v>
      </c>
      <c r="AS97" t="s">
        <v>227</v>
      </c>
      <c r="AT97">
        <v>1</v>
      </c>
      <c r="AU97">
        <v>370950</v>
      </c>
      <c r="AV97">
        <v>0</v>
      </c>
      <c r="AW97">
        <v>0</v>
      </c>
      <c r="AX97" s="14">
        <v>370950</v>
      </c>
      <c r="AY97" s="14">
        <v>370950</v>
      </c>
      <c r="AZ97" s="14">
        <v>0</v>
      </c>
      <c r="BA97">
        <v>0</v>
      </c>
      <c r="BB97" t="s">
        <v>23</v>
      </c>
      <c r="BC97" t="s">
        <v>128</v>
      </c>
      <c r="BD97" t="s">
        <v>129</v>
      </c>
      <c r="BE97" t="s">
        <v>130</v>
      </c>
      <c r="BG97" t="s">
        <v>495</v>
      </c>
      <c r="BH97" t="s">
        <v>132</v>
      </c>
      <c r="BJ97">
        <v>4</v>
      </c>
      <c r="BK97" t="s">
        <v>133</v>
      </c>
      <c r="BV97" t="s">
        <v>134</v>
      </c>
      <c r="BW97" s="16">
        <v>45499.613194444442</v>
      </c>
      <c r="BX97" t="s">
        <v>135</v>
      </c>
      <c r="BZ97">
        <v>34</v>
      </c>
      <c r="CA97" t="s">
        <v>496</v>
      </c>
      <c r="CB97">
        <v>0</v>
      </c>
      <c r="CF97" t="s">
        <v>357</v>
      </c>
      <c r="CG97">
        <v>2025</v>
      </c>
      <c r="CH97" t="s">
        <v>138</v>
      </c>
      <c r="CI97" t="s">
        <v>139</v>
      </c>
    </row>
    <row r="98" spans="1:87" x14ac:dyDescent="0.3">
      <c r="A98" t="s">
        <v>115</v>
      </c>
      <c r="B98" t="s">
        <v>116</v>
      </c>
      <c r="C98" t="s">
        <v>117</v>
      </c>
      <c r="D98" t="s">
        <v>118</v>
      </c>
      <c r="E98" t="s">
        <v>14</v>
      </c>
      <c r="F98" t="s">
        <v>497</v>
      </c>
      <c r="G98">
        <v>56</v>
      </c>
      <c r="H98">
        <v>0</v>
      </c>
      <c r="I98" s="14">
        <v>433500</v>
      </c>
      <c r="J98" s="14">
        <v>433500</v>
      </c>
      <c r="K98" t="s">
        <v>117</v>
      </c>
      <c r="L98" t="s">
        <v>118</v>
      </c>
      <c r="M98" t="s">
        <v>140</v>
      </c>
      <c r="N98" t="s">
        <v>498</v>
      </c>
      <c r="O98">
        <v>13.27</v>
      </c>
      <c r="P98">
        <v>0</v>
      </c>
      <c r="Q98" s="14">
        <v>50500</v>
      </c>
      <c r="R98" s="14">
        <v>50500</v>
      </c>
      <c r="Y98" s="14"/>
      <c r="Z98" s="14"/>
      <c r="AG98" s="14"/>
      <c r="AH98" s="14"/>
      <c r="AI98" t="s">
        <v>499</v>
      </c>
      <c r="AJ98" t="s">
        <v>500</v>
      </c>
      <c r="AK98" t="s">
        <v>501</v>
      </c>
      <c r="AL98">
        <v>943151339</v>
      </c>
      <c r="AM98" t="s">
        <v>502</v>
      </c>
      <c r="AN98" t="s">
        <v>503</v>
      </c>
      <c r="AO98" t="s">
        <v>125</v>
      </c>
      <c r="AP98" t="s">
        <v>504</v>
      </c>
      <c r="AQ98" s="15">
        <v>45985</v>
      </c>
      <c r="AR98" s="15">
        <v>45985</v>
      </c>
      <c r="AS98" t="s">
        <v>127</v>
      </c>
      <c r="AT98">
        <v>1</v>
      </c>
      <c r="AU98">
        <v>3000</v>
      </c>
      <c r="AV98">
        <v>0</v>
      </c>
      <c r="AW98">
        <v>0</v>
      </c>
      <c r="AX98" s="14">
        <v>3000</v>
      </c>
      <c r="AY98" s="14">
        <v>3000</v>
      </c>
      <c r="AZ98" s="14">
        <v>0</v>
      </c>
      <c r="BA98">
        <v>0</v>
      </c>
      <c r="BB98" t="s">
        <v>23</v>
      </c>
      <c r="BC98" t="s">
        <v>128</v>
      </c>
      <c r="BD98" t="s">
        <v>129</v>
      </c>
      <c r="BE98" t="s">
        <v>130</v>
      </c>
      <c r="BG98" t="s">
        <v>505</v>
      </c>
      <c r="BH98" t="s">
        <v>132</v>
      </c>
      <c r="BJ98">
        <v>4</v>
      </c>
      <c r="BK98" t="s">
        <v>133</v>
      </c>
      <c r="BV98" t="s">
        <v>134</v>
      </c>
      <c r="BW98" s="16">
        <v>46008.744444444441</v>
      </c>
      <c r="BX98" t="s">
        <v>135</v>
      </c>
      <c r="BZ98">
        <v>41</v>
      </c>
      <c r="CA98" t="s">
        <v>506</v>
      </c>
      <c r="CB98">
        <v>0</v>
      </c>
      <c r="CF98" t="s">
        <v>357</v>
      </c>
      <c r="CG98">
        <v>2025</v>
      </c>
      <c r="CH98" t="s">
        <v>138</v>
      </c>
      <c r="CI98" t="s">
        <v>139</v>
      </c>
    </row>
    <row r="99" spans="1:87" x14ac:dyDescent="0.3">
      <c r="A99" t="s">
        <v>115</v>
      </c>
      <c r="B99" t="s">
        <v>116</v>
      </c>
      <c r="C99" t="s">
        <v>117</v>
      </c>
      <c r="D99" t="s">
        <v>118</v>
      </c>
      <c r="E99" t="s">
        <v>14</v>
      </c>
      <c r="F99" t="s">
        <v>497</v>
      </c>
      <c r="G99">
        <v>56</v>
      </c>
      <c r="H99">
        <v>0</v>
      </c>
      <c r="I99" s="14">
        <v>433500</v>
      </c>
      <c r="J99" s="14">
        <v>433500</v>
      </c>
      <c r="K99" t="s">
        <v>117</v>
      </c>
      <c r="L99" t="s">
        <v>118</v>
      </c>
      <c r="M99" t="s">
        <v>140</v>
      </c>
      <c r="N99" t="s">
        <v>498</v>
      </c>
      <c r="O99">
        <v>13.27</v>
      </c>
      <c r="P99">
        <v>0</v>
      </c>
      <c r="Q99" s="14">
        <v>50500</v>
      </c>
      <c r="R99" s="14">
        <v>50500</v>
      </c>
      <c r="Y99" s="14"/>
      <c r="Z99" s="14"/>
      <c r="AG99" s="14"/>
      <c r="AH99" s="14"/>
      <c r="AI99" t="s">
        <v>499</v>
      </c>
      <c r="AJ99" t="s">
        <v>500</v>
      </c>
      <c r="AK99" t="s">
        <v>501</v>
      </c>
      <c r="AL99">
        <v>943151339</v>
      </c>
      <c r="AM99" t="s">
        <v>502</v>
      </c>
      <c r="AN99" t="s">
        <v>503</v>
      </c>
      <c r="AO99" t="s">
        <v>125</v>
      </c>
      <c r="AP99" t="s">
        <v>504</v>
      </c>
      <c r="AQ99" s="15">
        <v>46008</v>
      </c>
      <c r="AR99" s="15">
        <v>46008</v>
      </c>
      <c r="AS99" t="s">
        <v>145</v>
      </c>
      <c r="AT99">
        <v>1</v>
      </c>
      <c r="AU99">
        <v>45400</v>
      </c>
      <c r="AV99">
        <v>0</v>
      </c>
      <c r="AW99">
        <v>0</v>
      </c>
      <c r="AX99" s="14">
        <v>45400</v>
      </c>
      <c r="AY99" s="14">
        <v>45400</v>
      </c>
      <c r="AZ99" s="14">
        <v>0</v>
      </c>
      <c r="BA99">
        <v>0</v>
      </c>
      <c r="BB99" t="s">
        <v>23</v>
      </c>
      <c r="BC99" t="s">
        <v>128</v>
      </c>
      <c r="BD99" t="s">
        <v>415</v>
      </c>
      <c r="BE99" t="s">
        <v>130</v>
      </c>
      <c r="BF99" t="s">
        <v>500</v>
      </c>
      <c r="BG99" t="s">
        <v>507</v>
      </c>
      <c r="BH99" t="s">
        <v>132</v>
      </c>
      <c r="BJ99">
        <v>4</v>
      </c>
      <c r="BK99" t="s">
        <v>133</v>
      </c>
      <c r="BV99" t="s">
        <v>134</v>
      </c>
      <c r="BW99" s="16">
        <v>46008.744444444441</v>
      </c>
      <c r="BX99" t="s">
        <v>135</v>
      </c>
      <c r="BZ99">
        <v>41</v>
      </c>
      <c r="CA99" t="s">
        <v>508</v>
      </c>
      <c r="CB99">
        <v>0</v>
      </c>
      <c r="CF99" t="s">
        <v>357</v>
      </c>
      <c r="CG99">
        <v>2025</v>
      </c>
      <c r="CH99" t="s">
        <v>138</v>
      </c>
      <c r="CI99" t="s">
        <v>139</v>
      </c>
    </row>
    <row r="100" spans="1:87" x14ac:dyDescent="0.3">
      <c r="A100" t="s">
        <v>165</v>
      </c>
      <c r="B100" t="s">
        <v>116</v>
      </c>
      <c r="C100" t="s">
        <v>117</v>
      </c>
      <c r="D100" t="s">
        <v>118</v>
      </c>
      <c r="E100" t="s">
        <v>14</v>
      </c>
      <c r="F100" t="s">
        <v>146</v>
      </c>
      <c r="G100">
        <v>57</v>
      </c>
      <c r="H100">
        <v>0</v>
      </c>
      <c r="I100" s="14">
        <v>430000</v>
      </c>
      <c r="J100" s="14">
        <v>381000</v>
      </c>
      <c r="Q100" s="14"/>
      <c r="R100" s="14"/>
      <c r="Y100" s="14"/>
      <c r="Z100" s="14"/>
      <c r="AG100" s="14"/>
      <c r="AH100" s="14"/>
      <c r="AI100" t="s">
        <v>509</v>
      </c>
      <c r="AJ100" t="s">
        <v>510</v>
      </c>
      <c r="AK100" t="s">
        <v>511</v>
      </c>
      <c r="AL100">
        <v>0</v>
      </c>
      <c r="AM100" t="s">
        <v>512</v>
      </c>
      <c r="AN100" t="s">
        <v>513</v>
      </c>
      <c r="AO100" t="s">
        <v>125</v>
      </c>
      <c r="AP100" t="s">
        <v>152</v>
      </c>
      <c r="AQ100" s="15">
        <v>45932</v>
      </c>
      <c r="AR100" s="15">
        <v>45932</v>
      </c>
      <c r="AS100" t="s">
        <v>127</v>
      </c>
      <c r="AT100">
        <v>1</v>
      </c>
      <c r="AU100">
        <v>3000</v>
      </c>
      <c r="AV100">
        <v>0</v>
      </c>
      <c r="AW100">
        <v>0</v>
      </c>
      <c r="AX100" s="14">
        <v>3000</v>
      </c>
      <c r="AY100" s="14">
        <v>3000</v>
      </c>
      <c r="AZ100" s="14">
        <v>0</v>
      </c>
      <c r="BA100">
        <v>0</v>
      </c>
      <c r="BB100" t="s">
        <v>24</v>
      </c>
      <c r="BC100" t="s">
        <v>175</v>
      </c>
      <c r="BD100" t="s">
        <v>176</v>
      </c>
      <c r="BE100" t="s">
        <v>130</v>
      </c>
      <c r="BG100" t="s">
        <v>514</v>
      </c>
      <c r="BH100" t="s">
        <v>132</v>
      </c>
      <c r="BJ100">
        <v>4</v>
      </c>
      <c r="BK100" t="s">
        <v>133</v>
      </c>
      <c r="BV100" t="s">
        <v>132</v>
      </c>
      <c r="BW100" s="16">
        <v>45940.418749999997</v>
      </c>
      <c r="BX100" t="s">
        <v>143</v>
      </c>
      <c r="BZ100">
        <v>6</v>
      </c>
      <c r="CA100" t="s">
        <v>515</v>
      </c>
      <c r="CB100">
        <v>0</v>
      </c>
      <c r="CF100" t="s">
        <v>357</v>
      </c>
      <c r="CG100">
        <v>2025</v>
      </c>
      <c r="CH100" t="s">
        <v>138</v>
      </c>
      <c r="CI100" t="s">
        <v>139</v>
      </c>
    </row>
    <row r="101" spans="1:87" x14ac:dyDescent="0.3">
      <c r="A101" t="s">
        <v>165</v>
      </c>
      <c r="B101" t="s">
        <v>116</v>
      </c>
      <c r="C101" t="s">
        <v>117</v>
      </c>
      <c r="D101" t="s">
        <v>118</v>
      </c>
      <c r="E101" t="s">
        <v>14</v>
      </c>
      <c r="F101" t="s">
        <v>146</v>
      </c>
      <c r="G101">
        <v>57</v>
      </c>
      <c r="H101">
        <v>0</v>
      </c>
      <c r="I101" s="14">
        <v>430000</v>
      </c>
      <c r="J101" s="14">
        <v>381000</v>
      </c>
      <c r="Q101" s="14"/>
      <c r="R101" s="14"/>
      <c r="Y101" s="14"/>
      <c r="Z101" s="14"/>
      <c r="AG101" s="14"/>
      <c r="AH101" s="14"/>
      <c r="AI101" t="s">
        <v>509</v>
      </c>
      <c r="AJ101" t="s">
        <v>510</v>
      </c>
      <c r="AK101" t="s">
        <v>511</v>
      </c>
      <c r="AL101">
        <v>0</v>
      </c>
      <c r="AM101" t="s">
        <v>512</v>
      </c>
      <c r="AN101" t="s">
        <v>513</v>
      </c>
      <c r="AO101" t="s">
        <v>125</v>
      </c>
      <c r="AP101" t="s">
        <v>152</v>
      </c>
      <c r="AQ101" s="15">
        <v>45940</v>
      </c>
      <c r="AR101" s="15">
        <v>45940</v>
      </c>
      <c r="AS101" t="s">
        <v>145</v>
      </c>
      <c r="AT101">
        <v>1</v>
      </c>
      <c r="AU101">
        <v>17000</v>
      </c>
      <c r="AV101">
        <v>0</v>
      </c>
      <c r="AW101">
        <v>0</v>
      </c>
      <c r="AX101" s="14">
        <v>17000</v>
      </c>
      <c r="AY101" s="14">
        <v>17000</v>
      </c>
      <c r="AZ101" s="14">
        <v>0</v>
      </c>
      <c r="BA101">
        <v>0</v>
      </c>
      <c r="BB101" t="s">
        <v>24</v>
      </c>
      <c r="BC101" t="s">
        <v>175</v>
      </c>
      <c r="BD101" t="s">
        <v>176</v>
      </c>
      <c r="BE101" t="s">
        <v>130</v>
      </c>
      <c r="BG101" t="s">
        <v>516</v>
      </c>
      <c r="BH101" t="s">
        <v>132</v>
      </c>
      <c r="BJ101">
        <v>4</v>
      </c>
      <c r="BK101" t="s">
        <v>133</v>
      </c>
      <c r="BV101" t="s">
        <v>134</v>
      </c>
      <c r="BW101" s="16">
        <v>45940.418749999997</v>
      </c>
      <c r="BX101" t="s">
        <v>143</v>
      </c>
      <c r="BZ101">
        <v>6</v>
      </c>
      <c r="CA101" t="s">
        <v>517</v>
      </c>
      <c r="CB101">
        <v>0</v>
      </c>
      <c r="CF101" t="s">
        <v>357</v>
      </c>
      <c r="CG101">
        <v>2025</v>
      </c>
      <c r="CH101" t="s">
        <v>138</v>
      </c>
      <c r="CI101" t="s">
        <v>139</v>
      </c>
    </row>
    <row r="102" spans="1:87" x14ac:dyDescent="0.3">
      <c r="A102" t="s">
        <v>165</v>
      </c>
      <c r="B102" t="s">
        <v>116</v>
      </c>
      <c r="C102" t="s">
        <v>117</v>
      </c>
      <c r="D102" t="s">
        <v>118</v>
      </c>
      <c r="E102" t="s">
        <v>14</v>
      </c>
      <c r="F102" t="s">
        <v>146</v>
      </c>
      <c r="G102">
        <v>57</v>
      </c>
      <c r="H102">
        <v>0</v>
      </c>
      <c r="I102" s="14">
        <v>430000</v>
      </c>
      <c r="J102" s="14">
        <v>381000</v>
      </c>
      <c r="Q102" s="14"/>
      <c r="R102" s="14"/>
      <c r="Y102" s="14"/>
      <c r="Z102" s="14"/>
      <c r="AG102" s="14"/>
      <c r="AH102" s="14"/>
      <c r="AI102" t="s">
        <v>509</v>
      </c>
      <c r="AJ102" t="s">
        <v>510</v>
      </c>
      <c r="AK102" t="s">
        <v>511</v>
      </c>
      <c r="AL102">
        <v>0</v>
      </c>
      <c r="AM102" t="s">
        <v>512</v>
      </c>
      <c r="AN102" t="s">
        <v>513</v>
      </c>
      <c r="AO102" t="s">
        <v>125</v>
      </c>
      <c r="AP102" t="s">
        <v>152</v>
      </c>
      <c r="AQ102" s="15">
        <v>45965</v>
      </c>
      <c r="AR102" s="15">
        <v>45965</v>
      </c>
      <c r="AS102" t="s">
        <v>145</v>
      </c>
      <c r="AT102">
        <v>2</v>
      </c>
      <c r="AU102">
        <v>44000</v>
      </c>
      <c r="AV102">
        <v>0</v>
      </c>
      <c r="AW102">
        <v>0</v>
      </c>
      <c r="AX102" s="14">
        <v>44000</v>
      </c>
      <c r="AY102" s="14">
        <v>22000</v>
      </c>
      <c r="AZ102" s="14">
        <v>0</v>
      </c>
      <c r="BA102">
        <v>0</v>
      </c>
      <c r="BB102" t="s">
        <v>24</v>
      </c>
      <c r="BC102" t="s">
        <v>175</v>
      </c>
      <c r="BD102" t="s">
        <v>176</v>
      </c>
      <c r="BE102" t="s">
        <v>130</v>
      </c>
      <c r="BG102" t="s">
        <v>518</v>
      </c>
      <c r="BH102" t="s">
        <v>132</v>
      </c>
      <c r="BJ102">
        <v>4</v>
      </c>
      <c r="BK102" t="s">
        <v>133</v>
      </c>
      <c r="BV102" t="s">
        <v>134</v>
      </c>
      <c r="BW102" s="16">
        <v>45940.418749999997</v>
      </c>
      <c r="BX102" t="s">
        <v>143</v>
      </c>
      <c r="BZ102">
        <v>6</v>
      </c>
      <c r="CA102" t="s">
        <v>519</v>
      </c>
      <c r="CB102">
        <v>0</v>
      </c>
      <c r="CF102" t="s">
        <v>357</v>
      </c>
      <c r="CG102">
        <v>2025</v>
      </c>
      <c r="CH102" t="s">
        <v>138</v>
      </c>
      <c r="CI102" t="s">
        <v>139</v>
      </c>
    </row>
    <row r="103" spans="1:87" x14ac:dyDescent="0.3">
      <c r="A103" t="s">
        <v>165</v>
      </c>
      <c r="B103" t="s">
        <v>116</v>
      </c>
      <c r="C103" t="s">
        <v>117</v>
      </c>
      <c r="D103" t="s">
        <v>118</v>
      </c>
      <c r="E103" t="s">
        <v>14</v>
      </c>
      <c r="F103" t="s">
        <v>146</v>
      </c>
      <c r="G103">
        <v>57</v>
      </c>
      <c r="H103">
        <v>0</v>
      </c>
      <c r="I103" s="14">
        <v>430000</v>
      </c>
      <c r="J103" s="14">
        <v>381000</v>
      </c>
      <c r="Q103" s="14"/>
      <c r="R103" s="14"/>
      <c r="Y103" s="14"/>
      <c r="Z103" s="14"/>
      <c r="AG103" s="14"/>
      <c r="AH103" s="14"/>
      <c r="AI103" t="s">
        <v>509</v>
      </c>
      <c r="AJ103" t="s">
        <v>510</v>
      </c>
      <c r="AK103" t="s">
        <v>511</v>
      </c>
      <c r="AL103">
        <v>0</v>
      </c>
      <c r="AM103" t="s">
        <v>512</v>
      </c>
      <c r="AN103" t="s">
        <v>513</v>
      </c>
      <c r="AO103" t="s">
        <v>125</v>
      </c>
      <c r="AP103" t="s">
        <v>152</v>
      </c>
      <c r="AQ103" s="15">
        <v>45965</v>
      </c>
      <c r="AR103" s="15">
        <v>45965</v>
      </c>
      <c r="AS103" t="s">
        <v>145</v>
      </c>
      <c r="AT103">
        <v>2</v>
      </c>
      <c r="AU103">
        <v>0</v>
      </c>
      <c r="AV103">
        <v>0</v>
      </c>
      <c r="AW103">
        <v>0</v>
      </c>
      <c r="AX103" s="14">
        <v>0</v>
      </c>
      <c r="AY103" s="14">
        <v>22000</v>
      </c>
      <c r="AZ103" s="14">
        <v>0</v>
      </c>
      <c r="BA103">
        <v>0</v>
      </c>
      <c r="BB103" t="s">
        <v>24</v>
      </c>
      <c r="BC103" t="s">
        <v>175</v>
      </c>
      <c r="BD103" t="s">
        <v>176</v>
      </c>
      <c r="BE103" t="s">
        <v>130</v>
      </c>
      <c r="BG103" t="s">
        <v>520</v>
      </c>
      <c r="BH103" t="s">
        <v>132</v>
      </c>
      <c r="BJ103">
        <v>4</v>
      </c>
      <c r="BK103" t="s">
        <v>133</v>
      </c>
      <c r="BV103" t="s">
        <v>134</v>
      </c>
      <c r="BW103" s="16">
        <v>45940.418749999997</v>
      </c>
      <c r="BX103" t="s">
        <v>143</v>
      </c>
      <c r="BZ103">
        <v>6</v>
      </c>
      <c r="CA103" t="s">
        <v>519</v>
      </c>
      <c r="CB103">
        <v>0</v>
      </c>
      <c r="CF103" t="s">
        <v>357</v>
      </c>
      <c r="CG103">
        <v>2025</v>
      </c>
      <c r="CH103" t="s">
        <v>138</v>
      </c>
      <c r="CI103" t="s">
        <v>139</v>
      </c>
    </row>
    <row r="104" spans="1:87" x14ac:dyDescent="0.3">
      <c r="A104" t="s">
        <v>115</v>
      </c>
      <c r="B104" t="s">
        <v>116</v>
      </c>
      <c r="C104" t="s">
        <v>117</v>
      </c>
      <c r="D104" t="s">
        <v>118</v>
      </c>
      <c r="E104" t="s">
        <v>14</v>
      </c>
      <c r="F104" t="s">
        <v>521</v>
      </c>
      <c r="G104">
        <v>82.63</v>
      </c>
      <c r="H104">
        <v>0</v>
      </c>
      <c r="I104" s="14">
        <v>615000</v>
      </c>
      <c r="J104" s="14">
        <v>615000</v>
      </c>
      <c r="Q104" s="14"/>
      <c r="R104" s="14"/>
      <c r="Y104" s="14"/>
      <c r="Z104" s="14"/>
      <c r="AG104" s="14"/>
      <c r="AH104" s="14"/>
      <c r="AI104" t="s">
        <v>522</v>
      </c>
      <c r="AJ104" t="s">
        <v>523</v>
      </c>
      <c r="AK104" t="s">
        <v>524</v>
      </c>
      <c r="AL104">
        <v>966327809</v>
      </c>
      <c r="AM104" t="s">
        <v>525</v>
      </c>
      <c r="AN104" t="s">
        <v>526</v>
      </c>
      <c r="AO104" t="s">
        <v>527</v>
      </c>
      <c r="AP104" t="s">
        <v>528</v>
      </c>
      <c r="AQ104" s="15">
        <v>45867</v>
      </c>
      <c r="AR104" s="15">
        <v>45867</v>
      </c>
      <c r="AS104" t="s">
        <v>127</v>
      </c>
      <c r="AT104">
        <v>1</v>
      </c>
      <c r="AU104">
        <v>3000</v>
      </c>
      <c r="AV104">
        <v>0</v>
      </c>
      <c r="AW104">
        <v>0</v>
      </c>
      <c r="AX104" s="14">
        <v>3000</v>
      </c>
      <c r="AY104" s="14">
        <v>3000</v>
      </c>
      <c r="AZ104" s="14">
        <v>0</v>
      </c>
      <c r="BA104">
        <v>0</v>
      </c>
      <c r="BB104" t="s">
        <v>23</v>
      </c>
      <c r="BC104" t="s">
        <v>128</v>
      </c>
      <c r="BD104" t="s">
        <v>129</v>
      </c>
      <c r="BE104" t="s">
        <v>130</v>
      </c>
      <c r="BF104" t="s">
        <v>523</v>
      </c>
      <c r="BG104" t="s">
        <v>529</v>
      </c>
      <c r="BH104" t="s">
        <v>132</v>
      </c>
      <c r="BI104" t="s">
        <v>154</v>
      </c>
      <c r="BJ104">
        <v>4</v>
      </c>
      <c r="BK104" t="s">
        <v>133</v>
      </c>
      <c r="BV104" t="s">
        <v>134</v>
      </c>
      <c r="BW104" s="16">
        <v>45885.586805555547</v>
      </c>
      <c r="BX104" t="s">
        <v>135</v>
      </c>
      <c r="BZ104">
        <v>47</v>
      </c>
      <c r="CA104" t="s">
        <v>530</v>
      </c>
      <c r="CB104">
        <v>0</v>
      </c>
      <c r="CF104" t="s">
        <v>357</v>
      </c>
      <c r="CG104">
        <v>2025</v>
      </c>
      <c r="CH104" t="s">
        <v>138</v>
      </c>
      <c r="CI104" t="s">
        <v>139</v>
      </c>
    </row>
    <row r="105" spans="1:87" x14ac:dyDescent="0.3">
      <c r="A105" t="s">
        <v>115</v>
      </c>
      <c r="B105" t="s">
        <v>116</v>
      </c>
      <c r="C105" t="s">
        <v>117</v>
      </c>
      <c r="D105" t="s">
        <v>118</v>
      </c>
      <c r="E105" t="s">
        <v>14</v>
      </c>
      <c r="F105" t="s">
        <v>521</v>
      </c>
      <c r="G105">
        <v>82.63</v>
      </c>
      <c r="H105">
        <v>0</v>
      </c>
      <c r="I105" s="14">
        <v>615000</v>
      </c>
      <c r="J105" s="14">
        <v>615000</v>
      </c>
      <c r="Q105" s="14"/>
      <c r="R105" s="14"/>
      <c r="Y105" s="14"/>
      <c r="Z105" s="14"/>
      <c r="AG105" s="14"/>
      <c r="AH105" s="14"/>
      <c r="AI105" t="s">
        <v>522</v>
      </c>
      <c r="AJ105" t="s">
        <v>523</v>
      </c>
      <c r="AK105" t="s">
        <v>524</v>
      </c>
      <c r="AL105">
        <v>966327809</v>
      </c>
      <c r="AM105" t="s">
        <v>525</v>
      </c>
      <c r="AN105" t="s">
        <v>526</v>
      </c>
      <c r="AO105" t="s">
        <v>527</v>
      </c>
      <c r="AP105" t="s">
        <v>528</v>
      </c>
      <c r="AQ105" s="15">
        <v>45885</v>
      </c>
      <c r="AR105" s="15">
        <v>45885</v>
      </c>
      <c r="AS105" t="s">
        <v>145</v>
      </c>
      <c r="AT105">
        <v>1</v>
      </c>
      <c r="AU105">
        <v>10000</v>
      </c>
      <c r="AV105">
        <v>0</v>
      </c>
      <c r="AW105">
        <v>0</v>
      </c>
      <c r="AX105" s="14">
        <v>10000</v>
      </c>
      <c r="AY105" s="14">
        <v>10000</v>
      </c>
      <c r="AZ105" s="14">
        <v>0</v>
      </c>
      <c r="BA105">
        <v>0</v>
      </c>
      <c r="BB105" t="s">
        <v>23</v>
      </c>
      <c r="BC105" t="s">
        <v>128</v>
      </c>
      <c r="BD105" t="s">
        <v>129</v>
      </c>
      <c r="BE105" t="s">
        <v>130</v>
      </c>
      <c r="BF105" t="s">
        <v>523</v>
      </c>
      <c r="BG105" t="s">
        <v>531</v>
      </c>
      <c r="BH105" t="s">
        <v>132</v>
      </c>
      <c r="BI105" t="s">
        <v>154</v>
      </c>
      <c r="BJ105">
        <v>4</v>
      </c>
      <c r="BK105" t="s">
        <v>133</v>
      </c>
      <c r="BV105" t="s">
        <v>134</v>
      </c>
      <c r="BW105" s="16">
        <v>45885.586805555547</v>
      </c>
      <c r="BX105" t="s">
        <v>135</v>
      </c>
      <c r="BZ105">
        <v>47</v>
      </c>
      <c r="CA105" t="s">
        <v>532</v>
      </c>
      <c r="CB105">
        <v>0</v>
      </c>
      <c r="CF105" t="s">
        <v>357</v>
      </c>
      <c r="CG105">
        <v>2025</v>
      </c>
      <c r="CH105" t="s">
        <v>138</v>
      </c>
      <c r="CI105" t="s">
        <v>139</v>
      </c>
    </row>
    <row r="106" spans="1:87" x14ac:dyDescent="0.3">
      <c r="A106" t="s">
        <v>165</v>
      </c>
      <c r="B106" t="s">
        <v>116</v>
      </c>
      <c r="C106" t="s">
        <v>117</v>
      </c>
      <c r="D106" t="s">
        <v>118</v>
      </c>
      <c r="E106" t="s">
        <v>14</v>
      </c>
      <c r="F106" t="s">
        <v>166</v>
      </c>
      <c r="G106">
        <v>72</v>
      </c>
      <c r="H106">
        <v>0</v>
      </c>
      <c r="I106" s="14">
        <v>532100</v>
      </c>
      <c r="J106" s="14">
        <v>500000</v>
      </c>
      <c r="K106" t="s">
        <v>117</v>
      </c>
      <c r="L106" t="s">
        <v>118</v>
      </c>
      <c r="M106" t="s">
        <v>140</v>
      </c>
      <c r="N106" t="s">
        <v>167</v>
      </c>
      <c r="O106">
        <v>12</v>
      </c>
      <c r="P106">
        <v>0</v>
      </c>
      <c r="Q106" s="14">
        <v>45600</v>
      </c>
      <c r="R106" s="14">
        <v>45600</v>
      </c>
      <c r="S106" t="s">
        <v>117</v>
      </c>
      <c r="T106" t="s">
        <v>118</v>
      </c>
      <c r="U106" t="s">
        <v>168</v>
      </c>
      <c r="V106" t="s">
        <v>169</v>
      </c>
      <c r="W106">
        <v>4.4000000000000004</v>
      </c>
      <c r="X106">
        <v>0</v>
      </c>
      <c r="Y106" s="14">
        <v>15900</v>
      </c>
      <c r="Z106" s="14">
        <v>15900</v>
      </c>
      <c r="AG106" s="14"/>
      <c r="AH106" s="14"/>
      <c r="AI106" t="s">
        <v>170</v>
      </c>
      <c r="AJ106" t="s">
        <v>171</v>
      </c>
      <c r="AK106" t="s">
        <v>172</v>
      </c>
      <c r="AL106">
        <v>0</v>
      </c>
      <c r="AM106" t="s">
        <v>173</v>
      </c>
      <c r="AN106" t="s">
        <v>174</v>
      </c>
      <c r="AQ106" s="15">
        <v>45743</v>
      </c>
      <c r="AR106" s="15">
        <v>45743</v>
      </c>
      <c r="AS106" t="s">
        <v>145</v>
      </c>
      <c r="AT106">
        <v>1</v>
      </c>
      <c r="AU106">
        <v>217040</v>
      </c>
      <c r="AV106">
        <v>0</v>
      </c>
      <c r="AW106">
        <v>0</v>
      </c>
      <c r="AX106" s="14">
        <v>217040</v>
      </c>
      <c r="AY106" s="14">
        <v>215537.5</v>
      </c>
      <c r="AZ106" s="14">
        <v>1502.5</v>
      </c>
      <c r="BA106">
        <v>0</v>
      </c>
      <c r="BB106" t="s">
        <v>22</v>
      </c>
      <c r="BC106" t="s">
        <v>175</v>
      </c>
      <c r="BD106" t="s">
        <v>176</v>
      </c>
      <c r="BE106" t="s">
        <v>130</v>
      </c>
      <c r="BG106" t="s">
        <v>533</v>
      </c>
      <c r="BH106" t="s">
        <v>132</v>
      </c>
      <c r="BJ106">
        <v>3.64</v>
      </c>
      <c r="BK106" t="s">
        <v>534</v>
      </c>
      <c r="BV106" t="s">
        <v>134</v>
      </c>
      <c r="BW106" s="16">
        <v>45386.40347222222</v>
      </c>
      <c r="BX106" t="s">
        <v>178</v>
      </c>
      <c r="BZ106">
        <v>35</v>
      </c>
      <c r="CA106" t="s">
        <v>535</v>
      </c>
      <c r="CB106">
        <v>0</v>
      </c>
      <c r="CF106" t="s">
        <v>357</v>
      </c>
      <c r="CG106">
        <v>2025</v>
      </c>
      <c r="CH106" t="s">
        <v>138</v>
      </c>
      <c r="CI106" t="s">
        <v>139</v>
      </c>
    </row>
    <row r="107" spans="1:87" x14ac:dyDescent="0.3">
      <c r="A107" t="s">
        <v>165</v>
      </c>
      <c r="B107" t="s">
        <v>116</v>
      </c>
      <c r="C107" t="s">
        <v>117</v>
      </c>
      <c r="D107" t="s">
        <v>118</v>
      </c>
      <c r="E107" t="s">
        <v>14</v>
      </c>
      <c r="F107" t="s">
        <v>166</v>
      </c>
      <c r="G107">
        <v>72</v>
      </c>
      <c r="H107">
        <v>0</v>
      </c>
      <c r="I107" s="14">
        <v>532100</v>
      </c>
      <c r="J107" s="14">
        <v>500000</v>
      </c>
      <c r="K107" t="s">
        <v>117</v>
      </c>
      <c r="L107" t="s">
        <v>118</v>
      </c>
      <c r="M107" t="s">
        <v>140</v>
      </c>
      <c r="N107" t="s">
        <v>167</v>
      </c>
      <c r="O107">
        <v>12</v>
      </c>
      <c r="P107">
        <v>0</v>
      </c>
      <c r="Q107" s="14">
        <v>45600</v>
      </c>
      <c r="R107" s="14">
        <v>45600</v>
      </c>
      <c r="S107" t="s">
        <v>117</v>
      </c>
      <c r="T107" t="s">
        <v>118</v>
      </c>
      <c r="U107" t="s">
        <v>168</v>
      </c>
      <c r="V107" t="s">
        <v>169</v>
      </c>
      <c r="W107">
        <v>4.4000000000000004</v>
      </c>
      <c r="X107">
        <v>0</v>
      </c>
      <c r="Y107" s="14">
        <v>15900</v>
      </c>
      <c r="Z107" s="14">
        <v>15900</v>
      </c>
      <c r="AG107" s="14"/>
      <c r="AH107" s="14"/>
      <c r="AI107" t="s">
        <v>170</v>
      </c>
      <c r="AJ107" t="s">
        <v>171</v>
      </c>
      <c r="AK107" t="s">
        <v>172</v>
      </c>
      <c r="AL107">
        <v>0</v>
      </c>
      <c r="AM107" t="s">
        <v>173</v>
      </c>
      <c r="AN107" t="s">
        <v>174</v>
      </c>
      <c r="AQ107" s="15">
        <v>45772</v>
      </c>
      <c r="AR107" s="15">
        <v>46258</v>
      </c>
      <c r="AS107" t="s">
        <v>227</v>
      </c>
      <c r="AT107">
        <v>1</v>
      </c>
      <c r="AU107">
        <v>21341.25</v>
      </c>
      <c r="AV107">
        <v>0</v>
      </c>
      <c r="AW107">
        <v>0</v>
      </c>
      <c r="AX107" s="14">
        <v>21341.25</v>
      </c>
      <c r="AY107" s="14">
        <v>21152.83</v>
      </c>
      <c r="AZ107" s="14">
        <v>188.42</v>
      </c>
      <c r="BA107">
        <v>0</v>
      </c>
      <c r="BB107" t="s">
        <v>22</v>
      </c>
      <c r="BC107" t="s">
        <v>175</v>
      </c>
      <c r="BD107" t="s">
        <v>176</v>
      </c>
      <c r="BE107" t="s">
        <v>130</v>
      </c>
      <c r="BG107" t="s">
        <v>536</v>
      </c>
      <c r="BH107" t="s">
        <v>132</v>
      </c>
      <c r="BJ107">
        <v>3.64</v>
      </c>
      <c r="BK107" t="s">
        <v>534</v>
      </c>
      <c r="BV107" t="s">
        <v>134</v>
      </c>
      <c r="BW107" s="16">
        <v>45386.40347222222</v>
      </c>
      <c r="BX107" t="s">
        <v>178</v>
      </c>
      <c r="BZ107">
        <v>35</v>
      </c>
      <c r="CA107" t="s">
        <v>537</v>
      </c>
      <c r="CB107">
        <v>0</v>
      </c>
      <c r="CF107" t="s">
        <v>357</v>
      </c>
      <c r="CG107">
        <v>2025</v>
      </c>
      <c r="CH107" t="s">
        <v>138</v>
      </c>
      <c r="CI107" t="s">
        <v>139</v>
      </c>
    </row>
    <row r="108" spans="1:87" x14ac:dyDescent="0.3">
      <c r="A108" t="s">
        <v>165</v>
      </c>
      <c r="B108" t="s">
        <v>116</v>
      </c>
      <c r="C108" t="s">
        <v>117</v>
      </c>
      <c r="D108" t="s">
        <v>118</v>
      </c>
      <c r="E108" t="s">
        <v>14</v>
      </c>
      <c r="F108" t="s">
        <v>166</v>
      </c>
      <c r="G108">
        <v>72</v>
      </c>
      <c r="H108">
        <v>0</v>
      </c>
      <c r="I108" s="14">
        <v>532100</v>
      </c>
      <c r="J108" s="14">
        <v>500000</v>
      </c>
      <c r="K108" t="s">
        <v>117</v>
      </c>
      <c r="L108" t="s">
        <v>118</v>
      </c>
      <c r="M108" t="s">
        <v>140</v>
      </c>
      <c r="N108" t="s">
        <v>167</v>
      </c>
      <c r="O108">
        <v>12</v>
      </c>
      <c r="P108">
        <v>0</v>
      </c>
      <c r="Q108" s="14">
        <v>45600</v>
      </c>
      <c r="R108" s="14">
        <v>45600</v>
      </c>
      <c r="S108" t="s">
        <v>117</v>
      </c>
      <c r="T108" t="s">
        <v>118</v>
      </c>
      <c r="U108" t="s">
        <v>168</v>
      </c>
      <c r="V108" t="s">
        <v>169</v>
      </c>
      <c r="W108">
        <v>4.4000000000000004</v>
      </c>
      <c r="X108">
        <v>0</v>
      </c>
      <c r="Y108" s="14">
        <v>15900</v>
      </c>
      <c r="Z108" s="14">
        <v>15900</v>
      </c>
      <c r="AG108" s="14"/>
      <c r="AH108" s="14"/>
      <c r="AI108" t="s">
        <v>170</v>
      </c>
      <c r="AJ108" t="s">
        <v>171</v>
      </c>
      <c r="AK108" t="s">
        <v>172</v>
      </c>
      <c r="AL108">
        <v>0</v>
      </c>
      <c r="AM108" t="s">
        <v>173</v>
      </c>
      <c r="AN108" t="s">
        <v>174</v>
      </c>
      <c r="AQ108" s="15">
        <v>45802</v>
      </c>
      <c r="AR108" s="15">
        <v>45804</v>
      </c>
      <c r="AS108" t="s">
        <v>227</v>
      </c>
      <c r="AT108">
        <v>2</v>
      </c>
      <c r="AU108">
        <v>21341.25</v>
      </c>
      <c r="AV108">
        <v>0</v>
      </c>
      <c r="AW108">
        <v>0</v>
      </c>
      <c r="AX108" s="14">
        <v>21341.25</v>
      </c>
      <c r="AY108" s="14">
        <v>21152.79</v>
      </c>
      <c r="AZ108" s="14">
        <v>188.46</v>
      </c>
      <c r="BA108">
        <v>0</v>
      </c>
      <c r="BB108" t="s">
        <v>22</v>
      </c>
      <c r="BC108" t="s">
        <v>175</v>
      </c>
      <c r="BD108" t="s">
        <v>176</v>
      </c>
      <c r="BE108" t="s">
        <v>130</v>
      </c>
      <c r="BG108" t="s">
        <v>538</v>
      </c>
      <c r="BH108" t="s">
        <v>132</v>
      </c>
      <c r="BJ108">
        <v>3.64</v>
      </c>
      <c r="BK108" t="s">
        <v>534</v>
      </c>
      <c r="BV108" t="s">
        <v>134</v>
      </c>
      <c r="BW108" s="16">
        <v>45386.40347222222</v>
      </c>
      <c r="BX108" t="s">
        <v>178</v>
      </c>
      <c r="BZ108">
        <v>35</v>
      </c>
      <c r="CA108" t="s">
        <v>539</v>
      </c>
      <c r="CB108">
        <v>0</v>
      </c>
      <c r="CF108" t="s">
        <v>357</v>
      </c>
      <c r="CG108">
        <v>2025</v>
      </c>
      <c r="CH108" t="s">
        <v>138</v>
      </c>
      <c r="CI108" t="s">
        <v>139</v>
      </c>
    </row>
    <row r="109" spans="1:87" x14ac:dyDescent="0.3">
      <c r="A109" t="s">
        <v>165</v>
      </c>
      <c r="B109" t="s">
        <v>116</v>
      </c>
      <c r="C109" t="s">
        <v>117</v>
      </c>
      <c r="D109" t="s">
        <v>118</v>
      </c>
      <c r="E109" t="s">
        <v>14</v>
      </c>
      <c r="F109" t="s">
        <v>166</v>
      </c>
      <c r="G109">
        <v>72</v>
      </c>
      <c r="H109">
        <v>0</v>
      </c>
      <c r="I109" s="14">
        <v>532100</v>
      </c>
      <c r="J109" s="14">
        <v>500000</v>
      </c>
      <c r="K109" t="s">
        <v>117</v>
      </c>
      <c r="L109" t="s">
        <v>118</v>
      </c>
      <c r="M109" t="s">
        <v>140</v>
      </c>
      <c r="N109" t="s">
        <v>167</v>
      </c>
      <c r="O109">
        <v>12</v>
      </c>
      <c r="P109">
        <v>0</v>
      </c>
      <c r="Q109" s="14">
        <v>45600</v>
      </c>
      <c r="R109" s="14">
        <v>45600</v>
      </c>
      <c r="S109" t="s">
        <v>117</v>
      </c>
      <c r="T109" t="s">
        <v>118</v>
      </c>
      <c r="U109" t="s">
        <v>168</v>
      </c>
      <c r="V109" t="s">
        <v>169</v>
      </c>
      <c r="W109">
        <v>4.4000000000000004</v>
      </c>
      <c r="X109">
        <v>0</v>
      </c>
      <c r="Y109" s="14">
        <v>15900</v>
      </c>
      <c r="Z109" s="14">
        <v>15900</v>
      </c>
      <c r="AG109" s="14"/>
      <c r="AH109" s="14"/>
      <c r="AI109" t="s">
        <v>170</v>
      </c>
      <c r="AJ109" t="s">
        <v>171</v>
      </c>
      <c r="AK109" t="s">
        <v>172</v>
      </c>
      <c r="AL109">
        <v>0</v>
      </c>
      <c r="AM109" t="s">
        <v>173</v>
      </c>
      <c r="AN109" t="s">
        <v>174</v>
      </c>
      <c r="AQ109" s="15">
        <v>45833</v>
      </c>
      <c r="AR109" s="15">
        <v>45834</v>
      </c>
      <c r="AS109" t="s">
        <v>227</v>
      </c>
      <c r="AT109">
        <v>3</v>
      </c>
      <c r="AU109">
        <v>21341.25</v>
      </c>
      <c r="AV109">
        <v>0</v>
      </c>
      <c r="AW109">
        <v>0</v>
      </c>
      <c r="AX109" s="14">
        <v>21341.25</v>
      </c>
      <c r="AY109" s="14">
        <v>21152.65</v>
      </c>
      <c r="AZ109" s="14">
        <v>188.6</v>
      </c>
      <c r="BA109">
        <v>0</v>
      </c>
      <c r="BB109" t="s">
        <v>22</v>
      </c>
      <c r="BC109" t="s">
        <v>175</v>
      </c>
      <c r="BD109" t="s">
        <v>176</v>
      </c>
      <c r="BE109" t="s">
        <v>130</v>
      </c>
      <c r="BG109" t="s">
        <v>540</v>
      </c>
      <c r="BH109" t="s">
        <v>132</v>
      </c>
      <c r="BJ109">
        <v>3.64</v>
      </c>
      <c r="BK109" t="s">
        <v>534</v>
      </c>
      <c r="BV109" t="s">
        <v>134</v>
      </c>
      <c r="BW109" s="16">
        <v>45386.40347222222</v>
      </c>
      <c r="BX109" t="s">
        <v>178</v>
      </c>
      <c r="BZ109">
        <v>35</v>
      </c>
      <c r="CA109" t="s">
        <v>541</v>
      </c>
      <c r="CB109">
        <v>0</v>
      </c>
      <c r="CF109" t="s">
        <v>357</v>
      </c>
      <c r="CG109">
        <v>2025</v>
      </c>
      <c r="CH109" t="s">
        <v>138</v>
      </c>
      <c r="CI109" t="s">
        <v>139</v>
      </c>
    </row>
    <row r="110" spans="1:87" x14ac:dyDescent="0.3">
      <c r="A110" t="s">
        <v>165</v>
      </c>
      <c r="B110" t="s">
        <v>116</v>
      </c>
      <c r="C110" t="s">
        <v>117</v>
      </c>
      <c r="D110" t="s">
        <v>118</v>
      </c>
      <c r="E110" t="s">
        <v>14</v>
      </c>
      <c r="F110" t="s">
        <v>166</v>
      </c>
      <c r="G110">
        <v>72</v>
      </c>
      <c r="H110">
        <v>0</v>
      </c>
      <c r="I110" s="14">
        <v>532100</v>
      </c>
      <c r="J110" s="14">
        <v>500000</v>
      </c>
      <c r="K110" t="s">
        <v>117</v>
      </c>
      <c r="L110" t="s">
        <v>118</v>
      </c>
      <c r="M110" t="s">
        <v>140</v>
      </c>
      <c r="N110" t="s">
        <v>167</v>
      </c>
      <c r="O110">
        <v>12</v>
      </c>
      <c r="P110">
        <v>0</v>
      </c>
      <c r="Q110" s="14">
        <v>45600</v>
      </c>
      <c r="R110" s="14">
        <v>45600</v>
      </c>
      <c r="S110" t="s">
        <v>117</v>
      </c>
      <c r="T110" t="s">
        <v>118</v>
      </c>
      <c r="U110" t="s">
        <v>168</v>
      </c>
      <c r="V110" t="s">
        <v>169</v>
      </c>
      <c r="W110">
        <v>4.4000000000000004</v>
      </c>
      <c r="X110">
        <v>0</v>
      </c>
      <c r="Y110" s="14">
        <v>15900</v>
      </c>
      <c r="Z110" s="14">
        <v>15900</v>
      </c>
      <c r="AG110" s="14"/>
      <c r="AH110" s="14"/>
      <c r="AI110" t="s">
        <v>170</v>
      </c>
      <c r="AJ110" t="s">
        <v>171</v>
      </c>
      <c r="AK110" t="s">
        <v>172</v>
      </c>
      <c r="AL110">
        <v>0</v>
      </c>
      <c r="AM110" t="s">
        <v>173</v>
      </c>
      <c r="AN110" t="s">
        <v>174</v>
      </c>
      <c r="AQ110" s="15">
        <v>45863</v>
      </c>
      <c r="AR110" s="15">
        <v>45862</v>
      </c>
      <c r="AS110" t="s">
        <v>227</v>
      </c>
      <c r="AT110">
        <v>4</v>
      </c>
      <c r="AU110">
        <v>21341.25</v>
      </c>
      <c r="AV110">
        <v>0</v>
      </c>
      <c r="AW110">
        <v>0</v>
      </c>
      <c r="AX110" s="14">
        <v>21341.25</v>
      </c>
      <c r="AY110" s="14">
        <v>21152.61</v>
      </c>
      <c r="AZ110" s="14">
        <v>188.64</v>
      </c>
      <c r="BA110">
        <v>0</v>
      </c>
      <c r="BB110" t="s">
        <v>22</v>
      </c>
      <c r="BC110" t="s">
        <v>175</v>
      </c>
      <c r="BD110" t="s">
        <v>176</v>
      </c>
      <c r="BE110" t="s">
        <v>130</v>
      </c>
      <c r="BG110" t="s">
        <v>542</v>
      </c>
      <c r="BH110" t="s">
        <v>132</v>
      </c>
      <c r="BJ110">
        <v>3.64</v>
      </c>
      <c r="BK110" t="s">
        <v>534</v>
      </c>
      <c r="BV110" t="s">
        <v>134</v>
      </c>
      <c r="BW110" s="16">
        <v>45386.40347222222</v>
      </c>
      <c r="BX110" t="s">
        <v>178</v>
      </c>
      <c r="BZ110">
        <v>35</v>
      </c>
      <c r="CA110" t="s">
        <v>543</v>
      </c>
      <c r="CB110">
        <v>0</v>
      </c>
      <c r="CF110" t="s">
        <v>357</v>
      </c>
      <c r="CG110">
        <v>2025</v>
      </c>
      <c r="CH110" t="s">
        <v>138</v>
      </c>
      <c r="CI110" t="s">
        <v>139</v>
      </c>
    </row>
    <row r="111" spans="1:87" x14ac:dyDescent="0.3">
      <c r="A111" t="s">
        <v>165</v>
      </c>
      <c r="B111" t="s">
        <v>116</v>
      </c>
      <c r="C111" t="s">
        <v>117</v>
      </c>
      <c r="D111" t="s">
        <v>118</v>
      </c>
      <c r="E111" t="s">
        <v>14</v>
      </c>
      <c r="F111" t="s">
        <v>166</v>
      </c>
      <c r="G111">
        <v>72</v>
      </c>
      <c r="H111">
        <v>0</v>
      </c>
      <c r="I111" s="14">
        <v>532100</v>
      </c>
      <c r="J111" s="14">
        <v>500000</v>
      </c>
      <c r="K111" t="s">
        <v>117</v>
      </c>
      <c r="L111" t="s">
        <v>118</v>
      </c>
      <c r="M111" t="s">
        <v>140</v>
      </c>
      <c r="N111" t="s">
        <v>167</v>
      </c>
      <c r="O111">
        <v>12</v>
      </c>
      <c r="P111">
        <v>0</v>
      </c>
      <c r="Q111" s="14">
        <v>45600</v>
      </c>
      <c r="R111" s="14">
        <v>45600</v>
      </c>
      <c r="S111" t="s">
        <v>117</v>
      </c>
      <c r="T111" t="s">
        <v>118</v>
      </c>
      <c r="U111" t="s">
        <v>168</v>
      </c>
      <c r="V111" t="s">
        <v>169</v>
      </c>
      <c r="W111">
        <v>4.4000000000000004</v>
      </c>
      <c r="X111">
        <v>0</v>
      </c>
      <c r="Y111" s="14">
        <v>15900</v>
      </c>
      <c r="Z111" s="14">
        <v>15900</v>
      </c>
      <c r="AG111" s="14"/>
      <c r="AH111" s="14"/>
      <c r="AI111" t="s">
        <v>170</v>
      </c>
      <c r="AJ111" t="s">
        <v>171</v>
      </c>
      <c r="AK111" t="s">
        <v>172</v>
      </c>
      <c r="AL111">
        <v>0</v>
      </c>
      <c r="AM111" t="s">
        <v>173</v>
      </c>
      <c r="AN111" t="s">
        <v>174</v>
      </c>
      <c r="AQ111" s="15">
        <v>45894</v>
      </c>
      <c r="AR111" s="15">
        <v>45895</v>
      </c>
      <c r="AS111" t="s">
        <v>227</v>
      </c>
      <c r="AT111">
        <v>5</v>
      </c>
      <c r="AU111">
        <v>21341.25</v>
      </c>
      <c r="AV111">
        <v>0</v>
      </c>
      <c r="AW111">
        <v>0</v>
      </c>
      <c r="AX111" s="14">
        <v>21341.25</v>
      </c>
      <c r="AY111" s="14">
        <v>21152.57</v>
      </c>
      <c r="AZ111" s="14">
        <v>188.68</v>
      </c>
      <c r="BA111">
        <v>0</v>
      </c>
      <c r="BB111" t="s">
        <v>22</v>
      </c>
      <c r="BC111" t="s">
        <v>175</v>
      </c>
      <c r="BD111" t="s">
        <v>176</v>
      </c>
      <c r="BE111" t="s">
        <v>130</v>
      </c>
      <c r="BG111" t="s">
        <v>544</v>
      </c>
      <c r="BH111" t="s">
        <v>132</v>
      </c>
      <c r="BJ111">
        <v>3.64</v>
      </c>
      <c r="BK111" t="s">
        <v>534</v>
      </c>
      <c r="BV111" t="s">
        <v>134</v>
      </c>
      <c r="BW111" s="16">
        <v>45386.40347222222</v>
      </c>
      <c r="BX111" t="s">
        <v>178</v>
      </c>
      <c r="BZ111">
        <v>35</v>
      </c>
      <c r="CA111" t="s">
        <v>545</v>
      </c>
      <c r="CB111">
        <v>0</v>
      </c>
      <c r="CF111" t="s">
        <v>357</v>
      </c>
      <c r="CG111">
        <v>2025</v>
      </c>
      <c r="CH111" t="s">
        <v>138</v>
      </c>
      <c r="CI111" t="s">
        <v>139</v>
      </c>
    </row>
    <row r="112" spans="1:87" x14ac:dyDescent="0.3">
      <c r="A112" t="s">
        <v>165</v>
      </c>
      <c r="B112" t="s">
        <v>116</v>
      </c>
      <c r="C112" t="s">
        <v>117</v>
      </c>
      <c r="D112" t="s">
        <v>118</v>
      </c>
      <c r="E112" t="s">
        <v>14</v>
      </c>
      <c r="F112" t="s">
        <v>166</v>
      </c>
      <c r="G112">
        <v>72</v>
      </c>
      <c r="H112">
        <v>0</v>
      </c>
      <c r="I112" s="14">
        <v>532100</v>
      </c>
      <c r="J112" s="14">
        <v>500000</v>
      </c>
      <c r="K112" t="s">
        <v>117</v>
      </c>
      <c r="L112" t="s">
        <v>118</v>
      </c>
      <c r="M112" t="s">
        <v>140</v>
      </c>
      <c r="N112" t="s">
        <v>167</v>
      </c>
      <c r="O112">
        <v>12</v>
      </c>
      <c r="P112">
        <v>0</v>
      </c>
      <c r="Q112" s="14">
        <v>45600</v>
      </c>
      <c r="R112" s="14">
        <v>45600</v>
      </c>
      <c r="S112" t="s">
        <v>117</v>
      </c>
      <c r="T112" t="s">
        <v>118</v>
      </c>
      <c r="U112" t="s">
        <v>168</v>
      </c>
      <c r="V112" t="s">
        <v>169</v>
      </c>
      <c r="W112">
        <v>4.4000000000000004</v>
      </c>
      <c r="X112">
        <v>0</v>
      </c>
      <c r="Y112" s="14">
        <v>15900</v>
      </c>
      <c r="Z112" s="14">
        <v>15900</v>
      </c>
      <c r="AG112" s="14"/>
      <c r="AH112" s="14"/>
      <c r="AI112" t="s">
        <v>170</v>
      </c>
      <c r="AJ112" t="s">
        <v>171</v>
      </c>
      <c r="AK112" t="s">
        <v>172</v>
      </c>
      <c r="AL112">
        <v>0</v>
      </c>
      <c r="AM112" t="s">
        <v>173</v>
      </c>
      <c r="AN112" t="s">
        <v>174</v>
      </c>
      <c r="AQ112" s="15">
        <v>45925</v>
      </c>
      <c r="AR112" s="15">
        <v>45926</v>
      </c>
      <c r="AS112" t="s">
        <v>227</v>
      </c>
      <c r="AT112">
        <v>6</v>
      </c>
      <c r="AU112">
        <v>21341.25</v>
      </c>
      <c r="AV112">
        <v>0</v>
      </c>
      <c r="AW112">
        <v>0</v>
      </c>
      <c r="AX112" s="14">
        <v>21341.25</v>
      </c>
      <c r="AY112" s="14">
        <v>21152.5</v>
      </c>
      <c r="AZ112" s="14">
        <v>188.75</v>
      </c>
      <c r="BA112">
        <v>0</v>
      </c>
      <c r="BB112" t="s">
        <v>22</v>
      </c>
      <c r="BC112" t="s">
        <v>175</v>
      </c>
      <c r="BD112" t="s">
        <v>176</v>
      </c>
      <c r="BE112" t="s">
        <v>130</v>
      </c>
      <c r="BG112" t="s">
        <v>546</v>
      </c>
      <c r="BH112" t="s">
        <v>132</v>
      </c>
      <c r="BJ112">
        <v>3.64</v>
      </c>
      <c r="BK112" t="s">
        <v>534</v>
      </c>
      <c r="BV112" t="s">
        <v>134</v>
      </c>
      <c r="BW112" s="16">
        <v>45386.40347222222</v>
      </c>
      <c r="BX112" t="s">
        <v>178</v>
      </c>
      <c r="BZ112">
        <v>35</v>
      </c>
      <c r="CA112" t="s">
        <v>547</v>
      </c>
      <c r="CB112">
        <v>0</v>
      </c>
      <c r="CF112" t="s">
        <v>357</v>
      </c>
      <c r="CG112">
        <v>2025</v>
      </c>
      <c r="CH112" t="s">
        <v>138</v>
      </c>
      <c r="CI112" t="s">
        <v>139</v>
      </c>
    </row>
    <row r="113" spans="1:87" x14ac:dyDescent="0.3">
      <c r="A113" t="s">
        <v>165</v>
      </c>
      <c r="B113" t="s">
        <v>116</v>
      </c>
      <c r="C113" t="s">
        <v>117</v>
      </c>
      <c r="D113" t="s">
        <v>118</v>
      </c>
      <c r="E113" t="s">
        <v>14</v>
      </c>
      <c r="F113" t="s">
        <v>166</v>
      </c>
      <c r="G113">
        <v>72</v>
      </c>
      <c r="H113">
        <v>0</v>
      </c>
      <c r="I113" s="14">
        <v>532100</v>
      </c>
      <c r="J113" s="14">
        <v>500000</v>
      </c>
      <c r="K113" t="s">
        <v>117</v>
      </c>
      <c r="L113" t="s">
        <v>118</v>
      </c>
      <c r="M113" t="s">
        <v>140</v>
      </c>
      <c r="N113" t="s">
        <v>167</v>
      </c>
      <c r="O113">
        <v>12</v>
      </c>
      <c r="P113">
        <v>0</v>
      </c>
      <c r="Q113" s="14">
        <v>45600</v>
      </c>
      <c r="R113" s="14">
        <v>45600</v>
      </c>
      <c r="S113" t="s">
        <v>117</v>
      </c>
      <c r="T113" t="s">
        <v>118</v>
      </c>
      <c r="U113" t="s">
        <v>168</v>
      </c>
      <c r="V113" t="s">
        <v>169</v>
      </c>
      <c r="W113">
        <v>4.4000000000000004</v>
      </c>
      <c r="X113">
        <v>0</v>
      </c>
      <c r="Y113" s="14">
        <v>15900</v>
      </c>
      <c r="Z113" s="14">
        <v>15900</v>
      </c>
      <c r="AG113" s="14"/>
      <c r="AH113" s="14"/>
      <c r="AI113" t="s">
        <v>170</v>
      </c>
      <c r="AJ113" t="s">
        <v>171</v>
      </c>
      <c r="AK113" t="s">
        <v>172</v>
      </c>
      <c r="AL113">
        <v>0</v>
      </c>
      <c r="AM113" t="s">
        <v>173</v>
      </c>
      <c r="AN113" t="s">
        <v>174</v>
      </c>
      <c r="AQ113" s="15">
        <v>45955</v>
      </c>
      <c r="AR113" s="15">
        <v>45957</v>
      </c>
      <c r="AS113" t="s">
        <v>227</v>
      </c>
      <c r="AT113">
        <v>7</v>
      </c>
      <c r="AU113">
        <v>21341.25</v>
      </c>
      <c r="AV113">
        <v>0</v>
      </c>
      <c r="AW113">
        <v>0</v>
      </c>
      <c r="AX113" s="14">
        <v>21341.25</v>
      </c>
      <c r="AY113" s="14">
        <v>21152.25</v>
      </c>
      <c r="AZ113" s="14">
        <v>189</v>
      </c>
      <c r="BA113">
        <v>0</v>
      </c>
      <c r="BB113" t="s">
        <v>22</v>
      </c>
      <c r="BC113" t="s">
        <v>175</v>
      </c>
      <c r="BD113" t="s">
        <v>176</v>
      </c>
      <c r="BE113" t="s">
        <v>130</v>
      </c>
      <c r="BG113" t="s">
        <v>548</v>
      </c>
      <c r="BH113" t="s">
        <v>132</v>
      </c>
      <c r="BJ113">
        <v>3.64</v>
      </c>
      <c r="BK113" t="s">
        <v>534</v>
      </c>
      <c r="BV113" t="s">
        <v>134</v>
      </c>
      <c r="BW113" s="16">
        <v>45386.40347222222</v>
      </c>
      <c r="BX113" t="s">
        <v>178</v>
      </c>
      <c r="BZ113">
        <v>35</v>
      </c>
      <c r="CA113" t="s">
        <v>549</v>
      </c>
      <c r="CB113">
        <v>0</v>
      </c>
      <c r="CF113" t="s">
        <v>357</v>
      </c>
      <c r="CG113">
        <v>2025</v>
      </c>
      <c r="CH113" t="s">
        <v>138</v>
      </c>
      <c r="CI113" t="s">
        <v>139</v>
      </c>
    </row>
    <row r="114" spans="1:87" x14ac:dyDescent="0.3">
      <c r="A114" t="s">
        <v>165</v>
      </c>
      <c r="B114" t="s">
        <v>116</v>
      </c>
      <c r="C114" t="s">
        <v>117</v>
      </c>
      <c r="D114" t="s">
        <v>118</v>
      </c>
      <c r="E114" t="s">
        <v>14</v>
      </c>
      <c r="F114" t="s">
        <v>166</v>
      </c>
      <c r="G114">
        <v>72</v>
      </c>
      <c r="H114">
        <v>0</v>
      </c>
      <c r="I114" s="14">
        <v>532100</v>
      </c>
      <c r="J114" s="14">
        <v>500000</v>
      </c>
      <c r="K114" t="s">
        <v>117</v>
      </c>
      <c r="L114" t="s">
        <v>118</v>
      </c>
      <c r="M114" t="s">
        <v>140</v>
      </c>
      <c r="N114" t="s">
        <v>167</v>
      </c>
      <c r="O114">
        <v>12</v>
      </c>
      <c r="P114">
        <v>0</v>
      </c>
      <c r="Q114" s="14">
        <v>45600</v>
      </c>
      <c r="R114" s="14">
        <v>45600</v>
      </c>
      <c r="S114" t="s">
        <v>117</v>
      </c>
      <c r="T114" t="s">
        <v>118</v>
      </c>
      <c r="U114" t="s">
        <v>168</v>
      </c>
      <c r="V114" t="s">
        <v>169</v>
      </c>
      <c r="W114">
        <v>4.4000000000000004</v>
      </c>
      <c r="X114">
        <v>0</v>
      </c>
      <c r="Y114" s="14">
        <v>15900</v>
      </c>
      <c r="Z114" s="14">
        <v>15900</v>
      </c>
      <c r="AG114" s="14"/>
      <c r="AH114" s="14"/>
      <c r="AI114" t="s">
        <v>170</v>
      </c>
      <c r="AJ114" t="s">
        <v>171</v>
      </c>
      <c r="AK114" t="s">
        <v>172</v>
      </c>
      <c r="AL114">
        <v>0</v>
      </c>
      <c r="AM114" t="s">
        <v>173</v>
      </c>
      <c r="AN114" t="s">
        <v>174</v>
      </c>
      <c r="AQ114" s="15">
        <v>45986</v>
      </c>
      <c r="AR114" s="15"/>
      <c r="AS114" t="s">
        <v>227</v>
      </c>
      <c r="AT114">
        <v>8</v>
      </c>
      <c r="AU114">
        <v>21341.25</v>
      </c>
      <c r="AV114">
        <v>0</v>
      </c>
      <c r="AW114">
        <v>0</v>
      </c>
      <c r="AX114" s="14">
        <v>21341.25</v>
      </c>
      <c r="AY114" s="14">
        <v>0</v>
      </c>
      <c r="AZ114" s="14">
        <v>21341.25</v>
      </c>
      <c r="BB114" t="s">
        <v>22</v>
      </c>
      <c r="BH114" t="s">
        <v>132</v>
      </c>
      <c r="BK114" t="s">
        <v>550</v>
      </c>
      <c r="BV114" t="s">
        <v>132</v>
      </c>
      <c r="BW114" s="16">
        <v>45386.40347222222</v>
      </c>
      <c r="BX114" t="s">
        <v>178</v>
      </c>
      <c r="BZ114">
        <v>35</v>
      </c>
      <c r="CB114">
        <v>0</v>
      </c>
      <c r="CF114" t="s">
        <v>357</v>
      </c>
      <c r="CG114">
        <v>2025</v>
      </c>
      <c r="CH114" t="s">
        <v>138</v>
      </c>
      <c r="CI114" t="s">
        <v>139</v>
      </c>
    </row>
    <row r="115" spans="1:87" x14ac:dyDescent="0.3">
      <c r="A115" t="s">
        <v>165</v>
      </c>
      <c r="B115" t="s">
        <v>116</v>
      </c>
      <c r="C115" t="s">
        <v>117</v>
      </c>
      <c r="D115" t="s">
        <v>118</v>
      </c>
      <c r="E115" t="s">
        <v>14</v>
      </c>
      <c r="F115" t="s">
        <v>166</v>
      </c>
      <c r="G115">
        <v>72</v>
      </c>
      <c r="H115">
        <v>0</v>
      </c>
      <c r="I115" s="14">
        <v>532100</v>
      </c>
      <c r="J115" s="14">
        <v>500000</v>
      </c>
      <c r="K115" t="s">
        <v>117</v>
      </c>
      <c r="L115" t="s">
        <v>118</v>
      </c>
      <c r="M115" t="s">
        <v>140</v>
      </c>
      <c r="N115" t="s">
        <v>167</v>
      </c>
      <c r="O115">
        <v>12</v>
      </c>
      <c r="P115">
        <v>0</v>
      </c>
      <c r="Q115" s="14">
        <v>45600</v>
      </c>
      <c r="R115" s="14">
        <v>45600</v>
      </c>
      <c r="S115" t="s">
        <v>117</v>
      </c>
      <c r="T115" t="s">
        <v>118</v>
      </c>
      <c r="U115" t="s">
        <v>168</v>
      </c>
      <c r="V115" t="s">
        <v>169</v>
      </c>
      <c r="W115">
        <v>4.4000000000000004</v>
      </c>
      <c r="X115">
        <v>0</v>
      </c>
      <c r="Y115" s="14">
        <v>15900</v>
      </c>
      <c r="Z115" s="14">
        <v>15900</v>
      </c>
      <c r="AG115" s="14"/>
      <c r="AH115" s="14"/>
      <c r="AI115" t="s">
        <v>170</v>
      </c>
      <c r="AJ115" t="s">
        <v>171</v>
      </c>
      <c r="AK115" t="s">
        <v>172</v>
      </c>
      <c r="AL115">
        <v>0</v>
      </c>
      <c r="AM115" t="s">
        <v>173</v>
      </c>
      <c r="AN115" t="s">
        <v>174</v>
      </c>
      <c r="AQ115" s="15">
        <v>46016</v>
      </c>
      <c r="AR115" s="15"/>
      <c r="AS115" t="s">
        <v>227</v>
      </c>
      <c r="AT115">
        <v>9</v>
      </c>
      <c r="AU115">
        <v>21341.25</v>
      </c>
      <c r="AV115">
        <v>0</v>
      </c>
      <c r="AW115">
        <v>0</v>
      </c>
      <c r="AX115" s="14">
        <v>21341.25</v>
      </c>
      <c r="AY115" s="14">
        <v>0</v>
      </c>
      <c r="AZ115" s="14">
        <v>21341.25</v>
      </c>
      <c r="BB115" t="s">
        <v>22</v>
      </c>
      <c r="BH115" t="s">
        <v>132</v>
      </c>
      <c r="BK115" t="s">
        <v>550</v>
      </c>
      <c r="BV115" t="s">
        <v>132</v>
      </c>
      <c r="BW115" s="16">
        <v>45386.40347222222</v>
      </c>
      <c r="BX115" t="s">
        <v>178</v>
      </c>
      <c r="BZ115">
        <v>35</v>
      </c>
      <c r="CB115">
        <v>0</v>
      </c>
      <c r="CF115" t="s">
        <v>357</v>
      </c>
      <c r="CG115">
        <v>2025</v>
      </c>
      <c r="CH115" t="s">
        <v>138</v>
      </c>
      <c r="CI115" t="s">
        <v>139</v>
      </c>
    </row>
    <row r="116" spans="1:87" x14ac:dyDescent="0.3">
      <c r="A116" t="s">
        <v>115</v>
      </c>
      <c r="B116" t="s">
        <v>116</v>
      </c>
      <c r="C116" t="s">
        <v>117</v>
      </c>
      <c r="D116" t="s">
        <v>118</v>
      </c>
      <c r="E116" t="s">
        <v>14</v>
      </c>
      <c r="F116" t="s">
        <v>180</v>
      </c>
      <c r="G116">
        <v>88.27</v>
      </c>
      <c r="H116">
        <v>0</v>
      </c>
      <c r="I116" s="14">
        <v>654000</v>
      </c>
      <c r="J116" s="14">
        <v>654000</v>
      </c>
      <c r="K116" t="s">
        <v>117</v>
      </c>
      <c r="L116" t="s">
        <v>118</v>
      </c>
      <c r="M116" t="s">
        <v>140</v>
      </c>
      <c r="N116" t="s">
        <v>181</v>
      </c>
      <c r="O116">
        <v>15.9</v>
      </c>
      <c r="P116">
        <v>2.2599999999999998</v>
      </c>
      <c r="Q116" s="14">
        <v>57500</v>
      </c>
      <c r="R116" s="14">
        <v>57500</v>
      </c>
      <c r="Y116" s="14"/>
      <c r="Z116" s="14"/>
      <c r="AG116" s="14"/>
      <c r="AH116" s="14"/>
      <c r="AI116" t="s">
        <v>182</v>
      </c>
      <c r="AJ116" t="s">
        <v>183</v>
      </c>
      <c r="AK116" t="s">
        <v>184</v>
      </c>
      <c r="AL116">
        <v>991846561</v>
      </c>
      <c r="AM116" t="s">
        <v>185</v>
      </c>
      <c r="AN116" t="s">
        <v>186</v>
      </c>
      <c r="AO116" t="s">
        <v>125</v>
      </c>
      <c r="AP116" t="s">
        <v>187</v>
      </c>
      <c r="AQ116" s="15">
        <v>45687</v>
      </c>
      <c r="AR116" s="15">
        <v>45687</v>
      </c>
      <c r="AS116" t="s">
        <v>145</v>
      </c>
      <c r="AT116">
        <v>1</v>
      </c>
      <c r="AU116">
        <v>291500</v>
      </c>
      <c r="AV116">
        <v>0</v>
      </c>
      <c r="AW116">
        <v>0</v>
      </c>
      <c r="AX116" s="14">
        <v>291500</v>
      </c>
      <c r="AY116" s="14">
        <v>291500</v>
      </c>
      <c r="AZ116" s="14">
        <v>0</v>
      </c>
      <c r="BA116">
        <v>0</v>
      </c>
      <c r="BB116" t="s">
        <v>23</v>
      </c>
      <c r="BC116" t="s">
        <v>128</v>
      </c>
      <c r="BD116" t="s">
        <v>129</v>
      </c>
      <c r="BE116" t="s">
        <v>130</v>
      </c>
      <c r="BF116" t="s">
        <v>183</v>
      </c>
      <c r="BG116" t="s">
        <v>551</v>
      </c>
      <c r="BH116" t="s">
        <v>132</v>
      </c>
      <c r="BI116" t="s">
        <v>154</v>
      </c>
      <c r="BJ116">
        <v>4</v>
      </c>
      <c r="BK116" t="s">
        <v>133</v>
      </c>
      <c r="BV116" t="s">
        <v>134</v>
      </c>
      <c r="BW116" s="16">
        <v>45687.617361111108</v>
      </c>
      <c r="BX116" t="s">
        <v>178</v>
      </c>
      <c r="BZ116">
        <v>38</v>
      </c>
      <c r="CA116" t="s">
        <v>552</v>
      </c>
      <c r="CB116">
        <v>0</v>
      </c>
      <c r="CF116" t="s">
        <v>357</v>
      </c>
      <c r="CG116">
        <v>2025</v>
      </c>
      <c r="CH116" t="s">
        <v>138</v>
      </c>
      <c r="CI116" t="s">
        <v>139</v>
      </c>
    </row>
    <row r="117" spans="1:87" x14ac:dyDescent="0.3">
      <c r="A117" t="s">
        <v>115</v>
      </c>
      <c r="B117" t="s">
        <v>116</v>
      </c>
      <c r="C117" t="s">
        <v>117</v>
      </c>
      <c r="D117" t="s">
        <v>118</v>
      </c>
      <c r="E117" t="s">
        <v>14</v>
      </c>
      <c r="F117" t="s">
        <v>180</v>
      </c>
      <c r="G117">
        <v>88.27</v>
      </c>
      <c r="H117">
        <v>0</v>
      </c>
      <c r="I117" s="14">
        <v>654000</v>
      </c>
      <c r="J117" s="14">
        <v>654000</v>
      </c>
      <c r="K117" t="s">
        <v>117</v>
      </c>
      <c r="L117" t="s">
        <v>118</v>
      </c>
      <c r="M117" t="s">
        <v>140</v>
      </c>
      <c r="N117" t="s">
        <v>181</v>
      </c>
      <c r="O117">
        <v>15.9</v>
      </c>
      <c r="P117">
        <v>2.2599999999999998</v>
      </c>
      <c r="Q117" s="14">
        <v>57500</v>
      </c>
      <c r="R117" s="14">
        <v>57500</v>
      </c>
      <c r="Y117" s="14"/>
      <c r="Z117" s="14"/>
      <c r="AG117" s="14"/>
      <c r="AH117" s="14"/>
      <c r="AI117" t="s">
        <v>182</v>
      </c>
      <c r="AJ117" t="s">
        <v>183</v>
      </c>
      <c r="AK117" t="s">
        <v>184</v>
      </c>
      <c r="AL117">
        <v>991846561</v>
      </c>
      <c r="AM117" t="s">
        <v>185</v>
      </c>
      <c r="AN117" t="s">
        <v>186</v>
      </c>
      <c r="AO117" t="s">
        <v>125</v>
      </c>
      <c r="AP117" t="s">
        <v>187</v>
      </c>
      <c r="AQ117" s="15">
        <v>45716</v>
      </c>
      <c r="AR117" s="15">
        <v>45712</v>
      </c>
      <c r="AS117" t="s">
        <v>227</v>
      </c>
      <c r="AT117">
        <v>1</v>
      </c>
      <c r="AU117">
        <v>34750</v>
      </c>
      <c r="AV117">
        <v>0</v>
      </c>
      <c r="AW117">
        <v>0</v>
      </c>
      <c r="AX117" s="14">
        <v>34750</v>
      </c>
      <c r="AY117" s="14">
        <v>34750</v>
      </c>
      <c r="AZ117" s="14">
        <v>0</v>
      </c>
      <c r="BA117">
        <v>0</v>
      </c>
      <c r="BB117" t="s">
        <v>23</v>
      </c>
      <c r="BC117" t="s">
        <v>128</v>
      </c>
      <c r="BD117" t="s">
        <v>129</v>
      </c>
      <c r="BE117" t="s">
        <v>130</v>
      </c>
      <c r="BF117" t="s">
        <v>183</v>
      </c>
      <c r="BG117" t="s">
        <v>553</v>
      </c>
      <c r="BH117" t="s">
        <v>132</v>
      </c>
      <c r="BI117" t="s">
        <v>154</v>
      </c>
      <c r="BJ117">
        <v>4</v>
      </c>
      <c r="BK117" t="s">
        <v>133</v>
      </c>
      <c r="BV117" t="s">
        <v>134</v>
      </c>
      <c r="BW117" s="16">
        <v>45687.617361111108</v>
      </c>
      <c r="BX117" t="s">
        <v>178</v>
      </c>
      <c r="BZ117">
        <v>38</v>
      </c>
      <c r="CA117" t="s">
        <v>554</v>
      </c>
      <c r="CB117">
        <v>0</v>
      </c>
      <c r="CF117" t="s">
        <v>357</v>
      </c>
      <c r="CG117">
        <v>2025</v>
      </c>
      <c r="CH117" t="s">
        <v>138</v>
      </c>
      <c r="CI117" t="s">
        <v>139</v>
      </c>
    </row>
    <row r="118" spans="1:87" x14ac:dyDescent="0.3">
      <c r="A118" t="s">
        <v>115</v>
      </c>
      <c r="B118" t="s">
        <v>116</v>
      </c>
      <c r="C118" t="s">
        <v>117</v>
      </c>
      <c r="D118" t="s">
        <v>118</v>
      </c>
      <c r="E118" t="s">
        <v>14</v>
      </c>
      <c r="F118" t="s">
        <v>180</v>
      </c>
      <c r="G118">
        <v>88.27</v>
      </c>
      <c r="H118">
        <v>0</v>
      </c>
      <c r="I118" s="14">
        <v>654000</v>
      </c>
      <c r="J118" s="14">
        <v>654000</v>
      </c>
      <c r="K118" t="s">
        <v>117</v>
      </c>
      <c r="L118" t="s">
        <v>118</v>
      </c>
      <c r="M118" t="s">
        <v>140</v>
      </c>
      <c r="N118" t="s">
        <v>181</v>
      </c>
      <c r="O118">
        <v>15.9</v>
      </c>
      <c r="P118">
        <v>2.2599999999999998</v>
      </c>
      <c r="Q118" s="14">
        <v>57500</v>
      </c>
      <c r="R118" s="14">
        <v>57500</v>
      </c>
      <c r="Y118" s="14"/>
      <c r="Z118" s="14"/>
      <c r="AG118" s="14"/>
      <c r="AH118" s="14"/>
      <c r="AI118" t="s">
        <v>182</v>
      </c>
      <c r="AJ118" t="s">
        <v>183</v>
      </c>
      <c r="AK118" t="s">
        <v>184</v>
      </c>
      <c r="AL118">
        <v>991846561</v>
      </c>
      <c r="AM118" t="s">
        <v>185</v>
      </c>
      <c r="AN118" t="s">
        <v>186</v>
      </c>
      <c r="AO118" t="s">
        <v>125</v>
      </c>
      <c r="AP118" t="s">
        <v>187</v>
      </c>
      <c r="AQ118" s="15">
        <v>45746</v>
      </c>
      <c r="AR118" s="15">
        <v>45743</v>
      </c>
      <c r="AS118" t="s">
        <v>227</v>
      </c>
      <c r="AT118">
        <v>2</v>
      </c>
      <c r="AU118">
        <v>34750</v>
      </c>
      <c r="AV118">
        <v>0</v>
      </c>
      <c r="AW118">
        <v>0</v>
      </c>
      <c r="AX118" s="14">
        <v>34750</v>
      </c>
      <c r="AY118" s="14">
        <v>34750</v>
      </c>
      <c r="AZ118" s="14">
        <v>0</v>
      </c>
      <c r="BA118">
        <v>0</v>
      </c>
      <c r="BB118" t="s">
        <v>23</v>
      </c>
      <c r="BC118" t="s">
        <v>128</v>
      </c>
      <c r="BD118" t="s">
        <v>129</v>
      </c>
      <c r="BE118" t="s">
        <v>130</v>
      </c>
      <c r="BF118" t="s">
        <v>183</v>
      </c>
      <c r="BG118" t="s">
        <v>555</v>
      </c>
      <c r="BH118" t="s">
        <v>132</v>
      </c>
      <c r="BI118" t="s">
        <v>154</v>
      </c>
      <c r="BJ118">
        <v>4</v>
      </c>
      <c r="BK118" t="s">
        <v>133</v>
      </c>
      <c r="BV118" t="s">
        <v>134</v>
      </c>
      <c r="BW118" s="16">
        <v>45687.617361111108</v>
      </c>
      <c r="BX118" t="s">
        <v>178</v>
      </c>
      <c r="BZ118">
        <v>38</v>
      </c>
      <c r="CA118" t="s">
        <v>556</v>
      </c>
      <c r="CB118">
        <v>0</v>
      </c>
      <c r="CF118" t="s">
        <v>357</v>
      </c>
      <c r="CG118">
        <v>2025</v>
      </c>
      <c r="CH118" t="s">
        <v>138</v>
      </c>
      <c r="CI118" t="s">
        <v>139</v>
      </c>
    </row>
    <row r="119" spans="1:87" x14ac:dyDescent="0.3">
      <c r="A119" t="s">
        <v>115</v>
      </c>
      <c r="B119" t="s">
        <v>116</v>
      </c>
      <c r="C119" t="s">
        <v>117</v>
      </c>
      <c r="D119" t="s">
        <v>118</v>
      </c>
      <c r="E119" t="s">
        <v>14</v>
      </c>
      <c r="F119" t="s">
        <v>180</v>
      </c>
      <c r="G119">
        <v>88.27</v>
      </c>
      <c r="H119">
        <v>0</v>
      </c>
      <c r="I119" s="14">
        <v>654000</v>
      </c>
      <c r="J119" s="14">
        <v>654000</v>
      </c>
      <c r="K119" t="s">
        <v>117</v>
      </c>
      <c r="L119" t="s">
        <v>118</v>
      </c>
      <c r="M119" t="s">
        <v>140</v>
      </c>
      <c r="N119" t="s">
        <v>181</v>
      </c>
      <c r="O119">
        <v>15.9</v>
      </c>
      <c r="P119">
        <v>2.2599999999999998</v>
      </c>
      <c r="Q119" s="14">
        <v>57500</v>
      </c>
      <c r="R119" s="14">
        <v>57500</v>
      </c>
      <c r="Y119" s="14"/>
      <c r="Z119" s="14"/>
      <c r="AG119" s="14"/>
      <c r="AH119" s="14"/>
      <c r="AI119" t="s">
        <v>182</v>
      </c>
      <c r="AJ119" t="s">
        <v>183</v>
      </c>
      <c r="AK119" t="s">
        <v>184</v>
      </c>
      <c r="AL119">
        <v>991846561</v>
      </c>
      <c r="AM119" t="s">
        <v>185</v>
      </c>
      <c r="AN119" t="s">
        <v>186</v>
      </c>
      <c r="AO119" t="s">
        <v>125</v>
      </c>
      <c r="AP119" t="s">
        <v>187</v>
      </c>
      <c r="AQ119" s="15">
        <v>45777</v>
      </c>
      <c r="AR119" s="15">
        <v>45771</v>
      </c>
      <c r="AS119" t="s">
        <v>227</v>
      </c>
      <c r="AT119">
        <v>3</v>
      </c>
      <c r="AU119">
        <v>34750</v>
      </c>
      <c r="AV119">
        <v>0</v>
      </c>
      <c r="AW119">
        <v>0</v>
      </c>
      <c r="AX119" s="14">
        <v>34750</v>
      </c>
      <c r="AY119" s="14">
        <v>34750</v>
      </c>
      <c r="AZ119" s="14">
        <v>0</v>
      </c>
      <c r="BA119">
        <v>0</v>
      </c>
      <c r="BB119" t="s">
        <v>23</v>
      </c>
      <c r="BC119" t="s">
        <v>128</v>
      </c>
      <c r="BD119" t="s">
        <v>129</v>
      </c>
      <c r="BE119" t="s">
        <v>130</v>
      </c>
      <c r="BF119" t="s">
        <v>183</v>
      </c>
      <c r="BG119" t="s">
        <v>557</v>
      </c>
      <c r="BH119" t="s">
        <v>132</v>
      </c>
      <c r="BI119" t="s">
        <v>154</v>
      </c>
      <c r="BJ119">
        <v>4</v>
      </c>
      <c r="BK119" t="s">
        <v>133</v>
      </c>
      <c r="BV119" t="s">
        <v>134</v>
      </c>
      <c r="BW119" s="16">
        <v>45687.617361111108</v>
      </c>
      <c r="BX119" t="s">
        <v>178</v>
      </c>
      <c r="BZ119">
        <v>38</v>
      </c>
      <c r="CA119" t="s">
        <v>558</v>
      </c>
      <c r="CB119">
        <v>0</v>
      </c>
      <c r="CF119" t="s">
        <v>357</v>
      </c>
      <c r="CG119">
        <v>2025</v>
      </c>
      <c r="CH119" t="s">
        <v>138</v>
      </c>
      <c r="CI119" t="s">
        <v>139</v>
      </c>
    </row>
    <row r="120" spans="1:87" x14ac:dyDescent="0.3">
      <c r="A120" t="s">
        <v>115</v>
      </c>
      <c r="B120" t="s">
        <v>116</v>
      </c>
      <c r="C120" t="s">
        <v>117</v>
      </c>
      <c r="D120" t="s">
        <v>118</v>
      </c>
      <c r="E120" t="s">
        <v>14</v>
      </c>
      <c r="F120" t="s">
        <v>180</v>
      </c>
      <c r="G120">
        <v>88.27</v>
      </c>
      <c r="H120">
        <v>0</v>
      </c>
      <c r="I120" s="14">
        <v>654000</v>
      </c>
      <c r="J120" s="14">
        <v>654000</v>
      </c>
      <c r="K120" t="s">
        <v>117</v>
      </c>
      <c r="L120" t="s">
        <v>118</v>
      </c>
      <c r="M120" t="s">
        <v>140</v>
      </c>
      <c r="N120" t="s">
        <v>181</v>
      </c>
      <c r="O120">
        <v>15.9</v>
      </c>
      <c r="P120">
        <v>2.2599999999999998</v>
      </c>
      <c r="Q120" s="14">
        <v>57500</v>
      </c>
      <c r="R120" s="14">
        <v>57500</v>
      </c>
      <c r="Y120" s="14"/>
      <c r="Z120" s="14"/>
      <c r="AG120" s="14"/>
      <c r="AH120" s="14"/>
      <c r="AI120" t="s">
        <v>182</v>
      </c>
      <c r="AJ120" t="s">
        <v>183</v>
      </c>
      <c r="AK120" t="s">
        <v>184</v>
      </c>
      <c r="AL120">
        <v>991846561</v>
      </c>
      <c r="AM120" t="s">
        <v>185</v>
      </c>
      <c r="AN120" t="s">
        <v>186</v>
      </c>
      <c r="AO120" t="s">
        <v>125</v>
      </c>
      <c r="AP120" t="s">
        <v>187</v>
      </c>
      <c r="AQ120" s="15">
        <v>45807</v>
      </c>
      <c r="AR120" s="15">
        <v>45799</v>
      </c>
      <c r="AS120" t="s">
        <v>227</v>
      </c>
      <c r="AT120">
        <v>4</v>
      </c>
      <c r="AU120">
        <v>34750</v>
      </c>
      <c r="AV120">
        <v>0</v>
      </c>
      <c r="AW120">
        <v>0</v>
      </c>
      <c r="AX120" s="14">
        <v>34750</v>
      </c>
      <c r="AY120" s="14">
        <v>34750</v>
      </c>
      <c r="AZ120" s="14">
        <v>0</v>
      </c>
      <c r="BA120">
        <v>0</v>
      </c>
      <c r="BB120" t="s">
        <v>23</v>
      </c>
      <c r="BC120" t="s">
        <v>128</v>
      </c>
      <c r="BD120" t="s">
        <v>129</v>
      </c>
      <c r="BE120" t="s">
        <v>130</v>
      </c>
      <c r="BF120" t="s">
        <v>183</v>
      </c>
      <c r="BG120" t="s">
        <v>557</v>
      </c>
      <c r="BH120" t="s">
        <v>132</v>
      </c>
      <c r="BI120" t="s">
        <v>154</v>
      </c>
      <c r="BJ120">
        <v>4</v>
      </c>
      <c r="BK120" t="s">
        <v>133</v>
      </c>
      <c r="BV120" t="s">
        <v>134</v>
      </c>
      <c r="BW120" s="16">
        <v>45687.617361111108</v>
      </c>
      <c r="BX120" t="s">
        <v>178</v>
      </c>
      <c r="BZ120">
        <v>38</v>
      </c>
      <c r="CA120" t="s">
        <v>559</v>
      </c>
      <c r="CB120">
        <v>0</v>
      </c>
      <c r="CF120" t="s">
        <v>357</v>
      </c>
      <c r="CG120">
        <v>2025</v>
      </c>
      <c r="CH120" t="s">
        <v>138</v>
      </c>
      <c r="CI120" t="s">
        <v>139</v>
      </c>
    </row>
    <row r="121" spans="1:87" x14ac:dyDescent="0.3">
      <c r="A121" t="s">
        <v>115</v>
      </c>
      <c r="B121" t="s">
        <v>116</v>
      </c>
      <c r="C121" t="s">
        <v>117</v>
      </c>
      <c r="D121" t="s">
        <v>118</v>
      </c>
      <c r="E121" t="s">
        <v>14</v>
      </c>
      <c r="F121" t="s">
        <v>180</v>
      </c>
      <c r="G121">
        <v>88.27</v>
      </c>
      <c r="H121">
        <v>0</v>
      </c>
      <c r="I121" s="14">
        <v>654000</v>
      </c>
      <c r="J121" s="14">
        <v>654000</v>
      </c>
      <c r="K121" t="s">
        <v>117</v>
      </c>
      <c r="L121" t="s">
        <v>118</v>
      </c>
      <c r="M121" t="s">
        <v>140</v>
      </c>
      <c r="N121" t="s">
        <v>181</v>
      </c>
      <c r="O121">
        <v>15.9</v>
      </c>
      <c r="P121">
        <v>2.2599999999999998</v>
      </c>
      <c r="Q121" s="14">
        <v>57500</v>
      </c>
      <c r="R121" s="14">
        <v>57500</v>
      </c>
      <c r="Y121" s="14"/>
      <c r="Z121" s="14"/>
      <c r="AG121" s="14"/>
      <c r="AH121" s="14"/>
      <c r="AI121" t="s">
        <v>182</v>
      </c>
      <c r="AJ121" t="s">
        <v>183</v>
      </c>
      <c r="AK121" t="s">
        <v>184</v>
      </c>
      <c r="AL121">
        <v>991846561</v>
      </c>
      <c r="AM121" t="s">
        <v>185</v>
      </c>
      <c r="AN121" t="s">
        <v>186</v>
      </c>
      <c r="AO121" t="s">
        <v>125</v>
      </c>
      <c r="AP121" t="s">
        <v>187</v>
      </c>
      <c r="AQ121" s="15">
        <v>45838</v>
      </c>
      <c r="AR121" s="15">
        <v>45804</v>
      </c>
      <c r="AS121" t="s">
        <v>227</v>
      </c>
      <c r="AT121">
        <v>5</v>
      </c>
      <c r="AU121">
        <v>34750</v>
      </c>
      <c r="AV121">
        <v>0</v>
      </c>
      <c r="AW121">
        <v>0</v>
      </c>
      <c r="AX121" s="14">
        <v>34750</v>
      </c>
      <c r="AY121" s="14">
        <v>34750</v>
      </c>
      <c r="AZ121" s="14">
        <v>0</v>
      </c>
      <c r="BA121">
        <v>0</v>
      </c>
      <c r="BB121" t="s">
        <v>23</v>
      </c>
      <c r="BC121" t="s">
        <v>128</v>
      </c>
      <c r="BD121" t="s">
        <v>129</v>
      </c>
      <c r="BE121" t="s">
        <v>130</v>
      </c>
      <c r="BF121" t="s">
        <v>183</v>
      </c>
      <c r="BH121" t="s">
        <v>132</v>
      </c>
      <c r="BI121" t="s">
        <v>154</v>
      </c>
      <c r="BJ121">
        <v>4</v>
      </c>
      <c r="BK121" t="s">
        <v>133</v>
      </c>
      <c r="BV121" t="s">
        <v>134</v>
      </c>
      <c r="BW121" s="16">
        <v>45687.617361111108</v>
      </c>
      <c r="BX121" t="s">
        <v>178</v>
      </c>
      <c r="BZ121">
        <v>38</v>
      </c>
      <c r="CA121" t="s">
        <v>560</v>
      </c>
      <c r="CB121">
        <v>0</v>
      </c>
      <c r="CF121" t="s">
        <v>357</v>
      </c>
      <c r="CG121">
        <v>2025</v>
      </c>
      <c r="CH121" t="s">
        <v>138</v>
      </c>
      <c r="CI121" t="s">
        <v>139</v>
      </c>
    </row>
    <row r="122" spans="1:87" x14ac:dyDescent="0.3">
      <c r="A122" t="s">
        <v>115</v>
      </c>
      <c r="B122" t="s">
        <v>116</v>
      </c>
      <c r="C122" t="s">
        <v>117</v>
      </c>
      <c r="D122" t="s">
        <v>118</v>
      </c>
      <c r="E122" t="s">
        <v>14</v>
      </c>
      <c r="F122" t="s">
        <v>180</v>
      </c>
      <c r="G122">
        <v>88.27</v>
      </c>
      <c r="H122">
        <v>0</v>
      </c>
      <c r="I122" s="14">
        <v>654000</v>
      </c>
      <c r="J122" s="14">
        <v>654000</v>
      </c>
      <c r="K122" t="s">
        <v>117</v>
      </c>
      <c r="L122" t="s">
        <v>118</v>
      </c>
      <c r="M122" t="s">
        <v>140</v>
      </c>
      <c r="N122" t="s">
        <v>181</v>
      </c>
      <c r="O122">
        <v>15.9</v>
      </c>
      <c r="P122">
        <v>2.2599999999999998</v>
      </c>
      <c r="Q122" s="14">
        <v>57500</v>
      </c>
      <c r="R122" s="14">
        <v>57500</v>
      </c>
      <c r="Y122" s="14"/>
      <c r="Z122" s="14"/>
      <c r="AG122" s="14"/>
      <c r="AH122" s="14"/>
      <c r="AI122" t="s">
        <v>182</v>
      </c>
      <c r="AJ122" t="s">
        <v>183</v>
      </c>
      <c r="AK122" t="s">
        <v>184</v>
      </c>
      <c r="AL122">
        <v>991846561</v>
      </c>
      <c r="AM122" t="s">
        <v>185</v>
      </c>
      <c r="AN122" t="s">
        <v>186</v>
      </c>
      <c r="AO122" t="s">
        <v>125</v>
      </c>
      <c r="AP122" t="s">
        <v>187</v>
      </c>
      <c r="AQ122" s="15">
        <v>45868</v>
      </c>
      <c r="AR122" s="15">
        <v>45862</v>
      </c>
      <c r="AS122" t="s">
        <v>227</v>
      </c>
      <c r="AT122">
        <v>6</v>
      </c>
      <c r="AU122">
        <v>34750</v>
      </c>
      <c r="AV122">
        <v>0</v>
      </c>
      <c r="AW122">
        <v>0</v>
      </c>
      <c r="AX122" s="14">
        <v>34750</v>
      </c>
      <c r="AY122" s="14">
        <v>34750</v>
      </c>
      <c r="AZ122" s="14">
        <v>0</v>
      </c>
      <c r="BA122">
        <v>0</v>
      </c>
      <c r="BB122" t="s">
        <v>23</v>
      </c>
      <c r="BC122" t="s">
        <v>128</v>
      </c>
      <c r="BD122" t="s">
        <v>129</v>
      </c>
      <c r="BE122" t="s">
        <v>130</v>
      </c>
      <c r="BG122" t="s">
        <v>561</v>
      </c>
      <c r="BH122" t="s">
        <v>132</v>
      </c>
      <c r="BJ122">
        <v>4</v>
      </c>
      <c r="BK122" t="s">
        <v>133</v>
      </c>
      <c r="BV122" t="s">
        <v>134</v>
      </c>
      <c r="BW122" s="16">
        <v>45687.617361111108</v>
      </c>
      <c r="BX122" t="s">
        <v>178</v>
      </c>
      <c r="BZ122">
        <v>38</v>
      </c>
      <c r="CA122" t="s">
        <v>562</v>
      </c>
      <c r="CB122">
        <v>0</v>
      </c>
      <c r="CF122" t="s">
        <v>357</v>
      </c>
      <c r="CG122">
        <v>2025</v>
      </c>
      <c r="CH122" t="s">
        <v>138</v>
      </c>
      <c r="CI122" t="s">
        <v>139</v>
      </c>
    </row>
    <row r="123" spans="1:87" x14ac:dyDescent="0.3">
      <c r="A123" t="s">
        <v>115</v>
      </c>
      <c r="B123" t="s">
        <v>116</v>
      </c>
      <c r="C123" t="s">
        <v>117</v>
      </c>
      <c r="D123" t="s">
        <v>118</v>
      </c>
      <c r="E123" t="s">
        <v>14</v>
      </c>
      <c r="F123" t="s">
        <v>180</v>
      </c>
      <c r="G123">
        <v>88.27</v>
      </c>
      <c r="H123">
        <v>0</v>
      </c>
      <c r="I123" s="14">
        <v>654000</v>
      </c>
      <c r="J123" s="14">
        <v>654000</v>
      </c>
      <c r="K123" t="s">
        <v>117</v>
      </c>
      <c r="L123" t="s">
        <v>118</v>
      </c>
      <c r="M123" t="s">
        <v>140</v>
      </c>
      <c r="N123" t="s">
        <v>181</v>
      </c>
      <c r="O123">
        <v>15.9</v>
      </c>
      <c r="P123">
        <v>2.2599999999999998</v>
      </c>
      <c r="Q123" s="14">
        <v>57500</v>
      </c>
      <c r="R123" s="14">
        <v>57500</v>
      </c>
      <c r="Y123" s="14"/>
      <c r="Z123" s="14"/>
      <c r="AG123" s="14"/>
      <c r="AH123" s="14"/>
      <c r="AI123" t="s">
        <v>182</v>
      </c>
      <c r="AJ123" t="s">
        <v>183</v>
      </c>
      <c r="AK123" t="s">
        <v>184</v>
      </c>
      <c r="AL123">
        <v>991846561</v>
      </c>
      <c r="AM123" t="s">
        <v>185</v>
      </c>
      <c r="AN123" t="s">
        <v>186</v>
      </c>
      <c r="AO123" t="s">
        <v>125</v>
      </c>
      <c r="AP123" t="s">
        <v>187</v>
      </c>
      <c r="AQ123" s="15">
        <v>45899</v>
      </c>
      <c r="AR123" s="15">
        <v>45895</v>
      </c>
      <c r="AS123" t="s">
        <v>227</v>
      </c>
      <c r="AT123">
        <v>7</v>
      </c>
      <c r="AU123">
        <v>34750</v>
      </c>
      <c r="AV123">
        <v>0</v>
      </c>
      <c r="AW123">
        <v>0</v>
      </c>
      <c r="AX123" s="14">
        <v>34750</v>
      </c>
      <c r="AY123" s="14">
        <v>34750</v>
      </c>
      <c r="AZ123" s="14">
        <v>0</v>
      </c>
      <c r="BA123">
        <v>0</v>
      </c>
      <c r="BB123" t="s">
        <v>23</v>
      </c>
      <c r="BC123" t="s">
        <v>128</v>
      </c>
      <c r="BD123" t="s">
        <v>129</v>
      </c>
      <c r="BE123" t="s">
        <v>130</v>
      </c>
      <c r="BG123" t="s">
        <v>563</v>
      </c>
      <c r="BH123" t="s">
        <v>132</v>
      </c>
      <c r="BJ123">
        <v>4</v>
      </c>
      <c r="BK123" t="s">
        <v>133</v>
      </c>
      <c r="BV123" t="s">
        <v>134</v>
      </c>
      <c r="BW123" s="16">
        <v>45687.617361111108</v>
      </c>
      <c r="BX123" t="s">
        <v>178</v>
      </c>
      <c r="BZ123">
        <v>38</v>
      </c>
      <c r="CA123" t="s">
        <v>564</v>
      </c>
      <c r="CB123">
        <v>0</v>
      </c>
      <c r="CF123" t="s">
        <v>357</v>
      </c>
      <c r="CG123">
        <v>2025</v>
      </c>
      <c r="CH123" t="s">
        <v>138</v>
      </c>
      <c r="CI123" t="s">
        <v>139</v>
      </c>
    </row>
    <row r="124" spans="1:87" x14ac:dyDescent="0.3">
      <c r="A124" t="s">
        <v>115</v>
      </c>
      <c r="B124" t="s">
        <v>116</v>
      </c>
      <c r="C124" t="s">
        <v>117</v>
      </c>
      <c r="D124" t="s">
        <v>118</v>
      </c>
      <c r="E124" t="s">
        <v>14</v>
      </c>
      <c r="F124" t="s">
        <v>180</v>
      </c>
      <c r="G124">
        <v>88.27</v>
      </c>
      <c r="H124">
        <v>0</v>
      </c>
      <c r="I124" s="14">
        <v>654000</v>
      </c>
      <c r="J124" s="14">
        <v>654000</v>
      </c>
      <c r="K124" t="s">
        <v>117</v>
      </c>
      <c r="L124" t="s">
        <v>118</v>
      </c>
      <c r="M124" t="s">
        <v>140</v>
      </c>
      <c r="N124" t="s">
        <v>181</v>
      </c>
      <c r="O124">
        <v>15.9</v>
      </c>
      <c r="P124">
        <v>2.2599999999999998</v>
      </c>
      <c r="Q124" s="14">
        <v>57500</v>
      </c>
      <c r="R124" s="14">
        <v>57500</v>
      </c>
      <c r="Y124" s="14"/>
      <c r="Z124" s="14"/>
      <c r="AG124" s="14"/>
      <c r="AH124" s="14"/>
      <c r="AI124" t="s">
        <v>182</v>
      </c>
      <c r="AJ124" t="s">
        <v>183</v>
      </c>
      <c r="AK124" t="s">
        <v>184</v>
      </c>
      <c r="AL124">
        <v>991846561</v>
      </c>
      <c r="AM124" t="s">
        <v>185</v>
      </c>
      <c r="AN124" t="s">
        <v>186</v>
      </c>
      <c r="AO124" t="s">
        <v>125</v>
      </c>
      <c r="AP124" t="s">
        <v>187</v>
      </c>
      <c r="AQ124" s="15">
        <v>45930</v>
      </c>
      <c r="AR124" s="15">
        <v>45930</v>
      </c>
      <c r="AS124" t="s">
        <v>227</v>
      </c>
      <c r="AT124">
        <v>8</v>
      </c>
      <c r="AU124">
        <v>34750</v>
      </c>
      <c r="AV124">
        <v>0</v>
      </c>
      <c r="AW124">
        <v>0</v>
      </c>
      <c r="AX124" s="14">
        <v>34750</v>
      </c>
      <c r="AY124" s="14">
        <v>34750</v>
      </c>
      <c r="AZ124" s="14">
        <v>0</v>
      </c>
      <c r="BA124">
        <v>0</v>
      </c>
      <c r="BB124" t="s">
        <v>23</v>
      </c>
      <c r="BC124" t="s">
        <v>128</v>
      </c>
      <c r="BD124" t="s">
        <v>129</v>
      </c>
      <c r="BE124" t="s">
        <v>130</v>
      </c>
      <c r="BF124" t="s">
        <v>183</v>
      </c>
      <c r="BG124" t="s">
        <v>565</v>
      </c>
      <c r="BH124" t="s">
        <v>132</v>
      </c>
      <c r="BI124" t="s">
        <v>154</v>
      </c>
      <c r="BJ124">
        <v>4</v>
      </c>
      <c r="BK124" t="s">
        <v>133</v>
      </c>
      <c r="BV124" t="s">
        <v>134</v>
      </c>
      <c r="BW124" s="16">
        <v>45687.617361111108</v>
      </c>
      <c r="BX124" t="s">
        <v>178</v>
      </c>
      <c r="BZ124">
        <v>38</v>
      </c>
      <c r="CA124" t="s">
        <v>566</v>
      </c>
      <c r="CB124">
        <v>0</v>
      </c>
      <c r="CF124" t="s">
        <v>357</v>
      </c>
      <c r="CG124">
        <v>2025</v>
      </c>
      <c r="CH124" t="s">
        <v>138</v>
      </c>
      <c r="CI124" t="s">
        <v>139</v>
      </c>
    </row>
    <row r="125" spans="1:87" x14ac:dyDescent="0.3">
      <c r="A125" t="s">
        <v>115</v>
      </c>
      <c r="B125" t="s">
        <v>116</v>
      </c>
      <c r="C125" t="s">
        <v>117</v>
      </c>
      <c r="D125" t="s">
        <v>118</v>
      </c>
      <c r="E125" t="s">
        <v>14</v>
      </c>
      <c r="F125" t="s">
        <v>180</v>
      </c>
      <c r="G125">
        <v>88.27</v>
      </c>
      <c r="H125">
        <v>0</v>
      </c>
      <c r="I125" s="14">
        <v>654000</v>
      </c>
      <c r="J125" s="14">
        <v>654000</v>
      </c>
      <c r="K125" t="s">
        <v>117</v>
      </c>
      <c r="L125" t="s">
        <v>118</v>
      </c>
      <c r="M125" t="s">
        <v>140</v>
      </c>
      <c r="N125" t="s">
        <v>181</v>
      </c>
      <c r="O125">
        <v>15.9</v>
      </c>
      <c r="P125">
        <v>2.2599999999999998</v>
      </c>
      <c r="Q125" s="14">
        <v>57500</v>
      </c>
      <c r="R125" s="14">
        <v>57500</v>
      </c>
      <c r="Y125" s="14"/>
      <c r="Z125" s="14"/>
      <c r="AG125" s="14"/>
      <c r="AH125" s="14"/>
      <c r="AI125" t="s">
        <v>182</v>
      </c>
      <c r="AJ125" t="s">
        <v>183</v>
      </c>
      <c r="AK125" t="s">
        <v>184</v>
      </c>
      <c r="AL125">
        <v>991846561</v>
      </c>
      <c r="AM125" t="s">
        <v>185</v>
      </c>
      <c r="AN125" t="s">
        <v>186</v>
      </c>
      <c r="AO125" t="s">
        <v>125</v>
      </c>
      <c r="AP125" t="s">
        <v>187</v>
      </c>
      <c r="AQ125" s="15">
        <v>45960</v>
      </c>
      <c r="AR125" s="15">
        <v>45959</v>
      </c>
      <c r="AS125" t="s">
        <v>227</v>
      </c>
      <c r="AT125">
        <v>9</v>
      </c>
      <c r="AU125">
        <v>34750</v>
      </c>
      <c r="AV125">
        <v>0</v>
      </c>
      <c r="AW125">
        <v>0</v>
      </c>
      <c r="AX125" s="14">
        <v>34750</v>
      </c>
      <c r="AY125" s="14">
        <v>34750</v>
      </c>
      <c r="AZ125" s="14">
        <v>0</v>
      </c>
      <c r="BA125">
        <v>0</v>
      </c>
      <c r="BB125" t="s">
        <v>23</v>
      </c>
      <c r="BC125" t="s">
        <v>128</v>
      </c>
      <c r="BD125" t="s">
        <v>129</v>
      </c>
      <c r="BE125" t="s">
        <v>130</v>
      </c>
      <c r="BF125" t="s">
        <v>183</v>
      </c>
      <c r="BG125" t="s">
        <v>567</v>
      </c>
      <c r="BH125" t="s">
        <v>132</v>
      </c>
      <c r="BI125" t="s">
        <v>154</v>
      </c>
      <c r="BJ125">
        <v>4</v>
      </c>
      <c r="BK125" t="s">
        <v>133</v>
      </c>
      <c r="BV125" t="s">
        <v>134</v>
      </c>
      <c r="BW125" s="16">
        <v>45687.617361111108</v>
      </c>
      <c r="BX125" t="s">
        <v>178</v>
      </c>
      <c r="BZ125">
        <v>38</v>
      </c>
      <c r="CA125" t="s">
        <v>568</v>
      </c>
      <c r="CB125">
        <v>0</v>
      </c>
      <c r="CF125" t="s">
        <v>357</v>
      </c>
      <c r="CG125">
        <v>2025</v>
      </c>
      <c r="CH125" t="s">
        <v>138</v>
      </c>
      <c r="CI125" t="s">
        <v>139</v>
      </c>
    </row>
    <row r="126" spans="1:87" x14ac:dyDescent="0.3">
      <c r="A126" t="s">
        <v>115</v>
      </c>
      <c r="B126" t="s">
        <v>116</v>
      </c>
      <c r="C126" t="s">
        <v>117</v>
      </c>
      <c r="D126" t="s">
        <v>118</v>
      </c>
      <c r="E126" t="s">
        <v>14</v>
      </c>
      <c r="F126" t="s">
        <v>180</v>
      </c>
      <c r="G126">
        <v>88.27</v>
      </c>
      <c r="H126">
        <v>0</v>
      </c>
      <c r="I126" s="14">
        <v>654000</v>
      </c>
      <c r="J126" s="14">
        <v>654000</v>
      </c>
      <c r="K126" t="s">
        <v>117</v>
      </c>
      <c r="L126" t="s">
        <v>118</v>
      </c>
      <c r="M126" t="s">
        <v>140</v>
      </c>
      <c r="N126" t="s">
        <v>181</v>
      </c>
      <c r="O126">
        <v>15.9</v>
      </c>
      <c r="P126">
        <v>2.2599999999999998</v>
      </c>
      <c r="Q126" s="14">
        <v>57500</v>
      </c>
      <c r="R126" s="14">
        <v>57500</v>
      </c>
      <c r="Y126" s="14"/>
      <c r="Z126" s="14"/>
      <c r="AG126" s="14"/>
      <c r="AH126" s="14"/>
      <c r="AI126" t="s">
        <v>182</v>
      </c>
      <c r="AJ126" t="s">
        <v>183</v>
      </c>
      <c r="AK126" t="s">
        <v>184</v>
      </c>
      <c r="AL126">
        <v>991846561</v>
      </c>
      <c r="AM126" t="s">
        <v>185</v>
      </c>
      <c r="AN126" t="s">
        <v>186</v>
      </c>
      <c r="AO126" t="s">
        <v>125</v>
      </c>
      <c r="AP126" t="s">
        <v>187</v>
      </c>
      <c r="AQ126" s="15">
        <v>45991</v>
      </c>
      <c r="AR126" s="15">
        <v>45988</v>
      </c>
      <c r="AS126" t="s">
        <v>227</v>
      </c>
      <c r="AT126">
        <v>10</v>
      </c>
      <c r="AU126">
        <v>34750</v>
      </c>
      <c r="AV126">
        <v>0</v>
      </c>
      <c r="AW126">
        <v>0</v>
      </c>
      <c r="AX126" s="14">
        <v>34750</v>
      </c>
      <c r="AY126" s="14">
        <v>34750</v>
      </c>
      <c r="AZ126" s="14">
        <v>0</v>
      </c>
      <c r="BA126">
        <v>0</v>
      </c>
      <c r="BB126" t="s">
        <v>23</v>
      </c>
      <c r="BC126" t="s">
        <v>128</v>
      </c>
      <c r="BD126" t="s">
        <v>129</v>
      </c>
      <c r="BE126" t="s">
        <v>130</v>
      </c>
      <c r="BF126" t="s">
        <v>183</v>
      </c>
      <c r="BG126" t="s">
        <v>555</v>
      </c>
      <c r="BH126" t="s">
        <v>132</v>
      </c>
      <c r="BI126" t="s">
        <v>154</v>
      </c>
      <c r="BJ126">
        <v>4</v>
      </c>
      <c r="BK126" t="s">
        <v>133</v>
      </c>
      <c r="BV126" t="s">
        <v>134</v>
      </c>
      <c r="BW126" s="16">
        <v>45687.617361111108</v>
      </c>
      <c r="BX126" t="s">
        <v>178</v>
      </c>
      <c r="BZ126">
        <v>38</v>
      </c>
      <c r="CA126" t="s">
        <v>569</v>
      </c>
      <c r="CB126">
        <v>0</v>
      </c>
      <c r="CF126" t="s">
        <v>357</v>
      </c>
      <c r="CG126">
        <v>2025</v>
      </c>
      <c r="CH126" t="s">
        <v>138</v>
      </c>
      <c r="CI126" t="s">
        <v>139</v>
      </c>
    </row>
    <row r="127" spans="1:87" x14ac:dyDescent="0.3">
      <c r="A127" t="s">
        <v>115</v>
      </c>
      <c r="B127" t="s">
        <v>116</v>
      </c>
      <c r="C127" t="s">
        <v>117</v>
      </c>
      <c r="D127" t="s">
        <v>118</v>
      </c>
      <c r="E127" t="s">
        <v>14</v>
      </c>
      <c r="F127" t="s">
        <v>180</v>
      </c>
      <c r="G127">
        <v>88.27</v>
      </c>
      <c r="H127">
        <v>0</v>
      </c>
      <c r="I127" s="14">
        <v>654000</v>
      </c>
      <c r="J127" s="14">
        <v>654000</v>
      </c>
      <c r="K127" t="s">
        <v>117</v>
      </c>
      <c r="L127" t="s">
        <v>118</v>
      </c>
      <c r="M127" t="s">
        <v>140</v>
      </c>
      <c r="N127" t="s">
        <v>181</v>
      </c>
      <c r="O127">
        <v>15.9</v>
      </c>
      <c r="P127">
        <v>2.2599999999999998</v>
      </c>
      <c r="Q127" s="14">
        <v>57500</v>
      </c>
      <c r="R127" s="14">
        <v>57500</v>
      </c>
      <c r="Y127" s="14"/>
      <c r="Z127" s="14"/>
      <c r="AG127" s="14"/>
      <c r="AH127" s="14"/>
      <c r="AI127" t="s">
        <v>182</v>
      </c>
      <c r="AJ127" t="s">
        <v>183</v>
      </c>
      <c r="AK127" t="s">
        <v>184</v>
      </c>
      <c r="AL127">
        <v>991846561</v>
      </c>
      <c r="AM127" t="s">
        <v>185</v>
      </c>
      <c r="AN127" t="s">
        <v>186</v>
      </c>
      <c r="AO127" t="s">
        <v>125</v>
      </c>
      <c r="AP127" t="s">
        <v>187</v>
      </c>
      <c r="AQ127" s="15">
        <v>46021</v>
      </c>
      <c r="AR127" s="15">
        <v>46017</v>
      </c>
      <c r="AS127" t="s">
        <v>227</v>
      </c>
      <c r="AT127">
        <v>11</v>
      </c>
      <c r="AU127">
        <v>34750</v>
      </c>
      <c r="AV127">
        <v>0</v>
      </c>
      <c r="AW127">
        <v>0</v>
      </c>
      <c r="AX127" s="14">
        <v>34750</v>
      </c>
      <c r="AY127" s="14">
        <v>34750</v>
      </c>
      <c r="AZ127" s="14">
        <v>0</v>
      </c>
      <c r="BA127">
        <v>0</v>
      </c>
      <c r="BB127" t="s">
        <v>23</v>
      </c>
      <c r="BC127" t="s">
        <v>128</v>
      </c>
      <c r="BD127" t="s">
        <v>129</v>
      </c>
      <c r="BE127" t="s">
        <v>130</v>
      </c>
      <c r="BF127" t="s">
        <v>183</v>
      </c>
      <c r="BG127" t="s">
        <v>557</v>
      </c>
      <c r="BH127" t="s">
        <v>132</v>
      </c>
      <c r="BI127" t="s">
        <v>154</v>
      </c>
      <c r="BJ127">
        <v>4</v>
      </c>
      <c r="BK127" t="s">
        <v>133</v>
      </c>
      <c r="BV127" t="s">
        <v>134</v>
      </c>
      <c r="BW127" s="16">
        <v>45687.617361111108</v>
      </c>
      <c r="BX127" t="s">
        <v>178</v>
      </c>
      <c r="BZ127">
        <v>38</v>
      </c>
      <c r="CA127" t="s">
        <v>570</v>
      </c>
      <c r="CB127">
        <v>0</v>
      </c>
      <c r="CF127" t="s">
        <v>357</v>
      </c>
      <c r="CG127">
        <v>2025</v>
      </c>
      <c r="CH127" t="s">
        <v>138</v>
      </c>
      <c r="CI127" t="s">
        <v>139</v>
      </c>
    </row>
    <row r="128" spans="1:87" x14ac:dyDescent="0.3">
      <c r="A128" t="s">
        <v>115</v>
      </c>
      <c r="B128" t="s">
        <v>116</v>
      </c>
      <c r="C128" t="s">
        <v>117</v>
      </c>
      <c r="D128" t="s">
        <v>118</v>
      </c>
      <c r="E128" t="s">
        <v>14</v>
      </c>
      <c r="F128" t="s">
        <v>571</v>
      </c>
      <c r="G128">
        <v>84</v>
      </c>
      <c r="H128">
        <v>0</v>
      </c>
      <c r="I128" s="14">
        <v>630000</v>
      </c>
      <c r="J128" s="14">
        <v>630000</v>
      </c>
      <c r="Q128" s="14"/>
      <c r="R128" s="14"/>
      <c r="Y128" s="14"/>
      <c r="Z128" s="14"/>
      <c r="AG128" s="14"/>
      <c r="AH128" s="14"/>
      <c r="AI128" t="s">
        <v>572</v>
      </c>
      <c r="AJ128" t="s">
        <v>573</v>
      </c>
      <c r="AK128" t="s">
        <v>574</v>
      </c>
      <c r="AL128">
        <v>991810339</v>
      </c>
      <c r="AM128" t="s">
        <v>575</v>
      </c>
      <c r="AN128" t="s">
        <v>576</v>
      </c>
      <c r="AO128" t="s">
        <v>125</v>
      </c>
      <c r="AP128" t="s">
        <v>339</v>
      </c>
      <c r="AQ128" s="15">
        <v>45829</v>
      </c>
      <c r="AR128" s="15">
        <v>45829</v>
      </c>
      <c r="AS128" t="s">
        <v>127</v>
      </c>
      <c r="AT128">
        <v>1</v>
      </c>
      <c r="AU128">
        <v>3000</v>
      </c>
      <c r="AV128">
        <v>0</v>
      </c>
      <c r="AW128">
        <v>0</v>
      </c>
      <c r="AX128" s="14">
        <v>3000</v>
      </c>
      <c r="AY128" s="14">
        <v>3000</v>
      </c>
      <c r="AZ128" s="14">
        <v>0</v>
      </c>
      <c r="BA128">
        <v>0</v>
      </c>
      <c r="BB128" t="s">
        <v>24</v>
      </c>
      <c r="BC128" t="s">
        <v>128</v>
      </c>
      <c r="BD128" t="s">
        <v>129</v>
      </c>
      <c r="BE128" t="s">
        <v>130</v>
      </c>
      <c r="BG128" t="s">
        <v>577</v>
      </c>
      <c r="BH128" t="s">
        <v>132</v>
      </c>
      <c r="BJ128">
        <v>4</v>
      </c>
      <c r="BK128" t="s">
        <v>133</v>
      </c>
      <c r="BV128" t="s">
        <v>134</v>
      </c>
      <c r="BW128" s="16">
        <v>45880.513194444437</v>
      </c>
      <c r="BX128" t="s">
        <v>135</v>
      </c>
      <c r="BZ128">
        <v>44</v>
      </c>
      <c r="CA128" t="s">
        <v>578</v>
      </c>
      <c r="CB128">
        <v>0</v>
      </c>
      <c r="CF128" t="s">
        <v>357</v>
      </c>
      <c r="CG128">
        <v>2025</v>
      </c>
      <c r="CH128" t="s">
        <v>138</v>
      </c>
      <c r="CI128" t="s">
        <v>139</v>
      </c>
    </row>
    <row r="129" spans="1:87" x14ac:dyDescent="0.3">
      <c r="A129" t="s">
        <v>115</v>
      </c>
      <c r="B129" t="s">
        <v>116</v>
      </c>
      <c r="C129" t="s">
        <v>117</v>
      </c>
      <c r="D129" t="s">
        <v>118</v>
      </c>
      <c r="E129" t="s">
        <v>14</v>
      </c>
      <c r="F129" t="s">
        <v>571</v>
      </c>
      <c r="G129">
        <v>84</v>
      </c>
      <c r="H129">
        <v>0</v>
      </c>
      <c r="I129" s="14">
        <v>630000</v>
      </c>
      <c r="J129" s="14">
        <v>630000</v>
      </c>
      <c r="Q129" s="14"/>
      <c r="R129" s="14"/>
      <c r="Y129" s="14"/>
      <c r="Z129" s="14"/>
      <c r="AG129" s="14"/>
      <c r="AH129" s="14"/>
      <c r="AI129" t="s">
        <v>572</v>
      </c>
      <c r="AJ129" t="s">
        <v>573</v>
      </c>
      <c r="AK129" t="s">
        <v>574</v>
      </c>
      <c r="AL129">
        <v>991810339</v>
      </c>
      <c r="AM129" t="s">
        <v>575</v>
      </c>
      <c r="AN129" t="s">
        <v>576</v>
      </c>
      <c r="AO129" t="s">
        <v>125</v>
      </c>
      <c r="AP129" t="s">
        <v>339</v>
      </c>
      <c r="AQ129" s="15">
        <v>45880</v>
      </c>
      <c r="AR129" s="15">
        <v>45880</v>
      </c>
      <c r="AS129" t="s">
        <v>145</v>
      </c>
      <c r="AT129">
        <v>1</v>
      </c>
      <c r="AU129">
        <v>50000</v>
      </c>
      <c r="AV129">
        <v>0</v>
      </c>
      <c r="AW129">
        <v>0</v>
      </c>
      <c r="AX129" s="14">
        <v>50000</v>
      </c>
      <c r="AY129" s="14">
        <v>50000</v>
      </c>
      <c r="AZ129" s="14">
        <v>0</v>
      </c>
      <c r="BA129">
        <v>0</v>
      </c>
      <c r="BB129" t="s">
        <v>24</v>
      </c>
      <c r="BC129" t="s">
        <v>128</v>
      </c>
      <c r="BD129" t="s">
        <v>129</v>
      </c>
      <c r="BE129" t="s">
        <v>130</v>
      </c>
      <c r="BF129" t="s">
        <v>573</v>
      </c>
      <c r="BG129" t="s">
        <v>579</v>
      </c>
      <c r="BH129" t="s">
        <v>132</v>
      </c>
      <c r="BI129" t="s">
        <v>154</v>
      </c>
      <c r="BJ129">
        <v>4</v>
      </c>
      <c r="BK129" t="s">
        <v>133</v>
      </c>
      <c r="BV129" t="s">
        <v>134</v>
      </c>
      <c r="BW129" s="16">
        <v>45880.513194444437</v>
      </c>
      <c r="BX129" t="s">
        <v>135</v>
      </c>
      <c r="BZ129">
        <v>44</v>
      </c>
      <c r="CA129" t="s">
        <v>580</v>
      </c>
      <c r="CB129">
        <v>0</v>
      </c>
      <c r="CF129" t="s">
        <v>357</v>
      </c>
      <c r="CG129">
        <v>2025</v>
      </c>
      <c r="CH129" t="s">
        <v>138</v>
      </c>
      <c r="CI129" t="s">
        <v>139</v>
      </c>
    </row>
    <row r="130" spans="1:87" x14ac:dyDescent="0.3">
      <c r="A130" t="s">
        <v>115</v>
      </c>
      <c r="B130" t="s">
        <v>116</v>
      </c>
      <c r="C130" t="s">
        <v>117</v>
      </c>
      <c r="D130" t="s">
        <v>118</v>
      </c>
      <c r="E130" t="s">
        <v>14</v>
      </c>
      <c r="F130" t="s">
        <v>571</v>
      </c>
      <c r="G130">
        <v>84</v>
      </c>
      <c r="H130">
        <v>0</v>
      </c>
      <c r="I130" s="14">
        <v>630000</v>
      </c>
      <c r="J130" s="14">
        <v>630000</v>
      </c>
      <c r="Q130" s="14"/>
      <c r="R130" s="14"/>
      <c r="Y130" s="14"/>
      <c r="Z130" s="14"/>
      <c r="AG130" s="14"/>
      <c r="AH130" s="14"/>
      <c r="AI130" t="s">
        <v>572</v>
      </c>
      <c r="AJ130" t="s">
        <v>573</v>
      </c>
      <c r="AK130" t="s">
        <v>574</v>
      </c>
      <c r="AL130">
        <v>991810339</v>
      </c>
      <c r="AM130" t="s">
        <v>575</v>
      </c>
      <c r="AN130" t="s">
        <v>576</v>
      </c>
      <c r="AO130" t="s">
        <v>125</v>
      </c>
      <c r="AP130" t="s">
        <v>339</v>
      </c>
      <c r="AQ130" s="15">
        <v>45960</v>
      </c>
      <c r="AR130" s="15">
        <v>45961</v>
      </c>
      <c r="AS130" t="s">
        <v>145</v>
      </c>
      <c r="AT130">
        <v>2</v>
      </c>
      <c r="AU130">
        <v>0</v>
      </c>
      <c r="AV130">
        <v>0</v>
      </c>
      <c r="AW130">
        <v>0</v>
      </c>
      <c r="AX130" s="14">
        <v>53000</v>
      </c>
      <c r="AY130" s="14">
        <v>50000</v>
      </c>
      <c r="AZ130" s="14">
        <v>0</v>
      </c>
      <c r="BA130">
        <v>0</v>
      </c>
      <c r="BB130" t="s">
        <v>24</v>
      </c>
      <c r="BC130" t="s">
        <v>128</v>
      </c>
      <c r="BD130" t="s">
        <v>129</v>
      </c>
      <c r="BE130" t="s">
        <v>130</v>
      </c>
      <c r="BF130" t="s">
        <v>573</v>
      </c>
      <c r="BG130" t="s">
        <v>579</v>
      </c>
      <c r="BH130" t="s">
        <v>132</v>
      </c>
      <c r="BI130" t="s">
        <v>154</v>
      </c>
      <c r="BJ130">
        <v>4</v>
      </c>
      <c r="BK130" t="s">
        <v>133</v>
      </c>
      <c r="BV130" t="s">
        <v>134</v>
      </c>
      <c r="BW130" s="16">
        <v>45880.513194444437</v>
      </c>
      <c r="BX130" t="s">
        <v>135</v>
      </c>
      <c r="BZ130">
        <v>44</v>
      </c>
      <c r="CA130" t="s">
        <v>581</v>
      </c>
      <c r="CB130">
        <v>0</v>
      </c>
      <c r="CF130" t="s">
        <v>357</v>
      </c>
      <c r="CG130">
        <v>2025</v>
      </c>
      <c r="CH130" t="s">
        <v>138</v>
      </c>
      <c r="CI130" t="s">
        <v>139</v>
      </c>
    </row>
    <row r="131" spans="1:87" x14ac:dyDescent="0.3">
      <c r="A131" t="s">
        <v>115</v>
      </c>
      <c r="B131" t="s">
        <v>116</v>
      </c>
      <c r="C131" t="s">
        <v>117</v>
      </c>
      <c r="D131" t="s">
        <v>118</v>
      </c>
      <c r="E131" t="s">
        <v>14</v>
      </c>
      <c r="F131" t="s">
        <v>571</v>
      </c>
      <c r="G131">
        <v>84</v>
      </c>
      <c r="H131">
        <v>0</v>
      </c>
      <c r="I131" s="14">
        <v>630000</v>
      </c>
      <c r="J131" s="14">
        <v>630000</v>
      </c>
      <c r="Q131" s="14"/>
      <c r="R131" s="14"/>
      <c r="Y131" s="14"/>
      <c r="Z131" s="14"/>
      <c r="AG131" s="14"/>
      <c r="AH131" s="14"/>
      <c r="AI131" t="s">
        <v>572</v>
      </c>
      <c r="AJ131" t="s">
        <v>573</v>
      </c>
      <c r="AK131" t="s">
        <v>574</v>
      </c>
      <c r="AL131">
        <v>991810339</v>
      </c>
      <c r="AM131" t="s">
        <v>575</v>
      </c>
      <c r="AN131" t="s">
        <v>576</v>
      </c>
      <c r="AO131" t="s">
        <v>125</v>
      </c>
      <c r="AP131" t="s">
        <v>339</v>
      </c>
      <c r="AQ131" s="15">
        <v>45960</v>
      </c>
      <c r="AR131" s="15">
        <v>46022</v>
      </c>
      <c r="AS131" t="s">
        <v>145</v>
      </c>
      <c r="AT131">
        <v>2</v>
      </c>
      <c r="AU131">
        <v>53000</v>
      </c>
      <c r="AV131">
        <v>0</v>
      </c>
      <c r="AW131">
        <v>0</v>
      </c>
      <c r="AX131" s="14">
        <v>0</v>
      </c>
      <c r="AY131" s="14">
        <v>3000</v>
      </c>
      <c r="AZ131" s="14">
        <v>0</v>
      </c>
      <c r="BA131">
        <v>0</v>
      </c>
      <c r="BB131" t="s">
        <v>24</v>
      </c>
      <c r="BC131" t="s">
        <v>128</v>
      </c>
      <c r="BD131" t="s">
        <v>129</v>
      </c>
      <c r="BE131" t="s">
        <v>130</v>
      </c>
      <c r="BG131" t="s">
        <v>582</v>
      </c>
      <c r="BH131" t="s">
        <v>132</v>
      </c>
      <c r="BJ131">
        <v>4</v>
      </c>
      <c r="BK131" t="s">
        <v>133</v>
      </c>
      <c r="BV131" t="s">
        <v>134</v>
      </c>
      <c r="BW131" s="16">
        <v>45880.513194444437</v>
      </c>
      <c r="BX131" t="s">
        <v>135</v>
      </c>
      <c r="BZ131">
        <v>44</v>
      </c>
      <c r="CA131" t="s">
        <v>583</v>
      </c>
      <c r="CB131">
        <v>0</v>
      </c>
      <c r="CF131" t="s">
        <v>357</v>
      </c>
      <c r="CG131">
        <v>2025</v>
      </c>
      <c r="CH131" t="s">
        <v>138</v>
      </c>
      <c r="CI131" t="s">
        <v>139</v>
      </c>
    </row>
    <row r="132" spans="1:87" x14ac:dyDescent="0.3">
      <c r="A132" t="s">
        <v>115</v>
      </c>
      <c r="B132" t="s">
        <v>116</v>
      </c>
      <c r="C132" t="s">
        <v>117</v>
      </c>
      <c r="D132" t="s">
        <v>118</v>
      </c>
      <c r="E132" t="s">
        <v>14</v>
      </c>
      <c r="F132" t="s">
        <v>571</v>
      </c>
      <c r="G132">
        <v>84</v>
      </c>
      <c r="H132">
        <v>0</v>
      </c>
      <c r="I132" s="14">
        <v>630000</v>
      </c>
      <c r="J132" s="14">
        <v>630000</v>
      </c>
      <c r="Q132" s="14"/>
      <c r="R132" s="14"/>
      <c r="Y132" s="14"/>
      <c r="Z132" s="14"/>
      <c r="AG132" s="14"/>
      <c r="AH132" s="14"/>
      <c r="AI132" t="s">
        <v>572</v>
      </c>
      <c r="AJ132" t="s">
        <v>573</v>
      </c>
      <c r="AK132" t="s">
        <v>574</v>
      </c>
      <c r="AL132">
        <v>991810339</v>
      </c>
      <c r="AM132" t="s">
        <v>575</v>
      </c>
      <c r="AN132" t="s">
        <v>576</v>
      </c>
      <c r="AO132" t="s">
        <v>125</v>
      </c>
      <c r="AP132" t="s">
        <v>339</v>
      </c>
      <c r="AQ132" s="15">
        <v>45960</v>
      </c>
      <c r="AR132" s="15">
        <v>46022</v>
      </c>
      <c r="AS132" t="s">
        <v>145</v>
      </c>
      <c r="AT132">
        <v>3</v>
      </c>
      <c r="AU132">
        <v>20000</v>
      </c>
      <c r="AV132">
        <v>0</v>
      </c>
      <c r="AW132">
        <v>0</v>
      </c>
      <c r="AX132" s="14">
        <v>20000</v>
      </c>
      <c r="AY132" s="14">
        <v>20000</v>
      </c>
      <c r="AZ132" s="14">
        <v>0</v>
      </c>
      <c r="BA132">
        <v>0</v>
      </c>
      <c r="BB132" t="s">
        <v>24</v>
      </c>
      <c r="BC132" t="s">
        <v>128</v>
      </c>
      <c r="BD132" t="s">
        <v>129</v>
      </c>
      <c r="BE132" t="s">
        <v>130</v>
      </c>
      <c r="BG132" t="s">
        <v>582</v>
      </c>
      <c r="BH132" t="s">
        <v>132</v>
      </c>
      <c r="BJ132">
        <v>4</v>
      </c>
      <c r="BK132" t="s">
        <v>133</v>
      </c>
      <c r="BV132" t="s">
        <v>134</v>
      </c>
      <c r="BW132" s="16">
        <v>45880.513194444437</v>
      </c>
      <c r="BX132" t="s">
        <v>135</v>
      </c>
      <c r="BZ132">
        <v>44</v>
      </c>
      <c r="CA132" t="s">
        <v>583</v>
      </c>
      <c r="CB132">
        <v>0</v>
      </c>
      <c r="CF132" t="s">
        <v>357</v>
      </c>
      <c r="CG132">
        <v>2025</v>
      </c>
      <c r="CH132" t="s">
        <v>138</v>
      </c>
      <c r="CI132" t="s">
        <v>139</v>
      </c>
    </row>
    <row r="133" spans="1:87" x14ac:dyDescent="0.3">
      <c r="A133" t="s">
        <v>165</v>
      </c>
      <c r="B133" t="s">
        <v>116</v>
      </c>
      <c r="C133" t="s">
        <v>117</v>
      </c>
      <c r="D133" t="s">
        <v>118</v>
      </c>
      <c r="E133" t="s">
        <v>14</v>
      </c>
      <c r="F133" t="s">
        <v>323</v>
      </c>
      <c r="G133">
        <v>70</v>
      </c>
      <c r="H133">
        <v>0</v>
      </c>
      <c r="I133" s="14">
        <v>475000</v>
      </c>
      <c r="J133" s="14">
        <v>475000</v>
      </c>
      <c r="K133" t="s">
        <v>117</v>
      </c>
      <c r="L133" t="s">
        <v>118</v>
      </c>
      <c r="M133" t="s">
        <v>140</v>
      </c>
      <c r="N133" t="s">
        <v>584</v>
      </c>
      <c r="O133">
        <v>12.5</v>
      </c>
      <c r="P133">
        <v>0</v>
      </c>
      <c r="Q133" s="14">
        <v>46800</v>
      </c>
      <c r="R133" s="14">
        <v>46800</v>
      </c>
      <c r="Y133" s="14"/>
      <c r="Z133" s="14"/>
      <c r="AG133" s="14"/>
      <c r="AH133" s="14"/>
      <c r="AI133" t="s">
        <v>585</v>
      </c>
      <c r="AJ133" t="s">
        <v>586</v>
      </c>
      <c r="AK133" t="s">
        <v>587</v>
      </c>
      <c r="AL133">
        <v>0</v>
      </c>
      <c r="AM133" t="s">
        <v>588</v>
      </c>
      <c r="AN133" t="s">
        <v>589</v>
      </c>
      <c r="AO133" t="s">
        <v>590</v>
      </c>
      <c r="AP133" t="s">
        <v>591</v>
      </c>
      <c r="AQ133" s="15">
        <v>45997</v>
      </c>
      <c r="AR133" s="15">
        <v>45997</v>
      </c>
      <c r="AS133" t="s">
        <v>127</v>
      </c>
      <c r="AT133">
        <v>1</v>
      </c>
      <c r="AU133">
        <v>3000</v>
      </c>
      <c r="AV133">
        <v>0</v>
      </c>
      <c r="AW133">
        <v>0</v>
      </c>
      <c r="AX133" s="14">
        <v>3000</v>
      </c>
      <c r="AY133" s="14">
        <v>3000</v>
      </c>
      <c r="AZ133" s="14">
        <v>0</v>
      </c>
      <c r="BA133">
        <v>0</v>
      </c>
      <c r="BB133" t="s">
        <v>24</v>
      </c>
      <c r="BC133" t="s">
        <v>175</v>
      </c>
      <c r="BD133" t="s">
        <v>176</v>
      </c>
      <c r="BE133" t="s">
        <v>130</v>
      </c>
      <c r="BG133" t="s">
        <v>592</v>
      </c>
      <c r="BH133" t="s">
        <v>132</v>
      </c>
      <c r="BJ133">
        <v>4</v>
      </c>
      <c r="BK133" t="s">
        <v>133</v>
      </c>
      <c r="BV133" t="s">
        <v>134</v>
      </c>
      <c r="BW133" s="16">
        <v>46003.408333333333</v>
      </c>
      <c r="BX133" t="s">
        <v>143</v>
      </c>
      <c r="BZ133">
        <v>21</v>
      </c>
      <c r="CA133" t="s">
        <v>593</v>
      </c>
      <c r="CB133">
        <v>0</v>
      </c>
      <c r="CF133" t="s">
        <v>357</v>
      </c>
      <c r="CG133">
        <v>2025</v>
      </c>
      <c r="CH133" t="s">
        <v>138</v>
      </c>
      <c r="CI133" t="s">
        <v>139</v>
      </c>
    </row>
    <row r="134" spans="1:87" x14ac:dyDescent="0.3">
      <c r="A134" t="s">
        <v>115</v>
      </c>
      <c r="B134" t="s">
        <v>116</v>
      </c>
      <c r="C134" t="s">
        <v>117</v>
      </c>
      <c r="D134" t="s">
        <v>118</v>
      </c>
      <c r="E134" t="s">
        <v>14</v>
      </c>
      <c r="F134" t="s">
        <v>594</v>
      </c>
      <c r="G134">
        <v>81.790000000000006</v>
      </c>
      <c r="H134">
        <v>19.690000000000001</v>
      </c>
      <c r="I134" s="14">
        <v>679000</v>
      </c>
      <c r="J134" s="14">
        <v>679000</v>
      </c>
      <c r="Q134" s="14"/>
      <c r="R134" s="14"/>
      <c r="Y134" s="14"/>
      <c r="Z134" s="14"/>
      <c r="AG134" s="14"/>
      <c r="AH134" s="14"/>
      <c r="AI134" t="s">
        <v>595</v>
      </c>
      <c r="AJ134" t="s">
        <v>596</v>
      </c>
      <c r="AK134" t="s">
        <v>597</v>
      </c>
      <c r="AL134">
        <v>997463109</v>
      </c>
      <c r="AM134" t="s">
        <v>598</v>
      </c>
      <c r="AN134" t="s">
        <v>599</v>
      </c>
      <c r="AO134" t="s">
        <v>125</v>
      </c>
      <c r="AP134" t="s">
        <v>600</v>
      </c>
      <c r="AQ134" s="15">
        <v>45794</v>
      </c>
      <c r="AR134" s="15">
        <v>45794</v>
      </c>
      <c r="AS134" t="s">
        <v>127</v>
      </c>
      <c r="AT134">
        <v>1</v>
      </c>
      <c r="AU134">
        <v>3000</v>
      </c>
      <c r="AV134">
        <v>0</v>
      </c>
      <c r="AW134">
        <v>0</v>
      </c>
      <c r="AX134" s="14">
        <v>3000</v>
      </c>
      <c r="AY134" s="14">
        <v>3000</v>
      </c>
      <c r="AZ134" s="14">
        <v>0</v>
      </c>
      <c r="BA134">
        <v>0</v>
      </c>
      <c r="BB134" t="s">
        <v>23</v>
      </c>
      <c r="BC134" t="s">
        <v>128</v>
      </c>
      <c r="BD134" t="s">
        <v>129</v>
      </c>
      <c r="BE134" t="s">
        <v>130</v>
      </c>
      <c r="BF134" t="s">
        <v>596</v>
      </c>
      <c r="BG134" t="s">
        <v>601</v>
      </c>
      <c r="BH134" t="s">
        <v>132</v>
      </c>
      <c r="BI134" t="s">
        <v>154</v>
      </c>
      <c r="BJ134">
        <v>4</v>
      </c>
      <c r="BK134" t="s">
        <v>133</v>
      </c>
      <c r="BV134" t="s">
        <v>134</v>
      </c>
      <c r="BW134" s="16">
        <v>45811.650694444441</v>
      </c>
      <c r="BX134" t="s">
        <v>135</v>
      </c>
      <c r="BZ134">
        <v>26</v>
      </c>
      <c r="CA134" t="s">
        <v>602</v>
      </c>
      <c r="CB134">
        <v>0</v>
      </c>
      <c r="CF134" t="s">
        <v>357</v>
      </c>
      <c r="CG134">
        <v>2025</v>
      </c>
      <c r="CH134" t="s">
        <v>138</v>
      </c>
      <c r="CI134" t="s">
        <v>139</v>
      </c>
    </row>
    <row r="135" spans="1:87" x14ac:dyDescent="0.3">
      <c r="A135" t="s">
        <v>115</v>
      </c>
      <c r="B135" t="s">
        <v>116</v>
      </c>
      <c r="C135" t="s">
        <v>117</v>
      </c>
      <c r="D135" t="s">
        <v>118</v>
      </c>
      <c r="E135" t="s">
        <v>14</v>
      </c>
      <c r="F135" t="s">
        <v>594</v>
      </c>
      <c r="G135">
        <v>81.790000000000006</v>
      </c>
      <c r="H135">
        <v>19.690000000000001</v>
      </c>
      <c r="I135" s="14">
        <v>679000</v>
      </c>
      <c r="J135" s="14">
        <v>679000</v>
      </c>
      <c r="Q135" s="14"/>
      <c r="R135" s="14"/>
      <c r="Y135" s="14"/>
      <c r="Z135" s="14"/>
      <c r="AG135" s="14"/>
      <c r="AH135" s="14"/>
      <c r="AI135" t="s">
        <v>595</v>
      </c>
      <c r="AJ135" t="s">
        <v>596</v>
      </c>
      <c r="AK135" t="s">
        <v>597</v>
      </c>
      <c r="AL135">
        <v>997463109</v>
      </c>
      <c r="AM135" t="s">
        <v>598</v>
      </c>
      <c r="AN135" t="s">
        <v>599</v>
      </c>
      <c r="AO135" t="s">
        <v>125</v>
      </c>
      <c r="AP135" t="s">
        <v>600</v>
      </c>
      <c r="AQ135" s="15">
        <v>45811</v>
      </c>
      <c r="AR135" s="15">
        <v>45811</v>
      </c>
      <c r="AS135" t="s">
        <v>145</v>
      </c>
      <c r="AT135">
        <v>1</v>
      </c>
      <c r="AU135">
        <v>150000</v>
      </c>
      <c r="AV135">
        <v>0</v>
      </c>
      <c r="AW135">
        <v>0</v>
      </c>
      <c r="AX135" s="14">
        <v>150000</v>
      </c>
      <c r="AY135" s="14">
        <v>150000</v>
      </c>
      <c r="AZ135" s="14">
        <v>0</v>
      </c>
      <c r="BA135">
        <v>0</v>
      </c>
      <c r="BB135" t="s">
        <v>23</v>
      </c>
      <c r="BC135" t="s">
        <v>128</v>
      </c>
      <c r="BD135" t="s">
        <v>129</v>
      </c>
      <c r="BE135" t="s">
        <v>130</v>
      </c>
      <c r="BF135" t="s">
        <v>596</v>
      </c>
      <c r="BG135" t="s">
        <v>603</v>
      </c>
      <c r="BH135" t="s">
        <v>132</v>
      </c>
      <c r="BI135" t="s">
        <v>154</v>
      </c>
      <c r="BJ135">
        <v>4</v>
      </c>
      <c r="BK135" t="s">
        <v>133</v>
      </c>
      <c r="BV135" t="s">
        <v>134</v>
      </c>
      <c r="BW135" s="16">
        <v>45811.650694444441</v>
      </c>
      <c r="BX135" t="s">
        <v>135</v>
      </c>
      <c r="BZ135">
        <v>26</v>
      </c>
      <c r="CA135" t="s">
        <v>604</v>
      </c>
      <c r="CB135">
        <v>0</v>
      </c>
      <c r="CF135" t="s">
        <v>357</v>
      </c>
      <c r="CG135">
        <v>2025</v>
      </c>
      <c r="CH135" t="s">
        <v>138</v>
      </c>
      <c r="CI135" t="s">
        <v>139</v>
      </c>
    </row>
    <row r="136" spans="1:87" x14ac:dyDescent="0.3">
      <c r="A136" t="s">
        <v>115</v>
      </c>
      <c r="B136" t="s">
        <v>116</v>
      </c>
      <c r="C136" t="s">
        <v>117</v>
      </c>
      <c r="D136" t="s">
        <v>118</v>
      </c>
      <c r="E136" t="s">
        <v>14</v>
      </c>
      <c r="F136" t="s">
        <v>594</v>
      </c>
      <c r="G136">
        <v>81.790000000000006</v>
      </c>
      <c r="H136">
        <v>19.690000000000001</v>
      </c>
      <c r="I136" s="14">
        <v>679000</v>
      </c>
      <c r="J136" s="14">
        <v>679000</v>
      </c>
      <c r="Q136" s="14"/>
      <c r="R136" s="14"/>
      <c r="Y136" s="14"/>
      <c r="Z136" s="14"/>
      <c r="AG136" s="14"/>
      <c r="AH136" s="14"/>
      <c r="AI136" t="s">
        <v>595</v>
      </c>
      <c r="AJ136" t="s">
        <v>596</v>
      </c>
      <c r="AK136" t="s">
        <v>597</v>
      </c>
      <c r="AL136">
        <v>997463109</v>
      </c>
      <c r="AM136" t="s">
        <v>598</v>
      </c>
      <c r="AN136" t="s">
        <v>599</v>
      </c>
      <c r="AO136" t="s">
        <v>125</v>
      </c>
      <c r="AP136" t="s">
        <v>600</v>
      </c>
      <c r="AQ136" s="15">
        <v>45811</v>
      </c>
      <c r="AR136" s="15">
        <v>45811</v>
      </c>
      <c r="AS136" t="s">
        <v>145</v>
      </c>
      <c r="AT136">
        <v>2</v>
      </c>
      <c r="AU136">
        <v>115000</v>
      </c>
      <c r="AV136">
        <v>0</v>
      </c>
      <c r="AW136">
        <v>0</v>
      </c>
      <c r="AX136" s="14">
        <v>115000</v>
      </c>
      <c r="AY136" s="14">
        <v>115000</v>
      </c>
      <c r="AZ136" s="14">
        <v>0</v>
      </c>
      <c r="BA136">
        <v>0</v>
      </c>
      <c r="BB136" t="s">
        <v>23</v>
      </c>
      <c r="BC136" t="s">
        <v>128</v>
      </c>
      <c r="BD136" t="s">
        <v>129</v>
      </c>
      <c r="BE136" t="s">
        <v>130</v>
      </c>
      <c r="BF136" t="s">
        <v>596</v>
      </c>
      <c r="BG136" t="s">
        <v>605</v>
      </c>
      <c r="BH136" t="s">
        <v>132</v>
      </c>
      <c r="BI136" t="s">
        <v>154</v>
      </c>
      <c r="BJ136">
        <v>4</v>
      </c>
      <c r="BK136" t="s">
        <v>133</v>
      </c>
      <c r="BV136" t="s">
        <v>134</v>
      </c>
      <c r="BW136" s="16">
        <v>45811.650694444441</v>
      </c>
      <c r="BX136" t="s">
        <v>135</v>
      </c>
      <c r="BZ136">
        <v>26</v>
      </c>
      <c r="CA136" t="s">
        <v>606</v>
      </c>
      <c r="CB136">
        <v>0</v>
      </c>
      <c r="CF136" t="s">
        <v>357</v>
      </c>
      <c r="CG136">
        <v>2025</v>
      </c>
      <c r="CH136" t="s">
        <v>138</v>
      </c>
      <c r="CI136" t="s">
        <v>139</v>
      </c>
    </row>
    <row r="137" spans="1:87" x14ac:dyDescent="0.3">
      <c r="A137" t="s">
        <v>115</v>
      </c>
      <c r="B137" t="s">
        <v>116</v>
      </c>
      <c r="C137" t="s">
        <v>117</v>
      </c>
      <c r="D137" t="s">
        <v>118</v>
      </c>
      <c r="E137" t="s">
        <v>14</v>
      </c>
      <c r="F137" t="s">
        <v>594</v>
      </c>
      <c r="G137">
        <v>81.790000000000006</v>
      </c>
      <c r="H137">
        <v>19.690000000000001</v>
      </c>
      <c r="I137" s="14">
        <v>679000</v>
      </c>
      <c r="J137" s="14">
        <v>679000</v>
      </c>
      <c r="Q137" s="14"/>
      <c r="R137" s="14"/>
      <c r="Y137" s="14"/>
      <c r="Z137" s="14"/>
      <c r="AG137" s="14"/>
      <c r="AH137" s="14"/>
      <c r="AI137" t="s">
        <v>595</v>
      </c>
      <c r="AJ137" t="s">
        <v>596</v>
      </c>
      <c r="AK137" t="s">
        <v>597</v>
      </c>
      <c r="AL137">
        <v>997463109</v>
      </c>
      <c r="AM137" t="s">
        <v>598</v>
      </c>
      <c r="AN137" t="s">
        <v>599</v>
      </c>
      <c r="AO137" t="s">
        <v>125</v>
      </c>
      <c r="AP137" t="s">
        <v>600</v>
      </c>
      <c r="AQ137" s="15">
        <v>45813</v>
      </c>
      <c r="AR137" s="15">
        <v>45813</v>
      </c>
      <c r="AS137" t="s">
        <v>145</v>
      </c>
      <c r="AT137">
        <v>3</v>
      </c>
      <c r="AU137">
        <v>21400</v>
      </c>
      <c r="AV137">
        <v>0</v>
      </c>
      <c r="AW137">
        <v>0</v>
      </c>
      <c r="AX137" s="14">
        <v>21400</v>
      </c>
      <c r="AY137" s="14">
        <v>21400</v>
      </c>
      <c r="AZ137" s="14">
        <v>0</v>
      </c>
      <c r="BA137">
        <v>0</v>
      </c>
      <c r="BB137" t="s">
        <v>23</v>
      </c>
      <c r="BC137" t="s">
        <v>128</v>
      </c>
      <c r="BD137" t="s">
        <v>129</v>
      </c>
      <c r="BE137" t="s">
        <v>130</v>
      </c>
      <c r="BF137" t="s">
        <v>596</v>
      </c>
      <c r="BG137" t="s">
        <v>607</v>
      </c>
      <c r="BH137" t="s">
        <v>132</v>
      </c>
      <c r="BI137" t="s">
        <v>154</v>
      </c>
      <c r="BJ137">
        <v>4</v>
      </c>
      <c r="BK137" t="s">
        <v>133</v>
      </c>
      <c r="BV137" t="s">
        <v>134</v>
      </c>
      <c r="BW137" s="16">
        <v>45811.650694444441</v>
      </c>
      <c r="BX137" t="s">
        <v>135</v>
      </c>
      <c r="BZ137">
        <v>26</v>
      </c>
      <c r="CA137" t="s">
        <v>608</v>
      </c>
      <c r="CB137">
        <v>0</v>
      </c>
      <c r="CF137" t="s">
        <v>357</v>
      </c>
      <c r="CG137">
        <v>2025</v>
      </c>
      <c r="CH137" t="s">
        <v>138</v>
      </c>
      <c r="CI137" t="s">
        <v>139</v>
      </c>
    </row>
    <row r="138" spans="1:87" x14ac:dyDescent="0.3">
      <c r="A138" t="s">
        <v>115</v>
      </c>
      <c r="B138" t="s">
        <v>116</v>
      </c>
      <c r="C138" t="s">
        <v>117</v>
      </c>
      <c r="D138" t="s">
        <v>118</v>
      </c>
      <c r="E138" t="s">
        <v>14</v>
      </c>
      <c r="F138" t="s">
        <v>594</v>
      </c>
      <c r="G138">
        <v>81.790000000000006</v>
      </c>
      <c r="H138">
        <v>19.690000000000001</v>
      </c>
      <c r="I138" s="14">
        <v>679000</v>
      </c>
      <c r="J138" s="14">
        <v>679000</v>
      </c>
      <c r="Q138" s="14"/>
      <c r="R138" s="14"/>
      <c r="Y138" s="14"/>
      <c r="Z138" s="14"/>
      <c r="AG138" s="14"/>
      <c r="AH138" s="14"/>
      <c r="AI138" t="s">
        <v>595</v>
      </c>
      <c r="AJ138" t="s">
        <v>596</v>
      </c>
      <c r="AK138" t="s">
        <v>597</v>
      </c>
      <c r="AL138">
        <v>997463109</v>
      </c>
      <c r="AM138" t="s">
        <v>598</v>
      </c>
      <c r="AN138" t="s">
        <v>599</v>
      </c>
      <c r="AO138" t="s">
        <v>125</v>
      </c>
      <c r="AP138" t="s">
        <v>600</v>
      </c>
      <c r="AQ138" s="15">
        <v>45813</v>
      </c>
      <c r="AR138" s="15">
        <v>45813</v>
      </c>
      <c r="AS138" t="s">
        <v>145</v>
      </c>
      <c r="AT138">
        <v>4</v>
      </c>
      <c r="AU138">
        <v>10600</v>
      </c>
      <c r="AV138">
        <v>0</v>
      </c>
      <c r="AW138">
        <v>0</v>
      </c>
      <c r="AX138" s="14">
        <v>10600</v>
      </c>
      <c r="AY138" s="14">
        <v>10600</v>
      </c>
      <c r="AZ138" s="14">
        <v>0</v>
      </c>
      <c r="BA138">
        <v>0</v>
      </c>
      <c r="BB138" t="s">
        <v>23</v>
      </c>
      <c r="BC138" t="s">
        <v>128</v>
      </c>
      <c r="BD138" t="s">
        <v>129</v>
      </c>
      <c r="BE138" t="s">
        <v>130</v>
      </c>
      <c r="BF138" t="s">
        <v>596</v>
      </c>
      <c r="BG138" t="s">
        <v>609</v>
      </c>
      <c r="BH138" t="s">
        <v>132</v>
      </c>
      <c r="BI138" t="s">
        <v>154</v>
      </c>
      <c r="BJ138">
        <v>4</v>
      </c>
      <c r="BK138" t="s">
        <v>133</v>
      </c>
      <c r="BV138" t="s">
        <v>134</v>
      </c>
      <c r="BW138" s="16">
        <v>45811.650694444441</v>
      </c>
      <c r="BX138" t="s">
        <v>135</v>
      </c>
      <c r="BZ138">
        <v>26</v>
      </c>
      <c r="CA138" t="s">
        <v>610</v>
      </c>
      <c r="CB138">
        <v>0</v>
      </c>
      <c r="CF138" t="s">
        <v>357</v>
      </c>
      <c r="CG138">
        <v>2025</v>
      </c>
      <c r="CH138" t="s">
        <v>138</v>
      </c>
      <c r="CI138" t="s">
        <v>139</v>
      </c>
    </row>
    <row r="139" spans="1:87" x14ac:dyDescent="0.3">
      <c r="A139" t="s">
        <v>115</v>
      </c>
      <c r="B139" t="s">
        <v>116</v>
      </c>
      <c r="C139" t="s">
        <v>117</v>
      </c>
      <c r="D139" t="s">
        <v>118</v>
      </c>
      <c r="E139" t="s">
        <v>14</v>
      </c>
      <c r="F139" t="s">
        <v>594</v>
      </c>
      <c r="G139">
        <v>81.790000000000006</v>
      </c>
      <c r="H139">
        <v>19.690000000000001</v>
      </c>
      <c r="I139" s="14">
        <v>679000</v>
      </c>
      <c r="J139" s="14">
        <v>679000</v>
      </c>
      <c r="Q139" s="14"/>
      <c r="R139" s="14"/>
      <c r="Y139" s="14"/>
      <c r="Z139" s="14"/>
      <c r="AG139" s="14"/>
      <c r="AH139" s="14"/>
      <c r="AI139" t="s">
        <v>595</v>
      </c>
      <c r="AJ139" t="s">
        <v>596</v>
      </c>
      <c r="AK139" t="s">
        <v>597</v>
      </c>
      <c r="AL139">
        <v>997463109</v>
      </c>
      <c r="AM139" t="s">
        <v>598</v>
      </c>
      <c r="AN139" t="s">
        <v>599</v>
      </c>
      <c r="AO139" t="s">
        <v>125</v>
      </c>
      <c r="AP139" t="s">
        <v>600</v>
      </c>
      <c r="AQ139" s="15">
        <v>45846</v>
      </c>
      <c r="AR139" s="15">
        <v>45846</v>
      </c>
      <c r="AS139" t="s">
        <v>227</v>
      </c>
      <c r="AT139">
        <v>1</v>
      </c>
      <c r="AU139">
        <v>379000</v>
      </c>
      <c r="AV139">
        <v>0</v>
      </c>
      <c r="AW139">
        <v>0</v>
      </c>
      <c r="AX139" s="14">
        <v>379000</v>
      </c>
      <c r="AY139" s="14">
        <v>379000</v>
      </c>
      <c r="AZ139" s="14">
        <v>0</v>
      </c>
      <c r="BA139">
        <v>0</v>
      </c>
      <c r="BB139" t="s">
        <v>23</v>
      </c>
      <c r="BC139" t="s">
        <v>128</v>
      </c>
      <c r="BD139" t="s">
        <v>129</v>
      </c>
      <c r="BE139" t="s">
        <v>130</v>
      </c>
      <c r="BF139" t="s">
        <v>596</v>
      </c>
      <c r="BG139" t="s">
        <v>611</v>
      </c>
      <c r="BH139" t="s">
        <v>132</v>
      </c>
      <c r="BI139" t="s">
        <v>154</v>
      </c>
      <c r="BJ139">
        <v>4</v>
      </c>
      <c r="BK139" t="s">
        <v>133</v>
      </c>
      <c r="BV139" t="s">
        <v>134</v>
      </c>
      <c r="BW139" s="16">
        <v>45811.650694444441</v>
      </c>
      <c r="BX139" t="s">
        <v>135</v>
      </c>
      <c r="BZ139">
        <v>26</v>
      </c>
      <c r="CA139" t="s">
        <v>612</v>
      </c>
      <c r="CB139">
        <v>0</v>
      </c>
      <c r="CF139" t="s">
        <v>357</v>
      </c>
      <c r="CG139">
        <v>2025</v>
      </c>
      <c r="CH139" t="s">
        <v>138</v>
      </c>
      <c r="CI139" t="s">
        <v>139</v>
      </c>
    </row>
    <row r="140" spans="1:87" x14ac:dyDescent="0.3">
      <c r="A140" t="s">
        <v>115</v>
      </c>
      <c r="B140" t="s">
        <v>116</v>
      </c>
      <c r="C140" t="s">
        <v>117</v>
      </c>
      <c r="D140" t="s">
        <v>118</v>
      </c>
      <c r="E140" t="s">
        <v>140</v>
      </c>
      <c r="F140" t="s">
        <v>613</v>
      </c>
      <c r="G140">
        <v>12.5</v>
      </c>
      <c r="H140">
        <v>5.32</v>
      </c>
      <c r="I140" s="14">
        <v>66300</v>
      </c>
      <c r="J140" s="14">
        <v>66300</v>
      </c>
      <c r="Q140" s="14"/>
      <c r="R140" s="14"/>
      <c r="Y140" s="14"/>
      <c r="Z140" s="14"/>
      <c r="AG140" s="14"/>
      <c r="AH140" s="14"/>
      <c r="AI140" t="s">
        <v>595</v>
      </c>
      <c r="AJ140" t="s">
        <v>596</v>
      </c>
      <c r="AK140" t="s">
        <v>597</v>
      </c>
      <c r="AL140">
        <v>997463109</v>
      </c>
      <c r="AM140" t="s">
        <v>598</v>
      </c>
      <c r="AN140" t="s">
        <v>599</v>
      </c>
      <c r="AO140" t="s">
        <v>125</v>
      </c>
      <c r="AP140" t="s">
        <v>600</v>
      </c>
      <c r="AQ140" s="15">
        <v>45824</v>
      </c>
      <c r="AR140" s="15">
        <v>45824</v>
      </c>
      <c r="AS140" t="s">
        <v>127</v>
      </c>
      <c r="AT140">
        <v>1</v>
      </c>
      <c r="AU140">
        <v>3000</v>
      </c>
      <c r="AV140">
        <v>0</v>
      </c>
      <c r="AW140">
        <v>0</v>
      </c>
      <c r="AX140" s="14">
        <v>3000</v>
      </c>
      <c r="AY140" s="14">
        <v>3000</v>
      </c>
      <c r="AZ140" s="14">
        <v>0</v>
      </c>
      <c r="BA140">
        <v>0</v>
      </c>
      <c r="BB140" t="s">
        <v>22</v>
      </c>
      <c r="BC140" t="s">
        <v>128</v>
      </c>
      <c r="BD140" t="s">
        <v>129</v>
      </c>
      <c r="BE140" t="s">
        <v>130</v>
      </c>
      <c r="BG140" t="s">
        <v>614</v>
      </c>
      <c r="BH140" t="s">
        <v>132</v>
      </c>
      <c r="BJ140">
        <v>4</v>
      </c>
      <c r="BK140" t="s">
        <v>133</v>
      </c>
      <c r="BV140" t="s">
        <v>134</v>
      </c>
      <c r="BW140" s="16">
        <v>45862.565972222219</v>
      </c>
      <c r="BX140" t="s">
        <v>143</v>
      </c>
      <c r="BZ140">
        <v>55</v>
      </c>
      <c r="CA140" t="s">
        <v>615</v>
      </c>
      <c r="CB140">
        <v>0</v>
      </c>
      <c r="CF140" t="s">
        <v>357</v>
      </c>
      <c r="CG140">
        <v>2025</v>
      </c>
      <c r="CH140" t="s">
        <v>138</v>
      </c>
      <c r="CI140" t="s">
        <v>139</v>
      </c>
    </row>
    <row r="141" spans="1:87" x14ac:dyDescent="0.3">
      <c r="A141" t="s">
        <v>115</v>
      </c>
      <c r="B141" t="s">
        <v>116</v>
      </c>
      <c r="C141" t="s">
        <v>117</v>
      </c>
      <c r="D141" t="s">
        <v>118</v>
      </c>
      <c r="E141" t="s">
        <v>140</v>
      </c>
      <c r="F141" t="s">
        <v>613</v>
      </c>
      <c r="G141">
        <v>12.5</v>
      </c>
      <c r="H141">
        <v>5.32</v>
      </c>
      <c r="I141" s="14">
        <v>66300</v>
      </c>
      <c r="J141" s="14">
        <v>66300</v>
      </c>
      <c r="Q141" s="14"/>
      <c r="R141" s="14"/>
      <c r="Y141" s="14"/>
      <c r="Z141" s="14"/>
      <c r="AG141" s="14"/>
      <c r="AH141" s="14"/>
      <c r="AI141" t="s">
        <v>595</v>
      </c>
      <c r="AJ141" t="s">
        <v>596</v>
      </c>
      <c r="AK141" t="s">
        <v>597</v>
      </c>
      <c r="AL141">
        <v>997463109</v>
      </c>
      <c r="AM141" t="s">
        <v>598</v>
      </c>
      <c r="AN141" t="s">
        <v>599</v>
      </c>
      <c r="AO141" t="s">
        <v>125</v>
      </c>
      <c r="AP141" t="s">
        <v>600</v>
      </c>
      <c r="AQ141" s="15">
        <v>45824</v>
      </c>
      <c r="AR141" s="15">
        <v>45824</v>
      </c>
      <c r="AS141" t="s">
        <v>145</v>
      </c>
      <c r="AT141">
        <v>1</v>
      </c>
      <c r="AU141">
        <v>7000</v>
      </c>
      <c r="AV141">
        <v>0</v>
      </c>
      <c r="AW141">
        <v>0</v>
      </c>
      <c r="AX141" s="14">
        <v>7000</v>
      </c>
      <c r="AY141" s="14">
        <v>7000</v>
      </c>
      <c r="AZ141" s="14">
        <v>0</v>
      </c>
      <c r="BA141">
        <v>0</v>
      </c>
      <c r="BB141" t="s">
        <v>22</v>
      </c>
      <c r="BC141" t="s">
        <v>128</v>
      </c>
      <c r="BD141" t="s">
        <v>129</v>
      </c>
      <c r="BE141" t="s">
        <v>130</v>
      </c>
      <c r="BG141" t="s">
        <v>614</v>
      </c>
      <c r="BH141" t="s">
        <v>132</v>
      </c>
      <c r="BJ141">
        <v>4</v>
      </c>
      <c r="BK141" t="s">
        <v>133</v>
      </c>
      <c r="BV141" t="s">
        <v>134</v>
      </c>
      <c r="BW141" s="16">
        <v>45862.565972222219</v>
      </c>
      <c r="BX141" t="s">
        <v>143</v>
      </c>
      <c r="BZ141">
        <v>55</v>
      </c>
      <c r="CA141" t="s">
        <v>616</v>
      </c>
      <c r="CB141">
        <v>0</v>
      </c>
      <c r="CF141" t="s">
        <v>357</v>
      </c>
      <c r="CG141">
        <v>2025</v>
      </c>
      <c r="CH141" t="s">
        <v>138</v>
      </c>
      <c r="CI141" t="s">
        <v>139</v>
      </c>
    </row>
    <row r="142" spans="1:87" x14ac:dyDescent="0.3">
      <c r="A142" t="s">
        <v>115</v>
      </c>
      <c r="B142" t="s">
        <v>116</v>
      </c>
      <c r="C142" t="s">
        <v>117</v>
      </c>
      <c r="D142" t="s">
        <v>118</v>
      </c>
      <c r="E142" t="s">
        <v>140</v>
      </c>
      <c r="F142" t="s">
        <v>613</v>
      </c>
      <c r="G142">
        <v>12.5</v>
      </c>
      <c r="H142">
        <v>5.32</v>
      </c>
      <c r="I142" s="14">
        <v>66300</v>
      </c>
      <c r="J142" s="14">
        <v>66300</v>
      </c>
      <c r="Q142" s="14"/>
      <c r="R142" s="14"/>
      <c r="Y142" s="14"/>
      <c r="Z142" s="14"/>
      <c r="AG142" s="14"/>
      <c r="AH142" s="14"/>
      <c r="AI142" t="s">
        <v>595</v>
      </c>
      <c r="AJ142" t="s">
        <v>596</v>
      </c>
      <c r="AK142" t="s">
        <v>597</v>
      </c>
      <c r="AL142">
        <v>997463109</v>
      </c>
      <c r="AM142" t="s">
        <v>598</v>
      </c>
      <c r="AN142" t="s">
        <v>599</v>
      </c>
      <c r="AO142" t="s">
        <v>125</v>
      </c>
      <c r="AP142" t="s">
        <v>600</v>
      </c>
      <c r="AQ142" s="15">
        <v>45867</v>
      </c>
      <c r="AR142" s="15">
        <v>45862</v>
      </c>
      <c r="AS142" t="s">
        <v>227</v>
      </c>
      <c r="AT142">
        <v>1</v>
      </c>
      <c r="AU142">
        <v>7037.5</v>
      </c>
      <c r="AV142">
        <v>0</v>
      </c>
      <c r="AW142">
        <v>0</v>
      </c>
      <c r="AX142" s="14">
        <v>7037.5</v>
      </c>
      <c r="AY142" s="14">
        <v>7037.5</v>
      </c>
      <c r="AZ142" s="14">
        <v>0</v>
      </c>
      <c r="BA142">
        <v>0</v>
      </c>
      <c r="BB142" t="s">
        <v>22</v>
      </c>
      <c r="BC142" t="s">
        <v>128</v>
      </c>
      <c r="BD142" t="s">
        <v>129</v>
      </c>
      <c r="BE142" t="s">
        <v>130</v>
      </c>
      <c r="BG142" t="s">
        <v>617</v>
      </c>
      <c r="BH142" t="s">
        <v>132</v>
      </c>
      <c r="BJ142">
        <v>4</v>
      </c>
      <c r="BK142" t="s">
        <v>133</v>
      </c>
      <c r="BV142" t="s">
        <v>134</v>
      </c>
      <c r="BW142" s="16">
        <v>45862.565972222219</v>
      </c>
      <c r="BX142" t="s">
        <v>143</v>
      </c>
      <c r="BZ142">
        <v>55</v>
      </c>
      <c r="CA142" t="s">
        <v>618</v>
      </c>
      <c r="CB142">
        <v>0</v>
      </c>
      <c r="CF142" t="s">
        <v>357</v>
      </c>
      <c r="CG142">
        <v>2025</v>
      </c>
      <c r="CH142" t="s">
        <v>138</v>
      </c>
      <c r="CI142" t="s">
        <v>139</v>
      </c>
    </row>
    <row r="143" spans="1:87" x14ac:dyDescent="0.3">
      <c r="A143" t="s">
        <v>115</v>
      </c>
      <c r="B143" t="s">
        <v>116</v>
      </c>
      <c r="C143" t="s">
        <v>117</v>
      </c>
      <c r="D143" t="s">
        <v>118</v>
      </c>
      <c r="E143" t="s">
        <v>140</v>
      </c>
      <c r="F143" t="s">
        <v>613</v>
      </c>
      <c r="G143">
        <v>12.5</v>
      </c>
      <c r="H143">
        <v>5.32</v>
      </c>
      <c r="I143" s="14">
        <v>66300</v>
      </c>
      <c r="J143" s="14">
        <v>66300</v>
      </c>
      <c r="Q143" s="14"/>
      <c r="R143" s="14"/>
      <c r="Y143" s="14"/>
      <c r="Z143" s="14"/>
      <c r="AG143" s="14"/>
      <c r="AH143" s="14"/>
      <c r="AI143" t="s">
        <v>595</v>
      </c>
      <c r="AJ143" t="s">
        <v>596</v>
      </c>
      <c r="AK143" t="s">
        <v>597</v>
      </c>
      <c r="AL143">
        <v>997463109</v>
      </c>
      <c r="AM143" t="s">
        <v>598</v>
      </c>
      <c r="AN143" t="s">
        <v>599</v>
      </c>
      <c r="AO143" t="s">
        <v>125</v>
      </c>
      <c r="AP143" t="s">
        <v>600</v>
      </c>
      <c r="AQ143" s="15">
        <v>45898</v>
      </c>
      <c r="AR143" s="15">
        <v>45888</v>
      </c>
      <c r="AS143" t="s">
        <v>227</v>
      </c>
      <c r="AT143">
        <v>2</v>
      </c>
      <c r="AU143">
        <v>7037.5</v>
      </c>
      <c r="AV143">
        <v>0</v>
      </c>
      <c r="AW143">
        <v>0</v>
      </c>
      <c r="AX143" s="14">
        <v>7037.5</v>
      </c>
      <c r="AY143" s="14">
        <v>7037.5</v>
      </c>
      <c r="AZ143" s="14">
        <v>0</v>
      </c>
      <c r="BA143">
        <v>0</v>
      </c>
      <c r="BB143" t="s">
        <v>22</v>
      </c>
      <c r="BC143" t="s">
        <v>128</v>
      </c>
      <c r="BD143" t="s">
        <v>129</v>
      </c>
      <c r="BE143" t="s">
        <v>130</v>
      </c>
      <c r="BG143" t="s">
        <v>619</v>
      </c>
      <c r="BH143" t="s">
        <v>132</v>
      </c>
      <c r="BJ143">
        <v>4</v>
      </c>
      <c r="BK143" t="s">
        <v>133</v>
      </c>
      <c r="BV143" t="s">
        <v>134</v>
      </c>
      <c r="BW143" s="16">
        <v>45862.565972222219</v>
      </c>
      <c r="BX143" t="s">
        <v>143</v>
      </c>
      <c r="BZ143">
        <v>55</v>
      </c>
      <c r="CA143" t="s">
        <v>620</v>
      </c>
      <c r="CB143">
        <v>0</v>
      </c>
      <c r="CF143" t="s">
        <v>357</v>
      </c>
      <c r="CG143">
        <v>2025</v>
      </c>
      <c r="CH143" t="s">
        <v>138</v>
      </c>
      <c r="CI143" t="s">
        <v>139</v>
      </c>
    </row>
    <row r="144" spans="1:87" x14ac:dyDescent="0.3">
      <c r="A144" t="s">
        <v>115</v>
      </c>
      <c r="B144" t="s">
        <v>116</v>
      </c>
      <c r="C144" t="s">
        <v>117</v>
      </c>
      <c r="D144" t="s">
        <v>118</v>
      </c>
      <c r="E144" t="s">
        <v>140</v>
      </c>
      <c r="F144" t="s">
        <v>613</v>
      </c>
      <c r="G144">
        <v>12.5</v>
      </c>
      <c r="H144">
        <v>5.32</v>
      </c>
      <c r="I144" s="14">
        <v>66300</v>
      </c>
      <c r="J144" s="14">
        <v>66300</v>
      </c>
      <c r="Q144" s="14"/>
      <c r="R144" s="14"/>
      <c r="Y144" s="14"/>
      <c r="Z144" s="14"/>
      <c r="AG144" s="14"/>
      <c r="AH144" s="14"/>
      <c r="AI144" t="s">
        <v>595</v>
      </c>
      <c r="AJ144" t="s">
        <v>596</v>
      </c>
      <c r="AK144" t="s">
        <v>597</v>
      </c>
      <c r="AL144">
        <v>997463109</v>
      </c>
      <c r="AM144" t="s">
        <v>598</v>
      </c>
      <c r="AN144" t="s">
        <v>599</v>
      </c>
      <c r="AO144" t="s">
        <v>125</v>
      </c>
      <c r="AP144" t="s">
        <v>600</v>
      </c>
      <c r="AQ144" s="15">
        <v>45929</v>
      </c>
      <c r="AR144" s="15">
        <v>45929</v>
      </c>
      <c r="AS144" t="s">
        <v>227</v>
      </c>
      <c r="AT144">
        <v>3</v>
      </c>
      <c r="AU144">
        <v>7037.5</v>
      </c>
      <c r="AV144">
        <v>0</v>
      </c>
      <c r="AW144">
        <v>0</v>
      </c>
      <c r="AX144" s="14">
        <v>7037.5</v>
      </c>
      <c r="AY144" s="14">
        <v>7037.5</v>
      </c>
      <c r="AZ144" s="14">
        <v>0</v>
      </c>
      <c r="BA144">
        <v>0</v>
      </c>
      <c r="BB144" t="s">
        <v>22</v>
      </c>
      <c r="BC144" t="s">
        <v>128</v>
      </c>
      <c r="BD144" t="s">
        <v>129</v>
      </c>
      <c r="BE144" t="s">
        <v>130</v>
      </c>
      <c r="BG144" t="s">
        <v>621</v>
      </c>
      <c r="BH144" t="s">
        <v>132</v>
      </c>
      <c r="BJ144">
        <v>4</v>
      </c>
      <c r="BK144" t="s">
        <v>133</v>
      </c>
      <c r="BV144" t="s">
        <v>134</v>
      </c>
      <c r="BW144" s="16">
        <v>45862.565972222219</v>
      </c>
      <c r="BX144" t="s">
        <v>143</v>
      </c>
      <c r="BZ144">
        <v>55</v>
      </c>
      <c r="CA144" t="s">
        <v>622</v>
      </c>
      <c r="CB144">
        <v>0</v>
      </c>
      <c r="CF144" t="s">
        <v>357</v>
      </c>
      <c r="CG144">
        <v>2025</v>
      </c>
      <c r="CH144" t="s">
        <v>138</v>
      </c>
      <c r="CI144" t="s">
        <v>139</v>
      </c>
    </row>
    <row r="145" spans="1:87" x14ac:dyDescent="0.3">
      <c r="A145" t="s">
        <v>115</v>
      </c>
      <c r="B145" t="s">
        <v>116</v>
      </c>
      <c r="C145" t="s">
        <v>117</v>
      </c>
      <c r="D145" t="s">
        <v>118</v>
      </c>
      <c r="E145" t="s">
        <v>140</v>
      </c>
      <c r="F145" t="s">
        <v>613</v>
      </c>
      <c r="G145">
        <v>12.5</v>
      </c>
      <c r="H145">
        <v>5.32</v>
      </c>
      <c r="I145" s="14">
        <v>66300</v>
      </c>
      <c r="J145" s="14">
        <v>66300</v>
      </c>
      <c r="Q145" s="14"/>
      <c r="R145" s="14"/>
      <c r="Y145" s="14"/>
      <c r="Z145" s="14"/>
      <c r="AG145" s="14"/>
      <c r="AH145" s="14"/>
      <c r="AI145" t="s">
        <v>595</v>
      </c>
      <c r="AJ145" t="s">
        <v>596</v>
      </c>
      <c r="AK145" t="s">
        <v>597</v>
      </c>
      <c r="AL145">
        <v>997463109</v>
      </c>
      <c r="AM145" t="s">
        <v>598</v>
      </c>
      <c r="AN145" t="s">
        <v>599</v>
      </c>
      <c r="AO145" t="s">
        <v>125</v>
      </c>
      <c r="AP145" t="s">
        <v>600</v>
      </c>
      <c r="AQ145" s="15">
        <v>45959</v>
      </c>
      <c r="AR145" s="15">
        <v>45957</v>
      </c>
      <c r="AS145" t="s">
        <v>227</v>
      </c>
      <c r="AT145">
        <v>4</v>
      </c>
      <c r="AU145">
        <v>7037.5</v>
      </c>
      <c r="AV145">
        <v>0</v>
      </c>
      <c r="AW145">
        <v>0</v>
      </c>
      <c r="AX145" s="14">
        <v>7037.5</v>
      </c>
      <c r="AY145" s="14">
        <v>7037.5</v>
      </c>
      <c r="AZ145" s="14">
        <v>0</v>
      </c>
      <c r="BA145">
        <v>0</v>
      </c>
      <c r="BB145" t="s">
        <v>22</v>
      </c>
      <c r="BC145" t="s">
        <v>128</v>
      </c>
      <c r="BD145" t="s">
        <v>129</v>
      </c>
      <c r="BE145" t="s">
        <v>130</v>
      </c>
      <c r="BG145" t="s">
        <v>619</v>
      </c>
      <c r="BH145" t="s">
        <v>132</v>
      </c>
      <c r="BJ145">
        <v>4</v>
      </c>
      <c r="BK145" t="s">
        <v>133</v>
      </c>
      <c r="BV145" t="s">
        <v>134</v>
      </c>
      <c r="BW145" s="16">
        <v>45862.565972222219</v>
      </c>
      <c r="BX145" t="s">
        <v>143</v>
      </c>
      <c r="BZ145">
        <v>55</v>
      </c>
      <c r="CA145" t="s">
        <v>623</v>
      </c>
      <c r="CB145">
        <v>0</v>
      </c>
      <c r="CF145" t="s">
        <v>357</v>
      </c>
      <c r="CG145">
        <v>2025</v>
      </c>
      <c r="CH145" t="s">
        <v>138</v>
      </c>
      <c r="CI145" t="s">
        <v>139</v>
      </c>
    </row>
    <row r="146" spans="1:87" x14ac:dyDescent="0.3">
      <c r="A146" t="s">
        <v>115</v>
      </c>
      <c r="B146" t="s">
        <v>116</v>
      </c>
      <c r="C146" t="s">
        <v>117</v>
      </c>
      <c r="D146" t="s">
        <v>118</v>
      </c>
      <c r="E146" t="s">
        <v>140</v>
      </c>
      <c r="F146" t="s">
        <v>613</v>
      </c>
      <c r="G146">
        <v>12.5</v>
      </c>
      <c r="H146">
        <v>5.32</v>
      </c>
      <c r="I146" s="14">
        <v>66300</v>
      </c>
      <c r="J146" s="14">
        <v>66300</v>
      </c>
      <c r="Q146" s="14"/>
      <c r="R146" s="14"/>
      <c r="Y146" s="14"/>
      <c r="Z146" s="14"/>
      <c r="AG146" s="14"/>
      <c r="AH146" s="14"/>
      <c r="AI146" t="s">
        <v>595</v>
      </c>
      <c r="AJ146" t="s">
        <v>596</v>
      </c>
      <c r="AK146" t="s">
        <v>597</v>
      </c>
      <c r="AL146">
        <v>997463109</v>
      </c>
      <c r="AM146" t="s">
        <v>598</v>
      </c>
      <c r="AN146" t="s">
        <v>599</v>
      </c>
      <c r="AO146" t="s">
        <v>125</v>
      </c>
      <c r="AP146" t="s">
        <v>600</v>
      </c>
      <c r="AQ146" s="15">
        <v>45990</v>
      </c>
      <c r="AR146" s="15">
        <v>45990</v>
      </c>
      <c r="AS146" t="s">
        <v>227</v>
      </c>
      <c r="AT146">
        <v>5</v>
      </c>
      <c r="AU146">
        <v>7037.5</v>
      </c>
      <c r="AV146">
        <v>0</v>
      </c>
      <c r="AW146">
        <v>0</v>
      </c>
      <c r="AX146" s="14">
        <v>7037.5</v>
      </c>
      <c r="AY146" s="14">
        <v>7037.5</v>
      </c>
      <c r="AZ146" s="14">
        <v>0</v>
      </c>
      <c r="BA146">
        <v>0</v>
      </c>
      <c r="BB146" t="s">
        <v>22</v>
      </c>
      <c r="BC146" t="s">
        <v>128</v>
      </c>
      <c r="BD146" t="s">
        <v>129</v>
      </c>
      <c r="BE146" t="s">
        <v>130</v>
      </c>
      <c r="BG146" t="s">
        <v>624</v>
      </c>
      <c r="BH146" t="s">
        <v>132</v>
      </c>
      <c r="BJ146">
        <v>4</v>
      </c>
      <c r="BK146" t="s">
        <v>133</v>
      </c>
      <c r="BV146" t="s">
        <v>134</v>
      </c>
      <c r="BW146" s="16">
        <v>45862.565972222219</v>
      </c>
      <c r="BX146" t="s">
        <v>143</v>
      </c>
      <c r="BZ146">
        <v>55</v>
      </c>
      <c r="CA146" t="s">
        <v>625</v>
      </c>
      <c r="CB146">
        <v>0</v>
      </c>
      <c r="CF146" t="s">
        <v>357</v>
      </c>
      <c r="CG146">
        <v>2025</v>
      </c>
      <c r="CH146" t="s">
        <v>138</v>
      </c>
      <c r="CI146" t="s">
        <v>139</v>
      </c>
    </row>
    <row r="147" spans="1:87" x14ac:dyDescent="0.3">
      <c r="A147" t="s">
        <v>115</v>
      </c>
      <c r="B147" t="s">
        <v>116</v>
      </c>
      <c r="C147" t="s">
        <v>117</v>
      </c>
      <c r="D147" t="s">
        <v>118</v>
      </c>
      <c r="E147" t="s">
        <v>140</v>
      </c>
      <c r="F147" t="s">
        <v>613</v>
      </c>
      <c r="G147">
        <v>12.5</v>
      </c>
      <c r="H147">
        <v>5.32</v>
      </c>
      <c r="I147" s="14">
        <v>66300</v>
      </c>
      <c r="J147" s="14">
        <v>66300</v>
      </c>
      <c r="Q147" s="14"/>
      <c r="R147" s="14"/>
      <c r="Y147" s="14"/>
      <c r="Z147" s="14"/>
      <c r="AG147" s="14"/>
      <c r="AH147" s="14"/>
      <c r="AI147" t="s">
        <v>595</v>
      </c>
      <c r="AJ147" t="s">
        <v>596</v>
      </c>
      <c r="AK147" t="s">
        <v>597</v>
      </c>
      <c r="AL147">
        <v>997463109</v>
      </c>
      <c r="AM147" t="s">
        <v>598</v>
      </c>
      <c r="AN147" t="s">
        <v>599</v>
      </c>
      <c r="AO147" t="s">
        <v>125</v>
      </c>
      <c r="AP147" t="s">
        <v>600</v>
      </c>
      <c r="AQ147" s="15">
        <v>46020</v>
      </c>
      <c r="AR147" s="15">
        <v>46008</v>
      </c>
      <c r="AS147" t="s">
        <v>227</v>
      </c>
      <c r="AT147">
        <v>6</v>
      </c>
      <c r="AU147">
        <v>7037.5</v>
      </c>
      <c r="AV147">
        <v>0</v>
      </c>
      <c r="AW147">
        <v>0</v>
      </c>
      <c r="AX147" s="14">
        <v>7037.5</v>
      </c>
      <c r="AY147" s="14">
        <v>7037.5</v>
      </c>
      <c r="AZ147" s="14">
        <v>0</v>
      </c>
      <c r="BA147">
        <v>0</v>
      </c>
      <c r="BB147" t="s">
        <v>22</v>
      </c>
      <c r="BC147" t="s">
        <v>128</v>
      </c>
      <c r="BD147" t="s">
        <v>129</v>
      </c>
      <c r="BE147" t="s">
        <v>130</v>
      </c>
      <c r="BG147" t="s">
        <v>626</v>
      </c>
      <c r="BH147" t="s">
        <v>132</v>
      </c>
      <c r="BJ147">
        <v>4</v>
      </c>
      <c r="BK147" t="s">
        <v>133</v>
      </c>
      <c r="BV147" t="s">
        <v>134</v>
      </c>
      <c r="BW147" s="16">
        <v>45862.565972222219</v>
      </c>
      <c r="BX147" t="s">
        <v>143</v>
      </c>
      <c r="BZ147">
        <v>55</v>
      </c>
      <c r="CA147" t="s">
        <v>625</v>
      </c>
      <c r="CB147">
        <v>0</v>
      </c>
      <c r="CF147" t="s">
        <v>357</v>
      </c>
      <c r="CG147">
        <v>2025</v>
      </c>
      <c r="CH147" t="s">
        <v>138</v>
      </c>
      <c r="CI147" t="s">
        <v>139</v>
      </c>
    </row>
    <row r="148" spans="1:87" x14ac:dyDescent="0.3">
      <c r="A148" t="s">
        <v>115</v>
      </c>
      <c r="B148" t="s">
        <v>116</v>
      </c>
      <c r="C148" t="s">
        <v>117</v>
      </c>
      <c r="D148" t="s">
        <v>118</v>
      </c>
      <c r="E148" t="s">
        <v>14</v>
      </c>
      <c r="F148" t="s">
        <v>190</v>
      </c>
      <c r="G148">
        <v>68.72</v>
      </c>
      <c r="H148">
        <v>0</v>
      </c>
      <c r="I148" s="14">
        <v>490000</v>
      </c>
      <c r="J148" s="14">
        <v>490000</v>
      </c>
      <c r="Q148" s="14"/>
      <c r="R148" s="14"/>
      <c r="Y148" s="14"/>
      <c r="Z148" s="14"/>
      <c r="AG148" s="14"/>
      <c r="AH148" s="14"/>
      <c r="AI148" t="s">
        <v>191</v>
      </c>
      <c r="AJ148" t="s">
        <v>192</v>
      </c>
      <c r="AK148" t="s">
        <v>193</v>
      </c>
      <c r="AM148" t="s">
        <v>194</v>
      </c>
      <c r="AN148" t="s">
        <v>195</v>
      </c>
      <c r="AO148" t="s">
        <v>125</v>
      </c>
      <c r="AP148" t="s">
        <v>196</v>
      </c>
      <c r="AQ148" s="15">
        <v>45750</v>
      </c>
      <c r="AR148" s="15">
        <v>45750</v>
      </c>
      <c r="AS148" t="s">
        <v>127</v>
      </c>
      <c r="AT148">
        <v>4</v>
      </c>
      <c r="AU148">
        <v>10000</v>
      </c>
      <c r="AV148">
        <v>0</v>
      </c>
      <c r="AW148">
        <v>0</v>
      </c>
      <c r="AX148" s="14">
        <v>10000</v>
      </c>
      <c r="AY148" s="14">
        <v>10000</v>
      </c>
      <c r="AZ148" s="14">
        <v>0</v>
      </c>
      <c r="BA148">
        <v>0</v>
      </c>
      <c r="BB148" t="s">
        <v>23</v>
      </c>
      <c r="BC148" t="s">
        <v>128</v>
      </c>
      <c r="BD148" t="s">
        <v>129</v>
      </c>
      <c r="BE148" t="s">
        <v>130</v>
      </c>
      <c r="BG148" t="s">
        <v>627</v>
      </c>
      <c r="BH148" t="s">
        <v>132</v>
      </c>
      <c r="BJ148">
        <v>4</v>
      </c>
      <c r="BK148" t="s">
        <v>133</v>
      </c>
      <c r="BV148" t="s">
        <v>134</v>
      </c>
      <c r="BW148" s="16">
        <v>45750.732638888891</v>
      </c>
      <c r="BX148" t="s">
        <v>178</v>
      </c>
      <c r="BZ148">
        <v>5</v>
      </c>
      <c r="CA148" t="s">
        <v>628</v>
      </c>
      <c r="CB148">
        <v>0</v>
      </c>
      <c r="CF148" t="s">
        <v>357</v>
      </c>
      <c r="CG148">
        <v>2025</v>
      </c>
      <c r="CH148" t="s">
        <v>138</v>
      </c>
      <c r="CI148" t="s">
        <v>139</v>
      </c>
    </row>
    <row r="149" spans="1:87" x14ac:dyDescent="0.3">
      <c r="A149" t="s">
        <v>115</v>
      </c>
      <c r="B149" t="s">
        <v>116</v>
      </c>
      <c r="C149" t="s">
        <v>117</v>
      </c>
      <c r="D149" t="s">
        <v>118</v>
      </c>
      <c r="E149" t="s">
        <v>14</v>
      </c>
      <c r="F149" t="s">
        <v>190</v>
      </c>
      <c r="G149">
        <v>68.72</v>
      </c>
      <c r="H149">
        <v>0</v>
      </c>
      <c r="I149" s="14">
        <v>490000</v>
      </c>
      <c r="J149" s="14">
        <v>490000</v>
      </c>
      <c r="Q149" s="14"/>
      <c r="R149" s="14"/>
      <c r="Y149" s="14"/>
      <c r="Z149" s="14"/>
      <c r="AG149" s="14"/>
      <c r="AH149" s="14"/>
      <c r="AI149" t="s">
        <v>191</v>
      </c>
      <c r="AJ149" t="s">
        <v>192</v>
      </c>
      <c r="AK149" t="s">
        <v>193</v>
      </c>
      <c r="AM149" t="s">
        <v>194</v>
      </c>
      <c r="AN149" t="s">
        <v>195</v>
      </c>
      <c r="AO149" t="s">
        <v>125</v>
      </c>
      <c r="AP149" t="s">
        <v>196</v>
      </c>
      <c r="AQ149" s="15">
        <v>45750</v>
      </c>
      <c r="AR149" s="15">
        <v>45750</v>
      </c>
      <c r="AS149" t="s">
        <v>145</v>
      </c>
      <c r="AT149">
        <v>1</v>
      </c>
      <c r="AU149">
        <v>86000</v>
      </c>
      <c r="AV149">
        <v>0</v>
      </c>
      <c r="AW149">
        <v>0</v>
      </c>
      <c r="AX149" s="14">
        <v>86000</v>
      </c>
      <c r="AY149" s="14">
        <v>86000</v>
      </c>
      <c r="AZ149" s="14">
        <v>0</v>
      </c>
      <c r="BA149">
        <v>0</v>
      </c>
      <c r="BB149" t="s">
        <v>23</v>
      </c>
      <c r="BC149" t="s">
        <v>128</v>
      </c>
      <c r="BD149" t="s">
        <v>129</v>
      </c>
      <c r="BE149" t="s">
        <v>130</v>
      </c>
      <c r="BG149" t="s">
        <v>627</v>
      </c>
      <c r="BH149" t="s">
        <v>132</v>
      </c>
      <c r="BJ149">
        <v>4</v>
      </c>
      <c r="BK149" t="s">
        <v>133</v>
      </c>
      <c r="BV149" t="s">
        <v>134</v>
      </c>
      <c r="BW149" s="16">
        <v>45750.732638888891</v>
      </c>
      <c r="BX149" t="s">
        <v>178</v>
      </c>
      <c r="BZ149">
        <v>5</v>
      </c>
      <c r="CA149" t="s">
        <v>628</v>
      </c>
      <c r="CB149">
        <v>0</v>
      </c>
      <c r="CF149" t="s">
        <v>357</v>
      </c>
      <c r="CG149">
        <v>2025</v>
      </c>
      <c r="CH149" t="s">
        <v>138</v>
      </c>
      <c r="CI149" t="s">
        <v>139</v>
      </c>
    </row>
    <row r="150" spans="1:87" x14ac:dyDescent="0.3">
      <c r="A150" t="s">
        <v>115</v>
      </c>
      <c r="B150" t="s">
        <v>116</v>
      </c>
      <c r="C150" t="s">
        <v>117</v>
      </c>
      <c r="D150" t="s">
        <v>118</v>
      </c>
      <c r="E150" t="s">
        <v>14</v>
      </c>
      <c r="F150" t="s">
        <v>190</v>
      </c>
      <c r="G150">
        <v>68.72</v>
      </c>
      <c r="H150">
        <v>0</v>
      </c>
      <c r="I150" s="14">
        <v>490000</v>
      </c>
      <c r="J150" s="14">
        <v>490000</v>
      </c>
      <c r="Q150" s="14"/>
      <c r="R150" s="14"/>
      <c r="Y150" s="14"/>
      <c r="Z150" s="14"/>
      <c r="AG150" s="14"/>
      <c r="AH150" s="14"/>
      <c r="AI150" t="s">
        <v>191</v>
      </c>
      <c r="AJ150" t="s">
        <v>192</v>
      </c>
      <c r="AK150" t="s">
        <v>193</v>
      </c>
      <c r="AM150" t="s">
        <v>194</v>
      </c>
      <c r="AN150" t="s">
        <v>195</v>
      </c>
      <c r="AO150" t="s">
        <v>125</v>
      </c>
      <c r="AP150" t="s">
        <v>196</v>
      </c>
      <c r="AQ150" s="15">
        <v>45777</v>
      </c>
      <c r="AR150" s="15">
        <v>45900</v>
      </c>
      <c r="AS150" t="s">
        <v>227</v>
      </c>
      <c r="AT150">
        <v>1</v>
      </c>
      <c r="AU150">
        <v>392000</v>
      </c>
      <c r="AV150">
        <v>0</v>
      </c>
      <c r="AW150">
        <v>0</v>
      </c>
      <c r="AX150" s="14">
        <v>392000</v>
      </c>
      <c r="AY150" s="14">
        <v>392000</v>
      </c>
      <c r="AZ150" s="14">
        <v>0</v>
      </c>
      <c r="BA150">
        <v>0</v>
      </c>
      <c r="BB150" t="s">
        <v>23</v>
      </c>
      <c r="BC150" t="s">
        <v>128</v>
      </c>
      <c r="BD150" t="s">
        <v>129</v>
      </c>
      <c r="BE150" t="s">
        <v>130</v>
      </c>
      <c r="BH150" t="s">
        <v>134</v>
      </c>
      <c r="BJ150">
        <v>4</v>
      </c>
      <c r="BK150" t="s">
        <v>133</v>
      </c>
      <c r="BV150" t="s">
        <v>134</v>
      </c>
      <c r="BW150" s="16">
        <v>45750.732638888891</v>
      </c>
      <c r="BX150" t="s">
        <v>178</v>
      </c>
      <c r="BZ150">
        <v>5</v>
      </c>
      <c r="CA150" t="s">
        <v>629</v>
      </c>
      <c r="CB150">
        <v>0</v>
      </c>
      <c r="CF150" t="s">
        <v>357</v>
      </c>
      <c r="CG150">
        <v>2025</v>
      </c>
      <c r="CH150" t="s">
        <v>138</v>
      </c>
      <c r="CI150" t="s">
        <v>139</v>
      </c>
    </row>
    <row r="151" spans="1:87" x14ac:dyDescent="0.3">
      <c r="A151" t="s">
        <v>115</v>
      </c>
      <c r="B151" t="s">
        <v>116</v>
      </c>
      <c r="C151" t="s">
        <v>117</v>
      </c>
      <c r="D151" t="s">
        <v>118</v>
      </c>
      <c r="E151" t="s">
        <v>140</v>
      </c>
      <c r="F151" t="s">
        <v>630</v>
      </c>
      <c r="G151">
        <v>12.5</v>
      </c>
      <c r="H151">
        <v>0</v>
      </c>
      <c r="I151" s="14">
        <v>47500</v>
      </c>
      <c r="J151" s="14">
        <v>47500</v>
      </c>
      <c r="Q151" s="14"/>
      <c r="R151" s="14"/>
      <c r="Y151" s="14"/>
      <c r="Z151" s="14"/>
      <c r="AG151" s="14"/>
      <c r="AH151" s="14"/>
      <c r="AI151" t="s">
        <v>191</v>
      </c>
      <c r="AJ151" t="s">
        <v>192</v>
      </c>
      <c r="AK151" t="s">
        <v>193</v>
      </c>
      <c r="AL151">
        <v>0</v>
      </c>
      <c r="AM151" t="s">
        <v>194</v>
      </c>
      <c r="AN151" t="s">
        <v>195</v>
      </c>
      <c r="AO151" t="s">
        <v>125</v>
      </c>
      <c r="AP151" t="s">
        <v>196</v>
      </c>
      <c r="AQ151" s="15">
        <v>45903</v>
      </c>
      <c r="AR151" s="15">
        <v>45903</v>
      </c>
      <c r="AS151" t="s">
        <v>127</v>
      </c>
      <c r="AT151">
        <v>1</v>
      </c>
      <c r="AU151">
        <v>3000</v>
      </c>
      <c r="AV151">
        <v>0</v>
      </c>
      <c r="AW151">
        <v>0</v>
      </c>
      <c r="AX151" s="14">
        <v>3000</v>
      </c>
      <c r="AY151" s="14">
        <v>3000</v>
      </c>
      <c r="AZ151" s="14">
        <v>0</v>
      </c>
      <c r="BA151">
        <v>0</v>
      </c>
      <c r="BB151" t="s">
        <v>22</v>
      </c>
      <c r="BC151" t="s">
        <v>128</v>
      </c>
      <c r="BD151" t="s">
        <v>129</v>
      </c>
      <c r="BE151" t="s">
        <v>130</v>
      </c>
      <c r="BG151" t="s">
        <v>631</v>
      </c>
      <c r="BH151" t="s">
        <v>132</v>
      </c>
      <c r="BJ151">
        <v>4</v>
      </c>
      <c r="BK151" t="s">
        <v>133</v>
      </c>
      <c r="BV151" t="s">
        <v>134</v>
      </c>
      <c r="BW151" s="16">
        <v>45903.689583333333</v>
      </c>
      <c r="BX151" t="s">
        <v>178</v>
      </c>
      <c r="BZ151">
        <v>53</v>
      </c>
      <c r="CA151" t="s">
        <v>632</v>
      </c>
      <c r="CB151">
        <v>0</v>
      </c>
      <c r="CF151" t="s">
        <v>357</v>
      </c>
      <c r="CG151">
        <v>2025</v>
      </c>
      <c r="CH151" t="s">
        <v>138</v>
      </c>
      <c r="CI151" t="s">
        <v>139</v>
      </c>
    </row>
    <row r="152" spans="1:87" x14ac:dyDescent="0.3">
      <c r="A152" t="s">
        <v>115</v>
      </c>
      <c r="B152" t="s">
        <v>116</v>
      </c>
      <c r="C152" t="s">
        <v>117</v>
      </c>
      <c r="D152" t="s">
        <v>118</v>
      </c>
      <c r="E152" t="s">
        <v>140</v>
      </c>
      <c r="F152" t="s">
        <v>630</v>
      </c>
      <c r="G152">
        <v>12.5</v>
      </c>
      <c r="H152">
        <v>0</v>
      </c>
      <c r="I152" s="14">
        <v>47500</v>
      </c>
      <c r="J152" s="14">
        <v>47500</v>
      </c>
      <c r="Q152" s="14"/>
      <c r="R152" s="14"/>
      <c r="Y152" s="14"/>
      <c r="Z152" s="14"/>
      <c r="AG152" s="14"/>
      <c r="AH152" s="14"/>
      <c r="AI152" t="s">
        <v>191</v>
      </c>
      <c r="AJ152" t="s">
        <v>192</v>
      </c>
      <c r="AK152" t="s">
        <v>193</v>
      </c>
      <c r="AL152">
        <v>0</v>
      </c>
      <c r="AM152" t="s">
        <v>194</v>
      </c>
      <c r="AN152" t="s">
        <v>195</v>
      </c>
      <c r="AO152" t="s">
        <v>125</v>
      </c>
      <c r="AP152" t="s">
        <v>196</v>
      </c>
      <c r="AQ152" s="15">
        <v>45903</v>
      </c>
      <c r="AR152" s="15">
        <v>45903</v>
      </c>
      <c r="AS152" t="s">
        <v>145</v>
      </c>
      <c r="AT152">
        <v>1</v>
      </c>
      <c r="AU152">
        <v>7000</v>
      </c>
      <c r="AV152">
        <v>0</v>
      </c>
      <c r="AW152">
        <v>0</v>
      </c>
      <c r="AX152" s="14">
        <v>7000</v>
      </c>
      <c r="AY152" s="14">
        <v>7000</v>
      </c>
      <c r="AZ152" s="14">
        <v>0</v>
      </c>
      <c r="BA152">
        <v>0</v>
      </c>
      <c r="BB152" t="s">
        <v>22</v>
      </c>
      <c r="BC152" t="s">
        <v>128</v>
      </c>
      <c r="BD152" t="s">
        <v>129</v>
      </c>
      <c r="BE152" t="s">
        <v>130</v>
      </c>
      <c r="BG152" t="s">
        <v>631</v>
      </c>
      <c r="BH152" t="s">
        <v>132</v>
      </c>
      <c r="BJ152">
        <v>4</v>
      </c>
      <c r="BK152" t="s">
        <v>133</v>
      </c>
      <c r="BV152" t="s">
        <v>134</v>
      </c>
      <c r="BW152" s="16">
        <v>45903.689583333333</v>
      </c>
      <c r="BX152" t="s">
        <v>178</v>
      </c>
      <c r="BZ152">
        <v>53</v>
      </c>
      <c r="CA152" t="s">
        <v>632</v>
      </c>
      <c r="CB152">
        <v>0</v>
      </c>
      <c r="CF152" t="s">
        <v>357</v>
      </c>
      <c r="CG152">
        <v>2025</v>
      </c>
      <c r="CH152" t="s">
        <v>138</v>
      </c>
      <c r="CI152" t="s">
        <v>139</v>
      </c>
    </row>
    <row r="153" spans="1:87" x14ac:dyDescent="0.3">
      <c r="A153" t="s">
        <v>115</v>
      </c>
      <c r="B153" t="s">
        <v>116</v>
      </c>
      <c r="C153" t="s">
        <v>117</v>
      </c>
      <c r="D153" t="s">
        <v>118</v>
      </c>
      <c r="E153" t="s">
        <v>140</v>
      </c>
      <c r="F153" t="s">
        <v>630</v>
      </c>
      <c r="G153">
        <v>12.5</v>
      </c>
      <c r="H153">
        <v>0</v>
      </c>
      <c r="I153" s="14">
        <v>47500</v>
      </c>
      <c r="J153" s="14">
        <v>47500</v>
      </c>
      <c r="Q153" s="14"/>
      <c r="R153" s="14"/>
      <c r="Y153" s="14"/>
      <c r="Z153" s="14"/>
      <c r="AG153" s="14"/>
      <c r="AH153" s="14"/>
      <c r="AI153" t="s">
        <v>191</v>
      </c>
      <c r="AJ153" t="s">
        <v>192</v>
      </c>
      <c r="AK153" t="s">
        <v>193</v>
      </c>
      <c r="AL153">
        <v>0</v>
      </c>
      <c r="AM153" t="s">
        <v>194</v>
      </c>
      <c r="AN153" t="s">
        <v>195</v>
      </c>
      <c r="AO153" t="s">
        <v>125</v>
      </c>
      <c r="AP153" t="s">
        <v>196</v>
      </c>
      <c r="AQ153" s="15">
        <v>45992</v>
      </c>
      <c r="AR153" s="15">
        <v>45992</v>
      </c>
      <c r="AS153" t="s">
        <v>227</v>
      </c>
      <c r="AT153">
        <v>1</v>
      </c>
      <c r="AU153">
        <v>8000</v>
      </c>
      <c r="AV153">
        <v>0</v>
      </c>
      <c r="AW153">
        <v>0</v>
      </c>
      <c r="AX153" s="14">
        <v>8000</v>
      </c>
      <c r="AY153" s="14">
        <v>8000</v>
      </c>
      <c r="AZ153" s="14">
        <v>0</v>
      </c>
      <c r="BA153">
        <v>0</v>
      </c>
      <c r="BB153" t="s">
        <v>22</v>
      </c>
      <c r="BC153" t="s">
        <v>128</v>
      </c>
      <c r="BD153" t="s">
        <v>129</v>
      </c>
      <c r="BE153" t="s">
        <v>130</v>
      </c>
      <c r="BG153" t="s">
        <v>633</v>
      </c>
      <c r="BH153" t="s">
        <v>132</v>
      </c>
      <c r="BJ153">
        <v>4</v>
      </c>
      <c r="BK153" t="s">
        <v>133</v>
      </c>
      <c r="BV153" t="s">
        <v>134</v>
      </c>
      <c r="BW153" s="16">
        <v>45903.689583333333</v>
      </c>
      <c r="BX153" t="s">
        <v>178</v>
      </c>
      <c r="BZ153">
        <v>53</v>
      </c>
      <c r="CA153" t="s">
        <v>634</v>
      </c>
      <c r="CB153">
        <v>0</v>
      </c>
      <c r="CF153" t="s">
        <v>357</v>
      </c>
      <c r="CG153">
        <v>2025</v>
      </c>
      <c r="CH153" t="s">
        <v>138</v>
      </c>
      <c r="CI153" t="s">
        <v>139</v>
      </c>
    </row>
    <row r="154" spans="1:87" x14ac:dyDescent="0.3">
      <c r="A154" t="s">
        <v>115</v>
      </c>
      <c r="B154" t="s">
        <v>116</v>
      </c>
      <c r="C154" t="s">
        <v>117</v>
      </c>
      <c r="D154" t="s">
        <v>118</v>
      </c>
      <c r="E154" t="s">
        <v>14</v>
      </c>
      <c r="F154" t="s">
        <v>199</v>
      </c>
      <c r="G154">
        <v>80.58</v>
      </c>
      <c r="H154">
        <v>18.899999999999999</v>
      </c>
      <c r="I154" s="14">
        <v>637000</v>
      </c>
      <c r="J154" s="14">
        <v>637000</v>
      </c>
      <c r="Q154" s="14"/>
      <c r="R154" s="14"/>
      <c r="Y154" s="14"/>
      <c r="Z154" s="14"/>
      <c r="AG154" s="14"/>
      <c r="AH154" s="14"/>
      <c r="AI154" t="s">
        <v>200</v>
      </c>
      <c r="AJ154" t="s">
        <v>201</v>
      </c>
      <c r="AK154" t="s">
        <v>202</v>
      </c>
      <c r="AL154">
        <v>955600933</v>
      </c>
      <c r="AM154" t="s">
        <v>203</v>
      </c>
      <c r="AN154" t="s">
        <v>204</v>
      </c>
      <c r="AO154" t="s">
        <v>125</v>
      </c>
      <c r="AP154" t="s">
        <v>205</v>
      </c>
      <c r="AQ154" s="15">
        <v>45723</v>
      </c>
      <c r="AR154" s="15">
        <v>45723</v>
      </c>
      <c r="AS154" t="s">
        <v>227</v>
      </c>
      <c r="AT154">
        <v>1</v>
      </c>
      <c r="AU154">
        <v>573300</v>
      </c>
      <c r="AV154">
        <v>0</v>
      </c>
      <c r="AW154">
        <v>0</v>
      </c>
      <c r="AX154" s="14">
        <v>573300</v>
      </c>
      <c r="AY154" s="14">
        <v>573300</v>
      </c>
      <c r="AZ154" s="14">
        <v>0</v>
      </c>
      <c r="BA154">
        <v>0</v>
      </c>
      <c r="BB154" t="s">
        <v>23</v>
      </c>
      <c r="BC154" t="s">
        <v>128</v>
      </c>
      <c r="BD154" t="s">
        <v>129</v>
      </c>
      <c r="BE154" t="s">
        <v>130</v>
      </c>
      <c r="BG154" t="s">
        <v>289</v>
      </c>
      <c r="BH154" t="s">
        <v>132</v>
      </c>
      <c r="BJ154">
        <v>4</v>
      </c>
      <c r="BK154" t="s">
        <v>133</v>
      </c>
      <c r="BV154" t="s">
        <v>134</v>
      </c>
      <c r="BW154" s="16">
        <v>45626.65</v>
      </c>
      <c r="BX154" t="s">
        <v>178</v>
      </c>
      <c r="BZ154">
        <v>25</v>
      </c>
      <c r="CA154" t="s">
        <v>635</v>
      </c>
      <c r="CB154">
        <v>0</v>
      </c>
      <c r="CF154" t="s">
        <v>357</v>
      </c>
      <c r="CG154">
        <v>2025</v>
      </c>
      <c r="CH154" t="s">
        <v>138</v>
      </c>
      <c r="CI154" t="s">
        <v>139</v>
      </c>
    </row>
    <row r="155" spans="1:87" x14ac:dyDescent="0.3">
      <c r="A155" t="s">
        <v>115</v>
      </c>
      <c r="B155" t="s">
        <v>116</v>
      </c>
      <c r="C155" t="s">
        <v>117</v>
      </c>
      <c r="D155" t="s">
        <v>118</v>
      </c>
      <c r="E155" t="s">
        <v>140</v>
      </c>
      <c r="F155" t="s">
        <v>636</v>
      </c>
      <c r="G155">
        <v>12.86</v>
      </c>
      <c r="H155">
        <v>3</v>
      </c>
      <c r="I155" s="14">
        <v>57800</v>
      </c>
      <c r="J155" s="14">
        <v>57800</v>
      </c>
      <c r="Q155" s="14"/>
      <c r="R155" s="14"/>
      <c r="Y155" s="14"/>
      <c r="Z155" s="14"/>
      <c r="AG155" s="14"/>
      <c r="AH155" s="14"/>
      <c r="AI155" t="s">
        <v>200</v>
      </c>
      <c r="AJ155" t="s">
        <v>201</v>
      </c>
      <c r="AK155" t="s">
        <v>202</v>
      </c>
      <c r="AL155">
        <v>955600933</v>
      </c>
      <c r="AM155" t="s">
        <v>203</v>
      </c>
      <c r="AN155" t="s">
        <v>204</v>
      </c>
      <c r="AO155" t="s">
        <v>125</v>
      </c>
      <c r="AP155" t="s">
        <v>205</v>
      </c>
      <c r="AQ155" s="15">
        <v>45831</v>
      </c>
      <c r="AR155" s="15">
        <v>45831</v>
      </c>
      <c r="AS155" t="s">
        <v>127</v>
      </c>
      <c r="AT155">
        <v>1</v>
      </c>
      <c r="AU155">
        <v>3000</v>
      </c>
      <c r="AV155">
        <v>0</v>
      </c>
      <c r="AW155">
        <v>0</v>
      </c>
      <c r="AX155" s="14">
        <v>3000</v>
      </c>
      <c r="AY155" s="14">
        <v>3000</v>
      </c>
      <c r="AZ155" s="14">
        <v>0</v>
      </c>
      <c r="BA155">
        <v>0</v>
      </c>
      <c r="BB155" t="s">
        <v>22</v>
      </c>
      <c r="BC155" t="s">
        <v>128</v>
      </c>
      <c r="BD155" t="s">
        <v>129</v>
      </c>
      <c r="BE155" t="s">
        <v>130</v>
      </c>
      <c r="BG155" t="s">
        <v>637</v>
      </c>
      <c r="BH155" t="s">
        <v>132</v>
      </c>
      <c r="BJ155">
        <v>4</v>
      </c>
      <c r="BK155" t="s">
        <v>133</v>
      </c>
      <c r="BV155" t="s">
        <v>134</v>
      </c>
      <c r="BW155" s="16">
        <v>46083.425694444442</v>
      </c>
      <c r="BX155" t="s">
        <v>143</v>
      </c>
      <c r="BZ155">
        <v>61</v>
      </c>
      <c r="CA155" t="s">
        <v>638</v>
      </c>
      <c r="CB155">
        <v>0</v>
      </c>
      <c r="CF155" t="s">
        <v>357</v>
      </c>
      <c r="CG155">
        <v>2025</v>
      </c>
      <c r="CH155" t="s">
        <v>138</v>
      </c>
      <c r="CI155" t="s">
        <v>139</v>
      </c>
    </row>
    <row r="156" spans="1:87" x14ac:dyDescent="0.3">
      <c r="A156" t="s">
        <v>115</v>
      </c>
      <c r="B156" t="s">
        <v>116</v>
      </c>
      <c r="C156" t="s">
        <v>117</v>
      </c>
      <c r="D156" t="s">
        <v>118</v>
      </c>
      <c r="E156" t="s">
        <v>140</v>
      </c>
      <c r="F156" t="s">
        <v>636</v>
      </c>
      <c r="G156">
        <v>12.86</v>
      </c>
      <c r="H156">
        <v>3</v>
      </c>
      <c r="I156" s="14">
        <v>57800</v>
      </c>
      <c r="J156" s="14">
        <v>57800</v>
      </c>
      <c r="Q156" s="14"/>
      <c r="R156" s="14"/>
      <c r="Y156" s="14"/>
      <c r="Z156" s="14"/>
      <c r="AG156" s="14"/>
      <c r="AH156" s="14"/>
      <c r="AI156" t="s">
        <v>200</v>
      </c>
      <c r="AJ156" t="s">
        <v>201</v>
      </c>
      <c r="AK156" t="s">
        <v>202</v>
      </c>
      <c r="AL156">
        <v>955600933</v>
      </c>
      <c r="AM156" t="s">
        <v>203</v>
      </c>
      <c r="AN156" t="s">
        <v>204</v>
      </c>
      <c r="AO156" t="s">
        <v>125</v>
      </c>
      <c r="AP156" t="s">
        <v>205</v>
      </c>
      <c r="AQ156" s="15">
        <v>45853</v>
      </c>
      <c r="AR156" s="15">
        <v>45853</v>
      </c>
      <c r="AS156" t="s">
        <v>145</v>
      </c>
      <c r="AT156">
        <v>1</v>
      </c>
      <c r="AU156">
        <v>7000</v>
      </c>
      <c r="AV156">
        <v>0</v>
      </c>
      <c r="AW156">
        <v>0</v>
      </c>
      <c r="AX156" s="14">
        <v>7000</v>
      </c>
      <c r="AY156" s="14">
        <v>7000</v>
      </c>
      <c r="AZ156" s="14">
        <v>0</v>
      </c>
      <c r="BA156">
        <v>0</v>
      </c>
      <c r="BB156" t="s">
        <v>22</v>
      </c>
      <c r="BC156" t="s">
        <v>128</v>
      </c>
      <c r="BD156" t="s">
        <v>129</v>
      </c>
      <c r="BE156" t="s">
        <v>130</v>
      </c>
      <c r="BG156" t="s">
        <v>639</v>
      </c>
      <c r="BH156" t="s">
        <v>132</v>
      </c>
      <c r="BJ156">
        <v>4</v>
      </c>
      <c r="BK156" t="s">
        <v>133</v>
      </c>
      <c r="BV156" t="s">
        <v>134</v>
      </c>
      <c r="BW156" s="16">
        <v>46083.425694444442</v>
      </c>
      <c r="BX156" t="s">
        <v>143</v>
      </c>
      <c r="BZ156">
        <v>61</v>
      </c>
      <c r="CA156" t="s">
        <v>640</v>
      </c>
      <c r="CB156">
        <v>0</v>
      </c>
      <c r="CF156" t="s">
        <v>357</v>
      </c>
      <c r="CG156">
        <v>2025</v>
      </c>
      <c r="CH156" t="s">
        <v>138</v>
      </c>
      <c r="CI156" t="s">
        <v>139</v>
      </c>
    </row>
    <row r="157" spans="1:87" x14ac:dyDescent="0.3">
      <c r="A157" t="s">
        <v>165</v>
      </c>
      <c r="B157" t="s">
        <v>116</v>
      </c>
      <c r="C157" t="s">
        <v>117</v>
      </c>
      <c r="D157" t="s">
        <v>118</v>
      </c>
      <c r="E157" t="s">
        <v>14</v>
      </c>
      <c r="F157" t="s">
        <v>274</v>
      </c>
      <c r="G157">
        <v>68</v>
      </c>
      <c r="H157">
        <v>0</v>
      </c>
      <c r="I157" s="14">
        <v>504700</v>
      </c>
      <c r="J157" s="14">
        <v>459100</v>
      </c>
      <c r="K157" t="s">
        <v>117</v>
      </c>
      <c r="L157" t="s">
        <v>118</v>
      </c>
      <c r="M157" t="s">
        <v>140</v>
      </c>
      <c r="N157" t="s">
        <v>641</v>
      </c>
      <c r="O157">
        <v>12</v>
      </c>
      <c r="P157">
        <v>0</v>
      </c>
      <c r="Q157" s="14">
        <v>45600</v>
      </c>
      <c r="R157" s="14">
        <v>45600</v>
      </c>
      <c r="Y157" s="14"/>
      <c r="Z157" s="14"/>
      <c r="AG157" s="14"/>
      <c r="AH157" s="14"/>
      <c r="AI157" t="s">
        <v>642</v>
      </c>
      <c r="AJ157" t="s">
        <v>643</v>
      </c>
      <c r="AK157" t="s">
        <v>644</v>
      </c>
      <c r="AL157">
        <v>0</v>
      </c>
      <c r="AM157" t="s">
        <v>645</v>
      </c>
      <c r="AN157" t="s">
        <v>646</v>
      </c>
      <c r="AO157" t="s">
        <v>125</v>
      </c>
      <c r="AP157" t="s">
        <v>297</v>
      </c>
      <c r="AQ157" s="15">
        <v>46001</v>
      </c>
      <c r="AR157" s="15">
        <v>46001</v>
      </c>
      <c r="AS157" t="s">
        <v>127</v>
      </c>
      <c r="AT157">
        <v>1</v>
      </c>
      <c r="AU157">
        <v>3000</v>
      </c>
      <c r="AV157">
        <v>0</v>
      </c>
      <c r="AW157">
        <v>0</v>
      </c>
      <c r="AX157" s="14">
        <v>3000</v>
      </c>
      <c r="AY157" s="14">
        <v>3000</v>
      </c>
      <c r="AZ157" s="14">
        <v>0</v>
      </c>
      <c r="BA157">
        <v>0</v>
      </c>
      <c r="BB157" t="s">
        <v>24</v>
      </c>
      <c r="BC157" t="s">
        <v>175</v>
      </c>
      <c r="BD157" t="s">
        <v>176</v>
      </c>
      <c r="BE157" t="s">
        <v>130</v>
      </c>
      <c r="BG157" t="s">
        <v>647</v>
      </c>
      <c r="BH157" t="s">
        <v>132</v>
      </c>
      <c r="BJ157">
        <v>4</v>
      </c>
      <c r="BK157" t="s">
        <v>133</v>
      </c>
      <c r="BV157" t="s">
        <v>134</v>
      </c>
      <c r="BW157" s="16">
        <v>46017.425694444442</v>
      </c>
      <c r="BX157" t="s">
        <v>143</v>
      </c>
      <c r="BZ157">
        <v>28</v>
      </c>
      <c r="CA157" t="s">
        <v>648</v>
      </c>
      <c r="CB157">
        <v>0</v>
      </c>
      <c r="CF157" t="s">
        <v>357</v>
      </c>
      <c r="CG157">
        <v>2025</v>
      </c>
      <c r="CH157" t="s">
        <v>138</v>
      </c>
      <c r="CI157" t="s">
        <v>139</v>
      </c>
    </row>
    <row r="158" spans="1:87" x14ac:dyDescent="0.3">
      <c r="A158" t="s">
        <v>165</v>
      </c>
      <c r="B158" t="s">
        <v>116</v>
      </c>
      <c r="C158" t="s">
        <v>117</v>
      </c>
      <c r="D158" t="s">
        <v>118</v>
      </c>
      <c r="E158" t="s">
        <v>14</v>
      </c>
      <c r="F158" t="s">
        <v>274</v>
      </c>
      <c r="G158">
        <v>68</v>
      </c>
      <c r="H158">
        <v>0</v>
      </c>
      <c r="I158" s="14">
        <v>504700</v>
      </c>
      <c r="J158" s="14">
        <v>459100</v>
      </c>
      <c r="K158" t="s">
        <v>117</v>
      </c>
      <c r="L158" t="s">
        <v>118</v>
      </c>
      <c r="M158" t="s">
        <v>140</v>
      </c>
      <c r="N158" t="s">
        <v>641</v>
      </c>
      <c r="O158">
        <v>12</v>
      </c>
      <c r="P158">
        <v>0</v>
      </c>
      <c r="Q158" s="14">
        <v>45600</v>
      </c>
      <c r="R158" s="14">
        <v>45600</v>
      </c>
      <c r="Y158" s="14"/>
      <c r="Z158" s="14"/>
      <c r="AG158" s="14"/>
      <c r="AH158" s="14"/>
      <c r="AI158" t="s">
        <v>642</v>
      </c>
      <c r="AJ158" t="s">
        <v>643</v>
      </c>
      <c r="AK158" t="s">
        <v>644</v>
      </c>
      <c r="AL158">
        <v>0</v>
      </c>
      <c r="AM158" t="s">
        <v>645</v>
      </c>
      <c r="AN158" t="s">
        <v>646</v>
      </c>
      <c r="AO158" t="s">
        <v>125</v>
      </c>
      <c r="AP158" t="s">
        <v>297</v>
      </c>
      <c r="AQ158" s="15">
        <v>46017</v>
      </c>
      <c r="AR158" s="15">
        <v>46017</v>
      </c>
      <c r="AS158" t="s">
        <v>145</v>
      </c>
      <c r="AT158">
        <v>1</v>
      </c>
      <c r="AU158">
        <v>10000</v>
      </c>
      <c r="AV158">
        <v>0</v>
      </c>
      <c r="AW158">
        <v>0</v>
      </c>
      <c r="AX158" s="14">
        <v>10000</v>
      </c>
      <c r="AY158" s="14">
        <v>10000</v>
      </c>
      <c r="AZ158" s="14">
        <v>0</v>
      </c>
      <c r="BA158">
        <v>0</v>
      </c>
      <c r="BB158" t="s">
        <v>24</v>
      </c>
      <c r="BC158" t="s">
        <v>175</v>
      </c>
      <c r="BD158" t="s">
        <v>176</v>
      </c>
      <c r="BE158" t="s">
        <v>130</v>
      </c>
      <c r="BG158" t="s">
        <v>649</v>
      </c>
      <c r="BH158" t="s">
        <v>132</v>
      </c>
      <c r="BJ158">
        <v>4</v>
      </c>
      <c r="BK158" t="s">
        <v>133</v>
      </c>
      <c r="BV158" t="s">
        <v>134</v>
      </c>
      <c r="BW158" s="16">
        <v>46017.425694444442</v>
      </c>
      <c r="BX158" t="s">
        <v>143</v>
      </c>
      <c r="BZ158">
        <v>28</v>
      </c>
      <c r="CA158" t="s">
        <v>650</v>
      </c>
      <c r="CB158">
        <v>0</v>
      </c>
      <c r="CF158" t="s">
        <v>357</v>
      </c>
      <c r="CG158">
        <v>2025</v>
      </c>
      <c r="CH158" t="s">
        <v>138</v>
      </c>
      <c r="CI158" t="s">
        <v>139</v>
      </c>
    </row>
    <row r="159" spans="1:87" x14ac:dyDescent="0.3">
      <c r="A159" t="s">
        <v>426</v>
      </c>
      <c r="B159" t="s">
        <v>116</v>
      </c>
      <c r="C159" t="s">
        <v>117</v>
      </c>
      <c r="D159" t="s">
        <v>118</v>
      </c>
      <c r="E159" t="s">
        <v>14</v>
      </c>
      <c r="F159" t="s">
        <v>651</v>
      </c>
      <c r="G159">
        <v>67</v>
      </c>
      <c r="H159">
        <v>0</v>
      </c>
      <c r="I159" s="14">
        <v>430000</v>
      </c>
      <c r="J159" s="14">
        <v>430000</v>
      </c>
      <c r="Q159" s="14"/>
      <c r="R159" s="14"/>
      <c r="Y159" s="14"/>
      <c r="Z159" s="14"/>
      <c r="AG159" s="14"/>
      <c r="AH159" s="14"/>
      <c r="AI159" t="s">
        <v>652</v>
      </c>
      <c r="AJ159" t="s">
        <v>653</v>
      </c>
      <c r="AK159" t="s">
        <v>654</v>
      </c>
      <c r="AL159">
        <v>0</v>
      </c>
      <c r="AM159" t="s">
        <v>655</v>
      </c>
      <c r="AN159" t="s">
        <v>656</v>
      </c>
      <c r="AO159" t="s">
        <v>125</v>
      </c>
      <c r="AP159" t="s">
        <v>256</v>
      </c>
      <c r="AQ159" s="15">
        <v>45918</v>
      </c>
      <c r="AR159" s="15">
        <v>45918</v>
      </c>
      <c r="AS159" t="s">
        <v>127</v>
      </c>
      <c r="AT159">
        <v>1</v>
      </c>
      <c r="AU159">
        <v>3000</v>
      </c>
      <c r="AV159">
        <v>0</v>
      </c>
      <c r="AW159">
        <v>0</v>
      </c>
      <c r="AX159" s="14">
        <v>3000</v>
      </c>
      <c r="AY159" s="14">
        <v>3000</v>
      </c>
      <c r="AZ159" s="14">
        <v>0</v>
      </c>
      <c r="BA159">
        <v>0</v>
      </c>
      <c r="BB159" t="s">
        <v>23</v>
      </c>
      <c r="BC159" t="s">
        <v>128</v>
      </c>
      <c r="BD159" t="s">
        <v>434</v>
      </c>
      <c r="BE159" t="s">
        <v>130</v>
      </c>
      <c r="BG159" t="s">
        <v>657</v>
      </c>
      <c r="BH159" t="s">
        <v>132</v>
      </c>
      <c r="BJ159">
        <v>4</v>
      </c>
      <c r="BK159" t="s">
        <v>133</v>
      </c>
      <c r="BV159" t="s">
        <v>134</v>
      </c>
      <c r="BW159" s="16">
        <v>46178.341666666667</v>
      </c>
      <c r="BX159" t="s">
        <v>143</v>
      </c>
      <c r="BZ159">
        <v>8</v>
      </c>
      <c r="CA159" t="s">
        <v>658</v>
      </c>
      <c r="CB159">
        <v>0</v>
      </c>
      <c r="CF159" t="s">
        <v>357</v>
      </c>
      <c r="CG159">
        <v>2025</v>
      </c>
      <c r="CH159" t="s">
        <v>138</v>
      </c>
      <c r="CI159" t="s">
        <v>139</v>
      </c>
    </row>
    <row r="160" spans="1:87" x14ac:dyDescent="0.3">
      <c r="A160" t="s">
        <v>426</v>
      </c>
      <c r="B160" t="s">
        <v>116</v>
      </c>
      <c r="C160" t="s">
        <v>117</v>
      </c>
      <c r="D160" t="s">
        <v>118</v>
      </c>
      <c r="E160" t="s">
        <v>14</v>
      </c>
      <c r="F160" t="s">
        <v>651</v>
      </c>
      <c r="G160">
        <v>67</v>
      </c>
      <c r="H160">
        <v>0</v>
      </c>
      <c r="I160" s="14">
        <v>430000</v>
      </c>
      <c r="J160" s="14">
        <v>430000</v>
      </c>
      <c r="Q160" s="14"/>
      <c r="R160" s="14"/>
      <c r="Y160" s="14"/>
      <c r="Z160" s="14"/>
      <c r="AG160" s="14"/>
      <c r="AH160" s="14"/>
      <c r="AI160" t="s">
        <v>652</v>
      </c>
      <c r="AJ160" t="s">
        <v>653</v>
      </c>
      <c r="AK160" t="s">
        <v>654</v>
      </c>
      <c r="AL160">
        <v>0</v>
      </c>
      <c r="AM160" t="s">
        <v>655</v>
      </c>
      <c r="AN160" t="s">
        <v>656</v>
      </c>
      <c r="AO160" t="s">
        <v>125</v>
      </c>
      <c r="AP160" t="s">
        <v>256</v>
      </c>
      <c r="AQ160" s="15">
        <v>45932</v>
      </c>
      <c r="AR160" s="15">
        <v>45932</v>
      </c>
      <c r="AS160" t="s">
        <v>145</v>
      </c>
      <c r="AT160">
        <v>1</v>
      </c>
      <c r="AU160">
        <v>40000</v>
      </c>
      <c r="AV160">
        <v>0</v>
      </c>
      <c r="AW160">
        <v>0</v>
      </c>
      <c r="AX160" s="14">
        <v>40000</v>
      </c>
      <c r="AY160" s="14">
        <v>40000</v>
      </c>
      <c r="AZ160" s="14">
        <v>0</v>
      </c>
      <c r="BA160">
        <v>0</v>
      </c>
      <c r="BB160" t="s">
        <v>23</v>
      </c>
      <c r="BC160" t="s">
        <v>128</v>
      </c>
      <c r="BD160" t="s">
        <v>434</v>
      </c>
      <c r="BE160" t="s">
        <v>130</v>
      </c>
      <c r="BG160" t="s">
        <v>659</v>
      </c>
      <c r="BH160" t="s">
        <v>132</v>
      </c>
      <c r="BJ160">
        <v>4</v>
      </c>
      <c r="BK160" t="s">
        <v>133</v>
      </c>
      <c r="BV160" t="s">
        <v>134</v>
      </c>
      <c r="BW160" s="16">
        <v>46178.341666666667</v>
      </c>
      <c r="BX160" t="s">
        <v>143</v>
      </c>
      <c r="BZ160">
        <v>8</v>
      </c>
      <c r="CA160" t="s">
        <v>660</v>
      </c>
      <c r="CB160">
        <v>0</v>
      </c>
      <c r="CF160" t="s">
        <v>357</v>
      </c>
      <c r="CG160">
        <v>2025</v>
      </c>
      <c r="CH160" t="s">
        <v>138</v>
      </c>
      <c r="CI160" t="s">
        <v>139</v>
      </c>
    </row>
    <row r="161" spans="1:87" x14ac:dyDescent="0.3">
      <c r="A161" t="s">
        <v>426</v>
      </c>
      <c r="B161" t="s">
        <v>116</v>
      </c>
      <c r="C161" t="s">
        <v>117</v>
      </c>
      <c r="D161" t="s">
        <v>118</v>
      </c>
      <c r="E161" t="s">
        <v>140</v>
      </c>
      <c r="F161" t="s">
        <v>661</v>
      </c>
      <c r="G161">
        <v>13.63</v>
      </c>
      <c r="H161">
        <v>0</v>
      </c>
      <c r="I161" s="14">
        <v>48500</v>
      </c>
      <c r="J161" s="14">
        <v>48500</v>
      </c>
      <c r="Q161" s="14"/>
      <c r="R161" s="14"/>
      <c r="Y161" s="14"/>
      <c r="Z161" s="14"/>
      <c r="AG161" s="14"/>
      <c r="AH161" s="14"/>
      <c r="AI161" t="s">
        <v>652</v>
      </c>
      <c r="AJ161" t="s">
        <v>653</v>
      </c>
      <c r="AK161" t="s">
        <v>654</v>
      </c>
      <c r="AL161">
        <v>0</v>
      </c>
      <c r="AM161" t="s">
        <v>655</v>
      </c>
      <c r="AN161" t="s">
        <v>656</v>
      </c>
      <c r="AO161" t="s">
        <v>125</v>
      </c>
      <c r="AP161" t="s">
        <v>256</v>
      </c>
      <c r="AQ161" s="15">
        <v>45928</v>
      </c>
      <c r="AR161" s="15">
        <v>45932</v>
      </c>
      <c r="AS161" t="s">
        <v>127</v>
      </c>
      <c r="AT161">
        <v>1</v>
      </c>
      <c r="AU161">
        <v>3000</v>
      </c>
      <c r="AV161">
        <v>0</v>
      </c>
      <c r="AW161">
        <v>0</v>
      </c>
      <c r="AX161" s="14">
        <v>3000</v>
      </c>
      <c r="AY161" s="14">
        <v>3000</v>
      </c>
      <c r="AZ161" s="14">
        <v>0</v>
      </c>
      <c r="BA161">
        <v>0</v>
      </c>
      <c r="BB161" t="s">
        <v>22</v>
      </c>
      <c r="BC161" t="s">
        <v>128</v>
      </c>
      <c r="BD161" t="s">
        <v>434</v>
      </c>
      <c r="BE161" t="s">
        <v>130</v>
      </c>
      <c r="BG161" t="s">
        <v>662</v>
      </c>
      <c r="BH161" t="s">
        <v>132</v>
      </c>
      <c r="BJ161">
        <v>4</v>
      </c>
      <c r="BK161" t="s">
        <v>133</v>
      </c>
      <c r="BV161" t="s">
        <v>134</v>
      </c>
      <c r="BW161" s="16">
        <v>45932.676388888889</v>
      </c>
      <c r="BX161" t="s">
        <v>143</v>
      </c>
      <c r="BZ161">
        <v>19</v>
      </c>
      <c r="CA161" t="s">
        <v>663</v>
      </c>
      <c r="CB161">
        <v>0</v>
      </c>
      <c r="CF161" t="s">
        <v>357</v>
      </c>
      <c r="CG161">
        <v>2025</v>
      </c>
      <c r="CH161" t="s">
        <v>138</v>
      </c>
      <c r="CI161" t="s">
        <v>139</v>
      </c>
    </row>
    <row r="162" spans="1:87" x14ac:dyDescent="0.3">
      <c r="A162" t="s">
        <v>426</v>
      </c>
      <c r="B162" t="s">
        <v>116</v>
      </c>
      <c r="C162" t="s">
        <v>117</v>
      </c>
      <c r="D162" t="s">
        <v>118</v>
      </c>
      <c r="E162" t="s">
        <v>140</v>
      </c>
      <c r="F162" t="s">
        <v>661</v>
      </c>
      <c r="G162">
        <v>13.63</v>
      </c>
      <c r="H162">
        <v>0</v>
      </c>
      <c r="I162" s="14">
        <v>48500</v>
      </c>
      <c r="J162" s="14">
        <v>48500</v>
      </c>
      <c r="Q162" s="14"/>
      <c r="R162" s="14"/>
      <c r="Y162" s="14"/>
      <c r="Z162" s="14"/>
      <c r="AG162" s="14"/>
      <c r="AH162" s="14"/>
      <c r="AI162" t="s">
        <v>652</v>
      </c>
      <c r="AJ162" t="s">
        <v>653</v>
      </c>
      <c r="AK162" t="s">
        <v>654</v>
      </c>
      <c r="AL162">
        <v>0</v>
      </c>
      <c r="AM162" t="s">
        <v>655</v>
      </c>
      <c r="AN162" t="s">
        <v>656</v>
      </c>
      <c r="AO162" t="s">
        <v>125</v>
      </c>
      <c r="AP162" t="s">
        <v>256</v>
      </c>
      <c r="AQ162" s="15">
        <v>45932</v>
      </c>
      <c r="AR162" s="15">
        <v>45932</v>
      </c>
      <c r="AS162" t="s">
        <v>145</v>
      </c>
      <c r="AT162">
        <v>1</v>
      </c>
      <c r="AU162">
        <v>16400</v>
      </c>
      <c r="AV162">
        <v>0</v>
      </c>
      <c r="AW162">
        <v>0</v>
      </c>
      <c r="AX162" s="14">
        <v>16400</v>
      </c>
      <c r="AY162" s="14">
        <v>16400</v>
      </c>
      <c r="AZ162" s="14">
        <v>0</v>
      </c>
      <c r="BA162">
        <v>0</v>
      </c>
      <c r="BB162" t="s">
        <v>22</v>
      </c>
      <c r="BC162" t="s">
        <v>128</v>
      </c>
      <c r="BD162" t="s">
        <v>434</v>
      </c>
      <c r="BE162" t="s">
        <v>130</v>
      </c>
      <c r="BG162" t="s">
        <v>662</v>
      </c>
      <c r="BH162" t="s">
        <v>132</v>
      </c>
      <c r="BJ162">
        <v>4</v>
      </c>
      <c r="BK162" t="s">
        <v>133</v>
      </c>
      <c r="BV162" t="s">
        <v>134</v>
      </c>
      <c r="BW162" s="16">
        <v>45932.676388888889</v>
      </c>
      <c r="BX162" t="s">
        <v>143</v>
      </c>
      <c r="BZ162">
        <v>19</v>
      </c>
      <c r="CA162" t="s">
        <v>664</v>
      </c>
      <c r="CB162">
        <v>0</v>
      </c>
      <c r="CF162" t="s">
        <v>357</v>
      </c>
      <c r="CG162">
        <v>2025</v>
      </c>
      <c r="CH162" t="s">
        <v>138</v>
      </c>
      <c r="CI162" t="s">
        <v>139</v>
      </c>
    </row>
    <row r="163" spans="1:87" x14ac:dyDescent="0.3">
      <c r="A163" t="s">
        <v>426</v>
      </c>
      <c r="B163" t="s">
        <v>116</v>
      </c>
      <c r="C163" t="s">
        <v>117</v>
      </c>
      <c r="D163" t="s">
        <v>118</v>
      </c>
      <c r="E163" t="s">
        <v>140</v>
      </c>
      <c r="F163" t="s">
        <v>661</v>
      </c>
      <c r="G163">
        <v>13.63</v>
      </c>
      <c r="H163">
        <v>0</v>
      </c>
      <c r="I163" s="14">
        <v>48500</v>
      </c>
      <c r="J163" s="14">
        <v>48500</v>
      </c>
      <c r="Q163" s="14"/>
      <c r="R163" s="14"/>
      <c r="Y163" s="14"/>
      <c r="Z163" s="14"/>
      <c r="AG163" s="14"/>
      <c r="AH163" s="14"/>
      <c r="AI163" t="s">
        <v>652</v>
      </c>
      <c r="AJ163" t="s">
        <v>653</v>
      </c>
      <c r="AK163" t="s">
        <v>654</v>
      </c>
      <c r="AL163">
        <v>0</v>
      </c>
      <c r="AM163" t="s">
        <v>655</v>
      </c>
      <c r="AN163" t="s">
        <v>656</v>
      </c>
      <c r="AO163" t="s">
        <v>125</v>
      </c>
      <c r="AP163" t="s">
        <v>256</v>
      </c>
      <c r="AQ163" s="15">
        <v>45961</v>
      </c>
      <c r="AR163" s="15">
        <v>45950</v>
      </c>
      <c r="AS163" t="s">
        <v>227</v>
      </c>
      <c r="AT163">
        <v>1</v>
      </c>
      <c r="AU163">
        <v>1940</v>
      </c>
      <c r="AV163">
        <v>0</v>
      </c>
      <c r="AW163">
        <v>0</v>
      </c>
      <c r="AX163" s="14">
        <v>1940</v>
      </c>
      <c r="AY163" s="14">
        <v>1940</v>
      </c>
      <c r="AZ163" s="14">
        <v>0</v>
      </c>
      <c r="BA163">
        <v>0</v>
      </c>
      <c r="BB163" t="s">
        <v>22</v>
      </c>
      <c r="BC163" t="s">
        <v>128</v>
      </c>
      <c r="BD163" t="s">
        <v>434</v>
      </c>
      <c r="BE163" t="s">
        <v>130</v>
      </c>
      <c r="BG163" t="s">
        <v>665</v>
      </c>
      <c r="BH163" t="s">
        <v>132</v>
      </c>
      <c r="BJ163">
        <v>4</v>
      </c>
      <c r="BK163" t="s">
        <v>133</v>
      </c>
      <c r="BV163" t="s">
        <v>134</v>
      </c>
      <c r="BW163" s="16">
        <v>45932.676388888889</v>
      </c>
      <c r="BX163" t="s">
        <v>143</v>
      </c>
      <c r="BZ163">
        <v>19</v>
      </c>
      <c r="CA163" t="s">
        <v>666</v>
      </c>
      <c r="CB163">
        <v>0</v>
      </c>
      <c r="CF163" t="s">
        <v>357</v>
      </c>
      <c r="CG163">
        <v>2025</v>
      </c>
      <c r="CH163" t="s">
        <v>138</v>
      </c>
      <c r="CI163" t="s">
        <v>139</v>
      </c>
    </row>
    <row r="164" spans="1:87" x14ac:dyDescent="0.3">
      <c r="A164" t="s">
        <v>426</v>
      </c>
      <c r="B164" t="s">
        <v>116</v>
      </c>
      <c r="C164" t="s">
        <v>117</v>
      </c>
      <c r="D164" t="s">
        <v>118</v>
      </c>
      <c r="E164" t="s">
        <v>140</v>
      </c>
      <c r="F164" t="s">
        <v>661</v>
      </c>
      <c r="G164">
        <v>13.63</v>
      </c>
      <c r="H164">
        <v>0</v>
      </c>
      <c r="I164" s="14">
        <v>48500</v>
      </c>
      <c r="J164" s="14">
        <v>48500</v>
      </c>
      <c r="Q164" s="14"/>
      <c r="R164" s="14"/>
      <c r="Y164" s="14"/>
      <c r="Z164" s="14"/>
      <c r="AG164" s="14"/>
      <c r="AH164" s="14"/>
      <c r="AI164" t="s">
        <v>652</v>
      </c>
      <c r="AJ164" t="s">
        <v>653</v>
      </c>
      <c r="AK164" t="s">
        <v>654</v>
      </c>
      <c r="AL164">
        <v>0</v>
      </c>
      <c r="AM164" t="s">
        <v>655</v>
      </c>
      <c r="AN164" t="s">
        <v>656</v>
      </c>
      <c r="AO164" t="s">
        <v>125</v>
      </c>
      <c r="AP164" t="s">
        <v>256</v>
      </c>
      <c r="AQ164" s="15">
        <v>45991</v>
      </c>
      <c r="AR164" s="15">
        <v>45985</v>
      </c>
      <c r="AS164" t="s">
        <v>227</v>
      </c>
      <c r="AT164">
        <v>2</v>
      </c>
      <c r="AU164">
        <v>1940</v>
      </c>
      <c r="AV164">
        <v>0</v>
      </c>
      <c r="AW164">
        <v>0</v>
      </c>
      <c r="AX164" s="14">
        <v>1940</v>
      </c>
      <c r="AY164" s="14">
        <v>1940</v>
      </c>
      <c r="AZ164" s="14">
        <v>0</v>
      </c>
      <c r="BA164">
        <v>0</v>
      </c>
      <c r="BB164" t="s">
        <v>22</v>
      </c>
      <c r="BC164" t="s">
        <v>128</v>
      </c>
      <c r="BD164" t="s">
        <v>434</v>
      </c>
      <c r="BE164" t="s">
        <v>130</v>
      </c>
      <c r="BG164" t="s">
        <v>667</v>
      </c>
      <c r="BH164" t="s">
        <v>132</v>
      </c>
      <c r="BJ164">
        <v>4</v>
      </c>
      <c r="BK164" t="s">
        <v>133</v>
      </c>
      <c r="BV164" t="s">
        <v>134</v>
      </c>
      <c r="BW164" s="16">
        <v>45932.676388888889</v>
      </c>
      <c r="BX164" t="s">
        <v>143</v>
      </c>
      <c r="BZ164">
        <v>19</v>
      </c>
      <c r="CA164" t="s">
        <v>668</v>
      </c>
      <c r="CB164">
        <v>0</v>
      </c>
      <c r="CF164" t="s">
        <v>357</v>
      </c>
      <c r="CG164">
        <v>2025</v>
      </c>
      <c r="CH164" t="s">
        <v>138</v>
      </c>
      <c r="CI164" t="s">
        <v>139</v>
      </c>
    </row>
    <row r="165" spans="1:87" x14ac:dyDescent="0.3">
      <c r="A165" t="s">
        <v>426</v>
      </c>
      <c r="B165" t="s">
        <v>116</v>
      </c>
      <c r="C165" t="s">
        <v>117</v>
      </c>
      <c r="D165" t="s">
        <v>118</v>
      </c>
      <c r="E165" t="s">
        <v>140</v>
      </c>
      <c r="F165" t="s">
        <v>661</v>
      </c>
      <c r="G165">
        <v>13.63</v>
      </c>
      <c r="H165">
        <v>0</v>
      </c>
      <c r="I165" s="14">
        <v>48500</v>
      </c>
      <c r="J165" s="14">
        <v>48500</v>
      </c>
      <c r="Q165" s="14"/>
      <c r="R165" s="14"/>
      <c r="Y165" s="14"/>
      <c r="Z165" s="14"/>
      <c r="AG165" s="14"/>
      <c r="AH165" s="14"/>
      <c r="AI165" t="s">
        <v>652</v>
      </c>
      <c r="AJ165" t="s">
        <v>653</v>
      </c>
      <c r="AK165" t="s">
        <v>654</v>
      </c>
      <c r="AL165">
        <v>0</v>
      </c>
      <c r="AM165" t="s">
        <v>655</v>
      </c>
      <c r="AN165" t="s">
        <v>656</v>
      </c>
      <c r="AO165" t="s">
        <v>125</v>
      </c>
      <c r="AP165" t="s">
        <v>256</v>
      </c>
      <c r="AQ165" s="15">
        <v>46022</v>
      </c>
      <c r="AR165" s="15">
        <v>46013</v>
      </c>
      <c r="AS165" t="s">
        <v>227</v>
      </c>
      <c r="AT165">
        <v>3</v>
      </c>
      <c r="AU165">
        <v>1940</v>
      </c>
      <c r="AV165">
        <v>0</v>
      </c>
      <c r="AW165">
        <v>0</v>
      </c>
      <c r="AX165" s="14">
        <v>1940</v>
      </c>
      <c r="AY165" s="14">
        <v>1940</v>
      </c>
      <c r="AZ165" s="14">
        <v>0</v>
      </c>
      <c r="BA165">
        <v>0</v>
      </c>
      <c r="BB165" t="s">
        <v>22</v>
      </c>
      <c r="BC165" t="s">
        <v>128</v>
      </c>
      <c r="BD165" t="s">
        <v>434</v>
      </c>
      <c r="BE165" t="s">
        <v>130</v>
      </c>
      <c r="BG165" t="s">
        <v>669</v>
      </c>
      <c r="BH165" t="s">
        <v>132</v>
      </c>
      <c r="BJ165">
        <v>4</v>
      </c>
      <c r="BK165" t="s">
        <v>133</v>
      </c>
      <c r="BV165" t="s">
        <v>134</v>
      </c>
      <c r="BW165" s="16">
        <v>45932.676388888889</v>
      </c>
      <c r="BX165" t="s">
        <v>143</v>
      </c>
      <c r="BZ165">
        <v>19</v>
      </c>
      <c r="CA165" t="s">
        <v>668</v>
      </c>
      <c r="CB165">
        <v>0</v>
      </c>
      <c r="CF165" t="s">
        <v>357</v>
      </c>
      <c r="CG165">
        <v>2025</v>
      </c>
      <c r="CH165" t="s">
        <v>138</v>
      </c>
      <c r="CI165" t="s">
        <v>139</v>
      </c>
    </row>
    <row r="166" spans="1:87" x14ac:dyDescent="0.3">
      <c r="A166" t="s">
        <v>165</v>
      </c>
      <c r="B166" t="s">
        <v>116</v>
      </c>
      <c r="C166" t="s">
        <v>117</v>
      </c>
      <c r="D166" t="s">
        <v>118</v>
      </c>
      <c r="E166" t="s">
        <v>14</v>
      </c>
      <c r="F166" t="s">
        <v>265</v>
      </c>
      <c r="G166">
        <v>70</v>
      </c>
      <c r="H166">
        <v>0</v>
      </c>
      <c r="I166" s="14">
        <v>518500</v>
      </c>
      <c r="J166" s="14">
        <v>469500</v>
      </c>
      <c r="K166" t="s">
        <v>117</v>
      </c>
      <c r="L166" t="s">
        <v>118</v>
      </c>
      <c r="M166" t="s">
        <v>140</v>
      </c>
      <c r="N166" t="s">
        <v>670</v>
      </c>
      <c r="O166">
        <v>12.5</v>
      </c>
      <c r="P166">
        <v>2.75</v>
      </c>
      <c r="Q166" s="14">
        <v>55000</v>
      </c>
      <c r="R166" s="14">
        <v>55000</v>
      </c>
      <c r="Y166" s="14"/>
      <c r="Z166" s="14"/>
      <c r="AG166" s="14"/>
      <c r="AH166" s="14"/>
      <c r="AI166" t="s">
        <v>671</v>
      </c>
      <c r="AJ166" t="s">
        <v>672</v>
      </c>
      <c r="AK166" t="s">
        <v>673</v>
      </c>
      <c r="AL166">
        <v>0</v>
      </c>
      <c r="AM166" t="s">
        <v>674</v>
      </c>
      <c r="AN166" t="s">
        <v>675</v>
      </c>
      <c r="AO166" t="s">
        <v>125</v>
      </c>
      <c r="AP166" t="s">
        <v>339</v>
      </c>
      <c r="AQ166" s="15">
        <v>45899</v>
      </c>
      <c r="AR166" s="15">
        <v>45899</v>
      </c>
      <c r="AS166" t="s">
        <v>127</v>
      </c>
      <c r="AT166">
        <v>1</v>
      </c>
      <c r="AU166">
        <v>3000</v>
      </c>
      <c r="AV166">
        <v>0</v>
      </c>
      <c r="AW166">
        <v>0</v>
      </c>
      <c r="AX166" s="14">
        <v>3000</v>
      </c>
      <c r="AY166" s="14">
        <v>3000</v>
      </c>
      <c r="AZ166" s="14">
        <v>0</v>
      </c>
      <c r="BA166">
        <v>0</v>
      </c>
      <c r="BB166" t="s">
        <v>24</v>
      </c>
      <c r="BC166" t="s">
        <v>175</v>
      </c>
      <c r="BD166" t="s">
        <v>176</v>
      </c>
      <c r="BE166" t="s">
        <v>130</v>
      </c>
      <c r="BG166" t="s">
        <v>676</v>
      </c>
      <c r="BH166" t="s">
        <v>132</v>
      </c>
      <c r="BJ166">
        <v>4</v>
      </c>
      <c r="BK166" t="s">
        <v>133</v>
      </c>
      <c r="BV166" t="s">
        <v>134</v>
      </c>
      <c r="BW166" s="16">
        <v>45911.393055555563</v>
      </c>
      <c r="BX166" t="s">
        <v>143</v>
      </c>
      <c r="BZ166">
        <v>30</v>
      </c>
      <c r="CA166" t="s">
        <v>677</v>
      </c>
      <c r="CB166">
        <v>0</v>
      </c>
      <c r="CF166" t="s">
        <v>357</v>
      </c>
      <c r="CG166">
        <v>2025</v>
      </c>
      <c r="CH166" t="s">
        <v>138</v>
      </c>
      <c r="CI166" t="s">
        <v>139</v>
      </c>
    </row>
    <row r="167" spans="1:87" x14ac:dyDescent="0.3">
      <c r="A167" t="s">
        <v>165</v>
      </c>
      <c r="B167" t="s">
        <v>116</v>
      </c>
      <c r="C167" t="s">
        <v>117</v>
      </c>
      <c r="D167" t="s">
        <v>118</v>
      </c>
      <c r="E167" t="s">
        <v>14</v>
      </c>
      <c r="F167" t="s">
        <v>265</v>
      </c>
      <c r="G167">
        <v>70</v>
      </c>
      <c r="H167">
        <v>0</v>
      </c>
      <c r="I167" s="14">
        <v>518500</v>
      </c>
      <c r="J167" s="14">
        <v>469500</v>
      </c>
      <c r="K167" t="s">
        <v>117</v>
      </c>
      <c r="L167" t="s">
        <v>118</v>
      </c>
      <c r="M167" t="s">
        <v>140</v>
      </c>
      <c r="N167" t="s">
        <v>670</v>
      </c>
      <c r="O167">
        <v>12.5</v>
      </c>
      <c r="P167">
        <v>2.75</v>
      </c>
      <c r="Q167" s="14">
        <v>55000</v>
      </c>
      <c r="R167" s="14">
        <v>55000</v>
      </c>
      <c r="Y167" s="14"/>
      <c r="Z167" s="14"/>
      <c r="AG167" s="14"/>
      <c r="AH167" s="14"/>
      <c r="AI167" t="s">
        <v>671</v>
      </c>
      <c r="AJ167" t="s">
        <v>672</v>
      </c>
      <c r="AK167" t="s">
        <v>673</v>
      </c>
      <c r="AL167">
        <v>0</v>
      </c>
      <c r="AM167" t="s">
        <v>674</v>
      </c>
      <c r="AN167" t="s">
        <v>675</v>
      </c>
      <c r="AO167" t="s">
        <v>125</v>
      </c>
      <c r="AP167" t="s">
        <v>339</v>
      </c>
      <c r="AQ167" s="15">
        <v>45911</v>
      </c>
      <c r="AR167" s="15">
        <v>45911</v>
      </c>
      <c r="AS167" t="s">
        <v>145</v>
      </c>
      <c r="AT167">
        <v>1</v>
      </c>
      <c r="AU167">
        <v>50950</v>
      </c>
      <c r="AV167">
        <v>0</v>
      </c>
      <c r="AW167">
        <v>0</v>
      </c>
      <c r="AX167" s="14">
        <v>50950</v>
      </c>
      <c r="AY167" s="14">
        <v>50950</v>
      </c>
      <c r="AZ167" s="14">
        <v>0</v>
      </c>
      <c r="BA167">
        <v>0</v>
      </c>
      <c r="BB167" t="s">
        <v>24</v>
      </c>
      <c r="BC167" t="s">
        <v>175</v>
      </c>
      <c r="BD167" t="s">
        <v>176</v>
      </c>
      <c r="BE167" t="s">
        <v>130</v>
      </c>
      <c r="BG167" t="s">
        <v>678</v>
      </c>
      <c r="BH167" t="s">
        <v>132</v>
      </c>
      <c r="BJ167">
        <v>4</v>
      </c>
      <c r="BK167" t="s">
        <v>133</v>
      </c>
      <c r="BV167" t="s">
        <v>134</v>
      </c>
      <c r="BW167" s="16">
        <v>45911.393055555563</v>
      </c>
      <c r="BX167" t="s">
        <v>143</v>
      </c>
      <c r="BZ167">
        <v>30</v>
      </c>
      <c r="CA167" t="s">
        <v>679</v>
      </c>
      <c r="CB167">
        <v>0</v>
      </c>
      <c r="CF167" t="s">
        <v>357</v>
      </c>
      <c r="CG167">
        <v>2025</v>
      </c>
      <c r="CH167" t="s">
        <v>138</v>
      </c>
      <c r="CI167" t="s">
        <v>139</v>
      </c>
    </row>
    <row r="168" spans="1:87" x14ac:dyDescent="0.3">
      <c r="A168" t="s">
        <v>115</v>
      </c>
      <c r="B168" t="s">
        <v>116</v>
      </c>
      <c r="C168" t="s">
        <v>117</v>
      </c>
      <c r="D168" t="s">
        <v>118</v>
      </c>
      <c r="E168" t="s">
        <v>14</v>
      </c>
      <c r="F168" t="s">
        <v>680</v>
      </c>
      <c r="G168">
        <v>56</v>
      </c>
      <c r="H168">
        <v>0</v>
      </c>
      <c r="I168" s="14">
        <v>420000</v>
      </c>
      <c r="J168" s="14">
        <v>420000</v>
      </c>
      <c r="Q168" s="14"/>
      <c r="R168" s="14"/>
      <c r="Y168" s="14"/>
      <c r="Z168" s="14"/>
      <c r="AG168" s="14"/>
      <c r="AH168" s="14"/>
      <c r="AI168" t="s">
        <v>681</v>
      </c>
      <c r="AJ168" t="s">
        <v>682</v>
      </c>
      <c r="AK168" t="s">
        <v>683</v>
      </c>
      <c r="AL168">
        <v>958600003</v>
      </c>
      <c r="AM168" t="s">
        <v>684</v>
      </c>
      <c r="AN168" t="s">
        <v>685</v>
      </c>
      <c r="AO168" t="s">
        <v>125</v>
      </c>
      <c r="AP168" t="s">
        <v>152</v>
      </c>
      <c r="AQ168" s="15">
        <v>45815</v>
      </c>
      <c r="AR168" s="15">
        <v>45815</v>
      </c>
      <c r="AS168" t="s">
        <v>127</v>
      </c>
      <c r="AT168">
        <v>1</v>
      </c>
      <c r="AU168">
        <v>3000</v>
      </c>
      <c r="AV168">
        <v>0</v>
      </c>
      <c r="AW168">
        <v>0</v>
      </c>
      <c r="AX168" s="14">
        <v>3000</v>
      </c>
      <c r="AY168" s="14">
        <v>3000</v>
      </c>
      <c r="AZ168" s="14">
        <v>0</v>
      </c>
      <c r="BA168">
        <v>0</v>
      </c>
      <c r="BB168" t="s">
        <v>23</v>
      </c>
      <c r="BC168" t="s">
        <v>128</v>
      </c>
      <c r="BD168" t="s">
        <v>129</v>
      </c>
      <c r="BE168" t="s">
        <v>130</v>
      </c>
      <c r="BF168" t="s">
        <v>682</v>
      </c>
      <c r="BG168" t="s">
        <v>686</v>
      </c>
      <c r="BH168" t="s">
        <v>132</v>
      </c>
      <c r="BI168" t="s">
        <v>154</v>
      </c>
      <c r="BJ168">
        <v>4</v>
      </c>
      <c r="BK168" t="s">
        <v>133</v>
      </c>
      <c r="BV168" t="s">
        <v>134</v>
      </c>
      <c r="BW168" s="16">
        <v>45832.519444444442</v>
      </c>
      <c r="BX168" t="s">
        <v>178</v>
      </c>
      <c r="BZ168">
        <v>45</v>
      </c>
      <c r="CA168" t="s">
        <v>687</v>
      </c>
      <c r="CB168">
        <v>0</v>
      </c>
      <c r="CF168" t="s">
        <v>357</v>
      </c>
      <c r="CG168">
        <v>2025</v>
      </c>
      <c r="CH168" t="s">
        <v>138</v>
      </c>
      <c r="CI168" t="s">
        <v>139</v>
      </c>
    </row>
    <row r="169" spans="1:87" x14ac:dyDescent="0.3">
      <c r="A169" t="s">
        <v>115</v>
      </c>
      <c r="B169" t="s">
        <v>116</v>
      </c>
      <c r="C169" t="s">
        <v>117</v>
      </c>
      <c r="D169" t="s">
        <v>118</v>
      </c>
      <c r="E169" t="s">
        <v>14</v>
      </c>
      <c r="F169" t="s">
        <v>680</v>
      </c>
      <c r="G169">
        <v>56</v>
      </c>
      <c r="H169">
        <v>0</v>
      </c>
      <c r="I169" s="14">
        <v>420000</v>
      </c>
      <c r="J169" s="14">
        <v>420000</v>
      </c>
      <c r="Q169" s="14"/>
      <c r="R169" s="14"/>
      <c r="Y169" s="14"/>
      <c r="Z169" s="14"/>
      <c r="AG169" s="14"/>
      <c r="AH169" s="14"/>
      <c r="AI169" t="s">
        <v>681</v>
      </c>
      <c r="AJ169" t="s">
        <v>682</v>
      </c>
      <c r="AK169" t="s">
        <v>683</v>
      </c>
      <c r="AL169">
        <v>958600003</v>
      </c>
      <c r="AM169" t="s">
        <v>684</v>
      </c>
      <c r="AN169" t="s">
        <v>685</v>
      </c>
      <c r="AO169" t="s">
        <v>125</v>
      </c>
      <c r="AP169" t="s">
        <v>152</v>
      </c>
      <c r="AQ169" s="15">
        <v>45832</v>
      </c>
      <c r="AR169" s="15">
        <v>45832</v>
      </c>
      <c r="AS169" t="s">
        <v>145</v>
      </c>
      <c r="AT169">
        <v>1</v>
      </c>
      <c r="AU169">
        <v>9400</v>
      </c>
      <c r="AV169">
        <v>0</v>
      </c>
      <c r="AW169">
        <v>0</v>
      </c>
      <c r="AX169" s="14">
        <v>9400</v>
      </c>
      <c r="AY169" s="14">
        <v>9400</v>
      </c>
      <c r="AZ169" s="14">
        <v>0</v>
      </c>
      <c r="BA169">
        <v>0</v>
      </c>
      <c r="BB169" t="s">
        <v>23</v>
      </c>
      <c r="BC169" t="s">
        <v>128</v>
      </c>
      <c r="BD169" t="s">
        <v>129</v>
      </c>
      <c r="BE169" t="s">
        <v>130</v>
      </c>
      <c r="BF169" t="s">
        <v>682</v>
      </c>
      <c r="BG169" t="s">
        <v>688</v>
      </c>
      <c r="BH169" t="s">
        <v>132</v>
      </c>
      <c r="BI169" t="s">
        <v>154</v>
      </c>
      <c r="BJ169">
        <v>4</v>
      </c>
      <c r="BK169" t="s">
        <v>133</v>
      </c>
      <c r="BV169" t="s">
        <v>134</v>
      </c>
      <c r="BW169" s="16">
        <v>45832.519444444442</v>
      </c>
      <c r="BX169" t="s">
        <v>178</v>
      </c>
      <c r="BZ169">
        <v>45</v>
      </c>
      <c r="CA169" t="s">
        <v>689</v>
      </c>
      <c r="CB169">
        <v>0</v>
      </c>
      <c r="CF169" t="s">
        <v>357</v>
      </c>
      <c r="CG169">
        <v>2025</v>
      </c>
      <c r="CH169" t="s">
        <v>138</v>
      </c>
      <c r="CI169" t="s">
        <v>139</v>
      </c>
    </row>
    <row r="170" spans="1:87" x14ac:dyDescent="0.3">
      <c r="A170" t="s">
        <v>115</v>
      </c>
      <c r="B170" t="s">
        <v>116</v>
      </c>
      <c r="C170" t="s">
        <v>117</v>
      </c>
      <c r="D170" t="s">
        <v>118</v>
      </c>
      <c r="E170" t="s">
        <v>14</v>
      </c>
      <c r="F170" t="s">
        <v>680</v>
      </c>
      <c r="G170">
        <v>56</v>
      </c>
      <c r="H170">
        <v>0</v>
      </c>
      <c r="I170" s="14">
        <v>420000</v>
      </c>
      <c r="J170" s="14">
        <v>420000</v>
      </c>
      <c r="Q170" s="14"/>
      <c r="R170" s="14"/>
      <c r="Y170" s="14"/>
      <c r="Z170" s="14"/>
      <c r="AG170" s="14"/>
      <c r="AH170" s="14"/>
      <c r="AI170" t="s">
        <v>681</v>
      </c>
      <c r="AJ170" t="s">
        <v>682</v>
      </c>
      <c r="AK170" t="s">
        <v>683</v>
      </c>
      <c r="AL170">
        <v>958600003</v>
      </c>
      <c r="AM170" t="s">
        <v>684</v>
      </c>
      <c r="AN170" t="s">
        <v>685</v>
      </c>
      <c r="AO170" t="s">
        <v>125</v>
      </c>
      <c r="AP170" t="s">
        <v>152</v>
      </c>
      <c r="AQ170" s="15">
        <v>45991</v>
      </c>
      <c r="AR170" s="15">
        <v>46077</v>
      </c>
      <c r="AS170" t="s">
        <v>145</v>
      </c>
      <c r="AT170">
        <v>2</v>
      </c>
      <c r="AU170">
        <v>23514</v>
      </c>
      <c r="AV170">
        <v>0</v>
      </c>
      <c r="AW170">
        <v>0</v>
      </c>
      <c r="AX170" s="14">
        <v>23514</v>
      </c>
      <c r="AY170" s="14">
        <v>23514</v>
      </c>
      <c r="AZ170" s="14">
        <v>0</v>
      </c>
      <c r="BA170">
        <v>0</v>
      </c>
      <c r="BB170" t="s">
        <v>23</v>
      </c>
      <c r="BC170" t="s">
        <v>128</v>
      </c>
      <c r="BD170" t="s">
        <v>129</v>
      </c>
      <c r="BE170" t="s">
        <v>130</v>
      </c>
      <c r="BF170" t="s">
        <v>682</v>
      </c>
      <c r="BG170" t="s">
        <v>565</v>
      </c>
      <c r="BH170" t="s">
        <v>132</v>
      </c>
      <c r="BI170" t="s">
        <v>154</v>
      </c>
      <c r="BJ170">
        <v>4</v>
      </c>
      <c r="BK170" t="s">
        <v>133</v>
      </c>
      <c r="BV170" t="s">
        <v>134</v>
      </c>
      <c r="BW170" s="16">
        <v>45832.519444444442</v>
      </c>
      <c r="BX170" t="s">
        <v>178</v>
      </c>
      <c r="BZ170">
        <v>45</v>
      </c>
      <c r="CA170" t="s">
        <v>690</v>
      </c>
      <c r="CB170">
        <v>0</v>
      </c>
      <c r="CF170" t="s">
        <v>357</v>
      </c>
      <c r="CG170">
        <v>2025</v>
      </c>
      <c r="CH170" t="s">
        <v>138</v>
      </c>
      <c r="CI170" t="s">
        <v>139</v>
      </c>
    </row>
    <row r="171" spans="1:87" x14ac:dyDescent="0.3">
      <c r="A171" t="s">
        <v>115</v>
      </c>
      <c r="B171" t="s">
        <v>116</v>
      </c>
      <c r="C171" t="s">
        <v>117</v>
      </c>
      <c r="D171" t="s">
        <v>118</v>
      </c>
      <c r="E171" t="s">
        <v>14</v>
      </c>
      <c r="F171" t="s">
        <v>680</v>
      </c>
      <c r="G171">
        <v>56</v>
      </c>
      <c r="H171">
        <v>0</v>
      </c>
      <c r="I171" s="14">
        <v>420000</v>
      </c>
      <c r="J171" s="14">
        <v>420000</v>
      </c>
      <c r="Q171" s="14"/>
      <c r="R171" s="14"/>
      <c r="Y171" s="14"/>
      <c r="Z171" s="14"/>
      <c r="AG171" s="14"/>
      <c r="AH171" s="14"/>
      <c r="AI171" t="s">
        <v>681</v>
      </c>
      <c r="AJ171" t="s">
        <v>682</v>
      </c>
      <c r="AK171" t="s">
        <v>683</v>
      </c>
      <c r="AL171">
        <v>958600003</v>
      </c>
      <c r="AM171" t="s">
        <v>684</v>
      </c>
      <c r="AN171" t="s">
        <v>685</v>
      </c>
      <c r="AO171" t="s">
        <v>125</v>
      </c>
      <c r="AP171" t="s">
        <v>152</v>
      </c>
      <c r="AQ171" s="15">
        <v>45991</v>
      </c>
      <c r="AR171" s="15">
        <v>46127</v>
      </c>
      <c r="AS171" t="s">
        <v>145</v>
      </c>
      <c r="AT171">
        <v>3</v>
      </c>
      <c r="AU171">
        <v>12086</v>
      </c>
      <c r="AV171">
        <v>0</v>
      </c>
      <c r="AW171">
        <v>0</v>
      </c>
      <c r="AX171" s="14">
        <v>12086</v>
      </c>
      <c r="AY171" s="14">
        <v>4210.3</v>
      </c>
      <c r="AZ171" s="14">
        <v>0</v>
      </c>
      <c r="BA171">
        <v>0</v>
      </c>
      <c r="BB171" t="s">
        <v>23</v>
      </c>
      <c r="BC171" t="s">
        <v>128</v>
      </c>
      <c r="BD171" t="s">
        <v>129</v>
      </c>
      <c r="BE171" t="s">
        <v>130</v>
      </c>
      <c r="BF171" t="s">
        <v>682</v>
      </c>
      <c r="BG171" t="s">
        <v>691</v>
      </c>
      <c r="BH171" t="s">
        <v>132</v>
      </c>
      <c r="BI171" t="s">
        <v>154</v>
      </c>
      <c r="BJ171">
        <v>4</v>
      </c>
      <c r="BK171" t="s">
        <v>133</v>
      </c>
      <c r="BV171" t="s">
        <v>134</v>
      </c>
      <c r="BW171" s="16">
        <v>45832.519444444442</v>
      </c>
      <c r="BX171" t="s">
        <v>178</v>
      </c>
      <c r="BZ171">
        <v>45</v>
      </c>
      <c r="CA171" t="s">
        <v>692</v>
      </c>
      <c r="CB171">
        <v>0</v>
      </c>
      <c r="CF171" t="s">
        <v>357</v>
      </c>
      <c r="CG171">
        <v>2025</v>
      </c>
      <c r="CH171" t="s">
        <v>138</v>
      </c>
      <c r="CI171" t="s">
        <v>139</v>
      </c>
    </row>
    <row r="172" spans="1:87" x14ac:dyDescent="0.3">
      <c r="A172" t="s">
        <v>115</v>
      </c>
      <c r="B172" t="s">
        <v>116</v>
      </c>
      <c r="C172" t="s">
        <v>117</v>
      </c>
      <c r="D172" t="s">
        <v>118</v>
      </c>
      <c r="E172" t="s">
        <v>14</v>
      </c>
      <c r="F172" t="s">
        <v>680</v>
      </c>
      <c r="G172">
        <v>56</v>
      </c>
      <c r="H172">
        <v>0</v>
      </c>
      <c r="I172" s="14">
        <v>420000</v>
      </c>
      <c r="J172" s="14">
        <v>420000</v>
      </c>
      <c r="Q172" s="14"/>
      <c r="R172" s="14"/>
      <c r="Y172" s="14"/>
      <c r="Z172" s="14"/>
      <c r="AG172" s="14"/>
      <c r="AH172" s="14"/>
      <c r="AI172" t="s">
        <v>681</v>
      </c>
      <c r="AJ172" t="s">
        <v>682</v>
      </c>
      <c r="AK172" t="s">
        <v>683</v>
      </c>
      <c r="AL172">
        <v>958600003</v>
      </c>
      <c r="AM172" t="s">
        <v>684</v>
      </c>
      <c r="AN172" t="s">
        <v>685</v>
      </c>
      <c r="AO172" t="s">
        <v>125</v>
      </c>
      <c r="AP172" t="s">
        <v>152</v>
      </c>
      <c r="AQ172" s="15">
        <v>45991</v>
      </c>
      <c r="AR172" s="15">
        <v>46086</v>
      </c>
      <c r="AS172" t="s">
        <v>145</v>
      </c>
      <c r="AT172">
        <v>3</v>
      </c>
      <c r="AU172">
        <v>0</v>
      </c>
      <c r="AV172">
        <v>0</v>
      </c>
      <c r="AW172">
        <v>0</v>
      </c>
      <c r="AX172" s="14">
        <v>0</v>
      </c>
      <c r="AY172" s="14">
        <v>7875.7</v>
      </c>
      <c r="AZ172" s="14">
        <v>0</v>
      </c>
      <c r="BA172">
        <v>0</v>
      </c>
      <c r="BB172" t="s">
        <v>23</v>
      </c>
      <c r="BC172" t="s">
        <v>128</v>
      </c>
      <c r="BD172" t="s">
        <v>129</v>
      </c>
      <c r="BE172" t="s">
        <v>130</v>
      </c>
      <c r="BG172" t="s">
        <v>693</v>
      </c>
      <c r="BH172" t="s">
        <v>132</v>
      </c>
      <c r="BJ172">
        <v>4</v>
      </c>
      <c r="BK172" t="s">
        <v>133</v>
      </c>
      <c r="BV172" t="s">
        <v>134</v>
      </c>
      <c r="BW172" s="16">
        <v>45832.519444444442</v>
      </c>
      <c r="BX172" t="s">
        <v>178</v>
      </c>
      <c r="BZ172">
        <v>45</v>
      </c>
      <c r="CA172" t="s">
        <v>694</v>
      </c>
      <c r="CB172">
        <v>0</v>
      </c>
      <c r="CF172" t="s">
        <v>357</v>
      </c>
      <c r="CG172">
        <v>2025</v>
      </c>
      <c r="CH172" t="s">
        <v>138</v>
      </c>
      <c r="CI172" t="s">
        <v>139</v>
      </c>
    </row>
    <row r="173" spans="1:87" x14ac:dyDescent="0.3">
      <c r="A173" t="s">
        <v>115</v>
      </c>
      <c r="B173" t="s">
        <v>116</v>
      </c>
      <c r="C173" t="s">
        <v>117</v>
      </c>
      <c r="D173" t="s">
        <v>118</v>
      </c>
      <c r="E173" t="s">
        <v>140</v>
      </c>
      <c r="F173" t="s">
        <v>695</v>
      </c>
      <c r="G173">
        <v>12.5</v>
      </c>
      <c r="H173">
        <v>3.8</v>
      </c>
      <c r="I173" s="14">
        <v>60400</v>
      </c>
      <c r="J173" s="14">
        <v>60400</v>
      </c>
      <c r="Q173" s="14"/>
      <c r="R173" s="14"/>
      <c r="Y173" s="14"/>
      <c r="Z173" s="14"/>
      <c r="AG173" s="14"/>
      <c r="AH173" s="14"/>
      <c r="AI173" t="s">
        <v>696</v>
      </c>
      <c r="AJ173" t="s">
        <v>682</v>
      </c>
      <c r="AK173" t="s">
        <v>683</v>
      </c>
      <c r="AL173">
        <v>0</v>
      </c>
      <c r="AM173" t="s">
        <v>684</v>
      </c>
      <c r="AN173" t="s">
        <v>697</v>
      </c>
      <c r="AO173" t="s">
        <v>125</v>
      </c>
      <c r="AP173" t="s">
        <v>152</v>
      </c>
      <c r="AQ173" s="15">
        <v>45886</v>
      </c>
      <c r="AR173" s="15">
        <v>45886</v>
      </c>
      <c r="AS173" t="s">
        <v>127</v>
      </c>
      <c r="AT173">
        <v>1</v>
      </c>
      <c r="AU173">
        <v>5000</v>
      </c>
      <c r="AV173">
        <v>0</v>
      </c>
      <c r="AW173">
        <v>0</v>
      </c>
      <c r="AX173" s="14">
        <v>5000</v>
      </c>
      <c r="AY173" s="14">
        <v>5000</v>
      </c>
      <c r="AZ173" s="14">
        <v>0</v>
      </c>
      <c r="BA173">
        <v>0</v>
      </c>
      <c r="BB173" t="s">
        <v>22</v>
      </c>
      <c r="BC173" t="s">
        <v>128</v>
      </c>
      <c r="BD173" t="s">
        <v>415</v>
      </c>
      <c r="BE173" t="s">
        <v>130</v>
      </c>
      <c r="BG173" t="s">
        <v>698</v>
      </c>
      <c r="BH173" t="s">
        <v>132</v>
      </c>
      <c r="BJ173">
        <v>4</v>
      </c>
      <c r="BK173" t="s">
        <v>133</v>
      </c>
      <c r="BV173" t="s">
        <v>134</v>
      </c>
      <c r="BW173" s="16">
        <v>46031.56527777778</v>
      </c>
      <c r="BX173" t="s">
        <v>178</v>
      </c>
      <c r="BZ173">
        <v>63</v>
      </c>
      <c r="CA173" t="s">
        <v>699</v>
      </c>
      <c r="CB173">
        <v>0</v>
      </c>
      <c r="CF173" t="s">
        <v>357</v>
      </c>
      <c r="CG173">
        <v>2025</v>
      </c>
      <c r="CH173" t="s">
        <v>138</v>
      </c>
      <c r="CI173" t="s">
        <v>139</v>
      </c>
    </row>
    <row r="174" spans="1:87" x14ac:dyDescent="0.3">
      <c r="A174" t="s">
        <v>115</v>
      </c>
      <c r="B174" t="s">
        <v>116</v>
      </c>
      <c r="C174" t="s">
        <v>117</v>
      </c>
      <c r="D174" t="s">
        <v>118</v>
      </c>
      <c r="E174" t="s">
        <v>14</v>
      </c>
      <c r="F174" t="s">
        <v>215</v>
      </c>
      <c r="G174">
        <v>88.27</v>
      </c>
      <c r="H174">
        <v>0</v>
      </c>
      <c r="I174" s="14">
        <v>654000</v>
      </c>
      <c r="J174" s="14">
        <v>654000</v>
      </c>
      <c r="K174" t="s">
        <v>117</v>
      </c>
      <c r="L174" t="s">
        <v>118</v>
      </c>
      <c r="M174" t="s">
        <v>140</v>
      </c>
      <c r="N174" t="s">
        <v>216</v>
      </c>
      <c r="O174">
        <v>13</v>
      </c>
      <c r="P174">
        <v>3.89</v>
      </c>
      <c r="Q174" s="14">
        <v>56300</v>
      </c>
      <c r="R174" s="14">
        <v>56300</v>
      </c>
      <c r="Y174" s="14"/>
      <c r="Z174" s="14"/>
      <c r="AG174" s="14"/>
      <c r="AH174" s="14"/>
      <c r="AI174" t="s">
        <v>217</v>
      </c>
      <c r="AJ174" t="s">
        <v>218</v>
      </c>
      <c r="AK174" t="s">
        <v>219</v>
      </c>
      <c r="AM174" t="s">
        <v>220</v>
      </c>
      <c r="AN174" t="s">
        <v>221</v>
      </c>
      <c r="AO174" t="s">
        <v>125</v>
      </c>
      <c r="AP174" t="s">
        <v>205</v>
      </c>
      <c r="AQ174" s="15">
        <v>45750</v>
      </c>
      <c r="AR174" s="15">
        <v>45750</v>
      </c>
      <c r="AS174" t="s">
        <v>227</v>
      </c>
      <c r="AT174">
        <v>4</v>
      </c>
      <c r="AU174">
        <v>20000</v>
      </c>
      <c r="AV174">
        <v>0</v>
      </c>
      <c r="AW174">
        <v>0</v>
      </c>
      <c r="AX174" s="14">
        <v>20000</v>
      </c>
      <c r="AY174" s="14">
        <v>20000</v>
      </c>
      <c r="AZ174" s="14">
        <v>0</v>
      </c>
      <c r="BA174">
        <v>0</v>
      </c>
      <c r="BB174" t="s">
        <v>22</v>
      </c>
      <c r="BC174" t="s">
        <v>128</v>
      </c>
      <c r="BD174" t="s">
        <v>129</v>
      </c>
      <c r="BE174" t="s">
        <v>130</v>
      </c>
      <c r="BG174" t="s">
        <v>700</v>
      </c>
      <c r="BH174" t="s">
        <v>132</v>
      </c>
      <c r="BJ174">
        <v>4</v>
      </c>
      <c r="BK174" t="s">
        <v>133</v>
      </c>
      <c r="BV174" t="s">
        <v>134</v>
      </c>
      <c r="BW174" s="16">
        <v>45539.380555555559</v>
      </c>
      <c r="BX174" t="s">
        <v>178</v>
      </c>
      <c r="BZ174">
        <v>24</v>
      </c>
      <c r="CA174" t="s">
        <v>701</v>
      </c>
      <c r="CB174">
        <v>0</v>
      </c>
      <c r="CF174" t="s">
        <v>357</v>
      </c>
      <c r="CG174">
        <v>2025</v>
      </c>
      <c r="CH174" t="s">
        <v>138</v>
      </c>
      <c r="CI174" t="s">
        <v>139</v>
      </c>
    </row>
    <row r="175" spans="1:87" x14ac:dyDescent="0.3">
      <c r="A175" t="s">
        <v>115</v>
      </c>
      <c r="B175" t="s">
        <v>116</v>
      </c>
      <c r="C175" t="s">
        <v>117</v>
      </c>
      <c r="D175" t="s">
        <v>118</v>
      </c>
      <c r="E175" t="s">
        <v>14</v>
      </c>
      <c r="F175" t="s">
        <v>215</v>
      </c>
      <c r="G175">
        <v>88.27</v>
      </c>
      <c r="H175">
        <v>0</v>
      </c>
      <c r="I175" s="14">
        <v>654000</v>
      </c>
      <c r="J175" s="14">
        <v>654000</v>
      </c>
      <c r="K175" t="s">
        <v>117</v>
      </c>
      <c r="L175" t="s">
        <v>118</v>
      </c>
      <c r="M175" t="s">
        <v>140</v>
      </c>
      <c r="N175" t="s">
        <v>216</v>
      </c>
      <c r="O175">
        <v>13</v>
      </c>
      <c r="P175">
        <v>3.89</v>
      </c>
      <c r="Q175" s="14">
        <v>56300</v>
      </c>
      <c r="R175" s="14">
        <v>56300</v>
      </c>
      <c r="Y175" s="14"/>
      <c r="Z175" s="14"/>
      <c r="AG175" s="14"/>
      <c r="AH175" s="14"/>
      <c r="AI175" t="s">
        <v>217</v>
      </c>
      <c r="AJ175" t="s">
        <v>218</v>
      </c>
      <c r="AK175" t="s">
        <v>219</v>
      </c>
      <c r="AM175" t="s">
        <v>220</v>
      </c>
      <c r="AN175" t="s">
        <v>221</v>
      </c>
      <c r="AO175" t="s">
        <v>125</v>
      </c>
      <c r="AP175" t="s">
        <v>205</v>
      </c>
      <c r="AQ175" s="15">
        <v>45751</v>
      </c>
      <c r="AR175" s="15">
        <v>45751</v>
      </c>
      <c r="AS175" t="s">
        <v>227</v>
      </c>
      <c r="AT175">
        <v>5</v>
      </c>
      <c r="AU175">
        <v>15515</v>
      </c>
      <c r="AV175">
        <v>0</v>
      </c>
      <c r="AW175">
        <v>0</v>
      </c>
      <c r="AX175" s="14">
        <v>15515</v>
      </c>
      <c r="AY175" s="14">
        <v>15515</v>
      </c>
      <c r="AZ175" s="14">
        <v>0</v>
      </c>
      <c r="BA175">
        <v>0</v>
      </c>
      <c r="BB175" t="s">
        <v>22</v>
      </c>
      <c r="BC175" t="s">
        <v>128</v>
      </c>
      <c r="BD175" t="s">
        <v>129</v>
      </c>
      <c r="BE175" t="s">
        <v>130</v>
      </c>
      <c r="BG175" t="s">
        <v>702</v>
      </c>
      <c r="BH175" t="s">
        <v>132</v>
      </c>
      <c r="BJ175">
        <v>4</v>
      </c>
      <c r="BK175" t="s">
        <v>133</v>
      </c>
      <c r="BV175" t="s">
        <v>134</v>
      </c>
      <c r="BW175" s="16">
        <v>45539.380555555559</v>
      </c>
      <c r="BX175" t="s">
        <v>178</v>
      </c>
      <c r="BZ175">
        <v>24</v>
      </c>
      <c r="CA175" t="s">
        <v>703</v>
      </c>
      <c r="CB175">
        <v>0</v>
      </c>
      <c r="CF175" t="s">
        <v>357</v>
      </c>
      <c r="CG175">
        <v>2025</v>
      </c>
      <c r="CH175" t="s">
        <v>138</v>
      </c>
      <c r="CI175" t="s">
        <v>139</v>
      </c>
    </row>
    <row r="176" spans="1:87" x14ac:dyDescent="0.3">
      <c r="A176" t="s">
        <v>115</v>
      </c>
      <c r="B176" t="s">
        <v>116</v>
      </c>
      <c r="C176" t="s">
        <v>117</v>
      </c>
      <c r="D176" t="s">
        <v>118</v>
      </c>
      <c r="E176" t="s">
        <v>14</v>
      </c>
      <c r="F176" t="s">
        <v>215</v>
      </c>
      <c r="G176">
        <v>88.27</v>
      </c>
      <c r="H176">
        <v>0</v>
      </c>
      <c r="I176" s="14">
        <v>654000</v>
      </c>
      <c r="J176" s="14">
        <v>654000</v>
      </c>
      <c r="K176" t="s">
        <v>117</v>
      </c>
      <c r="L176" t="s">
        <v>118</v>
      </c>
      <c r="M176" t="s">
        <v>140</v>
      </c>
      <c r="N176" t="s">
        <v>216</v>
      </c>
      <c r="O176">
        <v>13</v>
      </c>
      <c r="P176">
        <v>3.89</v>
      </c>
      <c r="Q176" s="14">
        <v>56300</v>
      </c>
      <c r="R176" s="14">
        <v>56300</v>
      </c>
      <c r="Y176" s="14"/>
      <c r="Z176" s="14"/>
      <c r="AG176" s="14"/>
      <c r="AH176" s="14"/>
      <c r="AI176" t="s">
        <v>217</v>
      </c>
      <c r="AJ176" t="s">
        <v>218</v>
      </c>
      <c r="AK176" t="s">
        <v>219</v>
      </c>
      <c r="AM176" t="s">
        <v>220</v>
      </c>
      <c r="AN176" t="s">
        <v>221</v>
      </c>
      <c r="AO176" t="s">
        <v>125</v>
      </c>
      <c r="AP176" t="s">
        <v>205</v>
      </c>
      <c r="AQ176" s="15">
        <v>45793</v>
      </c>
      <c r="AR176" s="15">
        <v>45793</v>
      </c>
      <c r="AS176" t="s">
        <v>227</v>
      </c>
      <c r="AT176">
        <v>6</v>
      </c>
      <c r="AU176">
        <v>35515</v>
      </c>
      <c r="AV176">
        <v>0</v>
      </c>
      <c r="AW176">
        <v>0</v>
      </c>
      <c r="AX176" s="14">
        <v>35515</v>
      </c>
      <c r="AY176" s="14">
        <v>35515</v>
      </c>
      <c r="AZ176" s="14">
        <v>0</v>
      </c>
      <c r="BA176">
        <v>0</v>
      </c>
      <c r="BB176" t="s">
        <v>22</v>
      </c>
      <c r="BC176" t="s">
        <v>128</v>
      </c>
      <c r="BD176" t="s">
        <v>129</v>
      </c>
      <c r="BE176" t="s">
        <v>130</v>
      </c>
      <c r="BG176" t="s">
        <v>704</v>
      </c>
      <c r="BH176" t="s">
        <v>132</v>
      </c>
      <c r="BJ176">
        <v>4</v>
      </c>
      <c r="BK176" t="s">
        <v>133</v>
      </c>
      <c r="BV176" t="s">
        <v>134</v>
      </c>
      <c r="BW176" s="16">
        <v>45539.380555555559</v>
      </c>
      <c r="BX176" t="s">
        <v>178</v>
      </c>
      <c r="BZ176">
        <v>24</v>
      </c>
      <c r="CA176" t="s">
        <v>705</v>
      </c>
      <c r="CB176">
        <v>0</v>
      </c>
      <c r="CF176" t="s">
        <v>357</v>
      </c>
      <c r="CG176">
        <v>2025</v>
      </c>
      <c r="CH176" t="s">
        <v>138</v>
      </c>
      <c r="CI176" t="s">
        <v>139</v>
      </c>
    </row>
    <row r="177" spans="1:87" x14ac:dyDescent="0.3">
      <c r="A177" t="s">
        <v>115</v>
      </c>
      <c r="B177" t="s">
        <v>116</v>
      </c>
      <c r="C177" t="s">
        <v>117</v>
      </c>
      <c r="D177" t="s">
        <v>118</v>
      </c>
      <c r="E177" t="s">
        <v>14</v>
      </c>
      <c r="F177" t="s">
        <v>230</v>
      </c>
      <c r="G177">
        <v>68.52</v>
      </c>
      <c r="H177">
        <v>31.7</v>
      </c>
      <c r="I177" s="14">
        <v>609100</v>
      </c>
      <c r="J177" s="14">
        <v>609100</v>
      </c>
      <c r="K177" t="s">
        <v>117</v>
      </c>
      <c r="L177" t="s">
        <v>118</v>
      </c>
      <c r="M177" t="s">
        <v>140</v>
      </c>
      <c r="N177" t="s">
        <v>231</v>
      </c>
      <c r="O177">
        <v>14.6</v>
      </c>
      <c r="P177">
        <v>3.89</v>
      </c>
      <c r="Q177" s="14">
        <v>64600</v>
      </c>
      <c r="R177" s="14">
        <v>64600</v>
      </c>
      <c r="Y177" s="14"/>
      <c r="Z177" s="14"/>
      <c r="AG177" s="14"/>
      <c r="AH177" s="14"/>
      <c r="AI177" t="s">
        <v>232</v>
      </c>
      <c r="AJ177" t="s">
        <v>233</v>
      </c>
      <c r="AK177" t="s">
        <v>234</v>
      </c>
      <c r="AL177">
        <v>966422784</v>
      </c>
      <c r="AM177" t="s">
        <v>235</v>
      </c>
      <c r="AN177" t="s">
        <v>236</v>
      </c>
      <c r="AO177" t="s">
        <v>125</v>
      </c>
      <c r="AP177" t="s">
        <v>152</v>
      </c>
      <c r="AQ177" s="15">
        <v>45869</v>
      </c>
      <c r="AR177" s="15">
        <v>45900</v>
      </c>
      <c r="AS177" t="s">
        <v>227</v>
      </c>
      <c r="AT177">
        <v>1</v>
      </c>
      <c r="AU177">
        <v>535960</v>
      </c>
      <c r="AV177">
        <v>0</v>
      </c>
      <c r="AW177">
        <v>0</v>
      </c>
      <c r="AX177" s="14">
        <v>535960</v>
      </c>
      <c r="AY177" s="14">
        <v>535960</v>
      </c>
      <c r="AZ177" s="14">
        <v>0</v>
      </c>
      <c r="BA177">
        <v>0</v>
      </c>
      <c r="BB177" t="s">
        <v>23</v>
      </c>
      <c r="BC177" t="s">
        <v>128</v>
      </c>
      <c r="BD177" t="s">
        <v>129</v>
      </c>
      <c r="BE177" t="s">
        <v>130</v>
      </c>
      <c r="BH177" t="s">
        <v>134</v>
      </c>
      <c r="BJ177">
        <v>4</v>
      </c>
      <c r="BK177" t="s">
        <v>133</v>
      </c>
      <c r="BV177" t="s">
        <v>134</v>
      </c>
      <c r="BW177" s="16">
        <v>45537.593055555553</v>
      </c>
      <c r="BX177" t="s">
        <v>135</v>
      </c>
      <c r="BZ177">
        <v>32</v>
      </c>
      <c r="CA177" t="s">
        <v>706</v>
      </c>
      <c r="CB177">
        <v>0</v>
      </c>
      <c r="CF177" t="s">
        <v>357</v>
      </c>
      <c r="CG177">
        <v>2025</v>
      </c>
      <c r="CH177" t="s">
        <v>138</v>
      </c>
      <c r="CI177" t="s">
        <v>139</v>
      </c>
    </row>
    <row r="178" spans="1:87" x14ac:dyDescent="0.3">
      <c r="A178" t="s">
        <v>426</v>
      </c>
      <c r="B178" t="s">
        <v>116</v>
      </c>
      <c r="C178" t="s">
        <v>117</v>
      </c>
      <c r="D178" t="s">
        <v>118</v>
      </c>
      <c r="E178" t="s">
        <v>14</v>
      </c>
      <c r="F178" t="s">
        <v>707</v>
      </c>
      <c r="G178">
        <v>67</v>
      </c>
      <c r="H178">
        <v>0</v>
      </c>
      <c r="I178" s="14">
        <v>438000</v>
      </c>
      <c r="J178" s="14">
        <v>438000</v>
      </c>
      <c r="K178" t="s">
        <v>117</v>
      </c>
      <c r="L178" t="s">
        <v>118</v>
      </c>
      <c r="M178" t="s">
        <v>140</v>
      </c>
      <c r="N178" t="s">
        <v>708</v>
      </c>
      <c r="O178">
        <v>14.5</v>
      </c>
      <c r="P178">
        <v>0</v>
      </c>
      <c r="Q178" s="14">
        <v>43000</v>
      </c>
      <c r="R178" s="14">
        <v>43000</v>
      </c>
      <c r="Y178" s="14"/>
      <c r="Z178" s="14"/>
      <c r="AG178" s="14"/>
      <c r="AH178" s="14"/>
      <c r="AI178" t="s">
        <v>709</v>
      </c>
      <c r="AJ178" t="s">
        <v>710</v>
      </c>
      <c r="AK178" t="s">
        <v>711</v>
      </c>
      <c r="AL178">
        <v>0</v>
      </c>
      <c r="AM178" t="s">
        <v>712</v>
      </c>
      <c r="AN178" t="s">
        <v>713</v>
      </c>
      <c r="AO178" t="s">
        <v>125</v>
      </c>
      <c r="AP178" t="s">
        <v>339</v>
      </c>
      <c r="AQ178" s="15">
        <v>45940</v>
      </c>
      <c r="AR178" s="15">
        <v>45940</v>
      </c>
      <c r="AS178" t="s">
        <v>127</v>
      </c>
      <c r="AT178">
        <v>1</v>
      </c>
      <c r="AU178">
        <v>3000</v>
      </c>
      <c r="AV178">
        <v>0</v>
      </c>
      <c r="AW178">
        <v>0</v>
      </c>
      <c r="AX178" s="14">
        <v>3000</v>
      </c>
      <c r="AY178" s="14">
        <v>3000</v>
      </c>
      <c r="AZ178" s="14">
        <v>0</v>
      </c>
      <c r="BA178">
        <v>0</v>
      </c>
      <c r="BB178" t="s">
        <v>23</v>
      </c>
      <c r="BC178" t="s">
        <v>128</v>
      </c>
      <c r="BD178" t="s">
        <v>434</v>
      </c>
      <c r="BE178" t="s">
        <v>222</v>
      </c>
      <c r="BG178" t="s">
        <v>714</v>
      </c>
      <c r="BH178" t="s">
        <v>132</v>
      </c>
      <c r="BJ178">
        <v>4</v>
      </c>
      <c r="BK178" t="s">
        <v>133</v>
      </c>
      <c r="BV178" t="s">
        <v>134</v>
      </c>
      <c r="BW178" s="16">
        <v>46178.338888888888</v>
      </c>
      <c r="BX178" t="s">
        <v>143</v>
      </c>
      <c r="BZ178">
        <v>6</v>
      </c>
      <c r="CA178" t="s">
        <v>715</v>
      </c>
      <c r="CB178">
        <v>0</v>
      </c>
      <c r="CF178" t="s">
        <v>357</v>
      </c>
      <c r="CG178">
        <v>2025</v>
      </c>
      <c r="CH178" t="s">
        <v>138</v>
      </c>
      <c r="CI178" t="s">
        <v>139</v>
      </c>
    </row>
    <row r="179" spans="1:87" x14ac:dyDescent="0.3">
      <c r="A179" t="s">
        <v>426</v>
      </c>
      <c r="B179" t="s">
        <v>116</v>
      </c>
      <c r="C179" t="s">
        <v>117</v>
      </c>
      <c r="D179" t="s">
        <v>118</v>
      </c>
      <c r="E179" t="s">
        <v>14</v>
      </c>
      <c r="F179" t="s">
        <v>707</v>
      </c>
      <c r="G179">
        <v>67</v>
      </c>
      <c r="H179">
        <v>0</v>
      </c>
      <c r="I179" s="14">
        <v>438000</v>
      </c>
      <c r="J179" s="14">
        <v>438000</v>
      </c>
      <c r="K179" t="s">
        <v>117</v>
      </c>
      <c r="L179" t="s">
        <v>118</v>
      </c>
      <c r="M179" t="s">
        <v>140</v>
      </c>
      <c r="N179" t="s">
        <v>708</v>
      </c>
      <c r="O179">
        <v>14.5</v>
      </c>
      <c r="P179">
        <v>0</v>
      </c>
      <c r="Q179" s="14">
        <v>43000</v>
      </c>
      <c r="R179" s="14">
        <v>43000</v>
      </c>
      <c r="Y179" s="14"/>
      <c r="Z179" s="14"/>
      <c r="AG179" s="14"/>
      <c r="AH179" s="14"/>
      <c r="AI179" t="s">
        <v>709</v>
      </c>
      <c r="AJ179" t="s">
        <v>710</v>
      </c>
      <c r="AK179" t="s">
        <v>711</v>
      </c>
      <c r="AL179">
        <v>0</v>
      </c>
      <c r="AM179" t="s">
        <v>712</v>
      </c>
      <c r="AN179" t="s">
        <v>713</v>
      </c>
      <c r="AO179" t="s">
        <v>125</v>
      </c>
      <c r="AP179" t="s">
        <v>339</v>
      </c>
      <c r="AQ179" s="15">
        <v>45951</v>
      </c>
      <c r="AR179" s="15">
        <v>45951</v>
      </c>
      <c r="AS179" t="s">
        <v>145</v>
      </c>
      <c r="AT179">
        <v>1</v>
      </c>
      <c r="AU179">
        <v>126000</v>
      </c>
      <c r="AV179">
        <v>0</v>
      </c>
      <c r="AW179">
        <v>0</v>
      </c>
      <c r="AX179" s="14">
        <v>126000</v>
      </c>
      <c r="AY179" s="14">
        <v>126000</v>
      </c>
      <c r="AZ179" s="14">
        <v>0</v>
      </c>
      <c r="BA179">
        <v>0</v>
      </c>
      <c r="BB179" t="s">
        <v>23</v>
      </c>
      <c r="BC179" t="s">
        <v>128</v>
      </c>
      <c r="BD179" t="s">
        <v>434</v>
      </c>
      <c r="BE179" t="s">
        <v>130</v>
      </c>
      <c r="BG179" t="s">
        <v>716</v>
      </c>
      <c r="BH179" t="s">
        <v>132</v>
      </c>
      <c r="BJ179">
        <v>4</v>
      </c>
      <c r="BK179" t="s">
        <v>133</v>
      </c>
      <c r="BV179" t="s">
        <v>134</v>
      </c>
      <c r="BW179" s="16">
        <v>46178.338888888888</v>
      </c>
      <c r="BX179" t="s">
        <v>143</v>
      </c>
      <c r="BZ179">
        <v>6</v>
      </c>
      <c r="CA179" t="s">
        <v>717</v>
      </c>
      <c r="CB179">
        <v>0</v>
      </c>
      <c r="CF179" t="s">
        <v>357</v>
      </c>
      <c r="CG179">
        <v>2025</v>
      </c>
      <c r="CH179" t="s">
        <v>138</v>
      </c>
      <c r="CI179" t="s">
        <v>139</v>
      </c>
    </row>
    <row r="180" spans="1:87" x14ac:dyDescent="0.3">
      <c r="A180" t="s">
        <v>426</v>
      </c>
      <c r="B180" t="s">
        <v>116</v>
      </c>
      <c r="C180" t="s">
        <v>117</v>
      </c>
      <c r="D180" t="s">
        <v>118</v>
      </c>
      <c r="E180" t="s">
        <v>14</v>
      </c>
      <c r="F180" t="s">
        <v>707</v>
      </c>
      <c r="G180">
        <v>67</v>
      </c>
      <c r="H180">
        <v>0</v>
      </c>
      <c r="I180" s="14">
        <v>438000</v>
      </c>
      <c r="J180" s="14">
        <v>438000</v>
      </c>
      <c r="K180" t="s">
        <v>117</v>
      </c>
      <c r="L180" t="s">
        <v>118</v>
      </c>
      <c r="M180" t="s">
        <v>140</v>
      </c>
      <c r="N180" t="s">
        <v>708</v>
      </c>
      <c r="O180">
        <v>14.5</v>
      </c>
      <c r="P180">
        <v>0</v>
      </c>
      <c r="Q180" s="14">
        <v>43000</v>
      </c>
      <c r="R180" s="14">
        <v>43000</v>
      </c>
      <c r="Y180" s="14"/>
      <c r="Z180" s="14"/>
      <c r="AG180" s="14"/>
      <c r="AH180" s="14"/>
      <c r="AI180" t="s">
        <v>709</v>
      </c>
      <c r="AJ180" t="s">
        <v>710</v>
      </c>
      <c r="AK180" t="s">
        <v>711</v>
      </c>
      <c r="AL180">
        <v>0</v>
      </c>
      <c r="AM180" t="s">
        <v>712</v>
      </c>
      <c r="AN180" t="s">
        <v>713</v>
      </c>
      <c r="AO180" t="s">
        <v>125</v>
      </c>
      <c r="AP180" t="s">
        <v>339</v>
      </c>
      <c r="AQ180" s="15">
        <v>46007</v>
      </c>
      <c r="AR180" s="15">
        <v>46007</v>
      </c>
      <c r="AS180" t="s">
        <v>145</v>
      </c>
      <c r="AT180">
        <v>2</v>
      </c>
      <c r="AU180">
        <v>21000</v>
      </c>
      <c r="AV180">
        <v>0</v>
      </c>
      <c r="AW180">
        <v>0</v>
      </c>
      <c r="AX180" s="14">
        <v>21000</v>
      </c>
      <c r="AY180" s="14">
        <v>21000</v>
      </c>
      <c r="AZ180" s="14">
        <v>0</v>
      </c>
      <c r="BA180">
        <v>0</v>
      </c>
      <c r="BB180" t="s">
        <v>23</v>
      </c>
      <c r="BC180" t="s">
        <v>128</v>
      </c>
      <c r="BD180" t="s">
        <v>434</v>
      </c>
      <c r="BE180" t="s">
        <v>130</v>
      </c>
      <c r="BG180" t="s">
        <v>718</v>
      </c>
      <c r="BH180" t="s">
        <v>132</v>
      </c>
      <c r="BJ180">
        <v>4</v>
      </c>
      <c r="BK180" t="s">
        <v>133</v>
      </c>
      <c r="BV180" t="s">
        <v>134</v>
      </c>
      <c r="BW180" s="16">
        <v>46178.338888888888</v>
      </c>
      <c r="BX180" t="s">
        <v>143</v>
      </c>
      <c r="BZ180">
        <v>6</v>
      </c>
      <c r="CA180" t="s">
        <v>719</v>
      </c>
      <c r="CB180">
        <v>0</v>
      </c>
      <c r="CF180" t="s">
        <v>357</v>
      </c>
      <c r="CG180">
        <v>2025</v>
      </c>
      <c r="CH180" t="s">
        <v>138</v>
      </c>
      <c r="CI180" t="s">
        <v>139</v>
      </c>
    </row>
    <row r="181" spans="1:87" x14ac:dyDescent="0.3">
      <c r="A181" t="s">
        <v>115</v>
      </c>
      <c r="B181" t="s">
        <v>116</v>
      </c>
      <c r="C181" t="s">
        <v>117</v>
      </c>
      <c r="D181" t="s">
        <v>118</v>
      </c>
      <c r="E181" t="s">
        <v>14</v>
      </c>
      <c r="F181" t="s">
        <v>720</v>
      </c>
      <c r="G181">
        <v>84</v>
      </c>
      <c r="H181">
        <v>0</v>
      </c>
      <c r="I181" s="14">
        <v>630000</v>
      </c>
      <c r="J181" s="14">
        <v>630000</v>
      </c>
      <c r="Q181" s="14"/>
      <c r="R181" s="14"/>
      <c r="Y181" s="14"/>
      <c r="Z181" s="14"/>
      <c r="AG181" s="14"/>
      <c r="AH181" s="14"/>
      <c r="AI181" t="s">
        <v>721</v>
      </c>
      <c r="AJ181" t="s">
        <v>722</v>
      </c>
      <c r="AK181" t="s">
        <v>723</v>
      </c>
      <c r="AL181">
        <v>0</v>
      </c>
      <c r="AM181" t="s">
        <v>724</v>
      </c>
      <c r="AN181" t="s">
        <v>725</v>
      </c>
      <c r="AO181" t="s">
        <v>125</v>
      </c>
      <c r="AP181" t="s">
        <v>152</v>
      </c>
      <c r="AQ181" s="15">
        <v>45751</v>
      </c>
      <c r="AR181" s="15">
        <v>45751</v>
      </c>
      <c r="AS181" t="s">
        <v>127</v>
      </c>
      <c r="AT181">
        <v>1</v>
      </c>
      <c r="AU181">
        <v>3000</v>
      </c>
      <c r="AV181">
        <v>0</v>
      </c>
      <c r="AW181">
        <v>0</v>
      </c>
      <c r="AX181" s="14">
        <v>3000</v>
      </c>
      <c r="AY181" s="14">
        <v>3000</v>
      </c>
      <c r="AZ181" s="14">
        <v>0</v>
      </c>
      <c r="BA181">
        <v>0</v>
      </c>
      <c r="BB181" t="s">
        <v>22</v>
      </c>
      <c r="BC181" t="s">
        <v>128</v>
      </c>
      <c r="BD181" t="s">
        <v>129</v>
      </c>
      <c r="BE181" t="s">
        <v>130</v>
      </c>
      <c r="BF181" t="s">
        <v>722</v>
      </c>
      <c r="BG181" t="s">
        <v>726</v>
      </c>
      <c r="BH181" t="s">
        <v>132</v>
      </c>
      <c r="BI181" t="s">
        <v>154</v>
      </c>
      <c r="BJ181">
        <v>4</v>
      </c>
      <c r="BK181" t="s">
        <v>133</v>
      </c>
      <c r="BV181" t="s">
        <v>134</v>
      </c>
      <c r="BW181" s="16">
        <v>45773.613888888889</v>
      </c>
      <c r="BX181" t="s">
        <v>135</v>
      </c>
      <c r="BZ181">
        <v>35</v>
      </c>
      <c r="CA181" t="s">
        <v>727</v>
      </c>
      <c r="CB181">
        <v>0</v>
      </c>
      <c r="CF181" t="s">
        <v>357</v>
      </c>
      <c r="CG181">
        <v>2025</v>
      </c>
      <c r="CH181" t="s">
        <v>138</v>
      </c>
      <c r="CI181" t="s">
        <v>139</v>
      </c>
    </row>
    <row r="182" spans="1:87" x14ac:dyDescent="0.3">
      <c r="A182" t="s">
        <v>115</v>
      </c>
      <c r="B182" t="s">
        <v>116</v>
      </c>
      <c r="C182" t="s">
        <v>117</v>
      </c>
      <c r="D182" t="s">
        <v>118</v>
      </c>
      <c r="E182" t="s">
        <v>14</v>
      </c>
      <c r="F182" t="s">
        <v>720</v>
      </c>
      <c r="G182">
        <v>84</v>
      </c>
      <c r="H182">
        <v>0</v>
      </c>
      <c r="I182" s="14">
        <v>630000</v>
      </c>
      <c r="J182" s="14">
        <v>630000</v>
      </c>
      <c r="Q182" s="14"/>
      <c r="R182" s="14"/>
      <c r="Y182" s="14"/>
      <c r="Z182" s="14"/>
      <c r="AG182" s="14"/>
      <c r="AH182" s="14"/>
      <c r="AI182" t="s">
        <v>721</v>
      </c>
      <c r="AJ182" t="s">
        <v>722</v>
      </c>
      <c r="AK182" t="s">
        <v>723</v>
      </c>
      <c r="AL182">
        <v>0</v>
      </c>
      <c r="AM182" t="s">
        <v>724</v>
      </c>
      <c r="AN182" t="s">
        <v>725</v>
      </c>
      <c r="AO182" t="s">
        <v>125</v>
      </c>
      <c r="AP182" t="s">
        <v>152</v>
      </c>
      <c r="AQ182" s="15">
        <v>45773</v>
      </c>
      <c r="AR182" s="15">
        <v>45771</v>
      </c>
      <c r="AS182" t="s">
        <v>145</v>
      </c>
      <c r="AT182">
        <v>1</v>
      </c>
      <c r="AU182">
        <v>187000</v>
      </c>
      <c r="AV182">
        <v>0</v>
      </c>
      <c r="AW182">
        <v>0</v>
      </c>
      <c r="AX182" s="14">
        <v>187000</v>
      </c>
      <c r="AY182" s="14">
        <v>187000</v>
      </c>
      <c r="AZ182" s="14">
        <v>0</v>
      </c>
      <c r="BA182">
        <v>0</v>
      </c>
      <c r="BB182" t="s">
        <v>22</v>
      </c>
      <c r="BC182" t="s">
        <v>128</v>
      </c>
      <c r="BD182" t="s">
        <v>129</v>
      </c>
      <c r="BE182" t="s">
        <v>130</v>
      </c>
      <c r="BG182" t="s">
        <v>728</v>
      </c>
      <c r="BH182" t="s">
        <v>132</v>
      </c>
      <c r="BJ182">
        <v>4</v>
      </c>
      <c r="BK182" t="s">
        <v>133</v>
      </c>
      <c r="BV182" t="s">
        <v>134</v>
      </c>
      <c r="BW182" s="16">
        <v>45773.613888888889</v>
      </c>
      <c r="BX182" t="s">
        <v>135</v>
      </c>
      <c r="BZ182">
        <v>35</v>
      </c>
      <c r="CA182" t="s">
        <v>729</v>
      </c>
      <c r="CB182">
        <v>0</v>
      </c>
      <c r="CF182" t="s">
        <v>357</v>
      </c>
      <c r="CG182">
        <v>2025</v>
      </c>
      <c r="CH182" t="s">
        <v>138</v>
      </c>
      <c r="CI182" t="s">
        <v>139</v>
      </c>
    </row>
    <row r="183" spans="1:87" x14ac:dyDescent="0.3">
      <c r="A183" t="s">
        <v>115</v>
      </c>
      <c r="B183" t="s">
        <v>116</v>
      </c>
      <c r="C183" t="s">
        <v>117</v>
      </c>
      <c r="D183" t="s">
        <v>118</v>
      </c>
      <c r="E183" t="s">
        <v>14</v>
      </c>
      <c r="F183" t="s">
        <v>720</v>
      </c>
      <c r="G183">
        <v>84</v>
      </c>
      <c r="H183">
        <v>0</v>
      </c>
      <c r="I183" s="14">
        <v>630000</v>
      </c>
      <c r="J183" s="14">
        <v>630000</v>
      </c>
      <c r="Q183" s="14"/>
      <c r="R183" s="14"/>
      <c r="Y183" s="14"/>
      <c r="Z183" s="14"/>
      <c r="AG183" s="14"/>
      <c r="AH183" s="14"/>
      <c r="AI183" t="s">
        <v>721</v>
      </c>
      <c r="AJ183" t="s">
        <v>722</v>
      </c>
      <c r="AK183" t="s">
        <v>723</v>
      </c>
      <c r="AL183">
        <v>0</v>
      </c>
      <c r="AM183" t="s">
        <v>724</v>
      </c>
      <c r="AN183" t="s">
        <v>725</v>
      </c>
      <c r="AO183" t="s">
        <v>125</v>
      </c>
      <c r="AP183" t="s">
        <v>152</v>
      </c>
      <c r="AQ183" s="15">
        <v>45864</v>
      </c>
      <c r="AR183" s="15">
        <v>45864</v>
      </c>
      <c r="AS183" t="s">
        <v>227</v>
      </c>
      <c r="AT183">
        <v>1</v>
      </c>
      <c r="AU183">
        <v>73333.33</v>
      </c>
      <c r="AV183">
        <v>0</v>
      </c>
      <c r="AW183">
        <v>0</v>
      </c>
      <c r="AX183" s="14">
        <v>73333.33</v>
      </c>
      <c r="AY183" s="14">
        <v>73333.33</v>
      </c>
      <c r="AZ183" s="14">
        <v>0</v>
      </c>
      <c r="BA183">
        <v>0</v>
      </c>
      <c r="BB183" t="s">
        <v>22</v>
      </c>
      <c r="BC183" t="s">
        <v>128</v>
      </c>
      <c r="BD183" t="s">
        <v>129</v>
      </c>
      <c r="BE183" t="s">
        <v>287</v>
      </c>
      <c r="BG183" t="s">
        <v>730</v>
      </c>
      <c r="BH183" t="s">
        <v>132</v>
      </c>
      <c r="BJ183">
        <v>4</v>
      </c>
      <c r="BK183" t="s">
        <v>133</v>
      </c>
      <c r="BV183" t="s">
        <v>134</v>
      </c>
      <c r="BW183" s="16">
        <v>45773.613888888889</v>
      </c>
      <c r="BX183" t="s">
        <v>135</v>
      </c>
      <c r="BZ183">
        <v>35</v>
      </c>
      <c r="CA183" t="s">
        <v>731</v>
      </c>
      <c r="CB183">
        <v>0</v>
      </c>
      <c r="CF183" t="s">
        <v>357</v>
      </c>
      <c r="CG183">
        <v>2025</v>
      </c>
      <c r="CH183" t="s">
        <v>138</v>
      </c>
      <c r="CI183" t="s">
        <v>139</v>
      </c>
    </row>
    <row r="184" spans="1:87" x14ac:dyDescent="0.3">
      <c r="A184" t="s">
        <v>115</v>
      </c>
      <c r="B184" t="s">
        <v>116</v>
      </c>
      <c r="C184" t="s">
        <v>117</v>
      </c>
      <c r="D184" t="s">
        <v>118</v>
      </c>
      <c r="E184" t="s">
        <v>14</v>
      </c>
      <c r="F184" t="s">
        <v>720</v>
      </c>
      <c r="G184">
        <v>84</v>
      </c>
      <c r="H184">
        <v>0</v>
      </c>
      <c r="I184" s="14">
        <v>630000</v>
      </c>
      <c r="J184" s="14">
        <v>630000</v>
      </c>
      <c r="Q184" s="14"/>
      <c r="R184" s="14"/>
      <c r="Y184" s="14"/>
      <c r="Z184" s="14"/>
      <c r="AG184" s="14"/>
      <c r="AH184" s="14"/>
      <c r="AI184" t="s">
        <v>721</v>
      </c>
      <c r="AJ184" t="s">
        <v>722</v>
      </c>
      <c r="AK184" t="s">
        <v>723</v>
      </c>
      <c r="AL184">
        <v>0</v>
      </c>
      <c r="AM184" t="s">
        <v>724</v>
      </c>
      <c r="AN184" t="s">
        <v>725</v>
      </c>
      <c r="AO184" t="s">
        <v>125</v>
      </c>
      <c r="AP184" t="s">
        <v>152</v>
      </c>
      <c r="AQ184" s="15">
        <v>45956</v>
      </c>
      <c r="AR184" s="15">
        <v>45864</v>
      </c>
      <c r="AS184" t="s">
        <v>227</v>
      </c>
      <c r="AT184">
        <v>2</v>
      </c>
      <c r="AU184">
        <v>0</v>
      </c>
      <c r="AV184">
        <v>0</v>
      </c>
      <c r="AW184">
        <v>0</v>
      </c>
      <c r="AX184" s="14">
        <v>73333.33</v>
      </c>
      <c r="AY184" s="14">
        <v>46666.67</v>
      </c>
      <c r="AZ184" s="14">
        <v>0</v>
      </c>
      <c r="BA184">
        <v>0</v>
      </c>
      <c r="BB184" t="s">
        <v>22</v>
      </c>
      <c r="BC184" t="s">
        <v>128</v>
      </c>
      <c r="BD184" t="s">
        <v>129</v>
      </c>
      <c r="BE184" t="s">
        <v>287</v>
      </c>
      <c r="BG184" t="s">
        <v>730</v>
      </c>
      <c r="BH184" t="s">
        <v>132</v>
      </c>
      <c r="BJ184">
        <v>4</v>
      </c>
      <c r="BK184" t="s">
        <v>133</v>
      </c>
      <c r="BV184" t="s">
        <v>134</v>
      </c>
      <c r="BW184" s="16">
        <v>45773.613888888889</v>
      </c>
      <c r="BX184" t="s">
        <v>135</v>
      </c>
      <c r="BZ184">
        <v>35</v>
      </c>
      <c r="CA184" t="s">
        <v>731</v>
      </c>
      <c r="CB184">
        <v>0</v>
      </c>
      <c r="CF184" t="s">
        <v>357</v>
      </c>
      <c r="CG184">
        <v>2025</v>
      </c>
      <c r="CH184" t="s">
        <v>138</v>
      </c>
      <c r="CI184" t="s">
        <v>139</v>
      </c>
    </row>
    <row r="185" spans="1:87" x14ac:dyDescent="0.3">
      <c r="A185" t="s">
        <v>115</v>
      </c>
      <c r="B185" t="s">
        <v>116</v>
      </c>
      <c r="C185" t="s">
        <v>117</v>
      </c>
      <c r="D185" t="s">
        <v>118</v>
      </c>
      <c r="E185" t="s">
        <v>14</v>
      </c>
      <c r="F185" t="s">
        <v>720</v>
      </c>
      <c r="G185">
        <v>84</v>
      </c>
      <c r="H185">
        <v>0</v>
      </c>
      <c r="I185" s="14">
        <v>630000</v>
      </c>
      <c r="J185" s="14">
        <v>630000</v>
      </c>
      <c r="Q185" s="14"/>
      <c r="R185" s="14"/>
      <c r="Y185" s="14"/>
      <c r="Z185" s="14"/>
      <c r="AG185" s="14"/>
      <c r="AH185" s="14"/>
      <c r="AI185" t="s">
        <v>721</v>
      </c>
      <c r="AJ185" t="s">
        <v>722</v>
      </c>
      <c r="AK185" t="s">
        <v>723</v>
      </c>
      <c r="AL185">
        <v>0</v>
      </c>
      <c r="AM185" t="s">
        <v>724</v>
      </c>
      <c r="AN185" t="s">
        <v>725</v>
      </c>
      <c r="AO185" t="s">
        <v>125</v>
      </c>
      <c r="AP185" t="s">
        <v>152</v>
      </c>
      <c r="AQ185" s="15">
        <v>45956</v>
      </c>
      <c r="AR185" s="15">
        <v>45955</v>
      </c>
      <c r="AS185" t="s">
        <v>227</v>
      </c>
      <c r="AT185">
        <v>2</v>
      </c>
      <c r="AU185">
        <v>73333.33</v>
      </c>
      <c r="AV185">
        <v>0</v>
      </c>
      <c r="AW185">
        <v>0</v>
      </c>
      <c r="AX185" s="14">
        <v>0</v>
      </c>
      <c r="AY185" s="14">
        <v>26666.66</v>
      </c>
      <c r="AZ185" s="14">
        <v>0</v>
      </c>
      <c r="BA185">
        <v>0</v>
      </c>
      <c r="BB185" t="s">
        <v>22</v>
      </c>
      <c r="BC185" t="s">
        <v>128</v>
      </c>
      <c r="BD185" t="s">
        <v>129</v>
      </c>
      <c r="BE185" t="s">
        <v>130</v>
      </c>
      <c r="BG185" t="s">
        <v>732</v>
      </c>
      <c r="BH185" t="s">
        <v>132</v>
      </c>
      <c r="BJ185">
        <v>4</v>
      </c>
      <c r="BK185" t="s">
        <v>133</v>
      </c>
      <c r="BV185" t="s">
        <v>134</v>
      </c>
      <c r="BW185" s="16">
        <v>45773.613888888889</v>
      </c>
      <c r="BX185" t="s">
        <v>135</v>
      </c>
      <c r="BZ185">
        <v>35</v>
      </c>
      <c r="CA185" t="s">
        <v>733</v>
      </c>
      <c r="CB185">
        <v>0</v>
      </c>
      <c r="CF185" t="s">
        <v>357</v>
      </c>
      <c r="CG185">
        <v>2025</v>
      </c>
      <c r="CH185" t="s">
        <v>138</v>
      </c>
      <c r="CI185" t="s">
        <v>139</v>
      </c>
    </row>
    <row r="186" spans="1:87" x14ac:dyDescent="0.3">
      <c r="A186" t="s">
        <v>115</v>
      </c>
      <c r="B186" t="s">
        <v>116</v>
      </c>
      <c r="C186" t="s">
        <v>117</v>
      </c>
      <c r="D186" t="s">
        <v>118</v>
      </c>
      <c r="E186" t="s">
        <v>14</v>
      </c>
      <c r="F186" t="s">
        <v>720</v>
      </c>
      <c r="G186">
        <v>84</v>
      </c>
      <c r="H186">
        <v>0</v>
      </c>
      <c r="I186" s="14">
        <v>630000</v>
      </c>
      <c r="J186" s="14">
        <v>630000</v>
      </c>
      <c r="Q186" s="14"/>
      <c r="R186" s="14"/>
      <c r="Y186" s="14"/>
      <c r="Z186" s="14"/>
      <c r="AG186" s="14"/>
      <c r="AH186" s="14"/>
      <c r="AI186" t="s">
        <v>721</v>
      </c>
      <c r="AJ186" t="s">
        <v>722</v>
      </c>
      <c r="AK186" t="s">
        <v>723</v>
      </c>
      <c r="AL186">
        <v>0</v>
      </c>
      <c r="AM186" t="s">
        <v>724</v>
      </c>
      <c r="AN186" t="s">
        <v>725</v>
      </c>
      <c r="AO186" t="s">
        <v>125</v>
      </c>
      <c r="AP186" t="s">
        <v>152</v>
      </c>
      <c r="AQ186" s="15">
        <v>46017</v>
      </c>
      <c r="AR186" s="15">
        <v>45955</v>
      </c>
      <c r="AS186" t="s">
        <v>227</v>
      </c>
      <c r="AT186">
        <v>3</v>
      </c>
      <c r="AU186">
        <v>73333.33</v>
      </c>
      <c r="AV186">
        <v>0</v>
      </c>
      <c r="AW186">
        <v>0</v>
      </c>
      <c r="AX186" s="14">
        <v>73333.33</v>
      </c>
      <c r="AY186" s="14">
        <v>73333.33</v>
      </c>
      <c r="AZ186" s="14">
        <v>0</v>
      </c>
      <c r="BA186">
        <v>0</v>
      </c>
      <c r="BB186" t="s">
        <v>22</v>
      </c>
      <c r="BC186" t="s">
        <v>128</v>
      </c>
      <c r="BD186" t="s">
        <v>129</v>
      </c>
      <c r="BE186" t="s">
        <v>130</v>
      </c>
      <c r="BG186" t="s">
        <v>732</v>
      </c>
      <c r="BH186" t="s">
        <v>132</v>
      </c>
      <c r="BJ186">
        <v>4</v>
      </c>
      <c r="BK186" t="s">
        <v>133</v>
      </c>
      <c r="BV186" t="s">
        <v>134</v>
      </c>
      <c r="BW186" s="16">
        <v>45773.613888888889</v>
      </c>
      <c r="BX186" t="s">
        <v>135</v>
      </c>
      <c r="BZ186">
        <v>35</v>
      </c>
      <c r="CA186" t="s">
        <v>733</v>
      </c>
      <c r="CB186">
        <v>0</v>
      </c>
      <c r="CF186" t="s">
        <v>357</v>
      </c>
      <c r="CG186">
        <v>2025</v>
      </c>
      <c r="CH186" t="s">
        <v>138</v>
      </c>
      <c r="CI186" t="s">
        <v>139</v>
      </c>
    </row>
    <row r="187" spans="1:87" x14ac:dyDescent="0.3">
      <c r="A187" t="s">
        <v>115</v>
      </c>
      <c r="B187" t="s">
        <v>116</v>
      </c>
      <c r="C187" t="s">
        <v>117</v>
      </c>
      <c r="D187" t="s">
        <v>118</v>
      </c>
      <c r="E187" t="s">
        <v>14</v>
      </c>
      <c r="F187" t="s">
        <v>720</v>
      </c>
      <c r="G187">
        <v>84</v>
      </c>
      <c r="H187">
        <v>0</v>
      </c>
      <c r="I187" s="14">
        <v>630000</v>
      </c>
      <c r="J187" s="14">
        <v>630000</v>
      </c>
      <c r="Q187" s="14"/>
      <c r="R187" s="14"/>
      <c r="Y187" s="14"/>
      <c r="Z187" s="14"/>
      <c r="AG187" s="14"/>
      <c r="AH187" s="14"/>
      <c r="AI187" t="s">
        <v>721</v>
      </c>
      <c r="AJ187" t="s">
        <v>722</v>
      </c>
      <c r="AK187" t="s">
        <v>723</v>
      </c>
      <c r="AL187">
        <v>0</v>
      </c>
      <c r="AM187" t="s">
        <v>724</v>
      </c>
      <c r="AN187" t="s">
        <v>725</v>
      </c>
      <c r="AO187" t="s">
        <v>125</v>
      </c>
      <c r="AP187" t="s">
        <v>152</v>
      </c>
      <c r="AQ187" s="15">
        <v>46017</v>
      </c>
      <c r="AR187" s="15">
        <v>45955</v>
      </c>
      <c r="AS187" t="s">
        <v>227</v>
      </c>
      <c r="AT187">
        <v>4</v>
      </c>
      <c r="AU187">
        <v>0</v>
      </c>
      <c r="AV187">
        <v>0</v>
      </c>
      <c r="AW187">
        <v>0</v>
      </c>
      <c r="AX187" s="14">
        <v>73333.33</v>
      </c>
      <c r="AY187" s="14">
        <v>55000.01</v>
      </c>
      <c r="AZ187" s="14">
        <v>0</v>
      </c>
      <c r="BA187">
        <v>0</v>
      </c>
      <c r="BB187" t="s">
        <v>22</v>
      </c>
      <c r="BC187" t="s">
        <v>128</v>
      </c>
      <c r="BD187" t="s">
        <v>129</v>
      </c>
      <c r="BE187" t="s">
        <v>130</v>
      </c>
      <c r="BG187" t="s">
        <v>732</v>
      </c>
      <c r="BH187" t="s">
        <v>132</v>
      </c>
      <c r="BJ187">
        <v>4</v>
      </c>
      <c r="BK187" t="s">
        <v>133</v>
      </c>
      <c r="BV187" t="s">
        <v>134</v>
      </c>
      <c r="BW187" s="16">
        <v>45773.613888888889</v>
      </c>
      <c r="BX187" t="s">
        <v>135</v>
      </c>
      <c r="BZ187">
        <v>35</v>
      </c>
      <c r="CA187" t="s">
        <v>733</v>
      </c>
      <c r="CB187">
        <v>0</v>
      </c>
      <c r="CF187" t="s">
        <v>357</v>
      </c>
      <c r="CG187">
        <v>2025</v>
      </c>
      <c r="CH187" t="s">
        <v>138</v>
      </c>
      <c r="CI187" t="s">
        <v>139</v>
      </c>
    </row>
    <row r="188" spans="1:87" x14ac:dyDescent="0.3">
      <c r="A188" t="s">
        <v>115</v>
      </c>
      <c r="B188" t="s">
        <v>116</v>
      </c>
      <c r="C188" t="s">
        <v>117</v>
      </c>
      <c r="D188" t="s">
        <v>118</v>
      </c>
      <c r="E188" t="s">
        <v>14</v>
      </c>
      <c r="F188" t="s">
        <v>720</v>
      </c>
      <c r="G188">
        <v>84</v>
      </c>
      <c r="H188">
        <v>0</v>
      </c>
      <c r="I188" s="14">
        <v>630000</v>
      </c>
      <c r="J188" s="14">
        <v>630000</v>
      </c>
      <c r="Q188" s="14"/>
      <c r="R188" s="14"/>
      <c r="Y188" s="14"/>
      <c r="Z188" s="14"/>
      <c r="AG188" s="14"/>
      <c r="AH188" s="14"/>
      <c r="AI188" t="s">
        <v>721</v>
      </c>
      <c r="AJ188" t="s">
        <v>722</v>
      </c>
      <c r="AK188" t="s">
        <v>723</v>
      </c>
      <c r="AL188">
        <v>0</v>
      </c>
      <c r="AM188" t="s">
        <v>724</v>
      </c>
      <c r="AN188" t="s">
        <v>725</v>
      </c>
      <c r="AO188" t="s">
        <v>125</v>
      </c>
      <c r="AP188" t="s">
        <v>152</v>
      </c>
      <c r="AQ188" s="15">
        <v>46017</v>
      </c>
      <c r="AR188" s="15">
        <v>46017</v>
      </c>
      <c r="AS188" t="s">
        <v>227</v>
      </c>
      <c r="AT188">
        <v>4</v>
      </c>
      <c r="AU188">
        <v>0</v>
      </c>
      <c r="AV188">
        <v>0</v>
      </c>
      <c r="AW188">
        <v>0</v>
      </c>
      <c r="AX188" s="14">
        <v>0</v>
      </c>
      <c r="AY188" s="14">
        <v>12000</v>
      </c>
      <c r="AZ188" s="14">
        <v>0</v>
      </c>
      <c r="BA188">
        <v>0</v>
      </c>
      <c r="BB188" t="s">
        <v>22</v>
      </c>
      <c r="BC188" t="s">
        <v>128</v>
      </c>
      <c r="BD188" t="s">
        <v>129</v>
      </c>
      <c r="BE188" t="s">
        <v>130</v>
      </c>
      <c r="BG188" t="s">
        <v>734</v>
      </c>
      <c r="BH188" t="s">
        <v>132</v>
      </c>
      <c r="BJ188">
        <v>4</v>
      </c>
      <c r="BK188" t="s">
        <v>133</v>
      </c>
      <c r="BV188" t="s">
        <v>134</v>
      </c>
      <c r="BW188" s="16">
        <v>45773.613888888889</v>
      </c>
      <c r="BX188" t="s">
        <v>135</v>
      </c>
      <c r="BZ188">
        <v>35</v>
      </c>
      <c r="CA188" t="s">
        <v>735</v>
      </c>
      <c r="CB188">
        <v>0</v>
      </c>
      <c r="CF188" t="s">
        <v>357</v>
      </c>
      <c r="CG188">
        <v>2025</v>
      </c>
      <c r="CH188" t="s">
        <v>138</v>
      </c>
      <c r="CI188" t="s">
        <v>139</v>
      </c>
    </row>
    <row r="189" spans="1:87" x14ac:dyDescent="0.3">
      <c r="A189" t="s">
        <v>115</v>
      </c>
      <c r="B189" t="s">
        <v>116</v>
      </c>
      <c r="C189" t="s">
        <v>117</v>
      </c>
      <c r="D189" t="s">
        <v>118</v>
      </c>
      <c r="E189" t="s">
        <v>14</v>
      </c>
      <c r="F189" t="s">
        <v>720</v>
      </c>
      <c r="G189">
        <v>84</v>
      </c>
      <c r="H189">
        <v>0</v>
      </c>
      <c r="I189" s="14">
        <v>630000</v>
      </c>
      <c r="J189" s="14">
        <v>630000</v>
      </c>
      <c r="Q189" s="14"/>
      <c r="R189" s="14"/>
      <c r="Y189" s="14"/>
      <c r="Z189" s="14"/>
      <c r="AG189" s="14"/>
      <c r="AH189" s="14"/>
      <c r="AI189" t="s">
        <v>721</v>
      </c>
      <c r="AJ189" t="s">
        <v>722</v>
      </c>
      <c r="AK189" t="s">
        <v>723</v>
      </c>
      <c r="AL189">
        <v>0</v>
      </c>
      <c r="AM189" t="s">
        <v>724</v>
      </c>
      <c r="AN189" t="s">
        <v>725</v>
      </c>
      <c r="AO189" t="s">
        <v>125</v>
      </c>
      <c r="AP189" t="s">
        <v>152</v>
      </c>
      <c r="AQ189" s="15">
        <v>46017</v>
      </c>
      <c r="AR189" s="15">
        <v>46017</v>
      </c>
      <c r="AS189" t="s">
        <v>227</v>
      </c>
      <c r="AT189">
        <v>4</v>
      </c>
      <c r="AU189">
        <v>73333.33</v>
      </c>
      <c r="AV189">
        <v>0</v>
      </c>
      <c r="AW189">
        <v>0</v>
      </c>
      <c r="AX189" s="14">
        <v>0</v>
      </c>
      <c r="AY189" s="14">
        <v>6333.32</v>
      </c>
      <c r="AZ189" s="14">
        <v>0</v>
      </c>
      <c r="BA189">
        <v>0</v>
      </c>
      <c r="BB189" t="s">
        <v>22</v>
      </c>
      <c r="BC189" t="s">
        <v>128</v>
      </c>
      <c r="BD189" t="s">
        <v>129</v>
      </c>
      <c r="BE189" t="s">
        <v>130</v>
      </c>
      <c r="BG189" t="s">
        <v>736</v>
      </c>
      <c r="BH189" t="s">
        <v>132</v>
      </c>
      <c r="BJ189">
        <v>4</v>
      </c>
      <c r="BK189" t="s">
        <v>133</v>
      </c>
      <c r="BV189" t="s">
        <v>134</v>
      </c>
      <c r="BW189" s="16">
        <v>45773.613888888889</v>
      </c>
      <c r="BX189" t="s">
        <v>135</v>
      </c>
      <c r="BZ189">
        <v>35</v>
      </c>
      <c r="CA189" t="s">
        <v>737</v>
      </c>
      <c r="CB189">
        <v>0</v>
      </c>
      <c r="CF189" t="s">
        <v>357</v>
      </c>
      <c r="CG189">
        <v>2025</v>
      </c>
      <c r="CH189" t="s">
        <v>138</v>
      </c>
      <c r="CI189" t="s">
        <v>139</v>
      </c>
    </row>
    <row r="190" spans="1:87" x14ac:dyDescent="0.3">
      <c r="A190" t="s">
        <v>115</v>
      </c>
      <c r="B190" t="s">
        <v>116</v>
      </c>
      <c r="C190" t="s">
        <v>117</v>
      </c>
      <c r="D190" t="s">
        <v>118</v>
      </c>
      <c r="E190" t="s">
        <v>140</v>
      </c>
      <c r="F190" t="s">
        <v>738</v>
      </c>
      <c r="G190">
        <v>13.27</v>
      </c>
      <c r="H190">
        <v>0</v>
      </c>
      <c r="I190" s="14">
        <v>50500</v>
      </c>
      <c r="J190" s="14">
        <v>50500</v>
      </c>
      <c r="Q190" s="14"/>
      <c r="R190" s="14"/>
      <c r="Y190" s="14"/>
      <c r="Z190" s="14"/>
      <c r="AG190" s="14"/>
      <c r="AH190" s="14"/>
      <c r="AI190" t="s">
        <v>721</v>
      </c>
      <c r="AJ190" t="s">
        <v>722</v>
      </c>
      <c r="AK190" t="s">
        <v>723</v>
      </c>
      <c r="AL190">
        <v>0</v>
      </c>
      <c r="AM190" t="s">
        <v>724</v>
      </c>
      <c r="AN190" t="s">
        <v>725</v>
      </c>
      <c r="AO190" t="s">
        <v>125</v>
      </c>
      <c r="AP190" t="s">
        <v>152</v>
      </c>
      <c r="AQ190" s="15">
        <v>45849</v>
      </c>
      <c r="AR190" s="15">
        <v>45849</v>
      </c>
      <c r="AS190" t="s">
        <v>127</v>
      </c>
      <c r="AT190">
        <v>1</v>
      </c>
      <c r="AU190">
        <v>3000</v>
      </c>
      <c r="AV190">
        <v>0</v>
      </c>
      <c r="AW190">
        <v>0</v>
      </c>
      <c r="AX190" s="14">
        <v>3000</v>
      </c>
      <c r="AY190" s="14">
        <v>3000</v>
      </c>
      <c r="AZ190" s="14">
        <v>0</v>
      </c>
      <c r="BA190">
        <v>0</v>
      </c>
      <c r="BB190" t="s">
        <v>22</v>
      </c>
      <c r="BC190" t="s">
        <v>128</v>
      </c>
      <c r="BD190" t="s">
        <v>129</v>
      </c>
      <c r="BE190" t="s">
        <v>130</v>
      </c>
      <c r="BG190" t="s">
        <v>739</v>
      </c>
      <c r="BH190" t="s">
        <v>132</v>
      </c>
      <c r="BJ190">
        <v>4</v>
      </c>
      <c r="BK190" t="s">
        <v>133</v>
      </c>
      <c r="BV190" t="s">
        <v>134</v>
      </c>
      <c r="BW190" s="16">
        <v>46218.655555555553</v>
      </c>
      <c r="BX190" t="s">
        <v>178</v>
      </c>
      <c r="BZ190">
        <v>58</v>
      </c>
      <c r="CA190" t="s">
        <v>740</v>
      </c>
      <c r="CB190">
        <v>0</v>
      </c>
      <c r="CF190" t="s">
        <v>357</v>
      </c>
      <c r="CG190">
        <v>2025</v>
      </c>
      <c r="CH190" t="s">
        <v>138</v>
      </c>
      <c r="CI190" t="s">
        <v>139</v>
      </c>
    </row>
    <row r="191" spans="1:87" x14ac:dyDescent="0.3">
      <c r="A191" t="s">
        <v>115</v>
      </c>
      <c r="B191" t="s">
        <v>116</v>
      </c>
      <c r="C191" t="s">
        <v>117</v>
      </c>
      <c r="D191" t="s">
        <v>118</v>
      </c>
      <c r="E191" t="s">
        <v>140</v>
      </c>
      <c r="F191" t="s">
        <v>738</v>
      </c>
      <c r="G191">
        <v>13.27</v>
      </c>
      <c r="H191">
        <v>0</v>
      </c>
      <c r="I191" s="14">
        <v>50500</v>
      </c>
      <c r="J191" s="14">
        <v>50500</v>
      </c>
      <c r="Q191" s="14"/>
      <c r="R191" s="14"/>
      <c r="Y191" s="14"/>
      <c r="Z191" s="14"/>
      <c r="AG191" s="14"/>
      <c r="AH191" s="14"/>
      <c r="AI191" t="s">
        <v>721</v>
      </c>
      <c r="AJ191" t="s">
        <v>722</v>
      </c>
      <c r="AK191" t="s">
        <v>723</v>
      </c>
      <c r="AL191">
        <v>0</v>
      </c>
      <c r="AM191" t="s">
        <v>724</v>
      </c>
      <c r="AN191" t="s">
        <v>725</v>
      </c>
      <c r="AO191" t="s">
        <v>125</v>
      </c>
      <c r="AP191" t="s">
        <v>152</v>
      </c>
      <c r="AQ191" s="15">
        <v>45853</v>
      </c>
      <c r="AR191" s="15">
        <v>45853</v>
      </c>
      <c r="AS191" t="s">
        <v>145</v>
      </c>
      <c r="AT191">
        <v>1</v>
      </c>
      <c r="AU191">
        <v>5000</v>
      </c>
      <c r="AV191">
        <v>0</v>
      </c>
      <c r="AW191">
        <v>0</v>
      </c>
      <c r="AX191" s="14">
        <v>5000</v>
      </c>
      <c r="AY191" s="14">
        <v>5000</v>
      </c>
      <c r="AZ191" s="14">
        <v>0</v>
      </c>
      <c r="BA191">
        <v>0</v>
      </c>
      <c r="BB191" t="s">
        <v>22</v>
      </c>
      <c r="BC191" t="s">
        <v>128</v>
      </c>
      <c r="BD191" t="s">
        <v>129</v>
      </c>
      <c r="BE191" t="s">
        <v>130</v>
      </c>
      <c r="BG191" t="s">
        <v>741</v>
      </c>
      <c r="BH191" t="s">
        <v>132</v>
      </c>
      <c r="BJ191">
        <v>4</v>
      </c>
      <c r="BK191" t="s">
        <v>133</v>
      </c>
      <c r="BV191" t="s">
        <v>134</v>
      </c>
      <c r="BW191" s="16">
        <v>46218.655555555553</v>
      </c>
      <c r="BX191" t="s">
        <v>178</v>
      </c>
      <c r="BZ191">
        <v>58</v>
      </c>
      <c r="CA191" t="s">
        <v>742</v>
      </c>
      <c r="CB191">
        <v>0</v>
      </c>
      <c r="CF191" t="s">
        <v>357</v>
      </c>
      <c r="CG191">
        <v>2025</v>
      </c>
      <c r="CH191" t="s">
        <v>138</v>
      </c>
      <c r="CI191" t="s">
        <v>139</v>
      </c>
    </row>
    <row r="192" spans="1:87" x14ac:dyDescent="0.3">
      <c r="A192" t="s">
        <v>165</v>
      </c>
      <c r="B192" t="s">
        <v>116</v>
      </c>
      <c r="C192" t="s">
        <v>117</v>
      </c>
      <c r="D192" t="s">
        <v>118</v>
      </c>
      <c r="E192" t="s">
        <v>14</v>
      </c>
      <c r="F192" t="s">
        <v>743</v>
      </c>
      <c r="G192">
        <v>72</v>
      </c>
      <c r="H192">
        <v>0</v>
      </c>
      <c r="I192" s="14">
        <v>532100</v>
      </c>
      <c r="J192" s="14">
        <v>485300</v>
      </c>
      <c r="K192" t="s">
        <v>117</v>
      </c>
      <c r="L192" t="s">
        <v>118</v>
      </c>
      <c r="M192" t="s">
        <v>140</v>
      </c>
      <c r="N192" t="s">
        <v>744</v>
      </c>
      <c r="O192">
        <v>12.5</v>
      </c>
      <c r="P192">
        <v>0</v>
      </c>
      <c r="Q192" s="14">
        <v>46800</v>
      </c>
      <c r="R192" s="14">
        <v>46800</v>
      </c>
      <c r="Y192" s="14"/>
      <c r="Z192" s="14"/>
      <c r="AG192" s="14"/>
      <c r="AH192" s="14"/>
      <c r="AI192" t="s">
        <v>745</v>
      </c>
      <c r="AJ192" t="s">
        <v>746</v>
      </c>
      <c r="AK192" t="s">
        <v>747</v>
      </c>
      <c r="AL192">
        <v>0</v>
      </c>
      <c r="AM192" t="s">
        <v>748</v>
      </c>
      <c r="AN192" t="s">
        <v>749</v>
      </c>
      <c r="AO192" t="s">
        <v>125</v>
      </c>
      <c r="AP192" t="s">
        <v>750</v>
      </c>
      <c r="AQ192" s="15">
        <v>46017</v>
      </c>
      <c r="AR192" s="15">
        <v>46017</v>
      </c>
      <c r="AS192" t="s">
        <v>127</v>
      </c>
      <c r="AT192">
        <v>1</v>
      </c>
      <c r="AU192">
        <v>3000</v>
      </c>
      <c r="AV192">
        <v>0</v>
      </c>
      <c r="AW192">
        <v>0</v>
      </c>
      <c r="AX192" s="14">
        <v>3000</v>
      </c>
      <c r="AY192" s="14">
        <v>3000</v>
      </c>
      <c r="AZ192" s="14">
        <v>0</v>
      </c>
      <c r="BA192">
        <v>0</v>
      </c>
      <c r="BB192" t="s">
        <v>23</v>
      </c>
      <c r="BC192" t="s">
        <v>175</v>
      </c>
      <c r="BD192" t="s">
        <v>176</v>
      </c>
      <c r="BE192" t="s">
        <v>130</v>
      </c>
      <c r="BG192" t="s">
        <v>751</v>
      </c>
      <c r="BH192" t="s">
        <v>132</v>
      </c>
      <c r="BJ192">
        <v>4</v>
      </c>
      <c r="BK192" t="s">
        <v>133</v>
      </c>
      <c r="BV192" t="s">
        <v>134</v>
      </c>
      <c r="BW192" s="16">
        <v>46039.419444444437</v>
      </c>
      <c r="BX192" t="s">
        <v>178</v>
      </c>
      <c r="BZ192">
        <v>17</v>
      </c>
      <c r="CA192" t="s">
        <v>752</v>
      </c>
      <c r="CB192">
        <v>0</v>
      </c>
      <c r="CF192" t="s">
        <v>357</v>
      </c>
      <c r="CG192">
        <v>2025</v>
      </c>
      <c r="CH192" t="s">
        <v>138</v>
      </c>
      <c r="CI192" t="s">
        <v>139</v>
      </c>
    </row>
    <row r="193" spans="1:87" x14ac:dyDescent="0.3">
      <c r="A193" t="s">
        <v>165</v>
      </c>
      <c r="B193" t="s">
        <v>116</v>
      </c>
      <c r="C193" t="s">
        <v>117</v>
      </c>
      <c r="D193" t="s">
        <v>118</v>
      </c>
      <c r="E193" t="s">
        <v>14</v>
      </c>
      <c r="F193" t="s">
        <v>473</v>
      </c>
      <c r="G193">
        <v>67</v>
      </c>
      <c r="H193">
        <v>0</v>
      </c>
      <c r="I193" s="14">
        <v>498000</v>
      </c>
      <c r="J193" s="14">
        <v>450000</v>
      </c>
      <c r="Q193" s="14"/>
      <c r="R193" s="14"/>
      <c r="Y193" s="14"/>
      <c r="Z193" s="14"/>
      <c r="AG193" s="14"/>
      <c r="AH193" s="14"/>
      <c r="AI193" t="s">
        <v>753</v>
      </c>
      <c r="AJ193" t="s">
        <v>754</v>
      </c>
      <c r="AK193" t="s">
        <v>755</v>
      </c>
      <c r="AL193">
        <v>0</v>
      </c>
      <c r="AM193" t="s">
        <v>756</v>
      </c>
      <c r="AN193" t="s">
        <v>757</v>
      </c>
      <c r="AO193" t="s">
        <v>125</v>
      </c>
      <c r="AP193" t="s">
        <v>758</v>
      </c>
      <c r="AQ193" s="15">
        <v>45953</v>
      </c>
      <c r="AR193" s="15">
        <v>45953</v>
      </c>
      <c r="AS193" t="s">
        <v>127</v>
      </c>
      <c r="AT193">
        <v>1</v>
      </c>
      <c r="AU193">
        <v>3000</v>
      </c>
      <c r="AV193">
        <v>0</v>
      </c>
      <c r="AW193">
        <v>0</v>
      </c>
      <c r="AX193" s="14">
        <v>3000</v>
      </c>
      <c r="AY193" s="14">
        <v>3000</v>
      </c>
      <c r="AZ193" s="14">
        <v>0</v>
      </c>
      <c r="BA193">
        <v>0</v>
      </c>
      <c r="BB193" t="s">
        <v>23</v>
      </c>
      <c r="BC193" t="s">
        <v>175</v>
      </c>
      <c r="BD193" t="s">
        <v>176</v>
      </c>
      <c r="BE193" t="s">
        <v>130</v>
      </c>
      <c r="BF193" t="s">
        <v>754</v>
      </c>
      <c r="BG193" t="s">
        <v>759</v>
      </c>
      <c r="BH193" t="s">
        <v>132</v>
      </c>
      <c r="BI193" t="s">
        <v>154</v>
      </c>
      <c r="BJ193">
        <v>4</v>
      </c>
      <c r="BK193" t="s">
        <v>133</v>
      </c>
      <c r="BV193" t="s">
        <v>134</v>
      </c>
      <c r="BW193" s="16">
        <v>45971.18472222222</v>
      </c>
      <c r="BX193" t="s">
        <v>178</v>
      </c>
      <c r="BZ193">
        <v>3</v>
      </c>
      <c r="CA193" t="s">
        <v>760</v>
      </c>
      <c r="CB193">
        <v>0</v>
      </c>
      <c r="CF193" t="s">
        <v>357</v>
      </c>
      <c r="CG193">
        <v>2025</v>
      </c>
      <c r="CH193" t="s">
        <v>138</v>
      </c>
      <c r="CI193" t="s">
        <v>139</v>
      </c>
    </row>
    <row r="194" spans="1:87" x14ac:dyDescent="0.3">
      <c r="A194" t="s">
        <v>165</v>
      </c>
      <c r="B194" t="s">
        <v>116</v>
      </c>
      <c r="C194" t="s">
        <v>117</v>
      </c>
      <c r="D194" t="s">
        <v>118</v>
      </c>
      <c r="E194" t="s">
        <v>14</v>
      </c>
      <c r="F194" t="s">
        <v>473</v>
      </c>
      <c r="G194">
        <v>67</v>
      </c>
      <c r="H194">
        <v>0</v>
      </c>
      <c r="I194" s="14">
        <v>498000</v>
      </c>
      <c r="J194" s="14">
        <v>450000</v>
      </c>
      <c r="Q194" s="14"/>
      <c r="R194" s="14"/>
      <c r="Y194" s="14"/>
      <c r="Z194" s="14"/>
      <c r="AG194" s="14"/>
      <c r="AH194" s="14"/>
      <c r="AI194" t="s">
        <v>753</v>
      </c>
      <c r="AJ194" t="s">
        <v>754</v>
      </c>
      <c r="AK194" t="s">
        <v>755</v>
      </c>
      <c r="AL194">
        <v>0</v>
      </c>
      <c r="AM194" t="s">
        <v>756</v>
      </c>
      <c r="AN194" t="s">
        <v>757</v>
      </c>
      <c r="AO194" t="s">
        <v>125</v>
      </c>
      <c r="AP194" t="s">
        <v>758</v>
      </c>
      <c r="AQ194" s="15">
        <v>45971</v>
      </c>
      <c r="AR194" s="15">
        <v>45971</v>
      </c>
      <c r="AS194" t="s">
        <v>145</v>
      </c>
      <c r="AT194">
        <v>1</v>
      </c>
      <c r="AU194">
        <v>19500</v>
      </c>
      <c r="AV194">
        <v>0</v>
      </c>
      <c r="AW194">
        <v>0</v>
      </c>
      <c r="AX194" s="14">
        <v>19500</v>
      </c>
      <c r="AY194" s="14">
        <v>19500</v>
      </c>
      <c r="AZ194" s="14">
        <v>0</v>
      </c>
      <c r="BA194">
        <v>0</v>
      </c>
      <c r="BB194" t="s">
        <v>23</v>
      </c>
      <c r="BC194" t="s">
        <v>175</v>
      </c>
      <c r="BD194" t="s">
        <v>176</v>
      </c>
      <c r="BE194" t="s">
        <v>130</v>
      </c>
      <c r="BF194" t="s">
        <v>754</v>
      </c>
      <c r="BG194" t="s">
        <v>761</v>
      </c>
      <c r="BH194" t="s">
        <v>132</v>
      </c>
      <c r="BI194" t="s">
        <v>154</v>
      </c>
      <c r="BJ194">
        <v>4</v>
      </c>
      <c r="BK194" t="s">
        <v>133</v>
      </c>
      <c r="BV194" t="s">
        <v>134</v>
      </c>
      <c r="BW194" s="16">
        <v>45971.18472222222</v>
      </c>
      <c r="BX194" t="s">
        <v>178</v>
      </c>
      <c r="BZ194">
        <v>3</v>
      </c>
      <c r="CA194" t="s">
        <v>762</v>
      </c>
      <c r="CB194">
        <v>0</v>
      </c>
      <c r="CF194" t="s">
        <v>357</v>
      </c>
      <c r="CG194">
        <v>2025</v>
      </c>
      <c r="CH194" t="s">
        <v>138</v>
      </c>
      <c r="CI194" t="s">
        <v>139</v>
      </c>
    </row>
    <row r="195" spans="1:87" x14ac:dyDescent="0.3">
      <c r="A195" t="s">
        <v>165</v>
      </c>
      <c r="B195" t="s">
        <v>116</v>
      </c>
      <c r="C195" t="s">
        <v>117</v>
      </c>
      <c r="D195" t="s">
        <v>118</v>
      </c>
      <c r="E195" t="s">
        <v>14</v>
      </c>
      <c r="F195" t="s">
        <v>483</v>
      </c>
      <c r="G195">
        <v>70</v>
      </c>
      <c r="H195">
        <v>0</v>
      </c>
      <c r="I195" s="14">
        <v>518500</v>
      </c>
      <c r="J195" s="14">
        <v>470000</v>
      </c>
      <c r="Q195" s="14"/>
      <c r="R195" s="14"/>
      <c r="Y195" s="14"/>
      <c r="Z195" s="14"/>
      <c r="AG195" s="14"/>
      <c r="AH195" s="14"/>
      <c r="AI195" t="s">
        <v>763</v>
      </c>
      <c r="AJ195" t="s">
        <v>764</v>
      </c>
      <c r="AK195" t="s">
        <v>765</v>
      </c>
      <c r="AL195">
        <v>0</v>
      </c>
      <c r="AM195" t="s">
        <v>766</v>
      </c>
      <c r="AN195" t="s">
        <v>767</v>
      </c>
      <c r="AO195" t="s">
        <v>125</v>
      </c>
      <c r="AP195" t="s">
        <v>366</v>
      </c>
      <c r="AQ195" s="15">
        <v>45958</v>
      </c>
      <c r="AR195" s="15">
        <v>45958</v>
      </c>
      <c r="AS195" t="s">
        <v>127</v>
      </c>
      <c r="AT195">
        <v>1</v>
      </c>
      <c r="AU195">
        <v>3000</v>
      </c>
      <c r="AV195">
        <v>0</v>
      </c>
      <c r="AW195">
        <v>0</v>
      </c>
      <c r="AX195" s="14">
        <v>3000</v>
      </c>
      <c r="AY195" s="14">
        <v>3000</v>
      </c>
      <c r="AZ195" s="14">
        <v>0</v>
      </c>
      <c r="BA195">
        <v>0</v>
      </c>
      <c r="BB195" t="s">
        <v>23</v>
      </c>
      <c r="BC195" t="s">
        <v>175</v>
      </c>
      <c r="BD195" t="s">
        <v>176</v>
      </c>
      <c r="BE195" t="s">
        <v>130</v>
      </c>
      <c r="BG195" t="s">
        <v>768</v>
      </c>
      <c r="BH195" t="s">
        <v>132</v>
      </c>
      <c r="BJ195">
        <v>4</v>
      </c>
      <c r="BK195" t="s">
        <v>133</v>
      </c>
      <c r="BV195" t="s">
        <v>134</v>
      </c>
      <c r="BW195" s="16">
        <v>46028.404166666667</v>
      </c>
      <c r="BX195" t="s">
        <v>143</v>
      </c>
      <c r="BZ195">
        <v>33</v>
      </c>
      <c r="CA195" t="s">
        <v>769</v>
      </c>
      <c r="CB195">
        <v>0</v>
      </c>
      <c r="CF195" t="s">
        <v>357</v>
      </c>
      <c r="CG195">
        <v>2025</v>
      </c>
      <c r="CH195" t="s">
        <v>138</v>
      </c>
      <c r="CI195" t="s">
        <v>139</v>
      </c>
    </row>
    <row r="196" spans="1:87" x14ac:dyDescent="0.3">
      <c r="A196" t="s">
        <v>426</v>
      </c>
      <c r="B196" t="s">
        <v>116</v>
      </c>
      <c r="C196" t="s">
        <v>117</v>
      </c>
      <c r="D196" t="s">
        <v>118</v>
      </c>
      <c r="E196" t="s">
        <v>14</v>
      </c>
      <c r="F196" t="s">
        <v>383</v>
      </c>
      <c r="G196">
        <v>67</v>
      </c>
      <c r="H196">
        <v>0</v>
      </c>
      <c r="I196" s="14">
        <v>428000</v>
      </c>
      <c r="J196" s="14">
        <v>428000</v>
      </c>
      <c r="Q196" s="14"/>
      <c r="R196" s="14"/>
      <c r="Y196" s="14"/>
      <c r="Z196" s="14"/>
      <c r="AG196" s="14"/>
      <c r="AH196" s="14"/>
      <c r="AI196" t="s">
        <v>770</v>
      </c>
      <c r="AJ196" t="s">
        <v>771</v>
      </c>
      <c r="AK196" t="s">
        <v>772</v>
      </c>
      <c r="AL196">
        <v>0</v>
      </c>
      <c r="AM196" t="s">
        <v>773</v>
      </c>
      <c r="AN196" t="s">
        <v>774</v>
      </c>
      <c r="AO196" t="s">
        <v>125</v>
      </c>
      <c r="AP196" t="s">
        <v>152</v>
      </c>
      <c r="AQ196" s="15">
        <v>46009</v>
      </c>
      <c r="AR196" s="15">
        <v>46009</v>
      </c>
      <c r="AS196" t="s">
        <v>127</v>
      </c>
      <c r="AT196">
        <v>1</v>
      </c>
      <c r="AU196">
        <v>3000</v>
      </c>
      <c r="AV196">
        <v>0</v>
      </c>
      <c r="AW196">
        <v>0</v>
      </c>
      <c r="AX196" s="14">
        <v>3000</v>
      </c>
      <c r="AY196" s="14">
        <v>3000</v>
      </c>
      <c r="AZ196" s="14">
        <v>0</v>
      </c>
      <c r="BA196">
        <v>0</v>
      </c>
      <c r="BB196" t="s">
        <v>23</v>
      </c>
      <c r="BC196" t="s">
        <v>128</v>
      </c>
      <c r="BD196" t="s">
        <v>434</v>
      </c>
      <c r="BE196" t="s">
        <v>130</v>
      </c>
      <c r="BG196" t="s">
        <v>775</v>
      </c>
      <c r="BH196" t="s">
        <v>132</v>
      </c>
      <c r="BJ196">
        <v>4</v>
      </c>
      <c r="BK196" t="s">
        <v>133</v>
      </c>
      <c r="BV196" t="s">
        <v>134</v>
      </c>
      <c r="BW196" s="16">
        <v>46049.344444444447</v>
      </c>
      <c r="BX196" t="s">
        <v>143</v>
      </c>
      <c r="BZ196">
        <v>10</v>
      </c>
      <c r="CA196" t="s">
        <v>776</v>
      </c>
      <c r="CB196">
        <v>0</v>
      </c>
      <c r="CF196" t="s">
        <v>357</v>
      </c>
      <c r="CG196">
        <v>2025</v>
      </c>
      <c r="CH196" t="s">
        <v>138</v>
      </c>
      <c r="CI196" t="s">
        <v>139</v>
      </c>
    </row>
    <row r="197" spans="1:87" x14ac:dyDescent="0.3">
      <c r="A197" t="s">
        <v>115</v>
      </c>
      <c r="B197" t="s">
        <v>116</v>
      </c>
      <c r="C197" t="s">
        <v>117</v>
      </c>
      <c r="D197" t="s">
        <v>118</v>
      </c>
      <c r="E197" t="s">
        <v>14</v>
      </c>
      <c r="F197" t="s">
        <v>241</v>
      </c>
      <c r="G197">
        <v>68.72</v>
      </c>
      <c r="H197">
        <v>0</v>
      </c>
      <c r="I197" s="14">
        <v>501000</v>
      </c>
      <c r="J197" s="14">
        <v>501000</v>
      </c>
      <c r="K197" t="s">
        <v>117</v>
      </c>
      <c r="L197" t="s">
        <v>118</v>
      </c>
      <c r="M197" t="s">
        <v>140</v>
      </c>
      <c r="N197" t="s">
        <v>242</v>
      </c>
      <c r="O197">
        <v>15.4</v>
      </c>
      <c r="P197">
        <v>2.2599999999999998</v>
      </c>
      <c r="Q197" s="14">
        <v>57300</v>
      </c>
      <c r="R197" s="14">
        <v>57300</v>
      </c>
      <c r="Y197" s="14"/>
      <c r="Z197" s="14"/>
      <c r="AG197" s="14"/>
      <c r="AH197" s="14"/>
      <c r="AI197" t="s">
        <v>243</v>
      </c>
      <c r="AJ197" t="s">
        <v>244</v>
      </c>
      <c r="AK197" t="s">
        <v>245</v>
      </c>
      <c r="AM197" t="s">
        <v>246</v>
      </c>
      <c r="AN197" t="s">
        <v>247</v>
      </c>
      <c r="AO197" t="s">
        <v>125</v>
      </c>
      <c r="AP197" t="s">
        <v>248</v>
      </c>
      <c r="AQ197" s="15">
        <v>45713</v>
      </c>
      <c r="AR197" s="15">
        <v>45709</v>
      </c>
      <c r="AS197" t="s">
        <v>145</v>
      </c>
      <c r="AT197">
        <v>1</v>
      </c>
      <c r="AU197">
        <v>52830</v>
      </c>
      <c r="AV197">
        <v>0</v>
      </c>
      <c r="AW197">
        <v>0</v>
      </c>
      <c r="AX197" s="14">
        <v>52830</v>
      </c>
      <c r="AY197" s="14">
        <v>52830</v>
      </c>
      <c r="AZ197" s="14">
        <v>0</v>
      </c>
      <c r="BA197">
        <v>0</v>
      </c>
      <c r="BB197" t="s">
        <v>23</v>
      </c>
      <c r="BC197" t="s">
        <v>128</v>
      </c>
      <c r="BD197" t="s">
        <v>129</v>
      </c>
      <c r="BE197" t="s">
        <v>130</v>
      </c>
      <c r="BG197" t="s">
        <v>777</v>
      </c>
      <c r="BH197" t="s">
        <v>132</v>
      </c>
      <c r="BJ197">
        <v>4</v>
      </c>
      <c r="BK197" t="s">
        <v>133</v>
      </c>
      <c r="BV197" t="s">
        <v>134</v>
      </c>
      <c r="BW197" s="16">
        <v>45709.696527777778</v>
      </c>
      <c r="BX197" t="s">
        <v>178</v>
      </c>
      <c r="BZ197">
        <v>10</v>
      </c>
      <c r="CA197" t="s">
        <v>778</v>
      </c>
      <c r="CB197">
        <v>0</v>
      </c>
      <c r="CF197" t="s">
        <v>357</v>
      </c>
      <c r="CG197">
        <v>2025</v>
      </c>
      <c r="CH197" t="s">
        <v>138</v>
      </c>
      <c r="CI197" t="s">
        <v>139</v>
      </c>
    </row>
    <row r="198" spans="1:87" x14ac:dyDescent="0.3">
      <c r="A198" t="s">
        <v>115</v>
      </c>
      <c r="B198" t="s">
        <v>116</v>
      </c>
      <c r="C198" t="s">
        <v>117</v>
      </c>
      <c r="D198" t="s">
        <v>118</v>
      </c>
      <c r="E198" t="s">
        <v>14</v>
      </c>
      <c r="F198" t="s">
        <v>241</v>
      </c>
      <c r="G198">
        <v>68.72</v>
      </c>
      <c r="H198">
        <v>0</v>
      </c>
      <c r="I198" s="14">
        <v>501000</v>
      </c>
      <c r="J198" s="14">
        <v>501000</v>
      </c>
      <c r="K198" t="s">
        <v>117</v>
      </c>
      <c r="L198" t="s">
        <v>118</v>
      </c>
      <c r="M198" t="s">
        <v>140</v>
      </c>
      <c r="N198" t="s">
        <v>242</v>
      </c>
      <c r="O198">
        <v>15.4</v>
      </c>
      <c r="P198">
        <v>2.2599999999999998</v>
      </c>
      <c r="Q198" s="14">
        <v>57300</v>
      </c>
      <c r="R198" s="14">
        <v>57300</v>
      </c>
      <c r="Y198" s="14"/>
      <c r="Z198" s="14"/>
      <c r="AG198" s="14"/>
      <c r="AH198" s="14"/>
      <c r="AI198" t="s">
        <v>243</v>
      </c>
      <c r="AJ198" t="s">
        <v>244</v>
      </c>
      <c r="AK198" t="s">
        <v>245</v>
      </c>
      <c r="AM198" t="s">
        <v>246</v>
      </c>
      <c r="AN198" t="s">
        <v>247</v>
      </c>
      <c r="AO198" t="s">
        <v>125</v>
      </c>
      <c r="AP198" t="s">
        <v>248</v>
      </c>
      <c r="AQ198" s="15">
        <v>45746</v>
      </c>
      <c r="AR198" s="15">
        <v>45747</v>
      </c>
      <c r="AS198" t="s">
        <v>227</v>
      </c>
      <c r="AT198">
        <v>1</v>
      </c>
      <c r="AU198">
        <v>502470</v>
      </c>
      <c r="AV198">
        <v>0</v>
      </c>
      <c r="AW198">
        <v>0</v>
      </c>
      <c r="AX198" s="14">
        <v>502470</v>
      </c>
      <c r="AY198" s="14">
        <v>502470</v>
      </c>
      <c r="AZ198" s="14">
        <v>0</v>
      </c>
      <c r="BA198">
        <v>0</v>
      </c>
      <c r="BB198" t="s">
        <v>23</v>
      </c>
      <c r="BC198" t="s">
        <v>128</v>
      </c>
      <c r="BD198" t="s">
        <v>129</v>
      </c>
      <c r="BE198" t="s">
        <v>130</v>
      </c>
      <c r="BG198" t="s">
        <v>406</v>
      </c>
      <c r="BH198" t="s">
        <v>132</v>
      </c>
      <c r="BJ198">
        <v>4</v>
      </c>
      <c r="BK198" t="s">
        <v>133</v>
      </c>
      <c r="BV198" t="s">
        <v>134</v>
      </c>
      <c r="BW198" s="16">
        <v>45709.696527777778</v>
      </c>
      <c r="BX198" t="s">
        <v>178</v>
      </c>
      <c r="BZ198">
        <v>10</v>
      </c>
      <c r="CA198" t="s">
        <v>778</v>
      </c>
      <c r="CB198">
        <v>0</v>
      </c>
      <c r="CF198" t="s">
        <v>357</v>
      </c>
      <c r="CG198">
        <v>2025</v>
      </c>
      <c r="CH198" t="s">
        <v>138</v>
      </c>
      <c r="CI198" t="s">
        <v>139</v>
      </c>
    </row>
    <row r="199" spans="1:87" x14ac:dyDescent="0.3">
      <c r="A199" t="s">
        <v>115</v>
      </c>
      <c r="B199" t="s">
        <v>116</v>
      </c>
      <c r="C199" t="s">
        <v>117</v>
      </c>
      <c r="D199" t="s">
        <v>118</v>
      </c>
      <c r="E199" t="s">
        <v>14</v>
      </c>
      <c r="F199" t="s">
        <v>250</v>
      </c>
      <c r="G199">
        <v>84</v>
      </c>
      <c r="H199">
        <v>0</v>
      </c>
      <c r="I199" s="14">
        <v>622500</v>
      </c>
      <c r="J199" s="14">
        <v>622500</v>
      </c>
      <c r="Q199" s="14"/>
      <c r="R199" s="14"/>
      <c r="Y199" s="14"/>
      <c r="Z199" s="14"/>
      <c r="AG199" s="14"/>
      <c r="AH199" s="14"/>
      <c r="AI199" t="s">
        <v>251</v>
      </c>
      <c r="AJ199" t="s">
        <v>252</v>
      </c>
      <c r="AK199" t="s">
        <v>253</v>
      </c>
      <c r="AM199" t="s">
        <v>254</v>
      </c>
      <c r="AN199" t="s">
        <v>255</v>
      </c>
      <c r="AO199" t="s">
        <v>125</v>
      </c>
      <c r="AP199" t="s">
        <v>256</v>
      </c>
      <c r="AQ199" s="15">
        <v>45688</v>
      </c>
      <c r="AR199" s="15">
        <v>45722</v>
      </c>
      <c r="AS199" t="s">
        <v>227</v>
      </c>
      <c r="AT199">
        <v>1</v>
      </c>
      <c r="AU199">
        <v>532500</v>
      </c>
      <c r="AV199">
        <v>0</v>
      </c>
      <c r="AW199">
        <v>0</v>
      </c>
      <c r="AX199" s="14">
        <v>532500</v>
      </c>
      <c r="AY199" s="14">
        <v>20000</v>
      </c>
      <c r="AZ199" s="14">
        <v>0</v>
      </c>
      <c r="BA199">
        <v>0</v>
      </c>
      <c r="BB199" t="s">
        <v>24</v>
      </c>
      <c r="BC199" t="s">
        <v>128</v>
      </c>
      <c r="BD199" t="s">
        <v>129</v>
      </c>
      <c r="BE199" t="s">
        <v>130</v>
      </c>
      <c r="BG199" t="s">
        <v>263</v>
      </c>
      <c r="BH199" t="s">
        <v>132</v>
      </c>
      <c r="BJ199">
        <v>4</v>
      </c>
      <c r="BK199" t="s">
        <v>133</v>
      </c>
      <c r="BV199" t="s">
        <v>134</v>
      </c>
      <c r="BW199" s="16">
        <v>45488.654861111107</v>
      </c>
      <c r="BX199" t="s">
        <v>178</v>
      </c>
      <c r="BZ199">
        <v>6</v>
      </c>
      <c r="CA199" t="s">
        <v>264</v>
      </c>
      <c r="CB199">
        <v>0</v>
      </c>
      <c r="CF199" t="s">
        <v>357</v>
      </c>
      <c r="CG199">
        <v>2025</v>
      </c>
      <c r="CH199" t="s">
        <v>138</v>
      </c>
      <c r="CI199" t="s">
        <v>139</v>
      </c>
    </row>
    <row r="200" spans="1:87" x14ac:dyDescent="0.3">
      <c r="A200" t="s">
        <v>115</v>
      </c>
      <c r="B200" t="s">
        <v>116</v>
      </c>
      <c r="C200" t="s">
        <v>117</v>
      </c>
      <c r="D200" t="s">
        <v>118</v>
      </c>
      <c r="E200" t="s">
        <v>14</v>
      </c>
      <c r="F200" t="s">
        <v>250</v>
      </c>
      <c r="G200">
        <v>84</v>
      </c>
      <c r="H200">
        <v>0</v>
      </c>
      <c r="I200" s="14">
        <v>622500</v>
      </c>
      <c r="J200" s="14">
        <v>622500</v>
      </c>
      <c r="Q200" s="14"/>
      <c r="R200" s="14"/>
      <c r="Y200" s="14"/>
      <c r="Z200" s="14"/>
      <c r="AG200" s="14"/>
      <c r="AH200" s="14"/>
      <c r="AI200" t="s">
        <v>251</v>
      </c>
      <c r="AJ200" t="s">
        <v>252</v>
      </c>
      <c r="AK200" t="s">
        <v>253</v>
      </c>
      <c r="AM200" t="s">
        <v>254</v>
      </c>
      <c r="AN200" t="s">
        <v>255</v>
      </c>
      <c r="AO200" t="s">
        <v>125</v>
      </c>
      <c r="AP200" t="s">
        <v>256</v>
      </c>
      <c r="AQ200" s="15">
        <v>45688</v>
      </c>
      <c r="AR200" s="15">
        <v>45747</v>
      </c>
      <c r="AS200" t="s">
        <v>227</v>
      </c>
      <c r="AT200">
        <v>1</v>
      </c>
      <c r="AU200">
        <v>0</v>
      </c>
      <c r="AV200">
        <v>0</v>
      </c>
      <c r="AW200">
        <v>0</v>
      </c>
      <c r="AX200" s="14">
        <v>0</v>
      </c>
      <c r="AY200" s="14">
        <v>512500</v>
      </c>
      <c r="AZ200" s="14">
        <v>0</v>
      </c>
      <c r="BA200">
        <v>0</v>
      </c>
      <c r="BB200" t="s">
        <v>24</v>
      </c>
      <c r="BC200" t="s">
        <v>128</v>
      </c>
      <c r="BD200" t="s">
        <v>129</v>
      </c>
      <c r="BE200" t="s">
        <v>130</v>
      </c>
      <c r="BG200" t="s">
        <v>779</v>
      </c>
      <c r="BH200" t="s">
        <v>132</v>
      </c>
      <c r="BJ200">
        <v>4</v>
      </c>
      <c r="BK200" t="s">
        <v>133</v>
      </c>
      <c r="BV200" t="s">
        <v>134</v>
      </c>
      <c r="BW200" s="16">
        <v>45488.654861111107</v>
      </c>
      <c r="BX200" t="s">
        <v>178</v>
      </c>
      <c r="BZ200">
        <v>6</v>
      </c>
      <c r="CA200" t="s">
        <v>780</v>
      </c>
      <c r="CB200">
        <v>0</v>
      </c>
      <c r="CF200" t="s">
        <v>357</v>
      </c>
      <c r="CG200">
        <v>2025</v>
      </c>
      <c r="CH200" t="s">
        <v>138</v>
      </c>
      <c r="CI200" t="s">
        <v>139</v>
      </c>
    </row>
    <row r="201" spans="1:87" x14ac:dyDescent="0.3">
      <c r="A201" t="s">
        <v>115</v>
      </c>
      <c r="B201" t="s">
        <v>116</v>
      </c>
      <c r="C201" t="s">
        <v>117</v>
      </c>
      <c r="D201" t="s">
        <v>118</v>
      </c>
      <c r="E201" t="s">
        <v>140</v>
      </c>
      <c r="F201" t="s">
        <v>781</v>
      </c>
      <c r="G201">
        <v>13.52</v>
      </c>
      <c r="H201">
        <v>0</v>
      </c>
      <c r="I201" s="14">
        <v>51500</v>
      </c>
      <c r="J201" s="14">
        <v>51500</v>
      </c>
      <c r="Q201" s="14"/>
      <c r="R201" s="14"/>
      <c r="Y201" s="14"/>
      <c r="Z201" s="14"/>
      <c r="AG201" s="14"/>
      <c r="AH201" s="14"/>
      <c r="AI201" t="s">
        <v>251</v>
      </c>
      <c r="AJ201" t="s">
        <v>252</v>
      </c>
      <c r="AK201" t="s">
        <v>253</v>
      </c>
      <c r="AL201">
        <v>0</v>
      </c>
      <c r="AM201" t="s">
        <v>254</v>
      </c>
      <c r="AN201" t="s">
        <v>255</v>
      </c>
      <c r="AO201" t="s">
        <v>125</v>
      </c>
      <c r="AP201" t="s">
        <v>256</v>
      </c>
      <c r="AQ201" s="15">
        <v>45871</v>
      </c>
      <c r="AR201" s="15">
        <v>45871</v>
      </c>
      <c r="AS201" t="s">
        <v>127</v>
      </c>
      <c r="AT201">
        <v>1</v>
      </c>
      <c r="AU201">
        <v>5000</v>
      </c>
      <c r="AV201">
        <v>0</v>
      </c>
      <c r="AW201">
        <v>0</v>
      </c>
      <c r="AX201" s="14">
        <v>5000</v>
      </c>
      <c r="AY201" s="14">
        <v>5000</v>
      </c>
      <c r="AZ201" s="14">
        <v>0</v>
      </c>
      <c r="BA201">
        <v>0</v>
      </c>
      <c r="BB201" t="s">
        <v>22</v>
      </c>
      <c r="BC201" t="s">
        <v>128</v>
      </c>
      <c r="BD201" t="s">
        <v>129</v>
      </c>
      <c r="BE201" t="s">
        <v>130</v>
      </c>
      <c r="BG201" t="s">
        <v>782</v>
      </c>
      <c r="BH201" t="s">
        <v>132</v>
      </c>
      <c r="BJ201">
        <v>4</v>
      </c>
      <c r="BK201" t="s">
        <v>133</v>
      </c>
      <c r="BV201" t="s">
        <v>134</v>
      </c>
      <c r="BW201" s="16">
        <v>45960.71875</v>
      </c>
      <c r="BX201" t="s">
        <v>143</v>
      </c>
      <c r="BZ201">
        <v>59</v>
      </c>
      <c r="CA201" t="s">
        <v>783</v>
      </c>
      <c r="CB201">
        <v>0</v>
      </c>
      <c r="CF201" t="s">
        <v>357</v>
      </c>
      <c r="CG201">
        <v>2025</v>
      </c>
      <c r="CH201" t="s">
        <v>138</v>
      </c>
      <c r="CI201" t="s">
        <v>139</v>
      </c>
    </row>
    <row r="202" spans="1:87" x14ac:dyDescent="0.3">
      <c r="A202" t="s">
        <v>115</v>
      </c>
      <c r="B202" t="s">
        <v>116</v>
      </c>
      <c r="C202" t="s">
        <v>117</v>
      </c>
      <c r="D202" t="s">
        <v>118</v>
      </c>
      <c r="E202" t="s">
        <v>140</v>
      </c>
      <c r="F202" t="s">
        <v>781</v>
      </c>
      <c r="G202">
        <v>13.52</v>
      </c>
      <c r="H202">
        <v>0</v>
      </c>
      <c r="I202" s="14">
        <v>51500</v>
      </c>
      <c r="J202" s="14">
        <v>51500</v>
      </c>
      <c r="Q202" s="14"/>
      <c r="R202" s="14"/>
      <c r="Y202" s="14"/>
      <c r="Z202" s="14"/>
      <c r="AG202" s="14"/>
      <c r="AH202" s="14"/>
      <c r="AI202" t="s">
        <v>251</v>
      </c>
      <c r="AJ202" t="s">
        <v>252</v>
      </c>
      <c r="AK202" t="s">
        <v>253</v>
      </c>
      <c r="AL202">
        <v>0</v>
      </c>
      <c r="AM202" t="s">
        <v>254</v>
      </c>
      <c r="AN202" t="s">
        <v>255</v>
      </c>
      <c r="AO202" t="s">
        <v>125</v>
      </c>
      <c r="AP202" t="s">
        <v>256</v>
      </c>
      <c r="AQ202" s="15">
        <v>45960</v>
      </c>
      <c r="AR202" s="15">
        <v>45960</v>
      </c>
      <c r="AS202" t="s">
        <v>145</v>
      </c>
      <c r="AT202">
        <v>1</v>
      </c>
      <c r="AU202">
        <v>3000</v>
      </c>
      <c r="AV202">
        <v>0</v>
      </c>
      <c r="AW202">
        <v>0</v>
      </c>
      <c r="AX202" s="14">
        <v>3000</v>
      </c>
      <c r="AY202" s="14">
        <v>3000</v>
      </c>
      <c r="AZ202" s="14">
        <v>0</v>
      </c>
      <c r="BA202">
        <v>0</v>
      </c>
      <c r="BB202" t="s">
        <v>22</v>
      </c>
      <c r="BC202" t="s">
        <v>128</v>
      </c>
      <c r="BD202" t="s">
        <v>129</v>
      </c>
      <c r="BE202" t="s">
        <v>130</v>
      </c>
      <c r="BG202" t="s">
        <v>784</v>
      </c>
      <c r="BH202" t="s">
        <v>132</v>
      </c>
      <c r="BJ202">
        <v>4</v>
      </c>
      <c r="BK202" t="s">
        <v>133</v>
      </c>
      <c r="BV202" t="s">
        <v>134</v>
      </c>
      <c r="BW202" s="16">
        <v>45960.71875</v>
      </c>
      <c r="BX202" t="s">
        <v>143</v>
      </c>
      <c r="BZ202">
        <v>59</v>
      </c>
      <c r="CA202" t="s">
        <v>785</v>
      </c>
      <c r="CB202">
        <v>0</v>
      </c>
      <c r="CF202" t="s">
        <v>357</v>
      </c>
      <c r="CG202">
        <v>2025</v>
      </c>
      <c r="CH202" t="s">
        <v>138</v>
      </c>
      <c r="CI202" t="s">
        <v>139</v>
      </c>
    </row>
    <row r="203" spans="1:87" x14ac:dyDescent="0.3">
      <c r="A203" t="s">
        <v>115</v>
      </c>
      <c r="B203" t="s">
        <v>116</v>
      </c>
      <c r="C203" t="s">
        <v>117</v>
      </c>
      <c r="D203" t="s">
        <v>118</v>
      </c>
      <c r="E203" t="s">
        <v>140</v>
      </c>
      <c r="F203" t="s">
        <v>781</v>
      </c>
      <c r="G203">
        <v>13.52</v>
      </c>
      <c r="H203">
        <v>0</v>
      </c>
      <c r="I203" s="14">
        <v>51500</v>
      </c>
      <c r="J203" s="14">
        <v>51500</v>
      </c>
      <c r="Q203" s="14"/>
      <c r="R203" s="14"/>
      <c r="Y203" s="14"/>
      <c r="Z203" s="14"/>
      <c r="AG203" s="14"/>
      <c r="AH203" s="14"/>
      <c r="AI203" t="s">
        <v>251</v>
      </c>
      <c r="AJ203" t="s">
        <v>252</v>
      </c>
      <c r="AK203" t="s">
        <v>253</v>
      </c>
      <c r="AL203">
        <v>0</v>
      </c>
      <c r="AM203" t="s">
        <v>254</v>
      </c>
      <c r="AN203" t="s">
        <v>255</v>
      </c>
      <c r="AO203" t="s">
        <v>125</v>
      </c>
      <c r="AP203" t="s">
        <v>256</v>
      </c>
      <c r="AQ203" s="15">
        <v>45996</v>
      </c>
      <c r="AR203" s="15">
        <v>45996</v>
      </c>
      <c r="AS203" t="s">
        <v>227</v>
      </c>
      <c r="AT203">
        <v>1</v>
      </c>
      <c r="AU203">
        <v>3000</v>
      </c>
      <c r="AV203">
        <v>0</v>
      </c>
      <c r="AW203">
        <v>0</v>
      </c>
      <c r="AX203" s="14">
        <v>3000</v>
      </c>
      <c r="AY203" s="14">
        <v>3000</v>
      </c>
      <c r="AZ203" s="14">
        <v>0</v>
      </c>
      <c r="BA203">
        <v>0</v>
      </c>
      <c r="BB203" t="s">
        <v>22</v>
      </c>
      <c r="BC203" t="s">
        <v>128</v>
      </c>
      <c r="BD203" t="s">
        <v>129</v>
      </c>
      <c r="BE203" t="s">
        <v>130</v>
      </c>
      <c r="BG203" t="s">
        <v>786</v>
      </c>
      <c r="BH203" t="s">
        <v>132</v>
      </c>
      <c r="BJ203">
        <v>4</v>
      </c>
      <c r="BK203" t="s">
        <v>133</v>
      </c>
      <c r="BV203" t="s">
        <v>134</v>
      </c>
      <c r="BW203" s="16">
        <v>45960.71875</v>
      </c>
      <c r="BX203" t="s">
        <v>143</v>
      </c>
      <c r="BZ203">
        <v>59</v>
      </c>
      <c r="CA203" t="s">
        <v>787</v>
      </c>
      <c r="CB203">
        <v>0</v>
      </c>
      <c r="CF203" t="s">
        <v>357</v>
      </c>
      <c r="CG203">
        <v>2025</v>
      </c>
      <c r="CH203" t="s">
        <v>138</v>
      </c>
      <c r="CI203" t="s">
        <v>139</v>
      </c>
    </row>
    <row r="204" spans="1:87" x14ac:dyDescent="0.3">
      <c r="A204" t="s">
        <v>115</v>
      </c>
      <c r="B204" t="s">
        <v>116</v>
      </c>
      <c r="C204" t="s">
        <v>117</v>
      </c>
      <c r="D204" t="s">
        <v>118</v>
      </c>
      <c r="E204" t="s">
        <v>14</v>
      </c>
      <c r="F204" t="s">
        <v>265</v>
      </c>
      <c r="G204">
        <v>83</v>
      </c>
      <c r="H204">
        <v>0</v>
      </c>
      <c r="I204" s="14">
        <v>612000</v>
      </c>
      <c r="J204" s="14">
        <v>612000</v>
      </c>
      <c r="Q204" s="14"/>
      <c r="R204" s="14"/>
      <c r="Y204" s="14"/>
      <c r="Z204" s="14"/>
      <c r="AG204" s="14"/>
      <c r="AH204" s="14"/>
      <c r="AI204" t="s">
        <v>266</v>
      </c>
      <c r="AJ204" t="s">
        <v>267</v>
      </c>
      <c r="AK204" t="s">
        <v>268</v>
      </c>
      <c r="AM204" t="s">
        <v>269</v>
      </c>
      <c r="AN204" t="s">
        <v>270</v>
      </c>
      <c r="AO204" t="s">
        <v>271</v>
      </c>
      <c r="AP204" t="s">
        <v>271</v>
      </c>
      <c r="AQ204" s="15">
        <v>45687</v>
      </c>
      <c r="AR204" s="15">
        <v>46018</v>
      </c>
      <c r="AS204" t="s">
        <v>145</v>
      </c>
      <c r="AT204">
        <v>3</v>
      </c>
      <c r="AU204">
        <v>29500</v>
      </c>
      <c r="AV204">
        <v>0</v>
      </c>
      <c r="AW204">
        <v>0</v>
      </c>
      <c r="AX204" s="14">
        <v>29500</v>
      </c>
      <c r="AY204" s="14">
        <v>29500</v>
      </c>
      <c r="AZ204" s="14">
        <v>0</v>
      </c>
      <c r="BA204">
        <v>0</v>
      </c>
      <c r="BB204" t="s">
        <v>24</v>
      </c>
      <c r="BC204" t="s">
        <v>128</v>
      </c>
      <c r="BD204" t="s">
        <v>129</v>
      </c>
      <c r="BE204" t="s">
        <v>130</v>
      </c>
      <c r="BF204" t="s">
        <v>267</v>
      </c>
      <c r="BG204" t="s">
        <v>788</v>
      </c>
      <c r="BH204" t="s">
        <v>132</v>
      </c>
      <c r="BI204" t="s">
        <v>154</v>
      </c>
      <c r="BJ204">
        <v>1</v>
      </c>
      <c r="BK204" t="s">
        <v>133</v>
      </c>
      <c r="BV204" t="s">
        <v>134</v>
      </c>
      <c r="BW204" s="16">
        <v>45541.594444444447</v>
      </c>
      <c r="BX204" t="s">
        <v>178</v>
      </c>
      <c r="BZ204">
        <v>21</v>
      </c>
      <c r="CA204" t="s">
        <v>224</v>
      </c>
      <c r="CB204">
        <v>0</v>
      </c>
      <c r="CF204" t="s">
        <v>357</v>
      </c>
      <c r="CG204">
        <v>2025</v>
      </c>
      <c r="CH204" t="s">
        <v>138</v>
      </c>
      <c r="CI204" t="s">
        <v>139</v>
      </c>
    </row>
    <row r="205" spans="1:87" x14ac:dyDescent="0.3">
      <c r="A205" t="s">
        <v>115</v>
      </c>
      <c r="B205" t="s">
        <v>116</v>
      </c>
      <c r="C205" t="s">
        <v>117</v>
      </c>
      <c r="D205" t="s">
        <v>118</v>
      </c>
      <c r="E205" t="s">
        <v>14</v>
      </c>
      <c r="F205" t="s">
        <v>265</v>
      </c>
      <c r="G205">
        <v>83</v>
      </c>
      <c r="H205">
        <v>0</v>
      </c>
      <c r="I205" s="14">
        <v>612000</v>
      </c>
      <c r="J205" s="14">
        <v>612000</v>
      </c>
      <c r="Q205" s="14"/>
      <c r="R205" s="14"/>
      <c r="Y205" s="14"/>
      <c r="Z205" s="14"/>
      <c r="AG205" s="14"/>
      <c r="AH205" s="14"/>
      <c r="AI205" t="s">
        <v>266</v>
      </c>
      <c r="AJ205" t="s">
        <v>267</v>
      </c>
      <c r="AK205" t="s">
        <v>268</v>
      </c>
      <c r="AM205" t="s">
        <v>269</v>
      </c>
      <c r="AN205" t="s">
        <v>270</v>
      </c>
      <c r="AO205" t="s">
        <v>271</v>
      </c>
      <c r="AP205" t="s">
        <v>271</v>
      </c>
      <c r="AQ205" s="15">
        <v>45716</v>
      </c>
      <c r="AR205" s="15">
        <v>46002</v>
      </c>
      <c r="AS205" t="s">
        <v>227</v>
      </c>
      <c r="AT205">
        <v>4</v>
      </c>
      <c r="AU205">
        <v>550000</v>
      </c>
      <c r="AV205">
        <v>0</v>
      </c>
      <c r="AW205">
        <v>0</v>
      </c>
      <c r="AX205" s="14">
        <v>550000</v>
      </c>
      <c r="AY205" s="14">
        <v>550000</v>
      </c>
      <c r="AZ205" s="14">
        <v>0</v>
      </c>
      <c r="BA205">
        <v>0</v>
      </c>
      <c r="BB205" t="s">
        <v>24</v>
      </c>
      <c r="BC205" t="s">
        <v>128</v>
      </c>
      <c r="BD205" t="s">
        <v>129</v>
      </c>
      <c r="BE205" t="s">
        <v>130</v>
      </c>
      <c r="BG205" t="s">
        <v>789</v>
      </c>
      <c r="BH205" t="s">
        <v>132</v>
      </c>
      <c r="BJ205">
        <v>4</v>
      </c>
      <c r="BK205" t="s">
        <v>133</v>
      </c>
      <c r="BV205" t="s">
        <v>134</v>
      </c>
      <c r="BW205" s="16">
        <v>45541.594444444447</v>
      </c>
      <c r="BX205" t="s">
        <v>178</v>
      </c>
      <c r="BZ205">
        <v>21</v>
      </c>
      <c r="CA205" t="s">
        <v>790</v>
      </c>
      <c r="CB205">
        <v>0</v>
      </c>
      <c r="CF205" t="s">
        <v>357</v>
      </c>
      <c r="CG205">
        <v>2025</v>
      </c>
      <c r="CH205" t="s">
        <v>138</v>
      </c>
      <c r="CI205" t="s">
        <v>139</v>
      </c>
    </row>
    <row r="206" spans="1:87" x14ac:dyDescent="0.3">
      <c r="A206" t="s">
        <v>165</v>
      </c>
      <c r="B206" t="s">
        <v>116</v>
      </c>
      <c r="C206" t="s">
        <v>117</v>
      </c>
      <c r="D206" t="s">
        <v>118</v>
      </c>
      <c r="E206" t="s">
        <v>14</v>
      </c>
      <c r="F206" t="s">
        <v>651</v>
      </c>
      <c r="G206">
        <v>67</v>
      </c>
      <c r="H206">
        <v>0</v>
      </c>
      <c r="I206" s="14">
        <v>498000</v>
      </c>
      <c r="J206" s="14">
        <v>460000</v>
      </c>
      <c r="Q206" s="14"/>
      <c r="R206" s="14"/>
      <c r="Y206" s="14"/>
      <c r="Z206" s="14"/>
      <c r="AG206" s="14"/>
      <c r="AH206" s="14"/>
      <c r="AI206" t="s">
        <v>791</v>
      </c>
      <c r="AJ206" t="s">
        <v>792</v>
      </c>
      <c r="AK206" t="s">
        <v>793</v>
      </c>
      <c r="AL206">
        <v>0</v>
      </c>
      <c r="AM206" t="s">
        <v>794</v>
      </c>
      <c r="AN206" t="s">
        <v>795</v>
      </c>
      <c r="AO206" t="s">
        <v>125</v>
      </c>
      <c r="AP206" t="s">
        <v>339</v>
      </c>
      <c r="AQ206" s="15">
        <v>45779</v>
      </c>
      <c r="AR206" s="15">
        <v>45779</v>
      </c>
      <c r="AS206" t="s">
        <v>127</v>
      </c>
      <c r="AT206">
        <v>1</v>
      </c>
      <c r="AU206">
        <v>3000</v>
      </c>
      <c r="AV206">
        <v>0</v>
      </c>
      <c r="AW206">
        <v>0</v>
      </c>
      <c r="AX206" s="14">
        <v>3000</v>
      </c>
      <c r="AY206" s="14">
        <v>3000</v>
      </c>
      <c r="AZ206" s="14">
        <v>0</v>
      </c>
      <c r="BA206">
        <v>0</v>
      </c>
      <c r="BB206" t="s">
        <v>24</v>
      </c>
      <c r="BC206" t="s">
        <v>175</v>
      </c>
      <c r="BD206" t="s">
        <v>176</v>
      </c>
      <c r="BE206" t="s">
        <v>130</v>
      </c>
      <c r="BG206" t="s">
        <v>796</v>
      </c>
      <c r="BH206" t="s">
        <v>132</v>
      </c>
      <c r="BJ206">
        <v>4</v>
      </c>
      <c r="BK206" t="s">
        <v>133</v>
      </c>
      <c r="BV206" t="s">
        <v>134</v>
      </c>
      <c r="BW206" s="16">
        <v>46178.427777777782</v>
      </c>
      <c r="BX206" t="s">
        <v>143</v>
      </c>
      <c r="BZ206">
        <v>29</v>
      </c>
      <c r="CA206" t="s">
        <v>797</v>
      </c>
      <c r="CB206">
        <v>0</v>
      </c>
      <c r="CF206" t="s">
        <v>357</v>
      </c>
      <c r="CG206">
        <v>2025</v>
      </c>
      <c r="CH206" t="s">
        <v>138</v>
      </c>
      <c r="CI206" t="s">
        <v>139</v>
      </c>
    </row>
    <row r="207" spans="1:87" x14ac:dyDescent="0.3">
      <c r="A207" t="s">
        <v>115</v>
      </c>
      <c r="B207" t="s">
        <v>116</v>
      </c>
      <c r="C207" t="s">
        <v>117</v>
      </c>
      <c r="D207" t="s">
        <v>118</v>
      </c>
      <c r="E207" t="s">
        <v>14</v>
      </c>
      <c r="F207" t="s">
        <v>798</v>
      </c>
      <c r="G207">
        <v>88.27</v>
      </c>
      <c r="H207">
        <v>0</v>
      </c>
      <c r="I207" s="14">
        <v>692000</v>
      </c>
      <c r="J207" s="14">
        <v>692000</v>
      </c>
      <c r="Q207" s="14"/>
      <c r="R207" s="14"/>
      <c r="Y207" s="14"/>
      <c r="Z207" s="14"/>
      <c r="AG207" s="14"/>
      <c r="AH207" s="14"/>
      <c r="AI207" t="s">
        <v>799</v>
      </c>
      <c r="AJ207" t="s">
        <v>800</v>
      </c>
      <c r="AK207" t="s">
        <v>801</v>
      </c>
      <c r="AL207">
        <v>0</v>
      </c>
      <c r="AM207" t="s">
        <v>802</v>
      </c>
      <c r="AN207" t="s">
        <v>803</v>
      </c>
      <c r="AO207" t="s">
        <v>125</v>
      </c>
      <c r="AP207" t="s">
        <v>152</v>
      </c>
      <c r="AQ207" s="15">
        <v>45680</v>
      </c>
      <c r="AR207" s="15">
        <v>45680</v>
      </c>
      <c r="AS207" t="s">
        <v>127</v>
      </c>
      <c r="AT207">
        <v>1</v>
      </c>
      <c r="AU207">
        <v>3000</v>
      </c>
      <c r="AV207">
        <v>0</v>
      </c>
      <c r="AW207">
        <v>0</v>
      </c>
      <c r="AX207" s="14">
        <v>3000</v>
      </c>
      <c r="AY207" s="14">
        <v>3000</v>
      </c>
      <c r="AZ207" s="14">
        <v>0</v>
      </c>
      <c r="BA207">
        <v>0</v>
      </c>
      <c r="BB207" t="s">
        <v>23</v>
      </c>
      <c r="BC207" t="s">
        <v>128</v>
      </c>
      <c r="BD207" t="s">
        <v>129</v>
      </c>
      <c r="BE207" t="s">
        <v>222</v>
      </c>
      <c r="BG207" t="s">
        <v>804</v>
      </c>
      <c r="BH207" t="s">
        <v>132</v>
      </c>
      <c r="BJ207">
        <v>4</v>
      </c>
      <c r="BK207" t="s">
        <v>133</v>
      </c>
      <c r="BV207" t="s">
        <v>134</v>
      </c>
      <c r="BW207" s="16">
        <v>45733.350694444453</v>
      </c>
      <c r="BX207" t="s">
        <v>143</v>
      </c>
      <c r="BZ207">
        <v>42</v>
      </c>
      <c r="CA207" t="s">
        <v>805</v>
      </c>
      <c r="CB207">
        <v>0</v>
      </c>
      <c r="CF207" t="s">
        <v>357</v>
      </c>
      <c r="CG207">
        <v>2025</v>
      </c>
      <c r="CH207" t="s">
        <v>138</v>
      </c>
      <c r="CI207" t="s">
        <v>139</v>
      </c>
    </row>
    <row r="208" spans="1:87" x14ac:dyDescent="0.3">
      <c r="A208" t="s">
        <v>115</v>
      </c>
      <c r="B208" t="s">
        <v>116</v>
      </c>
      <c r="C208" t="s">
        <v>117</v>
      </c>
      <c r="D208" t="s">
        <v>118</v>
      </c>
      <c r="E208" t="s">
        <v>14</v>
      </c>
      <c r="F208" t="s">
        <v>798</v>
      </c>
      <c r="G208">
        <v>88.27</v>
      </c>
      <c r="H208">
        <v>0</v>
      </c>
      <c r="I208" s="14">
        <v>692000</v>
      </c>
      <c r="J208" s="14">
        <v>692000</v>
      </c>
      <c r="Q208" s="14"/>
      <c r="R208" s="14"/>
      <c r="Y208" s="14"/>
      <c r="Z208" s="14"/>
      <c r="AG208" s="14"/>
      <c r="AH208" s="14"/>
      <c r="AI208" t="s">
        <v>799</v>
      </c>
      <c r="AJ208" t="s">
        <v>800</v>
      </c>
      <c r="AK208" t="s">
        <v>801</v>
      </c>
      <c r="AL208">
        <v>0</v>
      </c>
      <c r="AM208" t="s">
        <v>802</v>
      </c>
      <c r="AN208" t="s">
        <v>803</v>
      </c>
      <c r="AO208" t="s">
        <v>125</v>
      </c>
      <c r="AP208" t="s">
        <v>152</v>
      </c>
      <c r="AQ208" s="15">
        <v>45733</v>
      </c>
      <c r="AR208" s="15">
        <v>45733</v>
      </c>
      <c r="AS208" t="s">
        <v>145</v>
      </c>
      <c r="AT208">
        <v>1</v>
      </c>
      <c r="AU208">
        <v>53300</v>
      </c>
      <c r="AV208">
        <v>0</v>
      </c>
      <c r="AW208">
        <v>0</v>
      </c>
      <c r="AX208" s="14">
        <v>53300</v>
      </c>
      <c r="AY208" s="14">
        <v>53300</v>
      </c>
      <c r="AZ208" s="14">
        <v>0</v>
      </c>
      <c r="BA208">
        <v>0</v>
      </c>
      <c r="BB208" t="s">
        <v>23</v>
      </c>
      <c r="BC208" t="s">
        <v>128</v>
      </c>
      <c r="BD208" t="s">
        <v>129</v>
      </c>
      <c r="BE208" t="s">
        <v>287</v>
      </c>
      <c r="BG208" t="s">
        <v>806</v>
      </c>
      <c r="BH208" t="s">
        <v>132</v>
      </c>
      <c r="BJ208">
        <v>4</v>
      </c>
      <c r="BK208" t="s">
        <v>133</v>
      </c>
      <c r="BV208" t="s">
        <v>134</v>
      </c>
      <c r="BW208" s="16">
        <v>45733.350694444453</v>
      </c>
      <c r="BX208" t="s">
        <v>143</v>
      </c>
      <c r="BZ208">
        <v>42</v>
      </c>
      <c r="CA208" t="s">
        <v>807</v>
      </c>
      <c r="CB208">
        <v>0</v>
      </c>
      <c r="CF208" t="s">
        <v>357</v>
      </c>
      <c r="CG208">
        <v>2025</v>
      </c>
      <c r="CH208" t="s">
        <v>138</v>
      </c>
      <c r="CI208" t="s">
        <v>139</v>
      </c>
    </row>
    <row r="209" spans="1:87" x14ac:dyDescent="0.3">
      <c r="A209" t="s">
        <v>115</v>
      </c>
      <c r="B209" t="s">
        <v>116</v>
      </c>
      <c r="C209" t="s">
        <v>117</v>
      </c>
      <c r="D209" t="s">
        <v>118</v>
      </c>
      <c r="E209" t="s">
        <v>14</v>
      </c>
      <c r="F209" t="s">
        <v>798</v>
      </c>
      <c r="G209">
        <v>88.27</v>
      </c>
      <c r="H209">
        <v>0</v>
      </c>
      <c r="I209" s="14">
        <v>692000</v>
      </c>
      <c r="J209" s="14">
        <v>692000</v>
      </c>
      <c r="Q209" s="14"/>
      <c r="R209" s="14"/>
      <c r="Y209" s="14"/>
      <c r="Z209" s="14"/>
      <c r="AG209" s="14"/>
      <c r="AH209" s="14"/>
      <c r="AI209" t="s">
        <v>799</v>
      </c>
      <c r="AJ209" t="s">
        <v>800</v>
      </c>
      <c r="AK209" t="s">
        <v>801</v>
      </c>
      <c r="AL209">
        <v>0</v>
      </c>
      <c r="AM209" t="s">
        <v>802</v>
      </c>
      <c r="AN209" t="s">
        <v>803</v>
      </c>
      <c r="AO209" t="s">
        <v>125</v>
      </c>
      <c r="AP209" t="s">
        <v>152</v>
      </c>
      <c r="AQ209" s="15">
        <v>45734</v>
      </c>
      <c r="AR209" s="15">
        <v>45734</v>
      </c>
      <c r="AS209" t="s">
        <v>145</v>
      </c>
      <c r="AT209">
        <v>2</v>
      </c>
      <c r="AU209">
        <v>82100</v>
      </c>
      <c r="AV209">
        <v>0</v>
      </c>
      <c r="AW209">
        <v>0</v>
      </c>
      <c r="AX209" s="14">
        <v>82100</v>
      </c>
      <c r="AY209" s="14">
        <v>82100</v>
      </c>
      <c r="AZ209" s="14">
        <v>0</v>
      </c>
      <c r="BA209">
        <v>0</v>
      </c>
      <c r="BB209" t="s">
        <v>23</v>
      </c>
      <c r="BC209" t="s">
        <v>128</v>
      </c>
      <c r="BD209" t="s">
        <v>129</v>
      </c>
      <c r="BE209" t="s">
        <v>287</v>
      </c>
      <c r="BG209" t="s">
        <v>808</v>
      </c>
      <c r="BH209" t="s">
        <v>132</v>
      </c>
      <c r="BJ209">
        <v>4</v>
      </c>
      <c r="BK209" t="s">
        <v>133</v>
      </c>
      <c r="BV209" t="s">
        <v>134</v>
      </c>
      <c r="BW209" s="16">
        <v>45733.350694444453</v>
      </c>
      <c r="BX209" t="s">
        <v>143</v>
      </c>
      <c r="BZ209">
        <v>42</v>
      </c>
      <c r="CA209" t="s">
        <v>809</v>
      </c>
      <c r="CB209">
        <v>0</v>
      </c>
      <c r="CF209" t="s">
        <v>357</v>
      </c>
      <c r="CG209">
        <v>2025</v>
      </c>
      <c r="CH209" t="s">
        <v>138</v>
      </c>
      <c r="CI209" t="s">
        <v>139</v>
      </c>
    </row>
    <row r="210" spans="1:87" x14ac:dyDescent="0.3">
      <c r="A210" t="s">
        <v>115</v>
      </c>
      <c r="B210" t="s">
        <v>116</v>
      </c>
      <c r="C210" t="s">
        <v>117</v>
      </c>
      <c r="D210" t="s">
        <v>118</v>
      </c>
      <c r="E210" t="s">
        <v>14</v>
      </c>
      <c r="F210" t="s">
        <v>798</v>
      </c>
      <c r="G210">
        <v>88.27</v>
      </c>
      <c r="H210">
        <v>0</v>
      </c>
      <c r="I210" s="14">
        <v>692000</v>
      </c>
      <c r="J210" s="14">
        <v>692000</v>
      </c>
      <c r="Q210" s="14"/>
      <c r="R210" s="14"/>
      <c r="Y210" s="14"/>
      <c r="Z210" s="14"/>
      <c r="AG210" s="14"/>
      <c r="AH210" s="14"/>
      <c r="AI210" t="s">
        <v>799</v>
      </c>
      <c r="AJ210" t="s">
        <v>800</v>
      </c>
      <c r="AK210" t="s">
        <v>801</v>
      </c>
      <c r="AL210">
        <v>0</v>
      </c>
      <c r="AM210" t="s">
        <v>802</v>
      </c>
      <c r="AN210" t="s">
        <v>803</v>
      </c>
      <c r="AO210" t="s">
        <v>125</v>
      </c>
      <c r="AP210" t="s">
        <v>152</v>
      </c>
      <c r="AQ210" s="15">
        <v>45746</v>
      </c>
      <c r="AR210" s="15">
        <v>45747</v>
      </c>
      <c r="AS210" t="s">
        <v>227</v>
      </c>
      <c r="AT210">
        <v>1</v>
      </c>
      <c r="AU210">
        <v>553600</v>
      </c>
      <c r="AV210">
        <v>0</v>
      </c>
      <c r="AW210">
        <v>0</v>
      </c>
      <c r="AX210" s="14">
        <v>553600</v>
      </c>
      <c r="AY210" s="14">
        <v>553600</v>
      </c>
      <c r="AZ210" s="14">
        <v>0</v>
      </c>
      <c r="BA210">
        <v>0</v>
      </c>
      <c r="BB210" t="s">
        <v>23</v>
      </c>
      <c r="BC210" t="s">
        <v>128</v>
      </c>
      <c r="BD210" t="s">
        <v>129</v>
      </c>
      <c r="BE210" t="s">
        <v>130</v>
      </c>
      <c r="BG210" t="s">
        <v>810</v>
      </c>
      <c r="BH210" t="s">
        <v>132</v>
      </c>
      <c r="BJ210">
        <v>4</v>
      </c>
      <c r="BK210" t="s">
        <v>133</v>
      </c>
      <c r="BV210" t="s">
        <v>134</v>
      </c>
      <c r="BW210" s="16">
        <v>45733.350694444453</v>
      </c>
      <c r="BX210" t="s">
        <v>143</v>
      </c>
      <c r="BZ210">
        <v>42</v>
      </c>
      <c r="CA210" t="s">
        <v>811</v>
      </c>
      <c r="CB210">
        <v>0</v>
      </c>
      <c r="CF210" t="s">
        <v>357</v>
      </c>
      <c r="CG210">
        <v>2025</v>
      </c>
      <c r="CH210" t="s">
        <v>138</v>
      </c>
      <c r="CI210" t="s">
        <v>139</v>
      </c>
    </row>
    <row r="211" spans="1:87" x14ac:dyDescent="0.3">
      <c r="A211" t="s">
        <v>115</v>
      </c>
      <c r="B211" t="s">
        <v>116</v>
      </c>
      <c r="C211" t="s">
        <v>117</v>
      </c>
      <c r="D211" t="s">
        <v>118</v>
      </c>
      <c r="E211" t="s">
        <v>140</v>
      </c>
      <c r="F211" t="s">
        <v>812</v>
      </c>
      <c r="G211">
        <v>12.5</v>
      </c>
      <c r="H211">
        <v>1.83</v>
      </c>
      <c r="I211" s="14">
        <v>52000</v>
      </c>
      <c r="J211" s="14">
        <v>52000</v>
      </c>
      <c r="Q211" s="14"/>
      <c r="R211" s="14"/>
      <c r="Y211" s="14"/>
      <c r="Z211" s="14"/>
      <c r="AG211" s="14"/>
      <c r="AH211" s="14"/>
      <c r="AI211" t="s">
        <v>799</v>
      </c>
      <c r="AJ211" t="s">
        <v>800</v>
      </c>
      <c r="AK211" t="s">
        <v>801</v>
      </c>
      <c r="AL211">
        <v>0</v>
      </c>
      <c r="AM211" t="s">
        <v>802</v>
      </c>
      <c r="AN211" t="s">
        <v>803</v>
      </c>
      <c r="AO211" t="s">
        <v>125</v>
      </c>
      <c r="AP211" t="s">
        <v>152</v>
      </c>
      <c r="AQ211" s="15">
        <v>45813</v>
      </c>
      <c r="AR211" s="15">
        <v>45813</v>
      </c>
      <c r="AS211" t="s">
        <v>127</v>
      </c>
      <c r="AT211">
        <v>1</v>
      </c>
      <c r="AU211">
        <v>3000</v>
      </c>
      <c r="AV211">
        <v>0</v>
      </c>
      <c r="AW211">
        <v>0</v>
      </c>
      <c r="AX211" s="14">
        <v>3000</v>
      </c>
      <c r="AY211" s="14">
        <v>3000</v>
      </c>
      <c r="AZ211" s="14">
        <v>0</v>
      </c>
      <c r="BA211">
        <v>0</v>
      </c>
      <c r="BB211" t="s">
        <v>22</v>
      </c>
      <c r="BC211" t="s">
        <v>128</v>
      </c>
      <c r="BD211" t="s">
        <v>129</v>
      </c>
      <c r="BE211" t="s">
        <v>130</v>
      </c>
      <c r="BG211" t="s">
        <v>813</v>
      </c>
      <c r="BH211" t="s">
        <v>132</v>
      </c>
      <c r="BJ211">
        <v>4</v>
      </c>
      <c r="BK211" t="s">
        <v>133</v>
      </c>
      <c r="BV211" t="s">
        <v>134</v>
      </c>
      <c r="BW211" s="16">
        <v>45886.678472222222</v>
      </c>
      <c r="BX211" t="s">
        <v>178</v>
      </c>
      <c r="BZ211">
        <v>65</v>
      </c>
      <c r="CA211" t="s">
        <v>814</v>
      </c>
      <c r="CB211">
        <v>0</v>
      </c>
      <c r="CF211" t="s">
        <v>357</v>
      </c>
      <c r="CG211">
        <v>2025</v>
      </c>
      <c r="CH211" t="s">
        <v>138</v>
      </c>
      <c r="CI211" t="s">
        <v>139</v>
      </c>
    </row>
    <row r="212" spans="1:87" x14ac:dyDescent="0.3">
      <c r="A212" t="s">
        <v>115</v>
      </c>
      <c r="B212" t="s">
        <v>116</v>
      </c>
      <c r="C212" t="s">
        <v>117</v>
      </c>
      <c r="D212" t="s">
        <v>118</v>
      </c>
      <c r="E212" t="s">
        <v>140</v>
      </c>
      <c r="F212" t="s">
        <v>812</v>
      </c>
      <c r="G212">
        <v>12.5</v>
      </c>
      <c r="H212">
        <v>1.83</v>
      </c>
      <c r="I212" s="14">
        <v>52000</v>
      </c>
      <c r="J212" s="14">
        <v>52000</v>
      </c>
      <c r="Q212" s="14"/>
      <c r="R212" s="14"/>
      <c r="Y212" s="14"/>
      <c r="Z212" s="14"/>
      <c r="AG212" s="14"/>
      <c r="AH212" s="14"/>
      <c r="AI212" t="s">
        <v>799</v>
      </c>
      <c r="AJ212" t="s">
        <v>800</v>
      </c>
      <c r="AK212" t="s">
        <v>801</v>
      </c>
      <c r="AL212">
        <v>0</v>
      </c>
      <c r="AM212" t="s">
        <v>802</v>
      </c>
      <c r="AN212" t="s">
        <v>803</v>
      </c>
      <c r="AO212" t="s">
        <v>125</v>
      </c>
      <c r="AP212" t="s">
        <v>152</v>
      </c>
      <c r="AQ212" s="15">
        <v>45813</v>
      </c>
      <c r="AR212" s="15">
        <v>45813</v>
      </c>
      <c r="AS212" t="s">
        <v>145</v>
      </c>
      <c r="AT212">
        <v>1</v>
      </c>
      <c r="AU212">
        <v>0</v>
      </c>
      <c r="AV212">
        <v>0</v>
      </c>
      <c r="AW212">
        <v>0</v>
      </c>
      <c r="AX212" s="14">
        <v>7000</v>
      </c>
      <c r="AY212" s="14">
        <v>5000</v>
      </c>
      <c r="AZ212" s="14">
        <v>0</v>
      </c>
      <c r="BA212">
        <v>0</v>
      </c>
      <c r="BB212" t="s">
        <v>22</v>
      </c>
      <c r="BC212" t="s">
        <v>128</v>
      </c>
      <c r="BD212" t="s">
        <v>129</v>
      </c>
      <c r="BE212" t="s">
        <v>130</v>
      </c>
      <c r="BG212" t="s">
        <v>815</v>
      </c>
      <c r="BH212" t="s">
        <v>132</v>
      </c>
      <c r="BJ212">
        <v>4</v>
      </c>
      <c r="BK212" t="s">
        <v>133</v>
      </c>
      <c r="BV212" t="s">
        <v>134</v>
      </c>
      <c r="BW212" s="16">
        <v>45886.678472222222</v>
      </c>
      <c r="BX212" t="s">
        <v>178</v>
      </c>
      <c r="BZ212">
        <v>65</v>
      </c>
      <c r="CA212" t="s">
        <v>816</v>
      </c>
      <c r="CB212">
        <v>0</v>
      </c>
      <c r="CF212" t="s">
        <v>357</v>
      </c>
      <c r="CG212">
        <v>2025</v>
      </c>
      <c r="CH212" t="s">
        <v>138</v>
      </c>
      <c r="CI212" t="s">
        <v>139</v>
      </c>
    </row>
    <row r="213" spans="1:87" x14ac:dyDescent="0.3">
      <c r="A213" t="s">
        <v>115</v>
      </c>
      <c r="B213" t="s">
        <v>116</v>
      </c>
      <c r="C213" t="s">
        <v>117</v>
      </c>
      <c r="D213" t="s">
        <v>118</v>
      </c>
      <c r="E213" t="s">
        <v>140</v>
      </c>
      <c r="F213" t="s">
        <v>812</v>
      </c>
      <c r="G213">
        <v>12.5</v>
      </c>
      <c r="H213">
        <v>1.83</v>
      </c>
      <c r="I213" s="14">
        <v>52000</v>
      </c>
      <c r="J213" s="14">
        <v>52000</v>
      </c>
      <c r="Q213" s="14"/>
      <c r="R213" s="14"/>
      <c r="Y213" s="14"/>
      <c r="Z213" s="14"/>
      <c r="AG213" s="14"/>
      <c r="AH213" s="14"/>
      <c r="AI213" t="s">
        <v>799</v>
      </c>
      <c r="AJ213" t="s">
        <v>800</v>
      </c>
      <c r="AK213" t="s">
        <v>801</v>
      </c>
      <c r="AL213">
        <v>0</v>
      </c>
      <c r="AM213" t="s">
        <v>802</v>
      </c>
      <c r="AN213" t="s">
        <v>803</v>
      </c>
      <c r="AO213" t="s">
        <v>125</v>
      </c>
      <c r="AP213" t="s">
        <v>152</v>
      </c>
      <c r="AQ213" s="15">
        <v>45813</v>
      </c>
      <c r="AR213" s="15">
        <v>45813</v>
      </c>
      <c r="AS213" t="s">
        <v>145</v>
      </c>
      <c r="AT213">
        <v>1</v>
      </c>
      <c r="AU213">
        <v>7000</v>
      </c>
      <c r="AV213">
        <v>0</v>
      </c>
      <c r="AW213">
        <v>0</v>
      </c>
      <c r="AX213" s="14">
        <v>0</v>
      </c>
      <c r="AY213" s="14">
        <v>2000</v>
      </c>
      <c r="AZ213" s="14">
        <v>0</v>
      </c>
      <c r="BA213">
        <v>0</v>
      </c>
      <c r="BB213" t="s">
        <v>22</v>
      </c>
      <c r="BC213" t="s">
        <v>128</v>
      </c>
      <c r="BD213" t="s">
        <v>129</v>
      </c>
      <c r="BE213" t="s">
        <v>130</v>
      </c>
      <c r="BG213" t="s">
        <v>817</v>
      </c>
      <c r="BH213" t="s">
        <v>132</v>
      </c>
      <c r="BJ213">
        <v>4</v>
      </c>
      <c r="BK213" t="s">
        <v>133</v>
      </c>
      <c r="BV213" t="s">
        <v>134</v>
      </c>
      <c r="BW213" s="16">
        <v>45886.678472222222</v>
      </c>
      <c r="BX213" t="s">
        <v>178</v>
      </c>
      <c r="BZ213">
        <v>65</v>
      </c>
      <c r="CA213" t="s">
        <v>816</v>
      </c>
      <c r="CB213">
        <v>0</v>
      </c>
      <c r="CF213" t="s">
        <v>357</v>
      </c>
      <c r="CG213">
        <v>2025</v>
      </c>
      <c r="CH213" t="s">
        <v>138</v>
      </c>
      <c r="CI213" t="s">
        <v>139</v>
      </c>
    </row>
    <row r="214" spans="1:87" x14ac:dyDescent="0.3">
      <c r="A214" t="s">
        <v>115</v>
      </c>
      <c r="B214" t="s">
        <v>116</v>
      </c>
      <c r="C214" t="s">
        <v>117</v>
      </c>
      <c r="D214" t="s">
        <v>118</v>
      </c>
      <c r="E214" t="s">
        <v>140</v>
      </c>
      <c r="F214" t="s">
        <v>812</v>
      </c>
      <c r="G214">
        <v>12.5</v>
      </c>
      <c r="H214">
        <v>1.83</v>
      </c>
      <c r="I214" s="14">
        <v>52000</v>
      </c>
      <c r="J214" s="14">
        <v>52000</v>
      </c>
      <c r="Q214" s="14"/>
      <c r="R214" s="14"/>
      <c r="Y214" s="14"/>
      <c r="Z214" s="14"/>
      <c r="AG214" s="14"/>
      <c r="AH214" s="14"/>
      <c r="AI214" t="s">
        <v>799</v>
      </c>
      <c r="AJ214" t="s">
        <v>800</v>
      </c>
      <c r="AK214" t="s">
        <v>801</v>
      </c>
      <c r="AL214">
        <v>0</v>
      </c>
      <c r="AM214" t="s">
        <v>802</v>
      </c>
      <c r="AN214" t="s">
        <v>803</v>
      </c>
      <c r="AO214" t="s">
        <v>125</v>
      </c>
      <c r="AP214" t="s">
        <v>152</v>
      </c>
      <c r="AQ214" s="15">
        <v>45900</v>
      </c>
      <c r="AR214" s="15">
        <v>45886</v>
      </c>
      <c r="AS214" t="s">
        <v>227</v>
      </c>
      <c r="AT214">
        <v>1</v>
      </c>
      <c r="AU214">
        <v>8500</v>
      </c>
      <c r="AV214">
        <v>0</v>
      </c>
      <c r="AW214">
        <v>0</v>
      </c>
      <c r="AX214" s="14">
        <v>8500</v>
      </c>
      <c r="AY214" s="14">
        <v>8500</v>
      </c>
      <c r="AZ214" s="14">
        <v>0</v>
      </c>
      <c r="BA214">
        <v>0</v>
      </c>
      <c r="BB214" t="s">
        <v>22</v>
      </c>
      <c r="BC214" t="s">
        <v>128</v>
      </c>
      <c r="BD214" t="s">
        <v>129</v>
      </c>
      <c r="BE214" t="s">
        <v>130</v>
      </c>
      <c r="BG214" t="s">
        <v>818</v>
      </c>
      <c r="BH214" t="s">
        <v>132</v>
      </c>
      <c r="BJ214">
        <v>4</v>
      </c>
      <c r="BK214" t="s">
        <v>133</v>
      </c>
      <c r="BV214" t="s">
        <v>134</v>
      </c>
      <c r="BW214" s="16">
        <v>45886.678472222222</v>
      </c>
      <c r="BX214" t="s">
        <v>178</v>
      </c>
      <c r="BZ214">
        <v>65</v>
      </c>
      <c r="CA214" t="s">
        <v>819</v>
      </c>
      <c r="CB214">
        <v>0</v>
      </c>
      <c r="CF214" t="s">
        <v>357</v>
      </c>
      <c r="CG214">
        <v>2025</v>
      </c>
      <c r="CH214" t="s">
        <v>138</v>
      </c>
      <c r="CI214" t="s">
        <v>139</v>
      </c>
    </row>
    <row r="215" spans="1:87" x14ac:dyDescent="0.3">
      <c r="A215" t="s">
        <v>115</v>
      </c>
      <c r="B215" t="s">
        <v>116</v>
      </c>
      <c r="C215" t="s">
        <v>117</v>
      </c>
      <c r="D215" t="s">
        <v>118</v>
      </c>
      <c r="E215" t="s">
        <v>140</v>
      </c>
      <c r="F215" t="s">
        <v>812</v>
      </c>
      <c r="G215">
        <v>12.5</v>
      </c>
      <c r="H215">
        <v>1.83</v>
      </c>
      <c r="I215" s="14">
        <v>52000</v>
      </c>
      <c r="J215" s="14">
        <v>52000</v>
      </c>
      <c r="Q215" s="14"/>
      <c r="R215" s="14"/>
      <c r="Y215" s="14"/>
      <c r="Z215" s="14"/>
      <c r="AG215" s="14"/>
      <c r="AH215" s="14"/>
      <c r="AI215" t="s">
        <v>799</v>
      </c>
      <c r="AJ215" t="s">
        <v>800</v>
      </c>
      <c r="AK215" t="s">
        <v>801</v>
      </c>
      <c r="AL215">
        <v>0</v>
      </c>
      <c r="AM215" t="s">
        <v>802</v>
      </c>
      <c r="AN215" t="s">
        <v>803</v>
      </c>
      <c r="AO215" t="s">
        <v>125</v>
      </c>
      <c r="AP215" t="s">
        <v>152</v>
      </c>
      <c r="AQ215" s="15">
        <v>45930</v>
      </c>
      <c r="AR215" s="15">
        <v>45908</v>
      </c>
      <c r="AS215" t="s">
        <v>227</v>
      </c>
      <c r="AT215">
        <v>2</v>
      </c>
      <c r="AU215">
        <v>1350</v>
      </c>
      <c r="AV215">
        <v>0</v>
      </c>
      <c r="AW215">
        <v>0</v>
      </c>
      <c r="AX215" s="14">
        <v>1350</v>
      </c>
      <c r="AY215" s="14">
        <v>1350</v>
      </c>
      <c r="AZ215" s="14">
        <v>0</v>
      </c>
      <c r="BA215">
        <v>0</v>
      </c>
      <c r="BB215" t="s">
        <v>22</v>
      </c>
      <c r="BC215" t="s">
        <v>128</v>
      </c>
      <c r="BD215" t="s">
        <v>129</v>
      </c>
      <c r="BE215" t="s">
        <v>130</v>
      </c>
      <c r="BG215" t="s">
        <v>820</v>
      </c>
      <c r="BH215" t="s">
        <v>132</v>
      </c>
      <c r="BJ215">
        <v>4</v>
      </c>
      <c r="BK215" t="s">
        <v>133</v>
      </c>
      <c r="BV215" t="s">
        <v>134</v>
      </c>
      <c r="BW215" s="16">
        <v>45886.678472222222</v>
      </c>
      <c r="BX215" t="s">
        <v>178</v>
      </c>
      <c r="BZ215">
        <v>65</v>
      </c>
      <c r="CA215" t="s">
        <v>821</v>
      </c>
      <c r="CB215">
        <v>0</v>
      </c>
      <c r="CF215" t="s">
        <v>357</v>
      </c>
      <c r="CG215">
        <v>2025</v>
      </c>
      <c r="CH215" t="s">
        <v>138</v>
      </c>
      <c r="CI215" t="s">
        <v>139</v>
      </c>
    </row>
    <row r="216" spans="1:87" x14ac:dyDescent="0.3">
      <c r="A216" t="s">
        <v>115</v>
      </c>
      <c r="B216" t="s">
        <v>116</v>
      </c>
      <c r="C216" t="s">
        <v>117</v>
      </c>
      <c r="D216" t="s">
        <v>118</v>
      </c>
      <c r="E216" t="s">
        <v>140</v>
      </c>
      <c r="F216" t="s">
        <v>812</v>
      </c>
      <c r="G216">
        <v>12.5</v>
      </c>
      <c r="H216">
        <v>1.83</v>
      </c>
      <c r="I216" s="14">
        <v>52000</v>
      </c>
      <c r="J216" s="14">
        <v>52000</v>
      </c>
      <c r="Q216" s="14"/>
      <c r="R216" s="14"/>
      <c r="Y216" s="14"/>
      <c r="Z216" s="14"/>
      <c r="AG216" s="14"/>
      <c r="AH216" s="14"/>
      <c r="AI216" t="s">
        <v>799</v>
      </c>
      <c r="AJ216" t="s">
        <v>800</v>
      </c>
      <c r="AK216" t="s">
        <v>801</v>
      </c>
      <c r="AL216">
        <v>0</v>
      </c>
      <c r="AM216" t="s">
        <v>802</v>
      </c>
      <c r="AN216" t="s">
        <v>803</v>
      </c>
      <c r="AO216" t="s">
        <v>125</v>
      </c>
      <c r="AP216" t="s">
        <v>152</v>
      </c>
      <c r="AQ216" s="15">
        <v>45961</v>
      </c>
      <c r="AR216" s="15">
        <v>45943</v>
      </c>
      <c r="AS216" t="s">
        <v>227</v>
      </c>
      <c r="AT216">
        <v>3</v>
      </c>
      <c r="AU216">
        <v>1350</v>
      </c>
      <c r="AV216">
        <v>0</v>
      </c>
      <c r="AW216">
        <v>0</v>
      </c>
      <c r="AX216" s="14">
        <v>1350</v>
      </c>
      <c r="AY216" s="14">
        <v>1350</v>
      </c>
      <c r="AZ216" s="14">
        <v>0</v>
      </c>
      <c r="BA216">
        <v>0</v>
      </c>
      <c r="BB216" t="s">
        <v>22</v>
      </c>
      <c r="BC216" t="s">
        <v>128</v>
      </c>
      <c r="BD216" t="s">
        <v>129</v>
      </c>
      <c r="BE216" t="s">
        <v>130</v>
      </c>
      <c r="BG216" t="s">
        <v>822</v>
      </c>
      <c r="BH216" t="s">
        <v>132</v>
      </c>
      <c r="BJ216">
        <v>4</v>
      </c>
      <c r="BK216" t="s">
        <v>133</v>
      </c>
      <c r="BV216" t="s">
        <v>134</v>
      </c>
      <c r="BW216" s="16">
        <v>45886.678472222222</v>
      </c>
      <c r="BX216" t="s">
        <v>178</v>
      </c>
      <c r="BZ216">
        <v>65</v>
      </c>
      <c r="CA216" t="s">
        <v>823</v>
      </c>
      <c r="CB216">
        <v>0</v>
      </c>
      <c r="CF216" t="s">
        <v>357</v>
      </c>
      <c r="CG216">
        <v>2025</v>
      </c>
      <c r="CH216" t="s">
        <v>138</v>
      </c>
      <c r="CI216" t="s">
        <v>139</v>
      </c>
    </row>
    <row r="217" spans="1:87" x14ac:dyDescent="0.3">
      <c r="A217" t="s">
        <v>115</v>
      </c>
      <c r="B217" t="s">
        <v>116</v>
      </c>
      <c r="C217" t="s">
        <v>117</v>
      </c>
      <c r="D217" t="s">
        <v>118</v>
      </c>
      <c r="E217" t="s">
        <v>140</v>
      </c>
      <c r="F217" t="s">
        <v>812</v>
      </c>
      <c r="G217">
        <v>12.5</v>
      </c>
      <c r="H217">
        <v>1.83</v>
      </c>
      <c r="I217" s="14">
        <v>52000</v>
      </c>
      <c r="J217" s="14">
        <v>52000</v>
      </c>
      <c r="Q217" s="14"/>
      <c r="R217" s="14"/>
      <c r="Y217" s="14"/>
      <c r="Z217" s="14"/>
      <c r="AG217" s="14"/>
      <c r="AH217" s="14"/>
      <c r="AI217" t="s">
        <v>799</v>
      </c>
      <c r="AJ217" t="s">
        <v>800</v>
      </c>
      <c r="AK217" t="s">
        <v>801</v>
      </c>
      <c r="AL217">
        <v>0</v>
      </c>
      <c r="AM217" t="s">
        <v>802</v>
      </c>
      <c r="AN217" t="s">
        <v>803</v>
      </c>
      <c r="AO217" t="s">
        <v>125</v>
      </c>
      <c r="AP217" t="s">
        <v>152</v>
      </c>
      <c r="AQ217" s="15">
        <v>45991</v>
      </c>
      <c r="AR217" s="15">
        <v>45967</v>
      </c>
      <c r="AS217" t="s">
        <v>227</v>
      </c>
      <c r="AT217">
        <v>4</v>
      </c>
      <c r="AU217">
        <v>1350</v>
      </c>
      <c r="AV217">
        <v>0</v>
      </c>
      <c r="AW217">
        <v>0</v>
      </c>
      <c r="AX217" s="14">
        <v>1350</v>
      </c>
      <c r="AY217" s="14">
        <v>1350</v>
      </c>
      <c r="AZ217" s="14">
        <v>0</v>
      </c>
      <c r="BA217">
        <v>0</v>
      </c>
      <c r="BB217" t="s">
        <v>22</v>
      </c>
      <c r="BC217" t="s">
        <v>128</v>
      </c>
      <c r="BD217" t="s">
        <v>129</v>
      </c>
      <c r="BE217" t="s">
        <v>130</v>
      </c>
      <c r="BG217" t="s">
        <v>824</v>
      </c>
      <c r="BH217" t="s">
        <v>132</v>
      </c>
      <c r="BJ217">
        <v>4</v>
      </c>
      <c r="BK217" t="s">
        <v>133</v>
      </c>
      <c r="BV217" t="s">
        <v>134</v>
      </c>
      <c r="BW217" s="16">
        <v>45886.678472222222</v>
      </c>
      <c r="BX217" t="s">
        <v>178</v>
      </c>
      <c r="BZ217">
        <v>65</v>
      </c>
      <c r="CA217" t="s">
        <v>825</v>
      </c>
      <c r="CB217">
        <v>0</v>
      </c>
      <c r="CF217" t="s">
        <v>357</v>
      </c>
      <c r="CG217">
        <v>2025</v>
      </c>
      <c r="CH217" t="s">
        <v>138</v>
      </c>
      <c r="CI217" t="s">
        <v>139</v>
      </c>
    </row>
    <row r="218" spans="1:87" x14ac:dyDescent="0.3">
      <c r="A218" t="s">
        <v>115</v>
      </c>
      <c r="B218" t="s">
        <v>116</v>
      </c>
      <c r="C218" t="s">
        <v>117</v>
      </c>
      <c r="D218" t="s">
        <v>118</v>
      </c>
      <c r="E218" t="s">
        <v>140</v>
      </c>
      <c r="F218" t="s">
        <v>812</v>
      </c>
      <c r="G218">
        <v>12.5</v>
      </c>
      <c r="H218">
        <v>1.83</v>
      </c>
      <c r="I218" s="14">
        <v>52000</v>
      </c>
      <c r="J218" s="14">
        <v>52000</v>
      </c>
      <c r="Q218" s="14"/>
      <c r="R218" s="14"/>
      <c r="Y218" s="14"/>
      <c r="Z218" s="14"/>
      <c r="AG218" s="14"/>
      <c r="AH218" s="14"/>
      <c r="AI218" t="s">
        <v>799</v>
      </c>
      <c r="AJ218" t="s">
        <v>800</v>
      </c>
      <c r="AK218" t="s">
        <v>801</v>
      </c>
      <c r="AL218">
        <v>0</v>
      </c>
      <c r="AM218" t="s">
        <v>802</v>
      </c>
      <c r="AN218" t="s">
        <v>803</v>
      </c>
      <c r="AO218" t="s">
        <v>125</v>
      </c>
      <c r="AP218" t="s">
        <v>152</v>
      </c>
      <c r="AQ218" s="15">
        <v>46022</v>
      </c>
      <c r="AR218" s="15">
        <v>46007</v>
      </c>
      <c r="AS218" t="s">
        <v>227</v>
      </c>
      <c r="AT218">
        <v>5</v>
      </c>
      <c r="AU218">
        <v>1350</v>
      </c>
      <c r="AV218">
        <v>0</v>
      </c>
      <c r="AW218">
        <v>0</v>
      </c>
      <c r="AX218" s="14">
        <v>1350</v>
      </c>
      <c r="AY218" s="14">
        <v>1350</v>
      </c>
      <c r="AZ218" s="14">
        <v>0</v>
      </c>
      <c r="BA218">
        <v>0</v>
      </c>
      <c r="BB218" t="s">
        <v>22</v>
      </c>
      <c r="BC218" t="s">
        <v>128</v>
      </c>
      <c r="BD218" t="s">
        <v>129</v>
      </c>
      <c r="BE218" t="s">
        <v>130</v>
      </c>
      <c r="BG218" t="s">
        <v>826</v>
      </c>
      <c r="BH218" t="s">
        <v>132</v>
      </c>
      <c r="BJ218">
        <v>4</v>
      </c>
      <c r="BK218" t="s">
        <v>133</v>
      </c>
      <c r="BV218" t="s">
        <v>134</v>
      </c>
      <c r="BW218" s="16">
        <v>45886.678472222222</v>
      </c>
      <c r="BX218" t="s">
        <v>178</v>
      </c>
      <c r="BZ218">
        <v>65</v>
      </c>
      <c r="CA218" t="s">
        <v>827</v>
      </c>
      <c r="CB218">
        <v>0</v>
      </c>
      <c r="CF218" t="s">
        <v>357</v>
      </c>
      <c r="CG218">
        <v>2025</v>
      </c>
      <c r="CH218" t="s">
        <v>138</v>
      </c>
      <c r="CI218" t="s">
        <v>139</v>
      </c>
    </row>
    <row r="219" spans="1:87" x14ac:dyDescent="0.3">
      <c r="A219" t="s">
        <v>165</v>
      </c>
      <c r="B219" t="s">
        <v>116</v>
      </c>
      <c r="C219" t="s">
        <v>117</v>
      </c>
      <c r="D219" t="s">
        <v>118</v>
      </c>
      <c r="E219" t="s">
        <v>14</v>
      </c>
      <c r="F219" t="s">
        <v>828</v>
      </c>
      <c r="G219">
        <v>68</v>
      </c>
      <c r="H219">
        <v>0</v>
      </c>
      <c r="I219" s="14">
        <v>504700</v>
      </c>
      <c r="J219" s="14">
        <v>458000</v>
      </c>
      <c r="Q219" s="14"/>
      <c r="R219" s="14"/>
      <c r="Y219" s="14"/>
      <c r="Z219" s="14"/>
      <c r="AG219" s="14"/>
      <c r="AH219" s="14"/>
      <c r="AI219" t="s">
        <v>829</v>
      </c>
      <c r="AJ219" t="s">
        <v>830</v>
      </c>
      <c r="AK219" t="s">
        <v>831</v>
      </c>
      <c r="AL219">
        <v>0</v>
      </c>
      <c r="AM219" t="s">
        <v>832</v>
      </c>
      <c r="AN219" t="s">
        <v>833</v>
      </c>
      <c r="AO219" t="s">
        <v>125</v>
      </c>
      <c r="AP219" t="s">
        <v>152</v>
      </c>
      <c r="AQ219" s="15">
        <v>45925</v>
      </c>
      <c r="AR219" s="15">
        <v>45925</v>
      </c>
      <c r="AS219" t="s">
        <v>127</v>
      </c>
      <c r="AT219">
        <v>1</v>
      </c>
      <c r="AU219">
        <v>3000</v>
      </c>
      <c r="AV219">
        <v>0</v>
      </c>
      <c r="AW219">
        <v>0</v>
      </c>
      <c r="AX219" s="14">
        <v>3000</v>
      </c>
      <c r="AY219" s="14">
        <v>3000</v>
      </c>
      <c r="AZ219" s="14">
        <v>0</v>
      </c>
      <c r="BA219">
        <v>0</v>
      </c>
      <c r="BB219" t="s">
        <v>24</v>
      </c>
      <c r="BC219" t="s">
        <v>175</v>
      </c>
      <c r="BD219" t="s">
        <v>176</v>
      </c>
      <c r="BE219" t="s">
        <v>130</v>
      </c>
      <c r="BG219" t="s">
        <v>834</v>
      </c>
      <c r="BH219" t="s">
        <v>132</v>
      </c>
      <c r="BJ219">
        <v>4</v>
      </c>
      <c r="BK219" t="s">
        <v>133</v>
      </c>
      <c r="BV219" t="s">
        <v>132</v>
      </c>
      <c r="BW219" s="16">
        <v>46057.420138888891</v>
      </c>
      <c r="BX219" t="s">
        <v>143</v>
      </c>
      <c r="BZ219">
        <v>25</v>
      </c>
      <c r="CA219" t="s">
        <v>835</v>
      </c>
      <c r="CB219">
        <v>0</v>
      </c>
      <c r="CF219" t="s">
        <v>357</v>
      </c>
      <c r="CG219">
        <v>2025</v>
      </c>
      <c r="CH219" t="s">
        <v>138</v>
      </c>
      <c r="CI219" t="s">
        <v>139</v>
      </c>
    </row>
    <row r="220" spans="1:87" x14ac:dyDescent="0.3">
      <c r="A220" t="s">
        <v>426</v>
      </c>
      <c r="B220" t="s">
        <v>116</v>
      </c>
      <c r="C220" t="s">
        <v>117</v>
      </c>
      <c r="D220" t="s">
        <v>118</v>
      </c>
      <c r="E220" t="s">
        <v>14</v>
      </c>
      <c r="F220" t="s">
        <v>360</v>
      </c>
      <c r="G220">
        <v>78</v>
      </c>
      <c r="H220">
        <v>0</v>
      </c>
      <c r="I220" s="14">
        <v>534000</v>
      </c>
      <c r="J220" s="14">
        <v>534000</v>
      </c>
      <c r="K220" t="s">
        <v>117</v>
      </c>
      <c r="L220" t="s">
        <v>118</v>
      </c>
      <c r="M220" t="s">
        <v>140</v>
      </c>
      <c r="N220" t="s">
        <v>584</v>
      </c>
      <c r="O220">
        <v>12</v>
      </c>
      <c r="P220">
        <v>0</v>
      </c>
      <c r="Q220" s="14">
        <v>43000</v>
      </c>
      <c r="R220" s="14">
        <v>43000</v>
      </c>
      <c r="Y220" s="14"/>
      <c r="Z220" s="14"/>
      <c r="AG220" s="14"/>
      <c r="AH220" s="14"/>
      <c r="AI220" t="s">
        <v>836</v>
      </c>
      <c r="AJ220" t="s">
        <v>837</v>
      </c>
      <c r="AK220" t="s">
        <v>838</v>
      </c>
      <c r="AL220">
        <v>0</v>
      </c>
      <c r="AM220" t="s">
        <v>839</v>
      </c>
      <c r="AN220" t="s">
        <v>840</v>
      </c>
      <c r="AO220" t="s">
        <v>841</v>
      </c>
      <c r="AP220" t="s">
        <v>841</v>
      </c>
      <c r="AQ220" s="15">
        <v>45897</v>
      </c>
      <c r="AR220" s="15">
        <v>45897</v>
      </c>
      <c r="AS220" t="s">
        <v>127</v>
      </c>
      <c r="AT220">
        <v>1</v>
      </c>
      <c r="AU220">
        <v>3000</v>
      </c>
      <c r="AV220">
        <v>0</v>
      </c>
      <c r="AW220">
        <v>0</v>
      </c>
      <c r="AX220" s="14">
        <v>3000</v>
      </c>
      <c r="AY220" s="14">
        <v>3000</v>
      </c>
      <c r="AZ220" s="14">
        <v>0</v>
      </c>
      <c r="BA220">
        <v>0</v>
      </c>
      <c r="BB220" t="s">
        <v>23</v>
      </c>
      <c r="BC220" t="s">
        <v>128</v>
      </c>
      <c r="BD220" t="s">
        <v>434</v>
      </c>
      <c r="BE220" t="s">
        <v>130</v>
      </c>
      <c r="BG220" t="s">
        <v>842</v>
      </c>
      <c r="BH220" t="s">
        <v>132</v>
      </c>
      <c r="BJ220">
        <v>4</v>
      </c>
      <c r="BK220" t="s">
        <v>133</v>
      </c>
      <c r="BV220" t="s">
        <v>134</v>
      </c>
      <c r="BW220" s="16">
        <v>45922.336805555547</v>
      </c>
      <c r="BX220" t="s">
        <v>143</v>
      </c>
      <c r="BZ220">
        <v>5</v>
      </c>
      <c r="CA220" t="s">
        <v>843</v>
      </c>
      <c r="CB220">
        <v>0</v>
      </c>
      <c r="CF220" t="s">
        <v>357</v>
      </c>
      <c r="CG220">
        <v>2025</v>
      </c>
      <c r="CH220" t="s">
        <v>138</v>
      </c>
      <c r="CI220" t="s">
        <v>139</v>
      </c>
    </row>
    <row r="221" spans="1:87" x14ac:dyDescent="0.3">
      <c r="A221" t="s">
        <v>426</v>
      </c>
      <c r="B221" t="s">
        <v>116</v>
      </c>
      <c r="C221" t="s">
        <v>117</v>
      </c>
      <c r="D221" t="s">
        <v>118</v>
      </c>
      <c r="E221" t="s">
        <v>14</v>
      </c>
      <c r="F221" t="s">
        <v>360</v>
      </c>
      <c r="G221">
        <v>78</v>
      </c>
      <c r="H221">
        <v>0</v>
      </c>
      <c r="I221" s="14">
        <v>534000</v>
      </c>
      <c r="J221" s="14">
        <v>534000</v>
      </c>
      <c r="K221" t="s">
        <v>117</v>
      </c>
      <c r="L221" t="s">
        <v>118</v>
      </c>
      <c r="M221" t="s">
        <v>140</v>
      </c>
      <c r="N221" t="s">
        <v>584</v>
      </c>
      <c r="O221">
        <v>12</v>
      </c>
      <c r="P221">
        <v>0</v>
      </c>
      <c r="Q221" s="14">
        <v>43000</v>
      </c>
      <c r="R221" s="14">
        <v>43000</v>
      </c>
      <c r="Y221" s="14"/>
      <c r="Z221" s="14"/>
      <c r="AG221" s="14"/>
      <c r="AH221" s="14"/>
      <c r="AI221" t="s">
        <v>836</v>
      </c>
      <c r="AJ221" t="s">
        <v>837</v>
      </c>
      <c r="AK221" t="s">
        <v>838</v>
      </c>
      <c r="AL221">
        <v>0</v>
      </c>
      <c r="AM221" t="s">
        <v>839</v>
      </c>
      <c r="AN221" t="s">
        <v>840</v>
      </c>
      <c r="AO221" t="s">
        <v>841</v>
      </c>
      <c r="AP221" t="s">
        <v>841</v>
      </c>
      <c r="AQ221" s="15">
        <v>45922</v>
      </c>
      <c r="AR221" s="15">
        <v>45922</v>
      </c>
      <c r="AS221" t="s">
        <v>145</v>
      </c>
      <c r="AT221">
        <v>1</v>
      </c>
      <c r="AU221">
        <v>25850</v>
      </c>
      <c r="AV221">
        <v>0</v>
      </c>
      <c r="AW221">
        <v>0</v>
      </c>
      <c r="AX221" s="14">
        <v>25850</v>
      </c>
      <c r="AY221" s="14">
        <v>25850</v>
      </c>
      <c r="AZ221" s="14">
        <v>0</v>
      </c>
      <c r="BA221">
        <v>0</v>
      </c>
      <c r="BB221" t="s">
        <v>23</v>
      </c>
      <c r="BC221" t="s">
        <v>128</v>
      </c>
      <c r="BD221" t="s">
        <v>434</v>
      </c>
      <c r="BE221" t="s">
        <v>130</v>
      </c>
      <c r="BG221" t="s">
        <v>844</v>
      </c>
      <c r="BH221" t="s">
        <v>132</v>
      </c>
      <c r="BJ221">
        <v>4</v>
      </c>
      <c r="BK221" t="s">
        <v>133</v>
      </c>
      <c r="BV221" t="s">
        <v>134</v>
      </c>
      <c r="BW221" s="16">
        <v>45922.336805555547</v>
      </c>
      <c r="BX221" t="s">
        <v>143</v>
      </c>
      <c r="BZ221">
        <v>5</v>
      </c>
      <c r="CA221" t="s">
        <v>845</v>
      </c>
      <c r="CB221">
        <v>0</v>
      </c>
      <c r="CF221" t="s">
        <v>357</v>
      </c>
      <c r="CG221">
        <v>2025</v>
      </c>
      <c r="CH221" t="s">
        <v>138</v>
      </c>
      <c r="CI221" t="s">
        <v>139</v>
      </c>
    </row>
    <row r="222" spans="1:87" x14ac:dyDescent="0.3">
      <c r="A222" t="s">
        <v>115</v>
      </c>
      <c r="B222" t="s">
        <v>116</v>
      </c>
      <c r="C222" t="s">
        <v>117</v>
      </c>
      <c r="D222" t="s">
        <v>118</v>
      </c>
      <c r="E222" t="s">
        <v>14</v>
      </c>
      <c r="F222" t="s">
        <v>291</v>
      </c>
      <c r="G222">
        <v>88.27</v>
      </c>
      <c r="H222">
        <v>0</v>
      </c>
      <c r="I222" s="14">
        <v>654000</v>
      </c>
      <c r="J222" s="14">
        <v>654000</v>
      </c>
      <c r="Q222" s="14"/>
      <c r="R222" s="14"/>
      <c r="Y222" s="14"/>
      <c r="Z222" s="14"/>
      <c r="AG222" s="14"/>
      <c r="AH222" s="14"/>
      <c r="AI222" t="s">
        <v>292</v>
      </c>
      <c r="AJ222" t="s">
        <v>293</v>
      </c>
      <c r="AK222" t="s">
        <v>294</v>
      </c>
      <c r="AM222" t="s">
        <v>295</v>
      </c>
      <c r="AN222" t="s">
        <v>296</v>
      </c>
      <c r="AO222" t="s">
        <v>125</v>
      </c>
      <c r="AP222" t="s">
        <v>297</v>
      </c>
      <c r="AQ222" s="15">
        <v>45688</v>
      </c>
      <c r="AR222" s="15">
        <v>45747</v>
      </c>
      <c r="AS222" t="s">
        <v>227</v>
      </c>
      <c r="AT222">
        <v>1</v>
      </c>
      <c r="AU222">
        <v>588600</v>
      </c>
      <c r="AV222">
        <v>0</v>
      </c>
      <c r="AW222">
        <v>0</v>
      </c>
      <c r="AX222" s="14">
        <v>588600</v>
      </c>
      <c r="AY222" s="14">
        <v>588600</v>
      </c>
      <c r="AZ222" s="14">
        <v>0</v>
      </c>
      <c r="BA222">
        <v>0</v>
      </c>
      <c r="BB222" t="s">
        <v>24</v>
      </c>
      <c r="BC222" t="s">
        <v>128</v>
      </c>
      <c r="BD222" t="s">
        <v>129</v>
      </c>
      <c r="BE222" t="s">
        <v>130</v>
      </c>
      <c r="BG222" t="s">
        <v>779</v>
      </c>
      <c r="BH222" t="s">
        <v>132</v>
      </c>
      <c r="BJ222">
        <v>4</v>
      </c>
      <c r="BK222" t="s">
        <v>133</v>
      </c>
      <c r="BV222" t="s">
        <v>134</v>
      </c>
      <c r="BW222" s="16">
        <v>45567.694444444453</v>
      </c>
      <c r="BX222" t="s">
        <v>178</v>
      </c>
      <c r="BZ222">
        <v>11</v>
      </c>
      <c r="CA222" t="s">
        <v>846</v>
      </c>
      <c r="CB222">
        <v>0</v>
      </c>
      <c r="CF222" t="s">
        <v>357</v>
      </c>
      <c r="CG222">
        <v>2025</v>
      </c>
      <c r="CH222" t="s">
        <v>138</v>
      </c>
      <c r="CI222" t="s">
        <v>139</v>
      </c>
    </row>
    <row r="223" spans="1:87" x14ac:dyDescent="0.3">
      <c r="A223" t="s">
        <v>115</v>
      </c>
      <c r="B223" t="s">
        <v>116</v>
      </c>
      <c r="C223" t="s">
        <v>117</v>
      </c>
      <c r="D223" t="s">
        <v>118</v>
      </c>
      <c r="E223" t="s">
        <v>140</v>
      </c>
      <c r="F223" t="s">
        <v>847</v>
      </c>
      <c r="G223">
        <v>12.49</v>
      </c>
      <c r="H223">
        <v>1.83</v>
      </c>
      <c r="I223" s="14">
        <v>52000</v>
      </c>
      <c r="J223" s="14">
        <v>52000</v>
      </c>
      <c r="Q223" s="14"/>
      <c r="R223" s="14"/>
      <c r="Y223" s="14"/>
      <c r="Z223" s="14"/>
      <c r="AG223" s="14"/>
      <c r="AH223" s="14"/>
      <c r="AI223" t="s">
        <v>292</v>
      </c>
      <c r="AJ223" t="s">
        <v>293</v>
      </c>
      <c r="AK223" t="s">
        <v>294</v>
      </c>
      <c r="AL223">
        <v>0</v>
      </c>
      <c r="AM223" t="s">
        <v>295</v>
      </c>
      <c r="AN223" t="s">
        <v>296</v>
      </c>
      <c r="AO223" t="s">
        <v>125</v>
      </c>
      <c r="AP223" t="s">
        <v>297</v>
      </c>
      <c r="AQ223" s="15">
        <v>45922</v>
      </c>
      <c r="AR223" s="15">
        <v>45922</v>
      </c>
      <c r="AS223" t="s">
        <v>127</v>
      </c>
      <c r="AT223">
        <v>1</v>
      </c>
      <c r="AU223">
        <v>5000</v>
      </c>
      <c r="AV223">
        <v>0</v>
      </c>
      <c r="AW223">
        <v>0</v>
      </c>
      <c r="AX223" s="14">
        <v>5000</v>
      </c>
      <c r="AY223" s="14">
        <v>5000</v>
      </c>
      <c r="AZ223" s="14">
        <v>0</v>
      </c>
      <c r="BA223">
        <v>0</v>
      </c>
      <c r="BB223" t="s">
        <v>22</v>
      </c>
      <c r="BC223" t="s">
        <v>128</v>
      </c>
      <c r="BD223" t="s">
        <v>129</v>
      </c>
      <c r="BE223" t="s">
        <v>130</v>
      </c>
      <c r="BG223" t="s">
        <v>848</v>
      </c>
      <c r="BH223" t="s">
        <v>132</v>
      </c>
      <c r="BJ223">
        <v>4</v>
      </c>
      <c r="BK223" t="s">
        <v>133</v>
      </c>
      <c r="BV223" t="s">
        <v>134</v>
      </c>
      <c r="BW223" s="16">
        <v>46112.723611111112</v>
      </c>
      <c r="BX223" t="s">
        <v>143</v>
      </c>
      <c r="BZ223">
        <v>60</v>
      </c>
      <c r="CA223" t="s">
        <v>849</v>
      </c>
      <c r="CB223">
        <v>0</v>
      </c>
      <c r="CF223" t="s">
        <v>357</v>
      </c>
      <c r="CG223">
        <v>2025</v>
      </c>
      <c r="CH223" t="s">
        <v>138</v>
      </c>
      <c r="CI223" t="s">
        <v>139</v>
      </c>
    </row>
    <row r="224" spans="1:87" x14ac:dyDescent="0.3">
      <c r="A224" t="s">
        <v>165</v>
      </c>
      <c r="B224" t="s">
        <v>116</v>
      </c>
      <c r="C224" t="s">
        <v>117</v>
      </c>
      <c r="D224" t="s">
        <v>118</v>
      </c>
      <c r="E224" t="s">
        <v>14</v>
      </c>
      <c r="F224" t="s">
        <v>720</v>
      </c>
      <c r="G224">
        <v>70</v>
      </c>
      <c r="H224">
        <v>0</v>
      </c>
      <c r="I224" s="14">
        <v>518500</v>
      </c>
      <c r="J224" s="14">
        <v>470000</v>
      </c>
      <c r="Q224" s="14"/>
      <c r="R224" s="14"/>
      <c r="Y224" s="14"/>
      <c r="Z224" s="14"/>
      <c r="AG224" s="14"/>
      <c r="AH224" s="14"/>
      <c r="AI224" t="s">
        <v>850</v>
      </c>
      <c r="AJ224" t="s">
        <v>851</v>
      </c>
      <c r="AK224" t="s">
        <v>852</v>
      </c>
      <c r="AL224">
        <v>0</v>
      </c>
      <c r="AM224" t="s">
        <v>853</v>
      </c>
      <c r="AN224" t="s">
        <v>854</v>
      </c>
      <c r="AO224" t="s">
        <v>125</v>
      </c>
      <c r="AP224" t="s">
        <v>126</v>
      </c>
      <c r="AQ224" s="15">
        <v>45904</v>
      </c>
      <c r="AR224" s="15">
        <v>45904</v>
      </c>
      <c r="AS224" t="s">
        <v>127</v>
      </c>
      <c r="AT224">
        <v>1</v>
      </c>
      <c r="AU224">
        <v>3000</v>
      </c>
      <c r="AV224">
        <v>0</v>
      </c>
      <c r="AW224">
        <v>0</v>
      </c>
      <c r="AX224" s="14">
        <v>3000</v>
      </c>
      <c r="AY224" s="14">
        <v>3000</v>
      </c>
      <c r="AZ224" s="14">
        <v>0</v>
      </c>
      <c r="BA224">
        <v>0</v>
      </c>
      <c r="BB224" t="s">
        <v>22</v>
      </c>
      <c r="BC224" t="s">
        <v>175</v>
      </c>
      <c r="BD224" t="s">
        <v>176</v>
      </c>
      <c r="BE224" t="s">
        <v>130</v>
      </c>
      <c r="BG224" t="s">
        <v>855</v>
      </c>
      <c r="BH224" t="s">
        <v>132</v>
      </c>
      <c r="BJ224">
        <v>4</v>
      </c>
      <c r="BK224" t="s">
        <v>133</v>
      </c>
      <c r="BV224" t="s">
        <v>132</v>
      </c>
      <c r="BW224" s="16">
        <v>45932.422222222223</v>
      </c>
      <c r="BX224" t="s">
        <v>178</v>
      </c>
      <c r="BZ224">
        <v>26</v>
      </c>
      <c r="CA224" t="s">
        <v>856</v>
      </c>
      <c r="CB224">
        <v>0</v>
      </c>
      <c r="CF224" t="s">
        <v>357</v>
      </c>
      <c r="CG224">
        <v>2025</v>
      </c>
      <c r="CH224" t="s">
        <v>138</v>
      </c>
      <c r="CI224" t="s">
        <v>139</v>
      </c>
    </row>
    <row r="225" spans="1:87" x14ac:dyDescent="0.3">
      <c r="A225" t="s">
        <v>426</v>
      </c>
      <c r="B225" t="s">
        <v>116</v>
      </c>
      <c r="C225" t="s">
        <v>117</v>
      </c>
      <c r="D225" t="s">
        <v>118</v>
      </c>
      <c r="E225" t="s">
        <v>14</v>
      </c>
      <c r="F225" t="s">
        <v>230</v>
      </c>
      <c r="G225">
        <v>67</v>
      </c>
      <c r="H225">
        <v>21</v>
      </c>
      <c r="I225" s="14">
        <v>553000</v>
      </c>
      <c r="J225" s="14">
        <v>497000</v>
      </c>
      <c r="Q225" s="14"/>
      <c r="R225" s="14"/>
      <c r="Y225" s="14"/>
      <c r="Z225" s="14"/>
      <c r="AG225" s="14"/>
      <c r="AH225" s="14"/>
      <c r="AI225" t="s">
        <v>857</v>
      </c>
      <c r="AJ225" t="s">
        <v>858</v>
      </c>
      <c r="AK225" t="s">
        <v>859</v>
      </c>
      <c r="AL225">
        <v>0</v>
      </c>
      <c r="AM225" t="s">
        <v>860</v>
      </c>
      <c r="AN225" t="s">
        <v>861</v>
      </c>
      <c r="AO225" t="s">
        <v>862</v>
      </c>
      <c r="AP225" t="s">
        <v>862</v>
      </c>
      <c r="AQ225" s="15">
        <v>45972</v>
      </c>
      <c r="AR225" s="15">
        <v>45972</v>
      </c>
      <c r="AS225" t="s">
        <v>127</v>
      </c>
      <c r="AT225">
        <v>1</v>
      </c>
      <c r="AU225">
        <v>3000</v>
      </c>
      <c r="AV225">
        <v>0</v>
      </c>
      <c r="AW225">
        <v>0</v>
      </c>
      <c r="AX225" s="14">
        <v>3000</v>
      </c>
      <c r="AY225" s="14">
        <v>3000</v>
      </c>
      <c r="AZ225" s="14">
        <v>0</v>
      </c>
      <c r="BA225">
        <v>0</v>
      </c>
      <c r="BB225" t="s">
        <v>24</v>
      </c>
      <c r="BC225" t="s">
        <v>128</v>
      </c>
      <c r="BD225" t="s">
        <v>434</v>
      </c>
      <c r="BE225" t="s">
        <v>130</v>
      </c>
      <c r="BG225" t="s">
        <v>863</v>
      </c>
      <c r="BH225" t="s">
        <v>134</v>
      </c>
      <c r="BJ225">
        <v>4</v>
      </c>
      <c r="BK225" t="s">
        <v>133</v>
      </c>
      <c r="BV225" t="s">
        <v>134</v>
      </c>
      <c r="BW225" s="16">
        <v>45988.333333333343</v>
      </c>
      <c r="BX225" t="s">
        <v>143</v>
      </c>
      <c r="BZ225">
        <v>3</v>
      </c>
      <c r="CA225" t="s">
        <v>864</v>
      </c>
      <c r="CB225">
        <v>0</v>
      </c>
      <c r="CF225" t="s">
        <v>357</v>
      </c>
      <c r="CG225">
        <v>2025</v>
      </c>
      <c r="CH225" t="s">
        <v>138</v>
      </c>
      <c r="CI225" t="s">
        <v>139</v>
      </c>
    </row>
    <row r="226" spans="1:87" x14ac:dyDescent="0.3">
      <c r="A226" t="s">
        <v>426</v>
      </c>
      <c r="B226" t="s">
        <v>116</v>
      </c>
      <c r="C226" t="s">
        <v>117</v>
      </c>
      <c r="D226" t="s">
        <v>118</v>
      </c>
      <c r="E226" t="s">
        <v>14</v>
      </c>
      <c r="F226" t="s">
        <v>230</v>
      </c>
      <c r="G226">
        <v>67</v>
      </c>
      <c r="H226">
        <v>21</v>
      </c>
      <c r="I226" s="14">
        <v>553000</v>
      </c>
      <c r="J226" s="14">
        <v>497000</v>
      </c>
      <c r="Q226" s="14"/>
      <c r="R226" s="14"/>
      <c r="Y226" s="14"/>
      <c r="Z226" s="14"/>
      <c r="AG226" s="14"/>
      <c r="AH226" s="14"/>
      <c r="AI226" t="s">
        <v>857</v>
      </c>
      <c r="AJ226" t="s">
        <v>858</v>
      </c>
      <c r="AK226" t="s">
        <v>859</v>
      </c>
      <c r="AL226">
        <v>0</v>
      </c>
      <c r="AM226" t="s">
        <v>860</v>
      </c>
      <c r="AN226" t="s">
        <v>861</v>
      </c>
      <c r="AO226" t="s">
        <v>862</v>
      </c>
      <c r="AP226" t="s">
        <v>862</v>
      </c>
      <c r="AQ226" s="15">
        <v>45983</v>
      </c>
      <c r="AR226" s="15">
        <v>45983</v>
      </c>
      <c r="AS226" t="s">
        <v>145</v>
      </c>
      <c r="AT226">
        <v>1</v>
      </c>
      <c r="AU226">
        <v>17000</v>
      </c>
      <c r="AV226">
        <v>0</v>
      </c>
      <c r="AW226">
        <v>0</v>
      </c>
      <c r="AX226" s="14">
        <v>17000</v>
      </c>
      <c r="AY226" s="14">
        <v>17000</v>
      </c>
      <c r="AZ226" s="14">
        <v>0</v>
      </c>
      <c r="BA226">
        <v>0</v>
      </c>
      <c r="BB226" t="s">
        <v>24</v>
      </c>
      <c r="BC226" t="s">
        <v>128</v>
      </c>
      <c r="BD226" t="s">
        <v>434</v>
      </c>
      <c r="BE226" t="s">
        <v>130</v>
      </c>
      <c r="BG226" t="s">
        <v>865</v>
      </c>
      <c r="BH226" t="s">
        <v>132</v>
      </c>
      <c r="BJ226">
        <v>4</v>
      </c>
      <c r="BK226" t="s">
        <v>133</v>
      </c>
      <c r="BV226" t="s">
        <v>134</v>
      </c>
      <c r="BW226" s="16">
        <v>45988.333333333343</v>
      </c>
      <c r="BX226" t="s">
        <v>143</v>
      </c>
      <c r="BZ226">
        <v>3</v>
      </c>
      <c r="CA226" t="s">
        <v>866</v>
      </c>
      <c r="CB226">
        <v>0</v>
      </c>
      <c r="CF226" t="s">
        <v>357</v>
      </c>
      <c r="CG226">
        <v>2025</v>
      </c>
      <c r="CH226" t="s">
        <v>138</v>
      </c>
      <c r="CI226" t="s">
        <v>139</v>
      </c>
    </row>
    <row r="227" spans="1:87" x14ac:dyDescent="0.3">
      <c r="A227" t="s">
        <v>165</v>
      </c>
      <c r="B227" t="s">
        <v>116</v>
      </c>
      <c r="C227" t="s">
        <v>117</v>
      </c>
      <c r="D227" t="s">
        <v>118</v>
      </c>
      <c r="E227" t="s">
        <v>14</v>
      </c>
      <c r="F227" t="s">
        <v>250</v>
      </c>
      <c r="G227">
        <v>70</v>
      </c>
      <c r="H227">
        <v>0</v>
      </c>
      <c r="I227" s="14">
        <v>518500</v>
      </c>
      <c r="J227" s="14">
        <v>469500</v>
      </c>
      <c r="K227" t="s">
        <v>117</v>
      </c>
      <c r="L227" t="s">
        <v>118</v>
      </c>
      <c r="M227" t="s">
        <v>140</v>
      </c>
      <c r="N227" t="s">
        <v>738</v>
      </c>
      <c r="O227">
        <v>12.5</v>
      </c>
      <c r="P227">
        <v>0</v>
      </c>
      <c r="Q227" s="14">
        <v>50400</v>
      </c>
      <c r="R227" s="14">
        <v>50400</v>
      </c>
      <c r="Y227" s="14"/>
      <c r="Z227" s="14"/>
      <c r="AG227" s="14"/>
      <c r="AH227" s="14"/>
      <c r="AI227" t="s">
        <v>867</v>
      </c>
      <c r="AJ227" t="s">
        <v>868</v>
      </c>
      <c r="AK227" t="s">
        <v>869</v>
      </c>
      <c r="AL227">
        <v>0</v>
      </c>
      <c r="AM227" t="s">
        <v>870</v>
      </c>
      <c r="AN227" t="s">
        <v>871</v>
      </c>
      <c r="AO227" t="s">
        <v>125</v>
      </c>
      <c r="AP227" t="s">
        <v>152</v>
      </c>
      <c r="AQ227" s="15">
        <v>45986</v>
      </c>
      <c r="AR227" s="15">
        <v>45986</v>
      </c>
      <c r="AS227" t="s">
        <v>127</v>
      </c>
      <c r="AT227">
        <v>1</v>
      </c>
      <c r="AU227">
        <v>20000</v>
      </c>
      <c r="AV227">
        <v>0</v>
      </c>
      <c r="AW227">
        <v>0</v>
      </c>
      <c r="AX227" s="14">
        <v>20000</v>
      </c>
      <c r="AY227" s="14">
        <v>20000</v>
      </c>
      <c r="AZ227" s="14">
        <v>0</v>
      </c>
      <c r="BA227">
        <v>0</v>
      </c>
      <c r="BB227" t="s">
        <v>22</v>
      </c>
      <c r="BC227" t="s">
        <v>175</v>
      </c>
      <c r="BD227" t="s">
        <v>176</v>
      </c>
      <c r="BE227" t="s">
        <v>130</v>
      </c>
      <c r="BF227" t="s">
        <v>868</v>
      </c>
      <c r="BG227" t="s">
        <v>872</v>
      </c>
      <c r="BH227" t="s">
        <v>132</v>
      </c>
      <c r="BI227" t="s">
        <v>873</v>
      </c>
      <c r="BJ227">
        <v>4</v>
      </c>
      <c r="BK227" t="s">
        <v>133</v>
      </c>
      <c r="BV227" t="s">
        <v>134</v>
      </c>
      <c r="BW227" s="16">
        <v>45986.545138888891</v>
      </c>
      <c r="BX227" t="s">
        <v>143</v>
      </c>
      <c r="BZ227">
        <v>1</v>
      </c>
      <c r="CA227" t="s">
        <v>874</v>
      </c>
      <c r="CB227">
        <v>0</v>
      </c>
      <c r="CF227" t="s">
        <v>357</v>
      </c>
      <c r="CG227">
        <v>2025</v>
      </c>
      <c r="CH227" t="s">
        <v>138</v>
      </c>
      <c r="CI227" t="s">
        <v>139</v>
      </c>
    </row>
    <row r="228" spans="1:87" x14ac:dyDescent="0.3">
      <c r="A228" t="s">
        <v>115</v>
      </c>
      <c r="B228" t="s">
        <v>116</v>
      </c>
      <c r="C228" t="s">
        <v>117</v>
      </c>
      <c r="D228" t="s">
        <v>118</v>
      </c>
      <c r="E228" t="s">
        <v>14</v>
      </c>
      <c r="F228" t="s">
        <v>875</v>
      </c>
      <c r="G228">
        <v>88.27</v>
      </c>
      <c r="H228">
        <v>0</v>
      </c>
      <c r="I228" s="14">
        <v>654000</v>
      </c>
      <c r="J228" s="14">
        <v>654000</v>
      </c>
      <c r="K228" t="s">
        <v>117</v>
      </c>
      <c r="L228" t="s">
        <v>118</v>
      </c>
      <c r="M228" t="s">
        <v>140</v>
      </c>
      <c r="N228" t="s">
        <v>876</v>
      </c>
      <c r="O228">
        <v>13.5</v>
      </c>
      <c r="P228">
        <v>1.82</v>
      </c>
      <c r="Q228" s="14">
        <v>55800</v>
      </c>
      <c r="R228" s="14">
        <v>55800</v>
      </c>
      <c r="S228" t="s">
        <v>117</v>
      </c>
      <c r="T228" t="s">
        <v>118</v>
      </c>
      <c r="U228" t="s">
        <v>140</v>
      </c>
      <c r="V228" t="s">
        <v>877</v>
      </c>
      <c r="W228">
        <v>17.100000000000001</v>
      </c>
      <c r="X228">
        <v>2.4300000000000002</v>
      </c>
      <c r="Y228" s="14">
        <v>60000</v>
      </c>
      <c r="Z228" s="14">
        <v>60000</v>
      </c>
      <c r="AG228" s="14"/>
      <c r="AH228" s="14"/>
      <c r="AI228" t="s">
        <v>867</v>
      </c>
      <c r="AJ228" t="s">
        <v>868</v>
      </c>
      <c r="AK228" t="s">
        <v>869</v>
      </c>
      <c r="AL228">
        <v>0</v>
      </c>
      <c r="AM228" t="s">
        <v>870</v>
      </c>
      <c r="AN228" t="s">
        <v>871</v>
      </c>
      <c r="AO228" t="s">
        <v>125</v>
      </c>
      <c r="AP228" t="s">
        <v>152</v>
      </c>
      <c r="AQ228" s="15">
        <v>45813</v>
      </c>
      <c r="AR228" s="15">
        <v>45813</v>
      </c>
      <c r="AS228" t="s">
        <v>127</v>
      </c>
      <c r="AT228">
        <v>1</v>
      </c>
      <c r="AU228">
        <v>3000</v>
      </c>
      <c r="AV228">
        <v>0</v>
      </c>
      <c r="AW228">
        <v>0</v>
      </c>
      <c r="AX228" s="14">
        <v>3000</v>
      </c>
      <c r="AY228" s="14">
        <v>3000</v>
      </c>
      <c r="AZ228" s="14">
        <v>0</v>
      </c>
      <c r="BA228">
        <v>0</v>
      </c>
      <c r="BB228" t="s">
        <v>22</v>
      </c>
      <c r="BC228" t="s">
        <v>128</v>
      </c>
      <c r="BD228" t="s">
        <v>129</v>
      </c>
      <c r="BE228" t="s">
        <v>130</v>
      </c>
      <c r="BG228" t="s">
        <v>878</v>
      </c>
      <c r="BH228" t="s">
        <v>132</v>
      </c>
      <c r="BJ228">
        <v>4</v>
      </c>
      <c r="BK228" t="s">
        <v>133</v>
      </c>
      <c r="BV228" t="s">
        <v>134</v>
      </c>
      <c r="BW228" s="16">
        <v>45863.737500000003</v>
      </c>
      <c r="BX228" t="s">
        <v>143</v>
      </c>
      <c r="BZ228">
        <v>40</v>
      </c>
      <c r="CA228" t="s">
        <v>879</v>
      </c>
      <c r="CB228">
        <v>0</v>
      </c>
      <c r="CF228" t="s">
        <v>357</v>
      </c>
      <c r="CG228">
        <v>2025</v>
      </c>
      <c r="CH228" t="s">
        <v>138</v>
      </c>
      <c r="CI228" t="s">
        <v>139</v>
      </c>
    </row>
    <row r="229" spans="1:87" x14ac:dyDescent="0.3">
      <c r="A229" t="s">
        <v>115</v>
      </c>
      <c r="B229" t="s">
        <v>116</v>
      </c>
      <c r="C229" t="s">
        <v>117</v>
      </c>
      <c r="D229" t="s">
        <v>118</v>
      </c>
      <c r="E229" t="s">
        <v>14</v>
      </c>
      <c r="F229" t="s">
        <v>875</v>
      </c>
      <c r="G229">
        <v>88.27</v>
      </c>
      <c r="H229">
        <v>0</v>
      </c>
      <c r="I229" s="14">
        <v>654000</v>
      </c>
      <c r="J229" s="14">
        <v>654000</v>
      </c>
      <c r="K229" t="s">
        <v>117</v>
      </c>
      <c r="L229" t="s">
        <v>118</v>
      </c>
      <c r="M229" t="s">
        <v>140</v>
      </c>
      <c r="N229" t="s">
        <v>876</v>
      </c>
      <c r="O229">
        <v>13.5</v>
      </c>
      <c r="P229">
        <v>1.82</v>
      </c>
      <c r="Q229" s="14">
        <v>55800</v>
      </c>
      <c r="R229" s="14">
        <v>55800</v>
      </c>
      <c r="S229" t="s">
        <v>117</v>
      </c>
      <c r="T229" t="s">
        <v>118</v>
      </c>
      <c r="U229" t="s">
        <v>140</v>
      </c>
      <c r="V229" t="s">
        <v>877</v>
      </c>
      <c r="W229">
        <v>17.100000000000001</v>
      </c>
      <c r="X229">
        <v>2.4300000000000002</v>
      </c>
      <c r="Y229" s="14">
        <v>60000</v>
      </c>
      <c r="Z229" s="14">
        <v>60000</v>
      </c>
      <c r="AG229" s="14"/>
      <c r="AH229" s="14"/>
      <c r="AI229" t="s">
        <v>867</v>
      </c>
      <c r="AJ229" t="s">
        <v>868</v>
      </c>
      <c r="AK229" t="s">
        <v>869</v>
      </c>
      <c r="AL229">
        <v>0</v>
      </c>
      <c r="AM229" t="s">
        <v>870</v>
      </c>
      <c r="AN229" t="s">
        <v>871</v>
      </c>
      <c r="AO229" t="s">
        <v>125</v>
      </c>
      <c r="AP229" t="s">
        <v>152</v>
      </c>
      <c r="AQ229" s="15">
        <v>45863</v>
      </c>
      <c r="AR229" s="15">
        <v>45863</v>
      </c>
      <c r="AS229" t="s">
        <v>145</v>
      </c>
      <c r="AT229">
        <v>1</v>
      </c>
      <c r="AU229">
        <v>304920</v>
      </c>
      <c r="AV229">
        <v>0</v>
      </c>
      <c r="AW229">
        <v>0</v>
      </c>
      <c r="AX229" s="14">
        <v>304920</v>
      </c>
      <c r="AY229" s="14">
        <v>304920</v>
      </c>
      <c r="AZ229" s="14">
        <v>0</v>
      </c>
      <c r="BA229">
        <v>0</v>
      </c>
      <c r="BB229" t="s">
        <v>22</v>
      </c>
      <c r="BC229" t="s">
        <v>128</v>
      </c>
      <c r="BD229" t="s">
        <v>129</v>
      </c>
      <c r="BE229" t="s">
        <v>130</v>
      </c>
      <c r="BG229" t="s">
        <v>880</v>
      </c>
      <c r="BH229" t="s">
        <v>132</v>
      </c>
      <c r="BJ229">
        <v>4</v>
      </c>
      <c r="BK229" t="s">
        <v>133</v>
      </c>
      <c r="BV229" t="s">
        <v>134</v>
      </c>
      <c r="BW229" s="16">
        <v>45863.737500000003</v>
      </c>
      <c r="BX229" t="s">
        <v>143</v>
      </c>
      <c r="BZ229">
        <v>40</v>
      </c>
      <c r="CA229" t="s">
        <v>881</v>
      </c>
      <c r="CB229">
        <v>0</v>
      </c>
      <c r="CF229" t="s">
        <v>357</v>
      </c>
      <c r="CG229">
        <v>2025</v>
      </c>
      <c r="CH229" t="s">
        <v>138</v>
      </c>
      <c r="CI229" t="s">
        <v>139</v>
      </c>
    </row>
    <row r="230" spans="1:87" x14ac:dyDescent="0.3">
      <c r="A230" t="s">
        <v>115</v>
      </c>
      <c r="B230" t="s">
        <v>116</v>
      </c>
      <c r="C230" t="s">
        <v>117</v>
      </c>
      <c r="D230" t="s">
        <v>118</v>
      </c>
      <c r="E230" t="s">
        <v>14</v>
      </c>
      <c r="F230" t="s">
        <v>875</v>
      </c>
      <c r="G230">
        <v>88.27</v>
      </c>
      <c r="H230">
        <v>0</v>
      </c>
      <c r="I230" s="14">
        <v>654000</v>
      </c>
      <c r="J230" s="14">
        <v>654000</v>
      </c>
      <c r="K230" t="s">
        <v>117</v>
      </c>
      <c r="L230" t="s">
        <v>118</v>
      </c>
      <c r="M230" t="s">
        <v>140</v>
      </c>
      <c r="N230" t="s">
        <v>876</v>
      </c>
      <c r="O230">
        <v>13.5</v>
      </c>
      <c r="P230">
        <v>1.82</v>
      </c>
      <c r="Q230" s="14">
        <v>55800</v>
      </c>
      <c r="R230" s="14">
        <v>55800</v>
      </c>
      <c r="S230" t="s">
        <v>117</v>
      </c>
      <c r="T230" t="s">
        <v>118</v>
      </c>
      <c r="U230" t="s">
        <v>140</v>
      </c>
      <c r="V230" t="s">
        <v>877</v>
      </c>
      <c r="W230">
        <v>17.100000000000001</v>
      </c>
      <c r="X230">
        <v>2.4300000000000002</v>
      </c>
      <c r="Y230" s="14">
        <v>60000</v>
      </c>
      <c r="Z230" s="14">
        <v>60000</v>
      </c>
      <c r="AG230" s="14"/>
      <c r="AH230" s="14"/>
      <c r="AI230" t="s">
        <v>867</v>
      </c>
      <c r="AJ230" t="s">
        <v>868</v>
      </c>
      <c r="AK230" t="s">
        <v>869</v>
      </c>
      <c r="AL230">
        <v>0</v>
      </c>
      <c r="AM230" t="s">
        <v>870</v>
      </c>
      <c r="AN230" t="s">
        <v>871</v>
      </c>
      <c r="AO230" t="s">
        <v>125</v>
      </c>
      <c r="AP230" t="s">
        <v>152</v>
      </c>
      <c r="AQ230" s="15">
        <v>45915</v>
      </c>
      <c r="AR230" s="15">
        <v>45908</v>
      </c>
      <c r="AS230" t="s">
        <v>227</v>
      </c>
      <c r="AT230">
        <v>1</v>
      </c>
      <c r="AU230">
        <v>65982.86</v>
      </c>
      <c r="AV230">
        <v>0</v>
      </c>
      <c r="AW230">
        <v>0</v>
      </c>
      <c r="AX230" s="14">
        <v>65982.86</v>
      </c>
      <c r="AY230" s="14">
        <v>65982.86</v>
      </c>
      <c r="AZ230" s="14">
        <v>0</v>
      </c>
      <c r="BA230">
        <v>0</v>
      </c>
      <c r="BB230" t="s">
        <v>22</v>
      </c>
      <c r="BC230" t="s">
        <v>128</v>
      </c>
      <c r="BD230" t="s">
        <v>129</v>
      </c>
      <c r="BE230" t="s">
        <v>130</v>
      </c>
      <c r="BG230" t="s">
        <v>882</v>
      </c>
      <c r="BH230" t="s">
        <v>132</v>
      </c>
      <c r="BJ230">
        <v>4</v>
      </c>
      <c r="BK230" t="s">
        <v>133</v>
      </c>
      <c r="BV230" t="s">
        <v>134</v>
      </c>
      <c r="BW230" s="16">
        <v>45863.737500000003</v>
      </c>
      <c r="BX230" t="s">
        <v>143</v>
      </c>
      <c r="BZ230">
        <v>40</v>
      </c>
      <c r="CA230" t="s">
        <v>883</v>
      </c>
      <c r="CB230">
        <v>0</v>
      </c>
      <c r="CF230" t="s">
        <v>357</v>
      </c>
      <c r="CG230">
        <v>2025</v>
      </c>
      <c r="CH230" t="s">
        <v>138</v>
      </c>
      <c r="CI230" t="s">
        <v>139</v>
      </c>
    </row>
    <row r="231" spans="1:87" x14ac:dyDescent="0.3">
      <c r="A231" t="s">
        <v>115</v>
      </c>
      <c r="B231" t="s">
        <v>116</v>
      </c>
      <c r="C231" t="s">
        <v>117</v>
      </c>
      <c r="D231" t="s">
        <v>118</v>
      </c>
      <c r="E231" t="s">
        <v>14</v>
      </c>
      <c r="F231" t="s">
        <v>875</v>
      </c>
      <c r="G231">
        <v>88.27</v>
      </c>
      <c r="H231">
        <v>0</v>
      </c>
      <c r="I231" s="14">
        <v>654000</v>
      </c>
      <c r="J231" s="14">
        <v>654000</v>
      </c>
      <c r="K231" t="s">
        <v>117</v>
      </c>
      <c r="L231" t="s">
        <v>118</v>
      </c>
      <c r="M231" t="s">
        <v>140</v>
      </c>
      <c r="N231" t="s">
        <v>876</v>
      </c>
      <c r="O231">
        <v>13.5</v>
      </c>
      <c r="P231">
        <v>1.82</v>
      </c>
      <c r="Q231" s="14">
        <v>55800</v>
      </c>
      <c r="R231" s="14">
        <v>55800</v>
      </c>
      <c r="S231" t="s">
        <v>117</v>
      </c>
      <c r="T231" t="s">
        <v>118</v>
      </c>
      <c r="U231" t="s">
        <v>140</v>
      </c>
      <c r="V231" t="s">
        <v>877</v>
      </c>
      <c r="W231">
        <v>17.100000000000001</v>
      </c>
      <c r="X231">
        <v>2.4300000000000002</v>
      </c>
      <c r="Y231" s="14">
        <v>60000</v>
      </c>
      <c r="Z231" s="14">
        <v>60000</v>
      </c>
      <c r="AG231" s="14"/>
      <c r="AH231" s="14"/>
      <c r="AI231" t="s">
        <v>867</v>
      </c>
      <c r="AJ231" t="s">
        <v>868</v>
      </c>
      <c r="AK231" t="s">
        <v>869</v>
      </c>
      <c r="AL231">
        <v>0</v>
      </c>
      <c r="AM231" t="s">
        <v>870</v>
      </c>
      <c r="AN231" t="s">
        <v>871</v>
      </c>
      <c r="AO231" t="s">
        <v>125</v>
      </c>
      <c r="AP231" t="s">
        <v>152</v>
      </c>
      <c r="AQ231" s="15">
        <v>45945</v>
      </c>
      <c r="AR231" s="15">
        <v>45941</v>
      </c>
      <c r="AS231" t="s">
        <v>227</v>
      </c>
      <c r="AT231">
        <v>2</v>
      </c>
      <c r="AU231">
        <v>65982.86</v>
      </c>
      <c r="AV231">
        <v>0</v>
      </c>
      <c r="AW231">
        <v>0</v>
      </c>
      <c r="AX231" s="14">
        <v>65982.86</v>
      </c>
      <c r="AY231" s="14">
        <v>65982.86</v>
      </c>
      <c r="AZ231" s="14">
        <v>0</v>
      </c>
      <c r="BA231">
        <v>0</v>
      </c>
      <c r="BB231" t="s">
        <v>22</v>
      </c>
      <c r="BC231" t="s">
        <v>128</v>
      </c>
      <c r="BD231" t="s">
        <v>129</v>
      </c>
      <c r="BE231" t="s">
        <v>130</v>
      </c>
      <c r="BG231" t="s">
        <v>884</v>
      </c>
      <c r="BH231" t="s">
        <v>132</v>
      </c>
      <c r="BJ231">
        <v>4</v>
      </c>
      <c r="BK231" t="s">
        <v>133</v>
      </c>
      <c r="BV231" t="s">
        <v>134</v>
      </c>
      <c r="BW231" s="16">
        <v>45863.737500000003</v>
      </c>
      <c r="BX231" t="s">
        <v>143</v>
      </c>
      <c r="BZ231">
        <v>40</v>
      </c>
      <c r="CA231" t="s">
        <v>885</v>
      </c>
      <c r="CB231">
        <v>0</v>
      </c>
      <c r="CF231" t="s">
        <v>357</v>
      </c>
      <c r="CG231">
        <v>2025</v>
      </c>
      <c r="CH231" t="s">
        <v>138</v>
      </c>
      <c r="CI231" t="s">
        <v>139</v>
      </c>
    </row>
    <row r="232" spans="1:87" x14ac:dyDescent="0.3">
      <c r="A232" t="s">
        <v>115</v>
      </c>
      <c r="B232" t="s">
        <v>116</v>
      </c>
      <c r="C232" t="s">
        <v>117</v>
      </c>
      <c r="D232" t="s">
        <v>118</v>
      </c>
      <c r="E232" t="s">
        <v>14</v>
      </c>
      <c r="F232" t="s">
        <v>875</v>
      </c>
      <c r="G232">
        <v>88.27</v>
      </c>
      <c r="H232">
        <v>0</v>
      </c>
      <c r="I232" s="14">
        <v>654000</v>
      </c>
      <c r="J232" s="14">
        <v>654000</v>
      </c>
      <c r="K232" t="s">
        <v>117</v>
      </c>
      <c r="L232" t="s">
        <v>118</v>
      </c>
      <c r="M232" t="s">
        <v>140</v>
      </c>
      <c r="N232" t="s">
        <v>876</v>
      </c>
      <c r="O232">
        <v>13.5</v>
      </c>
      <c r="P232">
        <v>1.82</v>
      </c>
      <c r="Q232" s="14">
        <v>55800</v>
      </c>
      <c r="R232" s="14">
        <v>55800</v>
      </c>
      <c r="S232" t="s">
        <v>117</v>
      </c>
      <c r="T232" t="s">
        <v>118</v>
      </c>
      <c r="U232" t="s">
        <v>140</v>
      </c>
      <c r="V232" t="s">
        <v>877</v>
      </c>
      <c r="W232">
        <v>17.100000000000001</v>
      </c>
      <c r="X232">
        <v>2.4300000000000002</v>
      </c>
      <c r="Y232" s="14">
        <v>60000</v>
      </c>
      <c r="Z232" s="14">
        <v>60000</v>
      </c>
      <c r="AG232" s="14"/>
      <c r="AH232" s="14"/>
      <c r="AI232" t="s">
        <v>867</v>
      </c>
      <c r="AJ232" t="s">
        <v>868</v>
      </c>
      <c r="AK232" t="s">
        <v>869</v>
      </c>
      <c r="AL232">
        <v>0</v>
      </c>
      <c r="AM232" t="s">
        <v>870</v>
      </c>
      <c r="AN232" t="s">
        <v>871</v>
      </c>
      <c r="AO232" t="s">
        <v>125</v>
      </c>
      <c r="AP232" t="s">
        <v>152</v>
      </c>
      <c r="AQ232" s="15">
        <v>45976</v>
      </c>
      <c r="AR232" s="15">
        <v>45964</v>
      </c>
      <c r="AS232" t="s">
        <v>227</v>
      </c>
      <c r="AT232">
        <v>3</v>
      </c>
      <c r="AU232">
        <v>65982.86</v>
      </c>
      <c r="AV232">
        <v>0</v>
      </c>
      <c r="AW232">
        <v>0</v>
      </c>
      <c r="AX232" s="14">
        <v>65982.86</v>
      </c>
      <c r="AY232" s="14">
        <v>65982.86</v>
      </c>
      <c r="AZ232" s="14">
        <v>0</v>
      </c>
      <c r="BA232">
        <v>0</v>
      </c>
      <c r="BB232" t="s">
        <v>22</v>
      </c>
      <c r="BC232" t="s">
        <v>128</v>
      </c>
      <c r="BD232" t="s">
        <v>129</v>
      </c>
      <c r="BE232" t="s">
        <v>130</v>
      </c>
      <c r="BG232" t="s">
        <v>886</v>
      </c>
      <c r="BH232" t="s">
        <v>132</v>
      </c>
      <c r="BJ232">
        <v>4</v>
      </c>
      <c r="BK232" t="s">
        <v>133</v>
      </c>
      <c r="BV232" t="s">
        <v>134</v>
      </c>
      <c r="BW232" s="16">
        <v>45863.737500000003</v>
      </c>
      <c r="BX232" t="s">
        <v>143</v>
      </c>
      <c r="BZ232">
        <v>40</v>
      </c>
      <c r="CA232" t="s">
        <v>887</v>
      </c>
      <c r="CB232">
        <v>0</v>
      </c>
      <c r="CF232" t="s">
        <v>357</v>
      </c>
      <c r="CG232">
        <v>2025</v>
      </c>
      <c r="CH232" t="s">
        <v>138</v>
      </c>
      <c r="CI232" t="s">
        <v>139</v>
      </c>
    </row>
    <row r="233" spans="1:87" x14ac:dyDescent="0.3">
      <c r="A233" t="s">
        <v>115</v>
      </c>
      <c r="B233" t="s">
        <v>116</v>
      </c>
      <c r="C233" t="s">
        <v>117</v>
      </c>
      <c r="D233" t="s">
        <v>118</v>
      </c>
      <c r="E233" t="s">
        <v>14</v>
      </c>
      <c r="F233" t="s">
        <v>875</v>
      </c>
      <c r="G233">
        <v>88.27</v>
      </c>
      <c r="H233">
        <v>0</v>
      </c>
      <c r="I233" s="14">
        <v>654000</v>
      </c>
      <c r="J233" s="14">
        <v>654000</v>
      </c>
      <c r="K233" t="s">
        <v>117</v>
      </c>
      <c r="L233" t="s">
        <v>118</v>
      </c>
      <c r="M233" t="s">
        <v>140</v>
      </c>
      <c r="N233" t="s">
        <v>876</v>
      </c>
      <c r="O233">
        <v>13.5</v>
      </c>
      <c r="P233">
        <v>1.82</v>
      </c>
      <c r="Q233" s="14">
        <v>55800</v>
      </c>
      <c r="R233" s="14">
        <v>55800</v>
      </c>
      <c r="S233" t="s">
        <v>117</v>
      </c>
      <c r="T233" t="s">
        <v>118</v>
      </c>
      <c r="U233" t="s">
        <v>140</v>
      </c>
      <c r="V233" t="s">
        <v>877</v>
      </c>
      <c r="W233">
        <v>17.100000000000001</v>
      </c>
      <c r="X233">
        <v>2.4300000000000002</v>
      </c>
      <c r="Y233" s="14">
        <v>60000</v>
      </c>
      <c r="Z233" s="14">
        <v>60000</v>
      </c>
      <c r="AG233" s="14"/>
      <c r="AH233" s="14"/>
      <c r="AI233" t="s">
        <v>867</v>
      </c>
      <c r="AJ233" t="s">
        <v>868</v>
      </c>
      <c r="AK233" t="s">
        <v>869</v>
      </c>
      <c r="AL233">
        <v>0</v>
      </c>
      <c r="AM233" t="s">
        <v>870</v>
      </c>
      <c r="AN233" t="s">
        <v>871</v>
      </c>
      <c r="AO233" t="s">
        <v>125</v>
      </c>
      <c r="AP233" t="s">
        <v>152</v>
      </c>
      <c r="AQ233" s="15">
        <v>46006</v>
      </c>
      <c r="AR233" s="15">
        <v>45964</v>
      </c>
      <c r="AS233" t="s">
        <v>227</v>
      </c>
      <c r="AT233">
        <v>4</v>
      </c>
      <c r="AU233">
        <v>65982.86</v>
      </c>
      <c r="AV233">
        <v>0</v>
      </c>
      <c r="AW233">
        <v>0</v>
      </c>
      <c r="AX233" s="14">
        <v>65982.86</v>
      </c>
      <c r="AY233" s="14">
        <v>65982.86</v>
      </c>
      <c r="AZ233" s="14">
        <v>0</v>
      </c>
      <c r="BA233">
        <v>0</v>
      </c>
      <c r="BB233" t="s">
        <v>22</v>
      </c>
      <c r="BC233" t="s">
        <v>128</v>
      </c>
      <c r="BD233" t="s">
        <v>129</v>
      </c>
      <c r="BE233" t="s">
        <v>130</v>
      </c>
      <c r="BG233" t="s">
        <v>886</v>
      </c>
      <c r="BH233" t="s">
        <v>132</v>
      </c>
      <c r="BJ233">
        <v>4</v>
      </c>
      <c r="BK233" t="s">
        <v>133</v>
      </c>
      <c r="BV233" t="s">
        <v>134</v>
      </c>
      <c r="BW233" s="16">
        <v>45863.737500000003</v>
      </c>
      <c r="BX233" t="s">
        <v>143</v>
      </c>
      <c r="BZ233">
        <v>40</v>
      </c>
      <c r="CA233" t="s">
        <v>887</v>
      </c>
      <c r="CB233">
        <v>0</v>
      </c>
      <c r="CF233" t="s">
        <v>357</v>
      </c>
      <c r="CG233">
        <v>2025</v>
      </c>
      <c r="CH233" t="s">
        <v>138</v>
      </c>
      <c r="CI233" t="s">
        <v>139</v>
      </c>
    </row>
    <row r="234" spans="1:87" x14ac:dyDescent="0.3">
      <c r="A234" t="s">
        <v>165</v>
      </c>
      <c r="B234" t="s">
        <v>116</v>
      </c>
      <c r="C234" t="s">
        <v>117</v>
      </c>
      <c r="D234" t="s">
        <v>118</v>
      </c>
      <c r="E234" t="s">
        <v>140</v>
      </c>
      <c r="F234" t="s">
        <v>888</v>
      </c>
      <c r="G234">
        <v>12.5</v>
      </c>
      <c r="H234">
        <v>0</v>
      </c>
      <c r="I234" s="14">
        <v>47500</v>
      </c>
      <c r="J234" s="14">
        <v>47500</v>
      </c>
      <c r="Q234" s="14"/>
      <c r="R234" s="14"/>
      <c r="Y234" s="14"/>
      <c r="Z234" s="14"/>
      <c r="AG234" s="14"/>
      <c r="AH234" s="14"/>
      <c r="AI234" t="s">
        <v>889</v>
      </c>
      <c r="AJ234" t="s">
        <v>890</v>
      </c>
      <c r="AK234" t="s">
        <v>891</v>
      </c>
      <c r="AL234">
        <v>0</v>
      </c>
      <c r="AM234" t="s">
        <v>892</v>
      </c>
      <c r="AN234" t="s">
        <v>893</v>
      </c>
      <c r="AO234" t="s">
        <v>125</v>
      </c>
      <c r="AP234" t="s">
        <v>297</v>
      </c>
      <c r="AQ234" s="15">
        <v>45958</v>
      </c>
      <c r="AR234" s="15">
        <v>45958</v>
      </c>
      <c r="AS234" t="s">
        <v>127</v>
      </c>
      <c r="AT234">
        <v>1</v>
      </c>
      <c r="AU234">
        <v>3000</v>
      </c>
      <c r="AV234">
        <v>0</v>
      </c>
      <c r="AW234">
        <v>0</v>
      </c>
      <c r="AX234" s="14">
        <v>3000</v>
      </c>
      <c r="AY234" s="14">
        <v>3000</v>
      </c>
      <c r="AZ234" s="14">
        <v>0</v>
      </c>
      <c r="BA234">
        <v>0</v>
      </c>
      <c r="BB234" t="s">
        <v>22</v>
      </c>
      <c r="BC234" t="s">
        <v>175</v>
      </c>
      <c r="BD234" t="s">
        <v>894</v>
      </c>
      <c r="BE234" t="s">
        <v>130</v>
      </c>
      <c r="BG234" t="s">
        <v>895</v>
      </c>
      <c r="BH234" t="s">
        <v>132</v>
      </c>
      <c r="BJ234">
        <v>4</v>
      </c>
      <c r="BK234" t="s">
        <v>133</v>
      </c>
      <c r="BV234" t="s">
        <v>134</v>
      </c>
      <c r="BW234" s="16">
        <v>46020.636805555558</v>
      </c>
      <c r="BX234" t="s">
        <v>143</v>
      </c>
      <c r="BZ234">
        <v>48</v>
      </c>
      <c r="CA234" t="s">
        <v>896</v>
      </c>
      <c r="CB234">
        <v>0</v>
      </c>
      <c r="CF234" t="s">
        <v>357</v>
      </c>
      <c r="CG234">
        <v>2025</v>
      </c>
      <c r="CH234" t="s">
        <v>138</v>
      </c>
      <c r="CI234" t="s">
        <v>139</v>
      </c>
    </row>
    <row r="235" spans="1:87" x14ac:dyDescent="0.3">
      <c r="A235" t="s">
        <v>165</v>
      </c>
      <c r="B235" t="s">
        <v>116</v>
      </c>
      <c r="C235" t="s">
        <v>117</v>
      </c>
      <c r="D235" t="s">
        <v>118</v>
      </c>
      <c r="E235" t="s">
        <v>140</v>
      </c>
      <c r="F235" t="s">
        <v>888</v>
      </c>
      <c r="G235">
        <v>12.5</v>
      </c>
      <c r="H235">
        <v>0</v>
      </c>
      <c r="I235" s="14">
        <v>47500</v>
      </c>
      <c r="J235" s="14">
        <v>47500</v>
      </c>
      <c r="Q235" s="14"/>
      <c r="R235" s="14"/>
      <c r="Y235" s="14"/>
      <c r="Z235" s="14"/>
      <c r="AG235" s="14"/>
      <c r="AH235" s="14"/>
      <c r="AI235" t="s">
        <v>889</v>
      </c>
      <c r="AJ235" t="s">
        <v>890</v>
      </c>
      <c r="AK235" t="s">
        <v>891</v>
      </c>
      <c r="AL235">
        <v>0</v>
      </c>
      <c r="AM235" t="s">
        <v>892</v>
      </c>
      <c r="AN235" t="s">
        <v>893</v>
      </c>
      <c r="AO235" t="s">
        <v>125</v>
      </c>
      <c r="AP235" t="s">
        <v>297</v>
      </c>
      <c r="AQ235" s="15">
        <v>46020</v>
      </c>
      <c r="AR235" s="15">
        <v>46020</v>
      </c>
      <c r="AS235" t="s">
        <v>145</v>
      </c>
      <c r="AT235">
        <v>1</v>
      </c>
      <c r="AU235">
        <v>6500</v>
      </c>
      <c r="AV235">
        <v>0</v>
      </c>
      <c r="AW235">
        <v>0</v>
      </c>
      <c r="AX235" s="14">
        <v>6500</v>
      </c>
      <c r="AY235" s="14">
        <v>6500</v>
      </c>
      <c r="AZ235" s="14">
        <v>0</v>
      </c>
      <c r="BA235">
        <v>0</v>
      </c>
      <c r="BB235" t="s">
        <v>22</v>
      </c>
      <c r="BC235" t="s">
        <v>175</v>
      </c>
      <c r="BD235" t="s">
        <v>894</v>
      </c>
      <c r="BE235" t="s">
        <v>130</v>
      </c>
      <c r="BG235" t="s">
        <v>897</v>
      </c>
      <c r="BH235" t="s">
        <v>132</v>
      </c>
      <c r="BJ235">
        <v>4</v>
      </c>
      <c r="BK235" t="s">
        <v>133</v>
      </c>
      <c r="BV235" t="s">
        <v>134</v>
      </c>
      <c r="BW235" s="16">
        <v>46020.636805555558</v>
      </c>
      <c r="BX235" t="s">
        <v>143</v>
      </c>
      <c r="BZ235">
        <v>48</v>
      </c>
      <c r="CA235" t="s">
        <v>898</v>
      </c>
      <c r="CB235">
        <v>0</v>
      </c>
      <c r="CF235" t="s">
        <v>357</v>
      </c>
      <c r="CG235">
        <v>2025</v>
      </c>
      <c r="CH235" t="s">
        <v>138</v>
      </c>
      <c r="CI235" t="s">
        <v>139</v>
      </c>
    </row>
    <row r="236" spans="1:87" x14ac:dyDescent="0.3">
      <c r="A236" t="s">
        <v>165</v>
      </c>
      <c r="B236" t="s">
        <v>116</v>
      </c>
      <c r="C236" t="s">
        <v>117</v>
      </c>
      <c r="D236" t="s">
        <v>118</v>
      </c>
      <c r="E236" t="s">
        <v>14</v>
      </c>
      <c r="F236" t="s">
        <v>304</v>
      </c>
      <c r="G236">
        <v>57</v>
      </c>
      <c r="H236">
        <v>0</v>
      </c>
      <c r="I236" s="14">
        <v>430000</v>
      </c>
      <c r="J236" s="14">
        <v>430000</v>
      </c>
      <c r="Q236" s="14"/>
      <c r="R236" s="14"/>
      <c r="Y236" s="14"/>
      <c r="Z236" s="14"/>
      <c r="AG236" s="14"/>
      <c r="AH236" s="14"/>
      <c r="AI236" t="s">
        <v>899</v>
      </c>
      <c r="AJ236" t="s">
        <v>890</v>
      </c>
      <c r="AK236" t="s">
        <v>891</v>
      </c>
      <c r="AL236">
        <v>0</v>
      </c>
      <c r="AM236" t="s">
        <v>892</v>
      </c>
      <c r="AN236" t="s">
        <v>893</v>
      </c>
      <c r="AO236" t="s">
        <v>125</v>
      </c>
      <c r="AP236" t="s">
        <v>297</v>
      </c>
      <c r="AQ236" s="15">
        <v>45837</v>
      </c>
      <c r="AR236" s="15">
        <v>45837</v>
      </c>
      <c r="AS236" t="s">
        <v>127</v>
      </c>
      <c r="AT236">
        <v>1</v>
      </c>
      <c r="AU236">
        <v>3000</v>
      </c>
      <c r="AV236">
        <v>0</v>
      </c>
      <c r="AW236">
        <v>0</v>
      </c>
      <c r="AX236" s="14">
        <v>3000</v>
      </c>
      <c r="AY236" s="14">
        <v>3000</v>
      </c>
      <c r="AZ236" s="14">
        <v>0</v>
      </c>
      <c r="BA236">
        <v>0</v>
      </c>
      <c r="BB236" t="s">
        <v>24</v>
      </c>
      <c r="BC236" t="s">
        <v>175</v>
      </c>
      <c r="BD236" t="s">
        <v>176</v>
      </c>
      <c r="BE236" t="s">
        <v>130</v>
      </c>
      <c r="BF236" t="s">
        <v>890</v>
      </c>
      <c r="BG236" t="s">
        <v>900</v>
      </c>
      <c r="BH236" t="s">
        <v>132</v>
      </c>
      <c r="BI236" t="s">
        <v>154</v>
      </c>
      <c r="BJ236">
        <v>4</v>
      </c>
      <c r="BK236" t="s">
        <v>133</v>
      </c>
      <c r="BV236" t="s">
        <v>134</v>
      </c>
      <c r="BW236" s="16">
        <v>45917.172222222223</v>
      </c>
      <c r="BX236" t="s">
        <v>178</v>
      </c>
      <c r="BZ236">
        <v>2</v>
      </c>
      <c r="CA236" t="s">
        <v>901</v>
      </c>
      <c r="CB236">
        <v>0</v>
      </c>
      <c r="CF236" t="s">
        <v>357</v>
      </c>
      <c r="CG236">
        <v>2025</v>
      </c>
      <c r="CH236" t="s">
        <v>138</v>
      </c>
      <c r="CI236" t="s">
        <v>139</v>
      </c>
    </row>
    <row r="237" spans="1:87" x14ac:dyDescent="0.3">
      <c r="A237" t="s">
        <v>165</v>
      </c>
      <c r="B237" t="s">
        <v>116</v>
      </c>
      <c r="C237" t="s">
        <v>117</v>
      </c>
      <c r="D237" t="s">
        <v>118</v>
      </c>
      <c r="E237" t="s">
        <v>14</v>
      </c>
      <c r="F237" t="s">
        <v>304</v>
      </c>
      <c r="G237">
        <v>57</v>
      </c>
      <c r="H237">
        <v>0</v>
      </c>
      <c r="I237" s="14">
        <v>430000</v>
      </c>
      <c r="J237" s="14">
        <v>430000</v>
      </c>
      <c r="Q237" s="14"/>
      <c r="R237" s="14"/>
      <c r="Y237" s="14"/>
      <c r="Z237" s="14"/>
      <c r="AG237" s="14"/>
      <c r="AH237" s="14"/>
      <c r="AI237" t="s">
        <v>899</v>
      </c>
      <c r="AJ237" t="s">
        <v>890</v>
      </c>
      <c r="AK237" t="s">
        <v>891</v>
      </c>
      <c r="AL237">
        <v>0</v>
      </c>
      <c r="AM237" t="s">
        <v>892</v>
      </c>
      <c r="AN237" t="s">
        <v>893</v>
      </c>
      <c r="AO237" t="s">
        <v>125</v>
      </c>
      <c r="AP237" t="s">
        <v>297</v>
      </c>
      <c r="AQ237" s="15">
        <v>45917</v>
      </c>
      <c r="AR237" s="15">
        <v>45917</v>
      </c>
      <c r="AS237" t="s">
        <v>145</v>
      </c>
      <c r="AT237">
        <v>1</v>
      </c>
      <c r="AU237">
        <v>20000</v>
      </c>
      <c r="AV237">
        <v>0</v>
      </c>
      <c r="AW237">
        <v>0</v>
      </c>
      <c r="AX237" s="14">
        <v>20000</v>
      </c>
      <c r="AY237" s="14">
        <v>20000</v>
      </c>
      <c r="AZ237" s="14">
        <v>0</v>
      </c>
      <c r="BA237">
        <v>0</v>
      </c>
      <c r="BB237" t="s">
        <v>24</v>
      </c>
      <c r="BC237" t="s">
        <v>175</v>
      </c>
      <c r="BD237" t="s">
        <v>176</v>
      </c>
      <c r="BE237" t="s">
        <v>130</v>
      </c>
      <c r="BF237" t="s">
        <v>890</v>
      </c>
      <c r="BG237" t="s">
        <v>902</v>
      </c>
      <c r="BH237" t="s">
        <v>132</v>
      </c>
      <c r="BI237" t="s">
        <v>154</v>
      </c>
      <c r="BJ237">
        <v>4</v>
      </c>
      <c r="BK237" t="s">
        <v>133</v>
      </c>
      <c r="BV237" t="s">
        <v>134</v>
      </c>
      <c r="BW237" s="16">
        <v>45917.172222222223</v>
      </c>
      <c r="BX237" t="s">
        <v>178</v>
      </c>
      <c r="BZ237">
        <v>2</v>
      </c>
      <c r="CA237" t="s">
        <v>903</v>
      </c>
      <c r="CB237">
        <v>0</v>
      </c>
      <c r="CF237" t="s">
        <v>357</v>
      </c>
      <c r="CG237">
        <v>2025</v>
      </c>
      <c r="CH237" t="s">
        <v>138</v>
      </c>
      <c r="CI237" t="s">
        <v>139</v>
      </c>
    </row>
    <row r="238" spans="1:87" x14ac:dyDescent="0.3">
      <c r="A238" t="s">
        <v>115</v>
      </c>
      <c r="B238" t="s">
        <v>116</v>
      </c>
      <c r="C238" t="s">
        <v>117</v>
      </c>
      <c r="D238" t="s">
        <v>118</v>
      </c>
      <c r="E238" t="s">
        <v>14</v>
      </c>
      <c r="F238" t="s">
        <v>304</v>
      </c>
      <c r="G238">
        <v>56</v>
      </c>
      <c r="H238">
        <v>0</v>
      </c>
      <c r="I238" s="14">
        <v>446900</v>
      </c>
      <c r="J238" s="14">
        <v>446900</v>
      </c>
      <c r="Q238" s="14"/>
      <c r="R238" s="14"/>
      <c r="Y238" s="14"/>
      <c r="Z238" s="14"/>
      <c r="AG238" s="14"/>
      <c r="AH238" s="14"/>
      <c r="AI238" t="s">
        <v>305</v>
      </c>
      <c r="AJ238" t="s">
        <v>306</v>
      </c>
      <c r="AK238" t="s">
        <v>307</v>
      </c>
      <c r="AL238">
        <v>969870030</v>
      </c>
      <c r="AM238" t="s">
        <v>308</v>
      </c>
      <c r="AN238" t="s">
        <v>309</v>
      </c>
      <c r="AO238" t="s">
        <v>310</v>
      </c>
      <c r="AP238" t="s">
        <v>310</v>
      </c>
      <c r="AQ238" s="15">
        <v>45911</v>
      </c>
      <c r="AR238" s="15">
        <v>45911</v>
      </c>
      <c r="AS238" t="s">
        <v>145</v>
      </c>
      <c r="AT238">
        <v>1</v>
      </c>
      <c r="AU238">
        <v>86380</v>
      </c>
      <c r="AV238">
        <v>0</v>
      </c>
      <c r="AW238">
        <v>0</v>
      </c>
      <c r="AX238" s="14">
        <v>86380</v>
      </c>
      <c r="AY238" s="14">
        <v>86380</v>
      </c>
      <c r="AZ238" s="14">
        <v>0</v>
      </c>
      <c r="BA238">
        <v>0</v>
      </c>
      <c r="BB238" t="s">
        <v>23</v>
      </c>
      <c r="BC238" t="s">
        <v>128</v>
      </c>
      <c r="BD238" t="s">
        <v>129</v>
      </c>
      <c r="BE238" t="s">
        <v>130</v>
      </c>
      <c r="BG238" t="s">
        <v>904</v>
      </c>
      <c r="BH238" t="s">
        <v>132</v>
      </c>
      <c r="BJ238">
        <v>4</v>
      </c>
      <c r="BK238" t="s">
        <v>133</v>
      </c>
      <c r="BV238" t="s">
        <v>134</v>
      </c>
      <c r="BW238" s="16">
        <v>45911.606944444437</v>
      </c>
      <c r="BX238" t="s">
        <v>135</v>
      </c>
      <c r="BZ238">
        <v>33</v>
      </c>
      <c r="CA238" t="s">
        <v>905</v>
      </c>
      <c r="CB238">
        <v>0</v>
      </c>
      <c r="CF238" t="s">
        <v>357</v>
      </c>
      <c r="CG238">
        <v>2025</v>
      </c>
      <c r="CH238" t="s">
        <v>138</v>
      </c>
      <c r="CI238" t="s">
        <v>139</v>
      </c>
    </row>
    <row r="239" spans="1:87" x14ac:dyDescent="0.3">
      <c r="A239" t="s">
        <v>115</v>
      </c>
      <c r="B239" t="s">
        <v>116</v>
      </c>
      <c r="C239" t="s">
        <v>117</v>
      </c>
      <c r="D239" t="s">
        <v>118</v>
      </c>
      <c r="E239" t="s">
        <v>14</v>
      </c>
      <c r="F239" t="s">
        <v>304</v>
      </c>
      <c r="G239">
        <v>56</v>
      </c>
      <c r="H239">
        <v>0</v>
      </c>
      <c r="I239" s="14">
        <v>446900</v>
      </c>
      <c r="J239" s="14">
        <v>446900</v>
      </c>
      <c r="Q239" s="14"/>
      <c r="R239" s="14"/>
      <c r="Y239" s="14"/>
      <c r="Z239" s="14"/>
      <c r="AG239" s="14"/>
      <c r="AH239" s="14"/>
      <c r="AI239" t="s">
        <v>305</v>
      </c>
      <c r="AJ239" t="s">
        <v>306</v>
      </c>
      <c r="AK239" t="s">
        <v>307</v>
      </c>
      <c r="AL239">
        <v>969870030</v>
      </c>
      <c r="AM239" t="s">
        <v>308</v>
      </c>
      <c r="AN239" t="s">
        <v>309</v>
      </c>
      <c r="AO239" t="s">
        <v>310</v>
      </c>
      <c r="AP239" t="s">
        <v>310</v>
      </c>
      <c r="AQ239" s="15">
        <v>46021</v>
      </c>
      <c r="AR239" s="15">
        <v>46021</v>
      </c>
      <c r="AS239" t="s">
        <v>227</v>
      </c>
      <c r="AT239">
        <v>1</v>
      </c>
      <c r="AU239">
        <v>357520</v>
      </c>
      <c r="AV239">
        <v>0</v>
      </c>
      <c r="AW239">
        <v>0</v>
      </c>
      <c r="AX239" s="14">
        <v>357520</v>
      </c>
      <c r="AY239" s="14">
        <v>357520</v>
      </c>
      <c r="AZ239" s="14">
        <v>0</v>
      </c>
      <c r="BA239">
        <v>0</v>
      </c>
      <c r="BB239" t="s">
        <v>23</v>
      </c>
      <c r="BC239" t="s">
        <v>128</v>
      </c>
      <c r="BD239" t="s">
        <v>129</v>
      </c>
      <c r="BE239" t="s">
        <v>130</v>
      </c>
      <c r="BG239" t="s">
        <v>906</v>
      </c>
      <c r="BH239" t="s">
        <v>132</v>
      </c>
      <c r="BJ239">
        <v>4</v>
      </c>
      <c r="BK239" t="s">
        <v>133</v>
      </c>
      <c r="BV239" t="s">
        <v>134</v>
      </c>
      <c r="BW239" s="16">
        <v>45911.606944444437</v>
      </c>
      <c r="BX239" t="s">
        <v>135</v>
      </c>
      <c r="BZ239">
        <v>33</v>
      </c>
      <c r="CA239" t="s">
        <v>907</v>
      </c>
      <c r="CB239">
        <v>0</v>
      </c>
      <c r="CF239" t="s">
        <v>357</v>
      </c>
      <c r="CG239">
        <v>2025</v>
      </c>
      <c r="CH239" t="s">
        <v>138</v>
      </c>
      <c r="CI239" t="s">
        <v>139</v>
      </c>
    </row>
    <row r="240" spans="1:87" x14ac:dyDescent="0.3">
      <c r="A240" t="s">
        <v>115</v>
      </c>
      <c r="B240" t="s">
        <v>116</v>
      </c>
      <c r="C240" t="s">
        <v>117</v>
      </c>
      <c r="D240" t="s">
        <v>118</v>
      </c>
      <c r="E240" t="s">
        <v>14</v>
      </c>
      <c r="F240" t="s">
        <v>908</v>
      </c>
      <c r="G240">
        <v>56</v>
      </c>
      <c r="H240">
        <v>0</v>
      </c>
      <c r="I240" s="14">
        <v>415000</v>
      </c>
      <c r="J240" s="14">
        <v>415000</v>
      </c>
      <c r="Q240" s="14"/>
      <c r="R240" s="14"/>
      <c r="Y240" s="14"/>
      <c r="Z240" s="14"/>
      <c r="AG240" s="14"/>
      <c r="AH240" s="14"/>
      <c r="AI240" t="s">
        <v>909</v>
      </c>
      <c r="AJ240" t="s">
        <v>910</v>
      </c>
      <c r="AK240" t="s">
        <v>911</v>
      </c>
      <c r="AM240" t="s">
        <v>912</v>
      </c>
      <c r="AN240" t="s">
        <v>913</v>
      </c>
      <c r="AO240" t="s">
        <v>914</v>
      </c>
      <c r="AP240" t="s">
        <v>915</v>
      </c>
      <c r="AQ240" s="15">
        <v>45921</v>
      </c>
      <c r="AR240" s="15">
        <v>45921</v>
      </c>
      <c r="AS240" t="s">
        <v>127</v>
      </c>
      <c r="AT240">
        <v>1</v>
      </c>
      <c r="AU240">
        <v>3000</v>
      </c>
      <c r="AV240">
        <v>0</v>
      </c>
      <c r="AW240">
        <v>0</v>
      </c>
      <c r="AX240" s="14">
        <v>3000</v>
      </c>
      <c r="AY240" s="14">
        <v>3000</v>
      </c>
      <c r="AZ240" s="14">
        <v>0</v>
      </c>
      <c r="BA240">
        <v>0</v>
      </c>
      <c r="BB240" t="s">
        <v>24</v>
      </c>
      <c r="BC240" t="s">
        <v>128</v>
      </c>
      <c r="BD240" t="s">
        <v>129</v>
      </c>
      <c r="BE240" t="s">
        <v>130</v>
      </c>
      <c r="BF240" t="s">
        <v>910</v>
      </c>
      <c r="BG240" t="s">
        <v>916</v>
      </c>
      <c r="BH240" t="s">
        <v>132</v>
      </c>
      <c r="BI240" t="s">
        <v>154</v>
      </c>
      <c r="BJ240">
        <v>1</v>
      </c>
      <c r="BK240" t="s">
        <v>133</v>
      </c>
      <c r="BV240" t="s">
        <v>134</v>
      </c>
      <c r="BW240" s="16">
        <v>45993.736111111109</v>
      </c>
      <c r="BX240" t="s">
        <v>178</v>
      </c>
      <c r="BZ240">
        <v>16</v>
      </c>
      <c r="CA240" t="s">
        <v>224</v>
      </c>
      <c r="CB240">
        <v>0</v>
      </c>
      <c r="CF240" t="s">
        <v>357</v>
      </c>
      <c r="CG240">
        <v>2025</v>
      </c>
      <c r="CH240" t="s">
        <v>138</v>
      </c>
      <c r="CI240" t="s">
        <v>139</v>
      </c>
    </row>
    <row r="241" spans="1:87" x14ac:dyDescent="0.3">
      <c r="A241" t="s">
        <v>115</v>
      </c>
      <c r="B241" t="s">
        <v>116</v>
      </c>
      <c r="C241" t="s">
        <v>117</v>
      </c>
      <c r="D241" t="s">
        <v>118</v>
      </c>
      <c r="E241" t="s">
        <v>14</v>
      </c>
      <c r="F241" t="s">
        <v>908</v>
      </c>
      <c r="G241">
        <v>56</v>
      </c>
      <c r="H241">
        <v>0</v>
      </c>
      <c r="I241" s="14">
        <v>415000</v>
      </c>
      <c r="J241" s="14">
        <v>415000</v>
      </c>
      <c r="Q241" s="14"/>
      <c r="R241" s="14"/>
      <c r="Y241" s="14"/>
      <c r="Z241" s="14"/>
      <c r="AG241" s="14"/>
      <c r="AH241" s="14"/>
      <c r="AI241" t="s">
        <v>909</v>
      </c>
      <c r="AJ241" t="s">
        <v>910</v>
      </c>
      <c r="AK241" t="s">
        <v>911</v>
      </c>
      <c r="AM241" t="s">
        <v>912</v>
      </c>
      <c r="AN241" t="s">
        <v>913</v>
      </c>
      <c r="AO241" t="s">
        <v>914</v>
      </c>
      <c r="AP241" t="s">
        <v>915</v>
      </c>
      <c r="AQ241" s="15">
        <v>45993</v>
      </c>
      <c r="AR241" s="15">
        <v>45993</v>
      </c>
      <c r="AS241" t="s">
        <v>145</v>
      </c>
      <c r="AT241">
        <v>1</v>
      </c>
      <c r="AU241">
        <v>38500</v>
      </c>
      <c r="AV241">
        <v>0</v>
      </c>
      <c r="AW241">
        <v>0</v>
      </c>
      <c r="AX241" s="14">
        <v>38500</v>
      </c>
      <c r="AY241" s="14">
        <v>38500</v>
      </c>
      <c r="AZ241" s="14">
        <v>0</v>
      </c>
      <c r="BA241">
        <v>0</v>
      </c>
      <c r="BB241" t="s">
        <v>24</v>
      </c>
      <c r="BC241" t="s">
        <v>128</v>
      </c>
      <c r="BD241" t="s">
        <v>129</v>
      </c>
      <c r="BE241" t="s">
        <v>130</v>
      </c>
      <c r="BG241" t="s">
        <v>917</v>
      </c>
      <c r="BH241" t="s">
        <v>132</v>
      </c>
      <c r="BJ241">
        <v>4</v>
      </c>
      <c r="BK241" t="s">
        <v>133</v>
      </c>
      <c r="BV241" t="s">
        <v>134</v>
      </c>
      <c r="BW241" s="16">
        <v>45993.736111111109</v>
      </c>
      <c r="BX241" t="s">
        <v>178</v>
      </c>
      <c r="BZ241">
        <v>16</v>
      </c>
      <c r="CA241" t="s">
        <v>918</v>
      </c>
      <c r="CB241">
        <v>0</v>
      </c>
      <c r="CF241" t="s">
        <v>357</v>
      </c>
      <c r="CG241">
        <v>2025</v>
      </c>
      <c r="CH241" t="s">
        <v>138</v>
      </c>
      <c r="CI241" t="s">
        <v>139</v>
      </c>
    </row>
    <row r="242" spans="1:87" x14ac:dyDescent="0.3">
      <c r="A242" t="s">
        <v>115</v>
      </c>
      <c r="B242" t="s">
        <v>116</v>
      </c>
      <c r="C242" t="s">
        <v>117</v>
      </c>
      <c r="D242" t="s">
        <v>118</v>
      </c>
      <c r="E242" t="s">
        <v>14</v>
      </c>
      <c r="F242" t="s">
        <v>908</v>
      </c>
      <c r="G242">
        <v>56</v>
      </c>
      <c r="H242">
        <v>0</v>
      </c>
      <c r="I242" s="14">
        <v>415000</v>
      </c>
      <c r="J242" s="14">
        <v>415000</v>
      </c>
      <c r="Q242" s="14"/>
      <c r="R242" s="14"/>
      <c r="Y242" s="14"/>
      <c r="Z242" s="14"/>
      <c r="AG242" s="14"/>
      <c r="AH242" s="14"/>
      <c r="AI242" t="s">
        <v>909</v>
      </c>
      <c r="AJ242" t="s">
        <v>910</v>
      </c>
      <c r="AK242" t="s">
        <v>911</v>
      </c>
      <c r="AM242" t="s">
        <v>912</v>
      </c>
      <c r="AN242" t="s">
        <v>913</v>
      </c>
      <c r="AO242" t="s">
        <v>914</v>
      </c>
      <c r="AP242" t="s">
        <v>915</v>
      </c>
      <c r="AQ242" s="15">
        <v>45746</v>
      </c>
      <c r="AR242" s="15">
        <v>46203</v>
      </c>
      <c r="AS242" t="s">
        <v>227</v>
      </c>
      <c r="AT242">
        <v>1</v>
      </c>
      <c r="AU242">
        <v>244000</v>
      </c>
      <c r="AV242">
        <v>0</v>
      </c>
      <c r="AW242">
        <v>0</v>
      </c>
      <c r="AX242" s="14">
        <v>244000</v>
      </c>
      <c r="AY242" s="14">
        <v>244000</v>
      </c>
      <c r="AZ242" s="14">
        <v>0</v>
      </c>
      <c r="BA242">
        <v>0</v>
      </c>
      <c r="BB242" t="s">
        <v>24</v>
      </c>
      <c r="BC242" t="s">
        <v>128</v>
      </c>
      <c r="BD242" t="s">
        <v>129</v>
      </c>
      <c r="BE242" t="s">
        <v>130</v>
      </c>
      <c r="BG242" t="s">
        <v>919</v>
      </c>
      <c r="BH242" t="s">
        <v>134</v>
      </c>
      <c r="BJ242">
        <v>4</v>
      </c>
      <c r="BK242" t="s">
        <v>133</v>
      </c>
      <c r="BV242" t="s">
        <v>134</v>
      </c>
      <c r="BW242" s="16">
        <v>45993.736111111109</v>
      </c>
      <c r="BX242" t="s">
        <v>178</v>
      </c>
      <c r="BZ242">
        <v>16</v>
      </c>
      <c r="CA242" t="s">
        <v>920</v>
      </c>
      <c r="CB242">
        <v>0</v>
      </c>
      <c r="CF242" t="s">
        <v>357</v>
      </c>
      <c r="CG242">
        <v>2025</v>
      </c>
      <c r="CH242" t="s">
        <v>138</v>
      </c>
      <c r="CI242" t="s">
        <v>139</v>
      </c>
    </row>
    <row r="243" spans="1:87" x14ac:dyDescent="0.3">
      <c r="A243" t="s">
        <v>426</v>
      </c>
      <c r="B243" t="s">
        <v>116</v>
      </c>
      <c r="C243" t="s">
        <v>117</v>
      </c>
      <c r="D243" t="s">
        <v>118</v>
      </c>
      <c r="E243" t="s">
        <v>14</v>
      </c>
      <c r="F243" t="s">
        <v>190</v>
      </c>
      <c r="G243">
        <v>61</v>
      </c>
      <c r="H243">
        <v>0</v>
      </c>
      <c r="I243" s="14">
        <v>386000</v>
      </c>
      <c r="J243" s="14">
        <v>386000</v>
      </c>
      <c r="K243" t="s">
        <v>117</v>
      </c>
      <c r="L243" t="s">
        <v>118</v>
      </c>
      <c r="M243" t="s">
        <v>140</v>
      </c>
      <c r="N243" t="s">
        <v>921</v>
      </c>
      <c r="O243">
        <v>13.5</v>
      </c>
      <c r="P243">
        <v>0</v>
      </c>
      <c r="Q243" s="14">
        <v>46800</v>
      </c>
      <c r="R243" s="14">
        <v>46800</v>
      </c>
      <c r="Y243" s="14"/>
      <c r="Z243" s="14"/>
      <c r="AG243" s="14"/>
      <c r="AH243" s="14"/>
      <c r="AI243" t="s">
        <v>922</v>
      </c>
      <c r="AJ243" t="s">
        <v>923</v>
      </c>
      <c r="AK243" t="s">
        <v>924</v>
      </c>
      <c r="AL243">
        <v>0</v>
      </c>
      <c r="AM243" t="s">
        <v>925</v>
      </c>
      <c r="AN243" t="s">
        <v>926</v>
      </c>
      <c r="AO243" t="s">
        <v>125</v>
      </c>
      <c r="AP243" t="s">
        <v>927</v>
      </c>
      <c r="AQ243" s="15">
        <v>46009</v>
      </c>
      <c r="AR243" s="15">
        <v>46009</v>
      </c>
      <c r="AS243" t="s">
        <v>127</v>
      </c>
      <c r="AT243">
        <v>1</v>
      </c>
      <c r="AU243">
        <v>3000</v>
      </c>
      <c r="AV243">
        <v>0</v>
      </c>
      <c r="AW243">
        <v>0</v>
      </c>
      <c r="AX243" s="14">
        <v>3000</v>
      </c>
      <c r="AY243" s="14">
        <v>3000</v>
      </c>
      <c r="AZ243" s="14">
        <v>0</v>
      </c>
      <c r="BA243">
        <v>0</v>
      </c>
      <c r="BB243" t="s">
        <v>23</v>
      </c>
      <c r="BC243" t="s">
        <v>128</v>
      </c>
      <c r="BD243" t="s">
        <v>434</v>
      </c>
      <c r="BE243" t="s">
        <v>130</v>
      </c>
      <c r="BG243" t="s">
        <v>928</v>
      </c>
      <c r="BH243" t="s">
        <v>132</v>
      </c>
      <c r="BJ243">
        <v>4</v>
      </c>
      <c r="BK243" t="s">
        <v>133</v>
      </c>
      <c r="BV243" t="s">
        <v>134</v>
      </c>
      <c r="BW243" s="16">
        <v>46032.381944444453</v>
      </c>
      <c r="BX243" t="s">
        <v>143</v>
      </c>
      <c r="BZ243">
        <v>4</v>
      </c>
      <c r="CA243" t="s">
        <v>929</v>
      </c>
      <c r="CB243">
        <v>0</v>
      </c>
      <c r="CF243" t="s">
        <v>357</v>
      </c>
      <c r="CG243">
        <v>2025</v>
      </c>
      <c r="CH243" t="s">
        <v>138</v>
      </c>
      <c r="CI243" t="s">
        <v>139</v>
      </c>
    </row>
    <row r="244" spans="1:87" x14ac:dyDescent="0.3">
      <c r="A244" t="s">
        <v>115</v>
      </c>
      <c r="B244" t="s">
        <v>116</v>
      </c>
      <c r="C244" t="s">
        <v>117</v>
      </c>
      <c r="D244" t="s">
        <v>118</v>
      </c>
      <c r="E244" t="s">
        <v>14</v>
      </c>
      <c r="F244" t="s">
        <v>166</v>
      </c>
      <c r="G244">
        <v>68.72</v>
      </c>
      <c r="H244">
        <v>0</v>
      </c>
      <c r="I244" s="14">
        <v>490000</v>
      </c>
      <c r="J244" s="14">
        <v>490000</v>
      </c>
      <c r="Q244" s="14"/>
      <c r="R244" s="14"/>
      <c r="Y244" s="14"/>
      <c r="Z244" s="14"/>
      <c r="AG244" s="14"/>
      <c r="AH244" s="14"/>
      <c r="AI244" t="s">
        <v>313</v>
      </c>
      <c r="AJ244" t="s">
        <v>314</v>
      </c>
      <c r="AK244" t="s">
        <v>315</v>
      </c>
      <c r="AL244">
        <v>964247615</v>
      </c>
      <c r="AM244" t="s">
        <v>316</v>
      </c>
      <c r="AN244" t="s">
        <v>317</v>
      </c>
      <c r="AO244" t="s">
        <v>125</v>
      </c>
      <c r="AP244" t="s">
        <v>318</v>
      </c>
      <c r="AQ244" s="15">
        <v>45682</v>
      </c>
      <c r="AR244" s="15">
        <v>45682</v>
      </c>
      <c r="AS244" t="s">
        <v>145</v>
      </c>
      <c r="AT244">
        <v>2</v>
      </c>
      <c r="AU244">
        <v>10000</v>
      </c>
      <c r="AV244">
        <v>0</v>
      </c>
      <c r="AW244">
        <v>0</v>
      </c>
      <c r="AX244" s="14">
        <v>10000</v>
      </c>
      <c r="AY244" s="14">
        <v>10000</v>
      </c>
      <c r="AZ244" s="14">
        <v>0</v>
      </c>
      <c r="BA244">
        <v>0</v>
      </c>
      <c r="BB244" t="s">
        <v>23</v>
      </c>
      <c r="BC244" t="s">
        <v>128</v>
      </c>
      <c r="BD244" t="s">
        <v>129</v>
      </c>
      <c r="BE244" t="s">
        <v>130</v>
      </c>
      <c r="BF244" t="s">
        <v>314</v>
      </c>
      <c r="BG244" t="s">
        <v>930</v>
      </c>
      <c r="BH244" t="s">
        <v>132</v>
      </c>
      <c r="BI244" t="s">
        <v>154</v>
      </c>
      <c r="BJ244">
        <v>4</v>
      </c>
      <c r="BK244" t="s">
        <v>133</v>
      </c>
      <c r="BV244" t="s">
        <v>134</v>
      </c>
      <c r="BW244" s="16">
        <v>45652.616666666669</v>
      </c>
      <c r="BX244" t="s">
        <v>178</v>
      </c>
      <c r="BZ244">
        <v>37</v>
      </c>
      <c r="CA244" t="s">
        <v>931</v>
      </c>
      <c r="CB244">
        <v>0</v>
      </c>
      <c r="CF244" t="s">
        <v>357</v>
      </c>
      <c r="CG244">
        <v>2025</v>
      </c>
      <c r="CH244" t="s">
        <v>138</v>
      </c>
      <c r="CI244" t="s">
        <v>139</v>
      </c>
    </row>
    <row r="245" spans="1:87" x14ac:dyDescent="0.3">
      <c r="A245" t="s">
        <v>115</v>
      </c>
      <c r="B245" t="s">
        <v>116</v>
      </c>
      <c r="C245" t="s">
        <v>117</v>
      </c>
      <c r="D245" t="s">
        <v>118</v>
      </c>
      <c r="E245" t="s">
        <v>14</v>
      </c>
      <c r="F245" t="s">
        <v>166</v>
      </c>
      <c r="G245">
        <v>68.72</v>
      </c>
      <c r="H245">
        <v>0</v>
      </c>
      <c r="I245" s="14">
        <v>490000</v>
      </c>
      <c r="J245" s="14">
        <v>490000</v>
      </c>
      <c r="Q245" s="14"/>
      <c r="R245" s="14"/>
      <c r="Y245" s="14"/>
      <c r="Z245" s="14"/>
      <c r="AG245" s="14"/>
      <c r="AH245" s="14"/>
      <c r="AI245" t="s">
        <v>313</v>
      </c>
      <c r="AJ245" t="s">
        <v>314</v>
      </c>
      <c r="AK245" t="s">
        <v>315</v>
      </c>
      <c r="AL245">
        <v>964247615</v>
      </c>
      <c r="AM245" t="s">
        <v>316</v>
      </c>
      <c r="AN245" t="s">
        <v>317</v>
      </c>
      <c r="AO245" t="s">
        <v>125</v>
      </c>
      <c r="AP245" t="s">
        <v>318</v>
      </c>
      <c r="AQ245" s="15">
        <v>45706</v>
      </c>
      <c r="AR245" s="15">
        <v>45709</v>
      </c>
      <c r="AS245" t="s">
        <v>145</v>
      </c>
      <c r="AT245">
        <v>3</v>
      </c>
      <c r="AU245">
        <v>30000</v>
      </c>
      <c r="AV245">
        <v>0</v>
      </c>
      <c r="AW245">
        <v>0</v>
      </c>
      <c r="AX245" s="14">
        <v>30000</v>
      </c>
      <c r="AY245" s="14">
        <v>30000</v>
      </c>
      <c r="AZ245" s="14">
        <v>0</v>
      </c>
      <c r="BA245">
        <v>0</v>
      </c>
      <c r="BB245" t="s">
        <v>23</v>
      </c>
      <c r="BC245" t="s">
        <v>128</v>
      </c>
      <c r="BD245" t="s">
        <v>129</v>
      </c>
      <c r="BE245" t="s">
        <v>130</v>
      </c>
      <c r="BF245" t="s">
        <v>314</v>
      </c>
      <c r="BG245" t="s">
        <v>932</v>
      </c>
      <c r="BH245" t="s">
        <v>132</v>
      </c>
      <c r="BI245" t="s">
        <v>154</v>
      </c>
      <c r="BJ245">
        <v>4</v>
      </c>
      <c r="BK245" t="s">
        <v>133</v>
      </c>
      <c r="BV245" t="s">
        <v>134</v>
      </c>
      <c r="BW245" s="16">
        <v>45652.616666666669</v>
      </c>
      <c r="BX245" t="s">
        <v>178</v>
      </c>
      <c r="BZ245">
        <v>37</v>
      </c>
      <c r="CA245" t="s">
        <v>933</v>
      </c>
      <c r="CB245">
        <v>0</v>
      </c>
      <c r="CF245" t="s">
        <v>357</v>
      </c>
      <c r="CG245">
        <v>2025</v>
      </c>
      <c r="CH245" t="s">
        <v>138</v>
      </c>
      <c r="CI245" t="s">
        <v>139</v>
      </c>
    </row>
    <row r="246" spans="1:87" x14ac:dyDescent="0.3">
      <c r="A246" t="s">
        <v>115</v>
      </c>
      <c r="B246" t="s">
        <v>116</v>
      </c>
      <c r="C246" t="s">
        <v>117</v>
      </c>
      <c r="D246" t="s">
        <v>118</v>
      </c>
      <c r="E246" t="s">
        <v>14</v>
      </c>
      <c r="F246" t="s">
        <v>166</v>
      </c>
      <c r="G246">
        <v>68.72</v>
      </c>
      <c r="H246">
        <v>0</v>
      </c>
      <c r="I246" s="14">
        <v>490000</v>
      </c>
      <c r="J246" s="14">
        <v>490000</v>
      </c>
      <c r="Q246" s="14"/>
      <c r="R246" s="14"/>
      <c r="Y246" s="14"/>
      <c r="Z246" s="14"/>
      <c r="AG246" s="14"/>
      <c r="AH246" s="14"/>
      <c r="AI246" t="s">
        <v>313</v>
      </c>
      <c r="AJ246" t="s">
        <v>314</v>
      </c>
      <c r="AK246" t="s">
        <v>315</v>
      </c>
      <c r="AL246">
        <v>964247615</v>
      </c>
      <c r="AM246" t="s">
        <v>316</v>
      </c>
      <c r="AN246" t="s">
        <v>317</v>
      </c>
      <c r="AO246" t="s">
        <v>125</v>
      </c>
      <c r="AP246" t="s">
        <v>318</v>
      </c>
      <c r="AQ246" s="15">
        <v>45746</v>
      </c>
      <c r="AR246" s="15">
        <v>45736</v>
      </c>
      <c r="AS246" t="s">
        <v>227</v>
      </c>
      <c r="AT246">
        <v>1</v>
      </c>
      <c r="AU246">
        <v>427000</v>
      </c>
      <c r="AV246">
        <v>0</v>
      </c>
      <c r="AW246">
        <v>0</v>
      </c>
      <c r="AX246" s="14">
        <v>427000</v>
      </c>
      <c r="AY246" s="14">
        <v>427000</v>
      </c>
      <c r="AZ246" s="14">
        <v>0</v>
      </c>
      <c r="BA246">
        <v>0</v>
      </c>
      <c r="BB246" t="s">
        <v>23</v>
      </c>
      <c r="BC246" t="s">
        <v>128</v>
      </c>
      <c r="BD246" t="s">
        <v>129</v>
      </c>
      <c r="BE246" t="s">
        <v>130</v>
      </c>
      <c r="BG246" t="s">
        <v>934</v>
      </c>
      <c r="BH246" t="s">
        <v>132</v>
      </c>
      <c r="BJ246">
        <v>4</v>
      </c>
      <c r="BK246" t="s">
        <v>133</v>
      </c>
      <c r="BV246" t="s">
        <v>134</v>
      </c>
      <c r="BW246" s="16">
        <v>45652.616666666669</v>
      </c>
      <c r="BX246" t="s">
        <v>178</v>
      </c>
      <c r="BZ246">
        <v>37</v>
      </c>
      <c r="CA246" t="s">
        <v>935</v>
      </c>
      <c r="CB246">
        <v>0</v>
      </c>
      <c r="CF246" t="s">
        <v>357</v>
      </c>
      <c r="CG246">
        <v>2025</v>
      </c>
      <c r="CH246" t="s">
        <v>138</v>
      </c>
      <c r="CI246" t="s">
        <v>139</v>
      </c>
    </row>
    <row r="247" spans="1:87" x14ac:dyDescent="0.3">
      <c r="A247" t="s">
        <v>165</v>
      </c>
      <c r="B247" t="s">
        <v>116</v>
      </c>
      <c r="C247" t="s">
        <v>117</v>
      </c>
      <c r="D247" t="s">
        <v>118</v>
      </c>
      <c r="E247" t="s">
        <v>14</v>
      </c>
      <c r="F247" t="s">
        <v>241</v>
      </c>
      <c r="G247">
        <v>72</v>
      </c>
      <c r="H247">
        <v>0</v>
      </c>
      <c r="I247" s="14">
        <v>532100</v>
      </c>
      <c r="J247" s="14">
        <v>495000</v>
      </c>
      <c r="Q247" s="14"/>
      <c r="R247" s="14"/>
      <c r="Y247" s="14"/>
      <c r="Z247" s="14"/>
      <c r="AG247" s="14"/>
      <c r="AH247" s="14"/>
      <c r="AI247" t="s">
        <v>936</v>
      </c>
      <c r="AJ247" t="s">
        <v>937</v>
      </c>
      <c r="AK247" t="s">
        <v>938</v>
      </c>
      <c r="AL247">
        <v>0</v>
      </c>
      <c r="AM247" t="s">
        <v>939</v>
      </c>
      <c r="AN247" t="s">
        <v>940</v>
      </c>
      <c r="AO247" t="s">
        <v>125</v>
      </c>
      <c r="AP247" t="s">
        <v>152</v>
      </c>
      <c r="AQ247" s="15">
        <v>45844</v>
      </c>
      <c r="AR247" s="15">
        <v>45844</v>
      </c>
      <c r="AS247" t="s">
        <v>127</v>
      </c>
      <c r="AT247">
        <v>1</v>
      </c>
      <c r="AU247">
        <v>3000</v>
      </c>
      <c r="AV247">
        <v>0</v>
      </c>
      <c r="AW247">
        <v>0</v>
      </c>
      <c r="AX247" s="14">
        <v>3000</v>
      </c>
      <c r="AY247" s="14">
        <v>3000</v>
      </c>
      <c r="AZ247" s="14">
        <v>0</v>
      </c>
      <c r="BA247">
        <v>0</v>
      </c>
      <c r="BB247" t="s">
        <v>23</v>
      </c>
      <c r="BC247" t="s">
        <v>175</v>
      </c>
      <c r="BD247" t="s">
        <v>176</v>
      </c>
      <c r="BE247" t="s">
        <v>130</v>
      </c>
      <c r="BG247" t="s">
        <v>941</v>
      </c>
      <c r="BH247" t="s">
        <v>132</v>
      </c>
      <c r="BJ247">
        <v>4</v>
      </c>
      <c r="BK247" t="s">
        <v>133</v>
      </c>
      <c r="BV247" t="s">
        <v>134</v>
      </c>
      <c r="BW247" s="16">
        <v>45868.407638888893</v>
      </c>
      <c r="BX247" t="s">
        <v>178</v>
      </c>
      <c r="BZ247">
        <v>22</v>
      </c>
      <c r="CA247" t="s">
        <v>942</v>
      </c>
      <c r="CB247">
        <v>0</v>
      </c>
      <c r="CF247" t="s">
        <v>357</v>
      </c>
      <c r="CG247">
        <v>2025</v>
      </c>
      <c r="CH247" t="s">
        <v>138</v>
      </c>
      <c r="CI247" t="s">
        <v>139</v>
      </c>
    </row>
    <row r="248" spans="1:87" x14ac:dyDescent="0.3">
      <c r="A248" t="s">
        <v>426</v>
      </c>
      <c r="B248" t="s">
        <v>116</v>
      </c>
      <c r="C248" t="s">
        <v>117</v>
      </c>
      <c r="D248" t="s">
        <v>118</v>
      </c>
      <c r="E248" t="s">
        <v>14</v>
      </c>
      <c r="F248" t="s">
        <v>943</v>
      </c>
      <c r="G248">
        <v>58</v>
      </c>
      <c r="H248">
        <v>0</v>
      </c>
      <c r="I248" s="14">
        <v>372000</v>
      </c>
      <c r="J248" s="14">
        <v>372000</v>
      </c>
      <c r="Q248" s="14"/>
      <c r="R248" s="14"/>
      <c r="Y248" s="14"/>
      <c r="Z248" s="14"/>
      <c r="AG248" s="14"/>
      <c r="AH248" s="14"/>
      <c r="AI248" t="s">
        <v>944</v>
      </c>
      <c r="AJ248" t="s">
        <v>945</v>
      </c>
      <c r="AK248" t="s">
        <v>946</v>
      </c>
      <c r="AL248">
        <v>0</v>
      </c>
      <c r="AM248" t="s">
        <v>947</v>
      </c>
      <c r="AN248" t="s">
        <v>948</v>
      </c>
      <c r="AO248" t="s">
        <v>125</v>
      </c>
      <c r="AP248" t="s">
        <v>949</v>
      </c>
      <c r="AQ248" s="15">
        <v>45878</v>
      </c>
      <c r="AR248" s="15">
        <v>45878</v>
      </c>
      <c r="AS248" t="s">
        <v>127</v>
      </c>
      <c r="AT248">
        <v>1</v>
      </c>
      <c r="AU248">
        <v>18600</v>
      </c>
      <c r="AV248">
        <v>0</v>
      </c>
      <c r="AW248">
        <v>0</v>
      </c>
      <c r="AX248" s="14">
        <v>18600</v>
      </c>
      <c r="AY248" s="14">
        <v>18600</v>
      </c>
      <c r="AZ248" s="14">
        <v>0</v>
      </c>
      <c r="BA248">
        <v>0</v>
      </c>
      <c r="BB248" t="s">
        <v>23</v>
      </c>
      <c r="BC248" t="s">
        <v>128</v>
      </c>
      <c r="BD248" t="s">
        <v>434</v>
      </c>
      <c r="BE248" t="s">
        <v>130</v>
      </c>
      <c r="BG248" t="s">
        <v>950</v>
      </c>
      <c r="BH248" t="s">
        <v>132</v>
      </c>
      <c r="BJ248">
        <v>4</v>
      </c>
      <c r="BK248" t="s">
        <v>133</v>
      </c>
      <c r="BV248" t="s">
        <v>134</v>
      </c>
      <c r="BW248" s="16">
        <v>45878.92083333333</v>
      </c>
      <c r="BX248" t="s">
        <v>143</v>
      </c>
      <c r="BZ248">
        <v>15</v>
      </c>
      <c r="CA248" t="s">
        <v>951</v>
      </c>
      <c r="CB248">
        <v>0</v>
      </c>
      <c r="CF248" t="s">
        <v>357</v>
      </c>
      <c r="CG248">
        <v>2025</v>
      </c>
      <c r="CH248" t="s">
        <v>138</v>
      </c>
      <c r="CI248" t="s">
        <v>139</v>
      </c>
    </row>
    <row r="249" spans="1:87" x14ac:dyDescent="0.3">
      <c r="A249" t="s">
        <v>426</v>
      </c>
      <c r="B249" t="s">
        <v>116</v>
      </c>
      <c r="C249" t="s">
        <v>117</v>
      </c>
      <c r="D249" t="s">
        <v>118</v>
      </c>
      <c r="E249" t="s">
        <v>14</v>
      </c>
      <c r="F249" t="s">
        <v>483</v>
      </c>
      <c r="G249">
        <v>78</v>
      </c>
      <c r="H249">
        <v>0</v>
      </c>
      <c r="I249" s="14">
        <v>545000</v>
      </c>
      <c r="J249" s="14">
        <v>545000</v>
      </c>
      <c r="K249" t="s">
        <v>117</v>
      </c>
      <c r="L249" t="s">
        <v>118</v>
      </c>
      <c r="M249" t="s">
        <v>140</v>
      </c>
      <c r="N249" t="s">
        <v>952</v>
      </c>
      <c r="O249">
        <v>14.25</v>
      </c>
      <c r="P249">
        <v>0</v>
      </c>
      <c r="Q249" s="14">
        <v>50800</v>
      </c>
      <c r="R249" s="14">
        <v>50800</v>
      </c>
      <c r="Y249" s="14"/>
      <c r="Z249" s="14"/>
      <c r="AG249" s="14"/>
      <c r="AH249" s="14"/>
      <c r="AI249" t="s">
        <v>953</v>
      </c>
      <c r="AJ249" t="s">
        <v>954</v>
      </c>
      <c r="AK249" t="s">
        <v>955</v>
      </c>
      <c r="AL249">
        <v>0</v>
      </c>
      <c r="AM249" t="s">
        <v>956</v>
      </c>
      <c r="AN249" t="s">
        <v>957</v>
      </c>
      <c r="AO249" t="s">
        <v>125</v>
      </c>
      <c r="AP249" t="s">
        <v>958</v>
      </c>
      <c r="AQ249" s="15">
        <v>45831</v>
      </c>
      <c r="AR249" s="15">
        <v>45831</v>
      </c>
      <c r="AS249" t="s">
        <v>127</v>
      </c>
      <c r="AT249">
        <v>1</v>
      </c>
      <c r="AU249">
        <v>3000</v>
      </c>
      <c r="AV249">
        <v>0</v>
      </c>
      <c r="AW249">
        <v>0</v>
      </c>
      <c r="AX249" s="14">
        <v>3000</v>
      </c>
      <c r="AY249" s="14">
        <v>3000</v>
      </c>
      <c r="AZ249" s="14">
        <v>0</v>
      </c>
      <c r="BA249">
        <v>0</v>
      </c>
      <c r="BB249" t="s">
        <v>22</v>
      </c>
      <c r="BC249" t="s">
        <v>128</v>
      </c>
      <c r="BD249" t="s">
        <v>434</v>
      </c>
      <c r="BE249" t="s">
        <v>130</v>
      </c>
      <c r="BG249" t="s">
        <v>959</v>
      </c>
      <c r="BH249" t="s">
        <v>132</v>
      </c>
      <c r="BJ249">
        <v>4</v>
      </c>
      <c r="BK249" t="s">
        <v>133</v>
      </c>
      <c r="BV249" t="s">
        <v>134</v>
      </c>
      <c r="BW249" s="16">
        <v>45857.519444444442</v>
      </c>
      <c r="BX249" t="s">
        <v>143</v>
      </c>
      <c r="BZ249">
        <v>11</v>
      </c>
      <c r="CA249" t="s">
        <v>960</v>
      </c>
      <c r="CB249">
        <v>0</v>
      </c>
      <c r="CF249" t="s">
        <v>357</v>
      </c>
      <c r="CG249">
        <v>2025</v>
      </c>
      <c r="CH249" t="s">
        <v>138</v>
      </c>
      <c r="CI249" t="s">
        <v>139</v>
      </c>
    </row>
    <row r="250" spans="1:87" x14ac:dyDescent="0.3">
      <c r="A250" t="s">
        <v>426</v>
      </c>
      <c r="B250" t="s">
        <v>116</v>
      </c>
      <c r="C250" t="s">
        <v>117</v>
      </c>
      <c r="D250" t="s">
        <v>118</v>
      </c>
      <c r="E250" t="s">
        <v>14</v>
      </c>
      <c r="F250" t="s">
        <v>483</v>
      </c>
      <c r="G250">
        <v>78</v>
      </c>
      <c r="H250">
        <v>0</v>
      </c>
      <c r="I250" s="14">
        <v>545000</v>
      </c>
      <c r="J250" s="14">
        <v>545000</v>
      </c>
      <c r="K250" t="s">
        <v>117</v>
      </c>
      <c r="L250" t="s">
        <v>118</v>
      </c>
      <c r="M250" t="s">
        <v>140</v>
      </c>
      <c r="N250" t="s">
        <v>952</v>
      </c>
      <c r="O250">
        <v>14.25</v>
      </c>
      <c r="P250">
        <v>0</v>
      </c>
      <c r="Q250" s="14">
        <v>50800</v>
      </c>
      <c r="R250" s="14">
        <v>50800</v>
      </c>
      <c r="Y250" s="14"/>
      <c r="Z250" s="14"/>
      <c r="AG250" s="14"/>
      <c r="AH250" s="14"/>
      <c r="AI250" t="s">
        <v>953</v>
      </c>
      <c r="AJ250" t="s">
        <v>954</v>
      </c>
      <c r="AK250" t="s">
        <v>955</v>
      </c>
      <c r="AL250">
        <v>0</v>
      </c>
      <c r="AM250" t="s">
        <v>956</v>
      </c>
      <c r="AN250" t="s">
        <v>957</v>
      </c>
      <c r="AO250" t="s">
        <v>125</v>
      </c>
      <c r="AP250" t="s">
        <v>958</v>
      </c>
      <c r="AQ250" s="15">
        <v>45876</v>
      </c>
      <c r="AR250" s="15">
        <v>45876</v>
      </c>
      <c r="AS250" t="s">
        <v>145</v>
      </c>
      <c r="AT250">
        <v>1</v>
      </c>
      <c r="AU250">
        <v>72000</v>
      </c>
      <c r="AV250">
        <v>0</v>
      </c>
      <c r="AW250">
        <v>0</v>
      </c>
      <c r="AX250" s="14">
        <v>72000</v>
      </c>
      <c r="AY250" s="14">
        <v>72000</v>
      </c>
      <c r="AZ250" s="14">
        <v>0</v>
      </c>
      <c r="BA250">
        <v>0</v>
      </c>
      <c r="BB250" t="s">
        <v>22</v>
      </c>
      <c r="BC250" t="s">
        <v>128</v>
      </c>
      <c r="BD250" t="s">
        <v>434</v>
      </c>
      <c r="BE250" t="s">
        <v>130</v>
      </c>
      <c r="BG250" t="s">
        <v>961</v>
      </c>
      <c r="BH250" t="s">
        <v>132</v>
      </c>
      <c r="BJ250">
        <v>4</v>
      </c>
      <c r="BK250" t="s">
        <v>133</v>
      </c>
      <c r="BV250" t="s">
        <v>134</v>
      </c>
      <c r="BW250" s="16">
        <v>45857.519444444442</v>
      </c>
      <c r="BX250" t="s">
        <v>143</v>
      </c>
      <c r="BZ250">
        <v>11</v>
      </c>
      <c r="CA250" t="s">
        <v>962</v>
      </c>
      <c r="CB250">
        <v>0</v>
      </c>
      <c r="CF250" t="s">
        <v>357</v>
      </c>
      <c r="CG250">
        <v>2025</v>
      </c>
      <c r="CH250" t="s">
        <v>138</v>
      </c>
      <c r="CI250" t="s">
        <v>139</v>
      </c>
    </row>
    <row r="251" spans="1:87" x14ac:dyDescent="0.3">
      <c r="A251" t="s">
        <v>426</v>
      </c>
      <c r="B251" t="s">
        <v>116</v>
      </c>
      <c r="C251" t="s">
        <v>117</v>
      </c>
      <c r="D251" t="s">
        <v>118</v>
      </c>
      <c r="E251" t="s">
        <v>14</v>
      </c>
      <c r="F251" t="s">
        <v>483</v>
      </c>
      <c r="G251">
        <v>78</v>
      </c>
      <c r="H251">
        <v>0</v>
      </c>
      <c r="I251" s="14">
        <v>545000</v>
      </c>
      <c r="J251" s="14">
        <v>545000</v>
      </c>
      <c r="K251" t="s">
        <v>117</v>
      </c>
      <c r="L251" t="s">
        <v>118</v>
      </c>
      <c r="M251" t="s">
        <v>140</v>
      </c>
      <c r="N251" t="s">
        <v>952</v>
      </c>
      <c r="O251">
        <v>14.25</v>
      </c>
      <c r="P251">
        <v>0</v>
      </c>
      <c r="Q251" s="14">
        <v>50800</v>
      </c>
      <c r="R251" s="14">
        <v>50800</v>
      </c>
      <c r="Y251" s="14"/>
      <c r="Z251" s="14"/>
      <c r="AG251" s="14"/>
      <c r="AH251" s="14"/>
      <c r="AI251" t="s">
        <v>953</v>
      </c>
      <c r="AJ251" t="s">
        <v>954</v>
      </c>
      <c r="AK251" t="s">
        <v>955</v>
      </c>
      <c r="AL251">
        <v>0</v>
      </c>
      <c r="AM251" t="s">
        <v>956</v>
      </c>
      <c r="AN251" t="s">
        <v>957</v>
      </c>
      <c r="AO251" t="s">
        <v>125</v>
      </c>
      <c r="AP251" t="s">
        <v>958</v>
      </c>
      <c r="AQ251" s="15">
        <v>45883</v>
      </c>
      <c r="AR251" s="15">
        <v>45883</v>
      </c>
      <c r="AS251" t="s">
        <v>145</v>
      </c>
      <c r="AT251">
        <v>2</v>
      </c>
      <c r="AU251">
        <v>70000</v>
      </c>
      <c r="AV251">
        <v>0</v>
      </c>
      <c r="AW251">
        <v>0</v>
      </c>
      <c r="AX251" s="14">
        <v>70000</v>
      </c>
      <c r="AY251" s="14">
        <v>70000</v>
      </c>
      <c r="AZ251" s="14">
        <v>0</v>
      </c>
      <c r="BA251">
        <v>0</v>
      </c>
      <c r="BB251" t="s">
        <v>22</v>
      </c>
      <c r="BC251" t="s">
        <v>128</v>
      </c>
      <c r="BD251" t="s">
        <v>434</v>
      </c>
      <c r="BE251" t="s">
        <v>130</v>
      </c>
      <c r="BG251" t="s">
        <v>963</v>
      </c>
      <c r="BH251" t="s">
        <v>132</v>
      </c>
      <c r="BJ251">
        <v>4</v>
      </c>
      <c r="BK251" t="s">
        <v>133</v>
      </c>
      <c r="BV251" t="s">
        <v>134</v>
      </c>
      <c r="BW251" s="16">
        <v>45857.519444444442</v>
      </c>
      <c r="BX251" t="s">
        <v>143</v>
      </c>
      <c r="BZ251">
        <v>11</v>
      </c>
      <c r="CA251" t="s">
        <v>964</v>
      </c>
      <c r="CB251">
        <v>0</v>
      </c>
      <c r="CF251" t="s">
        <v>357</v>
      </c>
      <c r="CG251">
        <v>2025</v>
      </c>
      <c r="CH251" t="s">
        <v>138</v>
      </c>
      <c r="CI251" t="s">
        <v>139</v>
      </c>
    </row>
    <row r="252" spans="1:87" x14ac:dyDescent="0.3">
      <c r="A252" t="s">
        <v>426</v>
      </c>
      <c r="B252" t="s">
        <v>116</v>
      </c>
      <c r="C252" t="s">
        <v>117</v>
      </c>
      <c r="D252" t="s">
        <v>118</v>
      </c>
      <c r="E252" t="s">
        <v>14</v>
      </c>
      <c r="F252" t="s">
        <v>483</v>
      </c>
      <c r="G252">
        <v>78</v>
      </c>
      <c r="H252">
        <v>0</v>
      </c>
      <c r="I252" s="14">
        <v>545000</v>
      </c>
      <c r="J252" s="14">
        <v>545000</v>
      </c>
      <c r="K252" t="s">
        <v>117</v>
      </c>
      <c r="L252" t="s">
        <v>118</v>
      </c>
      <c r="M252" t="s">
        <v>140</v>
      </c>
      <c r="N252" t="s">
        <v>952</v>
      </c>
      <c r="O252">
        <v>14.25</v>
      </c>
      <c r="P252">
        <v>0</v>
      </c>
      <c r="Q252" s="14">
        <v>50800</v>
      </c>
      <c r="R252" s="14">
        <v>50800</v>
      </c>
      <c r="Y252" s="14"/>
      <c r="Z252" s="14"/>
      <c r="AG252" s="14"/>
      <c r="AH252" s="14"/>
      <c r="AI252" t="s">
        <v>953</v>
      </c>
      <c r="AJ252" t="s">
        <v>954</v>
      </c>
      <c r="AK252" t="s">
        <v>955</v>
      </c>
      <c r="AL252">
        <v>0</v>
      </c>
      <c r="AM252" t="s">
        <v>956</v>
      </c>
      <c r="AN252" t="s">
        <v>957</v>
      </c>
      <c r="AO252" t="s">
        <v>125</v>
      </c>
      <c r="AP252" t="s">
        <v>958</v>
      </c>
      <c r="AQ252" s="15">
        <v>45944</v>
      </c>
      <c r="AR252" s="15">
        <v>45855</v>
      </c>
      <c r="AS252" t="s">
        <v>145</v>
      </c>
      <c r="AT252">
        <v>3</v>
      </c>
      <c r="AU252">
        <v>95000</v>
      </c>
      <c r="AV252">
        <v>0</v>
      </c>
      <c r="AW252">
        <v>0</v>
      </c>
      <c r="AX252" s="14">
        <v>95000</v>
      </c>
      <c r="AY252" s="14">
        <v>95000</v>
      </c>
      <c r="AZ252" s="14">
        <v>0</v>
      </c>
      <c r="BA252">
        <v>0</v>
      </c>
      <c r="BB252" t="s">
        <v>22</v>
      </c>
      <c r="BC252" t="s">
        <v>128</v>
      </c>
      <c r="BD252" t="s">
        <v>434</v>
      </c>
      <c r="BE252" t="s">
        <v>130</v>
      </c>
      <c r="BG252" t="s">
        <v>965</v>
      </c>
      <c r="BH252" t="s">
        <v>132</v>
      </c>
      <c r="BJ252">
        <v>4</v>
      </c>
      <c r="BK252" t="s">
        <v>133</v>
      </c>
      <c r="BV252" t="s">
        <v>134</v>
      </c>
      <c r="BW252" s="16">
        <v>45857.519444444442</v>
      </c>
      <c r="BX252" t="s">
        <v>143</v>
      </c>
      <c r="BZ252">
        <v>11</v>
      </c>
      <c r="CA252" t="s">
        <v>966</v>
      </c>
      <c r="CB252">
        <v>0</v>
      </c>
      <c r="CF252" t="s">
        <v>357</v>
      </c>
      <c r="CG252">
        <v>2025</v>
      </c>
      <c r="CH252" t="s">
        <v>138</v>
      </c>
      <c r="CI252" t="s">
        <v>139</v>
      </c>
    </row>
    <row r="253" spans="1:87" x14ac:dyDescent="0.3">
      <c r="A253" t="s">
        <v>426</v>
      </c>
      <c r="B253" t="s">
        <v>116</v>
      </c>
      <c r="C253" t="s">
        <v>117</v>
      </c>
      <c r="D253" t="s">
        <v>118</v>
      </c>
      <c r="E253" t="s">
        <v>14</v>
      </c>
      <c r="F253" t="s">
        <v>483</v>
      </c>
      <c r="G253">
        <v>78</v>
      </c>
      <c r="H253">
        <v>0</v>
      </c>
      <c r="I253" s="14">
        <v>545000</v>
      </c>
      <c r="J253" s="14">
        <v>545000</v>
      </c>
      <c r="K253" t="s">
        <v>117</v>
      </c>
      <c r="L253" t="s">
        <v>118</v>
      </c>
      <c r="M253" t="s">
        <v>140</v>
      </c>
      <c r="N253" t="s">
        <v>952</v>
      </c>
      <c r="O253">
        <v>14.25</v>
      </c>
      <c r="P253">
        <v>0</v>
      </c>
      <c r="Q253" s="14">
        <v>50800</v>
      </c>
      <c r="R253" s="14">
        <v>50800</v>
      </c>
      <c r="Y253" s="14"/>
      <c r="Z253" s="14"/>
      <c r="AG253" s="14"/>
      <c r="AH253" s="14"/>
      <c r="AI253" t="s">
        <v>953</v>
      </c>
      <c r="AJ253" t="s">
        <v>954</v>
      </c>
      <c r="AK253" t="s">
        <v>955</v>
      </c>
      <c r="AL253">
        <v>0</v>
      </c>
      <c r="AM253" t="s">
        <v>956</v>
      </c>
      <c r="AN253" t="s">
        <v>957</v>
      </c>
      <c r="AO253" t="s">
        <v>125</v>
      </c>
      <c r="AP253" t="s">
        <v>958</v>
      </c>
      <c r="AQ253" s="15">
        <v>45930</v>
      </c>
      <c r="AR253" s="15">
        <v>45896</v>
      </c>
      <c r="AS253" t="s">
        <v>227</v>
      </c>
      <c r="AT253">
        <v>1</v>
      </c>
      <c r="AU253">
        <v>6800</v>
      </c>
      <c r="AV253">
        <v>0</v>
      </c>
      <c r="AW253">
        <v>0</v>
      </c>
      <c r="AX253" s="14">
        <v>6800</v>
      </c>
      <c r="AY253" s="14">
        <v>6800</v>
      </c>
      <c r="AZ253" s="14">
        <v>0</v>
      </c>
      <c r="BA253">
        <v>0</v>
      </c>
      <c r="BB253" t="s">
        <v>22</v>
      </c>
      <c r="BC253" t="s">
        <v>128</v>
      </c>
      <c r="BD253" t="s">
        <v>434</v>
      </c>
      <c r="BE253" t="s">
        <v>130</v>
      </c>
      <c r="BF253" t="s">
        <v>868</v>
      </c>
      <c r="BG253" t="s">
        <v>967</v>
      </c>
      <c r="BH253" t="s">
        <v>132</v>
      </c>
      <c r="BI253" t="s">
        <v>154</v>
      </c>
      <c r="BJ253">
        <v>4</v>
      </c>
      <c r="BK253" t="s">
        <v>133</v>
      </c>
      <c r="BV253" t="s">
        <v>134</v>
      </c>
      <c r="BW253" s="16">
        <v>45857.519444444442</v>
      </c>
      <c r="BX253" t="s">
        <v>143</v>
      </c>
      <c r="BZ253">
        <v>11</v>
      </c>
      <c r="CA253" t="s">
        <v>968</v>
      </c>
      <c r="CB253">
        <v>0</v>
      </c>
      <c r="CF253" t="s">
        <v>357</v>
      </c>
      <c r="CG253">
        <v>2025</v>
      </c>
      <c r="CH253" t="s">
        <v>138</v>
      </c>
      <c r="CI253" t="s">
        <v>139</v>
      </c>
    </row>
    <row r="254" spans="1:87" x14ac:dyDescent="0.3">
      <c r="A254" t="s">
        <v>426</v>
      </c>
      <c r="B254" t="s">
        <v>116</v>
      </c>
      <c r="C254" t="s">
        <v>117</v>
      </c>
      <c r="D254" t="s">
        <v>118</v>
      </c>
      <c r="E254" t="s">
        <v>14</v>
      </c>
      <c r="F254" t="s">
        <v>483</v>
      </c>
      <c r="G254">
        <v>78</v>
      </c>
      <c r="H254">
        <v>0</v>
      </c>
      <c r="I254" s="14">
        <v>545000</v>
      </c>
      <c r="J254" s="14">
        <v>545000</v>
      </c>
      <c r="K254" t="s">
        <v>117</v>
      </c>
      <c r="L254" t="s">
        <v>118</v>
      </c>
      <c r="M254" t="s">
        <v>140</v>
      </c>
      <c r="N254" t="s">
        <v>952</v>
      </c>
      <c r="O254">
        <v>14.25</v>
      </c>
      <c r="P254">
        <v>0</v>
      </c>
      <c r="Q254" s="14">
        <v>50800</v>
      </c>
      <c r="R254" s="14">
        <v>50800</v>
      </c>
      <c r="Y254" s="14"/>
      <c r="Z254" s="14"/>
      <c r="AG254" s="14"/>
      <c r="AH254" s="14"/>
      <c r="AI254" t="s">
        <v>953</v>
      </c>
      <c r="AJ254" t="s">
        <v>954</v>
      </c>
      <c r="AK254" t="s">
        <v>955</v>
      </c>
      <c r="AL254">
        <v>0</v>
      </c>
      <c r="AM254" t="s">
        <v>956</v>
      </c>
      <c r="AN254" t="s">
        <v>957</v>
      </c>
      <c r="AO254" t="s">
        <v>125</v>
      </c>
      <c r="AP254" t="s">
        <v>958</v>
      </c>
      <c r="AQ254" s="15">
        <v>45960</v>
      </c>
      <c r="AR254" s="15">
        <v>45932</v>
      </c>
      <c r="AS254" t="s">
        <v>227</v>
      </c>
      <c r="AT254">
        <v>2</v>
      </c>
      <c r="AU254">
        <v>7500</v>
      </c>
      <c r="AV254">
        <v>0</v>
      </c>
      <c r="AW254">
        <v>0</v>
      </c>
      <c r="AX254" s="14">
        <v>7500</v>
      </c>
      <c r="AY254" s="14">
        <v>7500</v>
      </c>
      <c r="AZ254" s="14">
        <v>0</v>
      </c>
      <c r="BA254">
        <v>0</v>
      </c>
      <c r="BB254" t="s">
        <v>22</v>
      </c>
      <c r="BC254" t="s">
        <v>128</v>
      </c>
      <c r="BD254" t="s">
        <v>434</v>
      </c>
      <c r="BE254" t="s">
        <v>130</v>
      </c>
      <c r="BF254" t="s">
        <v>868</v>
      </c>
      <c r="BG254" t="s">
        <v>969</v>
      </c>
      <c r="BH254" t="s">
        <v>132</v>
      </c>
      <c r="BI254" t="s">
        <v>154</v>
      </c>
      <c r="BJ254">
        <v>4</v>
      </c>
      <c r="BK254" t="s">
        <v>133</v>
      </c>
      <c r="BV254" t="s">
        <v>134</v>
      </c>
      <c r="BW254" s="16">
        <v>45857.519444444442</v>
      </c>
      <c r="BX254" t="s">
        <v>143</v>
      </c>
      <c r="BZ254">
        <v>11</v>
      </c>
      <c r="CA254" t="s">
        <v>970</v>
      </c>
      <c r="CB254">
        <v>0</v>
      </c>
      <c r="CF254" t="s">
        <v>357</v>
      </c>
      <c r="CG254">
        <v>2025</v>
      </c>
      <c r="CH254" t="s">
        <v>138</v>
      </c>
      <c r="CI254" t="s">
        <v>139</v>
      </c>
    </row>
    <row r="255" spans="1:87" x14ac:dyDescent="0.3">
      <c r="A255" t="s">
        <v>426</v>
      </c>
      <c r="B255" t="s">
        <v>116</v>
      </c>
      <c r="C255" t="s">
        <v>117</v>
      </c>
      <c r="D255" t="s">
        <v>118</v>
      </c>
      <c r="E255" t="s">
        <v>14</v>
      </c>
      <c r="F255" t="s">
        <v>483</v>
      </c>
      <c r="G255">
        <v>78</v>
      </c>
      <c r="H255">
        <v>0</v>
      </c>
      <c r="I255" s="14">
        <v>545000</v>
      </c>
      <c r="J255" s="14">
        <v>545000</v>
      </c>
      <c r="K255" t="s">
        <v>117</v>
      </c>
      <c r="L255" t="s">
        <v>118</v>
      </c>
      <c r="M255" t="s">
        <v>140</v>
      </c>
      <c r="N255" t="s">
        <v>952</v>
      </c>
      <c r="O255">
        <v>14.25</v>
      </c>
      <c r="P255">
        <v>0</v>
      </c>
      <c r="Q255" s="14">
        <v>50800</v>
      </c>
      <c r="R255" s="14">
        <v>50800</v>
      </c>
      <c r="Y255" s="14"/>
      <c r="Z255" s="14"/>
      <c r="AG255" s="14"/>
      <c r="AH255" s="14"/>
      <c r="AI255" t="s">
        <v>953</v>
      </c>
      <c r="AJ255" t="s">
        <v>954</v>
      </c>
      <c r="AK255" t="s">
        <v>955</v>
      </c>
      <c r="AL255">
        <v>0</v>
      </c>
      <c r="AM255" t="s">
        <v>956</v>
      </c>
      <c r="AN255" t="s">
        <v>957</v>
      </c>
      <c r="AO255" t="s">
        <v>125</v>
      </c>
      <c r="AP255" t="s">
        <v>958</v>
      </c>
      <c r="AQ255" s="15">
        <v>45991</v>
      </c>
      <c r="AR255" s="15">
        <v>45964</v>
      </c>
      <c r="AS255" t="s">
        <v>227</v>
      </c>
      <c r="AT255">
        <v>3</v>
      </c>
      <c r="AU255">
        <v>7500</v>
      </c>
      <c r="AV255">
        <v>0</v>
      </c>
      <c r="AW255">
        <v>0</v>
      </c>
      <c r="AX255" s="14">
        <v>7500</v>
      </c>
      <c r="AY255" s="14">
        <v>7500</v>
      </c>
      <c r="AZ255" s="14">
        <v>0</v>
      </c>
      <c r="BA255">
        <v>0</v>
      </c>
      <c r="BB255" t="s">
        <v>22</v>
      </c>
      <c r="BC255" t="s">
        <v>128</v>
      </c>
      <c r="BD255" t="s">
        <v>434</v>
      </c>
      <c r="BE255" t="s">
        <v>130</v>
      </c>
      <c r="BG255" t="s">
        <v>971</v>
      </c>
      <c r="BH255" t="s">
        <v>132</v>
      </c>
      <c r="BJ255">
        <v>4</v>
      </c>
      <c r="BK255" t="s">
        <v>133</v>
      </c>
      <c r="BV255" t="s">
        <v>134</v>
      </c>
      <c r="BW255" s="16">
        <v>45857.519444444442</v>
      </c>
      <c r="BX255" t="s">
        <v>143</v>
      </c>
      <c r="BZ255">
        <v>11</v>
      </c>
      <c r="CA255" t="s">
        <v>972</v>
      </c>
      <c r="CB255">
        <v>0</v>
      </c>
      <c r="CF255" t="s">
        <v>357</v>
      </c>
      <c r="CG255">
        <v>2025</v>
      </c>
      <c r="CH255" t="s">
        <v>138</v>
      </c>
      <c r="CI255" t="s">
        <v>139</v>
      </c>
    </row>
    <row r="256" spans="1:87" x14ac:dyDescent="0.3">
      <c r="A256" t="s">
        <v>426</v>
      </c>
      <c r="B256" t="s">
        <v>116</v>
      </c>
      <c r="C256" t="s">
        <v>117</v>
      </c>
      <c r="D256" t="s">
        <v>118</v>
      </c>
      <c r="E256" t="s">
        <v>14</v>
      </c>
      <c r="F256" t="s">
        <v>483</v>
      </c>
      <c r="G256">
        <v>78</v>
      </c>
      <c r="H256">
        <v>0</v>
      </c>
      <c r="I256" s="14">
        <v>545000</v>
      </c>
      <c r="J256" s="14">
        <v>545000</v>
      </c>
      <c r="K256" t="s">
        <v>117</v>
      </c>
      <c r="L256" t="s">
        <v>118</v>
      </c>
      <c r="M256" t="s">
        <v>140</v>
      </c>
      <c r="N256" t="s">
        <v>952</v>
      </c>
      <c r="O256">
        <v>14.25</v>
      </c>
      <c r="P256">
        <v>0</v>
      </c>
      <c r="Q256" s="14">
        <v>50800</v>
      </c>
      <c r="R256" s="14">
        <v>50800</v>
      </c>
      <c r="Y256" s="14"/>
      <c r="Z256" s="14"/>
      <c r="AG256" s="14"/>
      <c r="AH256" s="14"/>
      <c r="AI256" t="s">
        <v>953</v>
      </c>
      <c r="AJ256" t="s">
        <v>954</v>
      </c>
      <c r="AK256" t="s">
        <v>955</v>
      </c>
      <c r="AL256">
        <v>0</v>
      </c>
      <c r="AM256" t="s">
        <v>956</v>
      </c>
      <c r="AN256" t="s">
        <v>957</v>
      </c>
      <c r="AO256" t="s">
        <v>125</v>
      </c>
      <c r="AP256" t="s">
        <v>958</v>
      </c>
      <c r="AQ256" s="15">
        <v>46021</v>
      </c>
      <c r="AR256" s="15">
        <v>45992</v>
      </c>
      <c r="AS256" t="s">
        <v>227</v>
      </c>
      <c r="AT256">
        <v>4</v>
      </c>
      <c r="AU256">
        <v>6000</v>
      </c>
      <c r="AV256">
        <v>0</v>
      </c>
      <c r="AW256">
        <v>0</v>
      </c>
      <c r="AX256" s="14">
        <v>6000</v>
      </c>
      <c r="AY256" s="14">
        <v>6000</v>
      </c>
      <c r="AZ256" s="14">
        <v>0</v>
      </c>
      <c r="BA256">
        <v>0</v>
      </c>
      <c r="BB256" t="s">
        <v>22</v>
      </c>
      <c r="BC256" t="s">
        <v>128</v>
      </c>
      <c r="BD256" t="s">
        <v>434</v>
      </c>
      <c r="BE256" t="s">
        <v>287</v>
      </c>
      <c r="BG256" t="s">
        <v>961</v>
      </c>
      <c r="BH256" t="s">
        <v>132</v>
      </c>
      <c r="BJ256">
        <v>4</v>
      </c>
      <c r="BK256" t="s">
        <v>133</v>
      </c>
      <c r="BV256" t="s">
        <v>134</v>
      </c>
      <c r="BW256" s="16">
        <v>45857.519444444442</v>
      </c>
      <c r="BX256" t="s">
        <v>143</v>
      </c>
      <c r="BZ256">
        <v>11</v>
      </c>
      <c r="CA256" t="s">
        <v>973</v>
      </c>
      <c r="CB256">
        <v>0</v>
      </c>
      <c r="CF256" t="s">
        <v>357</v>
      </c>
      <c r="CG256">
        <v>2025</v>
      </c>
      <c r="CH256" t="s">
        <v>138</v>
      </c>
      <c r="CI256" t="s">
        <v>139</v>
      </c>
    </row>
    <row r="257" spans="1:87" x14ac:dyDescent="0.3">
      <c r="A257" t="s">
        <v>165</v>
      </c>
      <c r="B257" t="s">
        <v>116</v>
      </c>
      <c r="C257" t="s">
        <v>117</v>
      </c>
      <c r="D257" t="s">
        <v>118</v>
      </c>
      <c r="E257" t="s">
        <v>14</v>
      </c>
      <c r="F257" t="s">
        <v>974</v>
      </c>
      <c r="G257">
        <v>67</v>
      </c>
      <c r="H257">
        <v>0</v>
      </c>
      <c r="I257" s="14">
        <v>460000</v>
      </c>
      <c r="J257" s="14">
        <v>460000</v>
      </c>
      <c r="K257" t="s">
        <v>117</v>
      </c>
      <c r="L257" t="s">
        <v>118</v>
      </c>
      <c r="M257" t="s">
        <v>140</v>
      </c>
      <c r="N257" t="s">
        <v>952</v>
      </c>
      <c r="O257">
        <v>12.5</v>
      </c>
      <c r="P257">
        <v>0</v>
      </c>
      <c r="Q257" s="14">
        <v>47500</v>
      </c>
      <c r="R257" s="14">
        <v>47500</v>
      </c>
      <c r="S257" t="s">
        <v>117</v>
      </c>
      <c r="T257" t="s">
        <v>118</v>
      </c>
      <c r="U257" t="s">
        <v>168</v>
      </c>
      <c r="V257" t="s">
        <v>975</v>
      </c>
      <c r="W257">
        <v>6</v>
      </c>
      <c r="X257">
        <v>0</v>
      </c>
      <c r="Y257" s="14">
        <v>21700</v>
      </c>
      <c r="Z257" s="14">
        <v>21700</v>
      </c>
      <c r="AA257" t="s">
        <v>117</v>
      </c>
      <c r="AB257" t="s">
        <v>118</v>
      </c>
      <c r="AC257" t="s">
        <v>168</v>
      </c>
      <c r="AD257" t="s">
        <v>976</v>
      </c>
      <c r="AE257">
        <v>2.62</v>
      </c>
      <c r="AF257">
        <v>0</v>
      </c>
      <c r="AG257" s="14">
        <v>9500</v>
      </c>
      <c r="AH257" s="14">
        <v>9500</v>
      </c>
      <c r="AI257" t="s">
        <v>977</v>
      </c>
      <c r="AJ257" t="s">
        <v>978</v>
      </c>
      <c r="AK257" t="s">
        <v>979</v>
      </c>
      <c r="AM257" t="s">
        <v>980</v>
      </c>
      <c r="AN257" t="s">
        <v>981</v>
      </c>
      <c r="AO257" t="s">
        <v>125</v>
      </c>
      <c r="AP257" t="s">
        <v>318</v>
      </c>
      <c r="AQ257" s="15">
        <v>45756</v>
      </c>
      <c r="AR257" s="15">
        <v>45756</v>
      </c>
      <c r="AS257" t="s">
        <v>127</v>
      </c>
      <c r="AT257">
        <v>1</v>
      </c>
      <c r="AU257">
        <v>3000</v>
      </c>
      <c r="AV257">
        <v>0</v>
      </c>
      <c r="AW257">
        <v>0</v>
      </c>
      <c r="AX257" s="14">
        <v>3000</v>
      </c>
      <c r="AY257" s="14">
        <v>3000</v>
      </c>
      <c r="AZ257" s="14">
        <v>0</v>
      </c>
      <c r="BA257">
        <v>0</v>
      </c>
      <c r="BB257" t="s">
        <v>22</v>
      </c>
      <c r="BC257" t="s">
        <v>175</v>
      </c>
      <c r="BD257" t="s">
        <v>176</v>
      </c>
      <c r="BG257" t="s">
        <v>982</v>
      </c>
      <c r="BH257" t="s">
        <v>132</v>
      </c>
      <c r="BJ257">
        <v>1</v>
      </c>
      <c r="BK257" t="s">
        <v>133</v>
      </c>
      <c r="BV257" t="s">
        <v>134</v>
      </c>
      <c r="BW257" s="16">
        <v>45761.406944444447</v>
      </c>
      <c r="BX257" t="s">
        <v>143</v>
      </c>
      <c r="BZ257">
        <v>38</v>
      </c>
      <c r="CA257" t="s">
        <v>983</v>
      </c>
      <c r="CB257">
        <v>0</v>
      </c>
      <c r="CF257" t="s">
        <v>357</v>
      </c>
      <c r="CG257">
        <v>2025</v>
      </c>
      <c r="CH257" t="s">
        <v>138</v>
      </c>
      <c r="CI257" t="s">
        <v>139</v>
      </c>
    </row>
    <row r="258" spans="1:87" x14ac:dyDescent="0.3">
      <c r="A258" t="s">
        <v>165</v>
      </c>
      <c r="B258" t="s">
        <v>116</v>
      </c>
      <c r="C258" t="s">
        <v>117</v>
      </c>
      <c r="D258" t="s">
        <v>118</v>
      </c>
      <c r="E258" t="s">
        <v>14</v>
      </c>
      <c r="F258" t="s">
        <v>974</v>
      </c>
      <c r="G258">
        <v>67</v>
      </c>
      <c r="H258">
        <v>0</v>
      </c>
      <c r="I258" s="14">
        <v>460000</v>
      </c>
      <c r="J258" s="14">
        <v>460000</v>
      </c>
      <c r="K258" t="s">
        <v>117</v>
      </c>
      <c r="L258" t="s">
        <v>118</v>
      </c>
      <c r="M258" t="s">
        <v>140</v>
      </c>
      <c r="N258" t="s">
        <v>952</v>
      </c>
      <c r="O258">
        <v>12.5</v>
      </c>
      <c r="P258">
        <v>0</v>
      </c>
      <c r="Q258" s="14">
        <v>47500</v>
      </c>
      <c r="R258" s="14">
        <v>47500</v>
      </c>
      <c r="S258" t="s">
        <v>117</v>
      </c>
      <c r="T258" t="s">
        <v>118</v>
      </c>
      <c r="U258" t="s">
        <v>168</v>
      </c>
      <c r="V258" t="s">
        <v>975</v>
      </c>
      <c r="W258">
        <v>6</v>
      </c>
      <c r="X258">
        <v>0</v>
      </c>
      <c r="Y258" s="14">
        <v>21700</v>
      </c>
      <c r="Z258" s="14">
        <v>21700</v>
      </c>
      <c r="AA258" t="s">
        <v>117</v>
      </c>
      <c r="AB258" t="s">
        <v>118</v>
      </c>
      <c r="AC258" t="s">
        <v>168</v>
      </c>
      <c r="AD258" t="s">
        <v>976</v>
      </c>
      <c r="AE258">
        <v>2.62</v>
      </c>
      <c r="AF258">
        <v>0</v>
      </c>
      <c r="AG258" s="14">
        <v>9500</v>
      </c>
      <c r="AH258" s="14">
        <v>9500</v>
      </c>
      <c r="AI258" t="s">
        <v>977</v>
      </c>
      <c r="AJ258" t="s">
        <v>978</v>
      </c>
      <c r="AK258" t="s">
        <v>979</v>
      </c>
      <c r="AM258" t="s">
        <v>980</v>
      </c>
      <c r="AN258" t="s">
        <v>981</v>
      </c>
      <c r="AO258" t="s">
        <v>125</v>
      </c>
      <c r="AP258" t="s">
        <v>318</v>
      </c>
      <c r="AQ258" s="15">
        <v>45761</v>
      </c>
      <c r="AR258" s="15">
        <v>45761</v>
      </c>
      <c r="AS258" t="s">
        <v>145</v>
      </c>
      <c r="AT258">
        <v>2</v>
      </c>
      <c r="AU258">
        <v>104340</v>
      </c>
      <c r="AV258">
        <v>0</v>
      </c>
      <c r="AW258">
        <v>0</v>
      </c>
      <c r="AX258" s="14">
        <v>104340</v>
      </c>
      <c r="AY258" s="14">
        <v>104340</v>
      </c>
      <c r="AZ258" s="14">
        <v>0</v>
      </c>
      <c r="BA258">
        <v>0</v>
      </c>
      <c r="BB258" t="s">
        <v>22</v>
      </c>
      <c r="BC258" t="s">
        <v>175</v>
      </c>
      <c r="BD258" t="s">
        <v>176</v>
      </c>
      <c r="BG258" t="s">
        <v>984</v>
      </c>
      <c r="BH258" t="s">
        <v>132</v>
      </c>
      <c r="BJ258">
        <v>1</v>
      </c>
      <c r="BK258" t="s">
        <v>133</v>
      </c>
      <c r="BV258" t="s">
        <v>134</v>
      </c>
      <c r="BW258" s="16">
        <v>45761.406944444447</v>
      </c>
      <c r="BX258" t="s">
        <v>143</v>
      </c>
      <c r="BZ258">
        <v>38</v>
      </c>
      <c r="CA258" t="s">
        <v>983</v>
      </c>
      <c r="CB258">
        <v>0</v>
      </c>
      <c r="CF258" t="s">
        <v>357</v>
      </c>
      <c r="CG258">
        <v>2025</v>
      </c>
      <c r="CH258" t="s">
        <v>138</v>
      </c>
      <c r="CI258" t="s">
        <v>139</v>
      </c>
    </row>
    <row r="259" spans="1:87" x14ac:dyDescent="0.3">
      <c r="A259" t="s">
        <v>165</v>
      </c>
      <c r="B259" t="s">
        <v>116</v>
      </c>
      <c r="C259" t="s">
        <v>117</v>
      </c>
      <c r="D259" t="s">
        <v>118</v>
      </c>
      <c r="E259" t="s">
        <v>14</v>
      </c>
      <c r="F259" t="s">
        <v>974</v>
      </c>
      <c r="G259">
        <v>67</v>
      </c>
      <c r="H259">
        <v>0</v>
      </c>
      <c r="I259" s="14">
        <v>460000</v>
      </c>
      <c r="J259" s="14">
        <v>460000</v>
      </c>
      <c r="K259" t="s">
        <v>117</v>
      </c>
      <c r="L259" t="s">
        <v>118</v>
      </c>
      <c r="M259" t="s">
        <v>140</v>
      </c>
      <c r="N259" t="s">
        <v>952</v>
      </c>
      <c r="O259">
        <v>12.5</v>
      </c>
      <c r="P259">
        <v>0</v>
      </c>
      <c r="Q259" s="14">
        <v>47500</v>
      </c>
      <c r="R259" s="14">
        <v>47500</v>
      </c>
      <c r="S259" t="s">
        <v>117</v>
      </c>
      <c r="T259" t="s">
        <v>118</v>
      </c>
      <c r="U259" t="s">
        <v>168</v>
      </c>
      <c r="V259" t="s">
        <v>975</v>
      </c>
      <c r="W259">
        <v>6</v>
      </c>
      <c r="X259">
        <v>0</v>
      </c>
      <c r="Y259" s="14">
        <v>21700</v>
      </c>
      <c r="Z259" s="14">
        <v>21700</v>
      </c>
      <c r="AA259" t="s">
        <v>117</v>
      </c>
      <c r="AB259" t="s">
        <v>118</v>
      </c>
      <c r="AC259" t="s">
        <v>168</v>
      </c>
      <c r="AD259" t="s">
        <v>976</v>
      </c>
      <c r="AE259">
        <v>2.62</v>
      </c>
      <c r="AF259">
        <v>0</v>
      </c>
      <c r="AG259" s="14">
        <v>9500</v>
      </c>
      <c r="AH259" s="14">
        <v>9500</v>
      </c>
      <c r="AI259" t="s">
        <v>977</v>
      </c>
      <c r="AJ259" t="s">
        <v>978</v>
      </c>
      <c r="AK259" t="s">
        <v>979</v>
      </c>
      <c r="AM259" t="s">
        <v>980</v>
      </c>
      <c r="AN259" t="s">
        <v>981</v>
      </c>
      <c r="AO259" t="s">
        <v>125</v>
      </c>
      <c r="AP259" t="s">
        <v>318</v>
      </c>
      <c r="AQ259" s="15">
        <v>45800</v>
      </c>
      <c r="AR259" s="15">
        <v>45800</v>
      </c>
      <c r="AS259" t="s">
        <v>145</v>
      </c>
      <c r="AT259">
        <v>3</v>
      </c>
      <c r="AU259">
        <v>104340</v>
      </c>
      <c r="AV259">
        <v>0</v>
      </c>
      <c r="AW259">
        <v>0</v>
      </c>
      <c r="AX259" s="14">
        <v>104340</v>
      </c>
      <c r="AY259" s="14">
        <v>104340</v>
      </c>
      <c r="AZ259" s="14">
        <v>0</v>
      </c>
      <c r="BA259">
        <v>0</v>
      </c>
      <c r="BB259" t="s">
        <v>22</v>
      </c>
      <c r="BC259" t="s">
        <v>175</v>
      </c>
      <c r="BD259" t="s">
        <v>176</v>
      </c>
      <c r="BG259" t="s">
        <v>985</v>
      </c>
      <c r="BH259" t="s">
        <v>132</v>
      </c>
      <c r="BJ259">
        <v>1</v>
      </c>
      <c r="BK259" t="s">
        <v>133</v>
      </c>
      <c r="BV259" t="s">
        <v>134</v>
      </c>
      <c r="BW259" s="16">
        <v>45761.406944444447</v>
      </c>
      <c r="BX259" t="s">
        <v>143</v>
      </c>
      <c r="BZ259">
        <v>38</v>
      </c>
      <c r="CA259" t="s">
        <v>983</v>
      </c>
      <c r="CB259">
        <v>0</v>
      </c>
      <c r="CF259" t="s">
        <v>357</v>
      </c>
      <c r="CG259">
        <v>2025</v>
      </c>
      <c r="CH259" t="s">
        <v>138</v>
      </c>
      <c r="CI259" t="s">
        <v>139</v>
      </c>
    </row>
    <row r="260" spans="1:87" x14ac:dyDescent="0.3">
      <c r="A260" t="s">
        <v>165</v>
      </c>
      <c r="B260" t="s">
        <v>116</v>
      </c>
      <c r="C260" t="s">
        <v>117</v>
      </c>
      <c r="D260" t="s">
        <v>118</v>
      </c>
      <c r="E260" t="s">
        <v>14</v>
      </c>
      <c r="F260" t="s">
        <v>974</v>
      </c>
      <c r="G260">
        <v>67</v>
      </c>
      <c r="H260">
        <v>0</v>
      </c>
      <c r="I260" s="14">
        <v>460000</v>
      </c>
      <c r="J260" s="14">
        <v>460000</v>
      </c>
      <c r="K260" t="s">
        <v>117</v>
      </c>
      <c r="L260" t="s">
        <v>118</v>
      </c>
      <c r="M260" t="s">
        <v>140</v>
      </c>
      <c r="N260" t="s">
        <v>952</v>
      </c>
      <c r="O260">
        <v>12.5</v>
      </c>
      <c r="P260">
        <v>0</v>
      </c>
      <c r="Q260" s="14">
        <v>47500</v>
      </c>
      <c r="R260" s="14">
        <v>47500</v>
      </c>
      <c r="S260" t="s">
        <v>117</v>
      </c>
      <c r="T260" t="s">
        <v>118</v>
      </c>
      <c r="U260" t="s">
        <v>168</v>
      </c>
      <c r="V260" t="s">
        <v>975</v>
      </c>
      <c r="W260">
        <v>6</v>
      </c>
      <c r="X260">
        <v>0</v>
      </c>
      <c r="Y260" s="14">
        <v>21700</v>
      </c>
      <c r="Z260" s="14">
        <v>21700</v>
      </c>
      <c r="AA260" t="s">
        <v>117</v>
      </c>
      <c r="AB260" t="s">
        <v>118</v>
      </c>
      <c r="AC260" t="s">
        <v>168</v>
      </c>
      <c r="AD260" t="s">
        <v>976</v>
      </c>
      <c r="AE260">
        <v>2.62</v>
      </c>
      <c r="AF260">
        <v>0</v>
      </c>
      <c r="AG260" s="14">
        <v>9500</v>
      </c>
      <c r="AH260" s="14">
        <v>9500</v>
      </c>
      <c r="AI260" t="s">
        <v>977</v>
      </c>
      <c r="AJ260" t="s">
        <v>978</v>
      </c>
      <c r="AK260" t="s">
        <v>979</v>
      </c>
      <c r="AM260" t="s">
        <v>980</v>
      </c>
      <c r="AN260" t="s">
        <v>981</v>
      </c>
      <c r="AO260" t="s">
        <v>125</v>
      </c>
      <c r="AP260" t="s">
        <v>318</v>
      </c>
      <c r="AQ260" s="15">
        <v>45800</v>
      </c>
      <c r="AR260" s="15">
        <v>45800</v>
      </c>
      <c r="AS260" t="s">
        <v>227</v>
      </c>
      <c r="AT260">
        <v>4</v>
      </c>
      <c r="AU260">
        <v>9500</v>
      </c>
      <c r="AV260">
        <v>0</v>
      </c>
      <c r="AW260">
        <v>0</v>
      </c>
      <c r="AX260" s="14">
        <v>9500</v>
      </c>
      <c r="AY260" s="14">
        <v>9500</v>
      </c>
      <c r="AZ260" s="14">
        <v>0</v>
      </c>
      <c r="BA260">
        <v>0</v>
      </c>
      <c r="BB260" t="s">
        <v>22</v>
      </c>
      <c r="BC260" t="s">
        <v>175</v>
      </c>
      <c r="BD260" t="s">
        <v>176</v>
      </c>
      <c r="BG260" t="s">
        <v>986</v>
      </c>
      <c r="BH260" t="s">
        <v>132</v>
      </c>
      <c r="BJ260">
        <v>1</v>
      </c>
      <c r="BK260" t="s">
        <v>133</v>
      </c>
      <c r="BV260" t="s">
        <v>134</v>
      </c>
      <c r="BW260" s="16">
        <v>45761.406944444447</v>
      </c>
      <c r="BX260" t="s">
        <v>143</v>
      </c>
      <c r="BZ260">
        <v>38</v>
      </c>
      <c r="CA260" t="s">
        <v>983</v>
      </c>
      <c r="CB260">
        <v>0</v>
      </c>
      <c r="CF260" t="s">
        <v>357</v>
      </c>
      <c r="CG260">
        <v>2025</v>
      </c>
      <c r="CH260" t="s">
        <v>138</v>
      </c>
      <c r="CI260" t="s">
        <v>139</v>
      </c>
    </row>
    <row r="261" spans="1:87" x14ac:dyDescent="0.3">
      <c r="A261" t="s">
        <v>165</v>
      </c>
      <c r="B261" t="s">
        <v>116</v>
      </c>
      <c r="C261" t="s">
        <v>117</v>
      </c>
      <c r="D261" t="s">
        <v>118</v>
      </c>
      <c r="E261" t="s">
        <v>14</v>
      </c>
      <c r="F261" t="s">
        <v>974</v>
      </c>
      <c r="G261">
        <v>67</v>
      </c>
      <c r="H261">
        <v>0</v>
      </c>
      <c r="I261" s="14">
        <v>460000</v>
      </c>
      <c r="J261" s="14">
        <v>460000</v>
      </c>
      <c r="K261" t="s">
        <v>117</v>
      </c>
      <c r="L261" t="s">
        <v>118</v>
      </c>
      <c r="M261" t="s">
        <v>140</v>
      </c>
      <c r="N261" t="s">
        <v>952</v>
      </c>
      <c r="O261">
        <v>12.5</v>
      </c>
      <c r="P261">
        <v>0</v>
      </c>
      <c r="Q261" s="14">
        <v>47500</v>
      </c>
      <c r="R261" s="14">
        <v>47500</v>
      </c>
      <c r="S261" t="s">
        <v>117</v>
      </c>
      <c r="T261" t="s">
        <v>118</v>
      </c>
      <c r="U261" t="s">
        <v>168</v>
      </c>
      <c r="V261" t="s">
        <v>975</v>
      </c>
      <c r="W261">
        <v>6</v>
      </c>
      <c r="X261">
        <v>0</v>
      </c>
      <c r="Y261" s="14">
        <v>21700</v>
      </c>
      <c r="Z261" s="14">
        <v>21700</v>
      </c>
      <c r="AA261" t="s">
        <v>117</v>
      </c>
      <c r="AB261" t="s">
        <v>118</v>
      </c>
      <c r="AC261" t="s">
        <v>168</v>
      </c>
      <c r="AD261" t="s">
        <v>976</v>
      </c>
      <c r="AE261">
        <v>2.62</v>
      </c>
      <c r="AF261">
        <v>0</v>
      </c>
      <c r="AG261" s="14">
        <v>9500</v>
      </c>
      <c r="AH261" s="14">
        <v>9500</v>
      </c>
      <c r="AI261" t="s">
        <v>977</v>
      </c>
      <c r="AJ261" t="s">
        <v>978</v>
      </c>
      <c r="AK261" t="s">
        <v>979</v>
      </c>
      <c r="AM261" t="s">
        <v>980</v>
      </c>
      <c r="AN261" t="s">
        <v>981</v>
      </c>
      <c r="AO261" t="s">
        <v>125</v>
      </c>
      <c r="AP261" t="s">
        <v>318</v>
      </c>
      <c r="AQ261" s="15">
        <v>45819</v>
      </c>
      <c r="AR261" s="15">
        <v>45819</v>
      </c>
      <c r="AS261" t="s">
        <v>227</v>
      </c>
      <c r="AT261">
        <v>5</v>
      </c>
      <c r="AU261">
        <v>21168</v>
      </c>
      <c r="AV261">
        <v>0</v>
      </c>
      <c r="AW261">
        <v>0</v>
      </c>
      <c r="AX261" s="14">
        <v>21168</v>
      </c>
      <c r="AY261" s="14">
        <v>21168</v>
      </c>
      <c r="AZ261" s="14">
        <v>0</v>
      </c>
      <c r="BA261">
        <v>0</v>
      </c>
      <c r="BB261" t="s">
        <v>22</v>
      </c>
      <c r="BC261" t="s">
        <v>175</v>
      </c>
      <c r="BD261" t="s">
        <v>176</v>
      </c>
      <c r="BG261" t="s">
        <v>987</v>
      </c>
      <c r="BH261" t="s">
        <v>132</v>
      </c>
      <c r="BJ261">
        <v>1</v>
      </c>
      <c r="BK261" t="s">
        <v>133</v>
      </c>
      <c r="BV261" t="s">
        <v>134</v>
      </c>
      <c r="BW261" s="16">
        <v>45761.406944444447</v>
      </c>
      <c r="BX261" t="s">
        <v>143</v>
      </c>
      <c r="BZ261">
        <v>38</v>
      </c>
      <c r="CA261" t="s">
        <v>983</v>
      </c>
      <c r="CB261">
        <v>0</v>
      </c>
      <c r="CF261" t="s">
        <v>357</v>
      </c>
      <c r="CG261">
        <v>2025</v>
      </c>
      <c r="CH261" t="s">
        <v>138</v>
      </c>
      <c r="CI261" t="s">
        <v>139</v>
      </c>
    </row>
    <row r="262" spans="1:87" x14ac:dyDescent="0.3">
      <c r="A262" t="s">
        <v>165</v>
      </c>
      <c r="B262" t="s">
        <v>116</v>
      </c>
      <c r="C262" t="s">
        <v>117</v>
      </c>
      <c r="D262" t="s">
        <v>118</v>
      </c>
      <c r="E262" t="s">
        <v>14</v>
      </c>
      <c r="F262" t="s">
        <v>974</v>
      </c>
      <c r="G262">
        <v>67</v>
      </c>
      <c r="H262">
        <v>0</v>
      </c>
      <c r="I262" s="14">
        <v>460000</v>
      </c>
      <c r="J262" s="14">
        <v>460000</v>
      </c>
      <c r="K262" t="s">
        <v>117</v>
      </c>
      <c r="L262" t="s">
        <v>118</v>
      </c>
      <c r="M262" t="s">
        <v>140</v>
      </c>
      <c r="N262" t="s">
        <v>952</v>
      </c>
      <c r="O262">
        <v>12.5</v>
      </c>
      <c r="P262">
        <v>0</v>
      </c>
      <c r="Q262" s="14">
        <v>47500</v>
      </c>
      <c r="R262" s="14">
        <v>47500</v>
      </c>
      <c r="S262" t="s">
        <v>117</v>
      </c>
      <c r="T262" t="s">
        <v>118</v>
      </c>
      <c r="U262" t="s">
        <v>168</v>
      </c>
      <c r="V262" t="s">
        <v>975</v>
      </c>
      <c r="W262">
        <v>6</v>
      </c>
      <c r="X262">
        <v>0</v>
      </c>
      <c r="Y262" s="14">
        <v>21700</v>
      </c>
      <c r="Z262" s="14">
        <v>21700</v>
      </c>
      <c r="AA262" t="s">
        <v>117</v>
      </c>
      <c r="AB262" t="s">
        <v>118</v>
      </c>
      <c r="AC262" t="s">
        <v>168</v>
      </c>
      <c r="AD262" t="s">
        <v>976</v>
      </c>
      <c r="AE262">
        <v>2.62</v>
      </c>
      <c r="AF262">
        <v>0</v>
      </c>
      <c r="AG262" s="14">
        <v>9500</v>
      </c>
      <c r="AH262" s="14">
        <v>9500</v>
      </c>
      <c r="AI262" t="s">
        <v>977</v>
      </c>
      <c r="AJ262" t="s">
        <v>978</v>
      </c>
      <c r="AK262" t="s">
        <v>979</v>
      </c>
      <c r="AM262" t="s">
        <v>980</v>
      </c>
      <c r="AN262" t="s">
        <v>981</v>
      </c>
      <c r="AO262" t="s">
        <v>125</v>
      </c>
      <c r="AP262" t="s">
        <v>318</v>
      </c>
      <c r="AQ262" s="15">
        <v>45819</v>
      </c>
      <c r="AR262" s="15">
        <v>45819</v>
      </c>
      <c r="AS262" t="s">
        <v>227</v>
      </c>
      <c r="AT262">
        <v>6</v>
      </c>
      <c r="AU262">
        <v>21168</v>
      </c>
      <c r="AV262">
        <v>0</v>
      </c>
      <c r="AW262">
        <v>0</v>
      </c>
      <c r="AX262" s="14">
        <v>21168</v>
      </c>
      <c r="AY262" s="14">
        <v>21168</v>
      </c>
      <c r="AZ262" s="14">
        <v>0</v>
      </c>
      <c r="BA262">
        <v>0</v>
      </c>
      <c r="BB262" t="s">
        <v>22</v>
      </c>
      <c r="BC262" t="s">
        <v>175</v>
      </c>
      <c r="BD262" t="s">
        <v>176</v>
      </c>
      <c r="BG262" t="s">
        <v>988</v>
      </c>
      <c r="BH262" t="s">
        <v>132</v>
      </c>
      <c r="BJ262">
        <v>1</v>
      </c>
      <c r="BK262" t="s">
        <v>133</v>
      </c>
      <c r="BV262" t="s">
        <v>134</v>
      </c>
      <c r="BW262" s="16">
        <v>45761.406944444447</v>
      </c>
      <c r="BX262" t="s">
        <v>143</v>
      </c>
      <c r="BZ262">
        <v>38</v>
      </c>
      <c r="CA262" t="s">
        <v>983</v>
      </c>
      <c r="CB262">
        <v>0</v>
      </c>
      <c r="CF262" t="s">
        <v>357</v>
      </c>
      <c r="CG262">
        <v>2025</v>
      </c>
      <c r="CH262" t="s">
        <v>138</v>
      </c>
      <c r="CI262" t="s">
        <v>139</v>
      </c>
    </row>
    <row r="263" spans="1:87" x14ac:dyDescent="0.3">
      <c r="A263" t="s">
        <v>165</v>
      </c>
      <c r="B263" t="s">
        <v>116</v>
      </c>
      <c r="C263" t="s">
        <v>117</v>
      </c>
      <c r="D263" t="s">
        <v>118</v>
      </c>
      <c r="E263" t="s">
        <v>14</v>
      </c>
      <c r="F263" t="s">
        <v>974</v>
      </c>
      <c r="G263">
        <v>67</v>
      </c>
      <c r="H263">
        <v>0</v>
      </c>
      <c r="I263" s="14">
        <v>460000</v>
      </c>
      <c r="J263" s="14">
        <v>460000</v>
      </c>
      <c r="K263" t="s">
        <v>117</v>
      </c>
      <c r="L263" t="s">
        <v>118</v>
      </c>
      <c r="M263" t="s">
        <v>140</v>
      </c>
      <c r="N263" t="s">
        <v>952</v>
      </c>
      <c r="O263">
        <v>12.5</v>
      </c>
      <c r="P263">
        <v>0</v>
      </c>
      <c r="Q263" s="14">
        <v>47500</v>
      </c>
      <c r="R263" s="14">
        <v>47500</v>
      </c>
      <c r="S263" t="s">
        <v>117</v>
      </c>
      <c r="T263" t="s">
        <v>118</v>
      </c>
      <c r="U263" t="s">
        <v>168</v>
      </c>
      <c r="V263" t="s">
        <v>975</v>
      </c>
      <c r="W263">
        <v>6</v>
      </c>
      <c r="X263">
        <v>0</v>
      </c>
      <c r="Y263" s="14">
        <v>21700</v>
      </c>
      <c r="Z263" s="14">
        <v>21700</v>
      </c>
      <c r="AA263" t="s">
        <v>117</v>
      </c>
      <c r="AB263" t="s">
        <v>118</v>
      </c>
      <c r="AC263" t="s">
        <v>168</v>
      </c>
      <c r="AD263" t="s">
        <v>976</v>
      </c>
      <c r="AE263">
        <v>2.62</v>
      </c>
      <c r="AF263">
        <v>0</v>
      </c>
      <c r="AG263" s="14">
        <v>9500</v>
      </c>
      <c r="AH263" s="14">
        <v>9500</v>
      </c>
      <c r="AI263" t="s">
        <v>977</v>
      </c>
      <c r="AJ263" t="s">
        <v>978</v>
      </c>
      <c r="AK263" t="s">
        <v>979</v>
      </c>
      <c r="AM263" t="s">
        <v>980</v>
      </c>
      <c r="AN263" t="s">
        <v>981</v>
      </c>
      <c r="AO263" t="s">
        <v>125</v>
      </c>
      <c r="AP263" t="s">
        <v>318</v>
      </c>
      <c r="AQ263" s="15">
        <v>45819</v>
      </c>
      <c r="AR263" s="15">
        <v>45819</v>
      </c>
      <c r="AS263" t="s">
        <v>227</v>
      </c>
      <c r="AT263">
        <v>7</v>
      </c>
      <c r="AU263">
        <v>21168</v>
      </c>
      <c r="AV263">
        <v>0</v>
      </c>
      <c r="AW263">
        <v>0</v>
      </c>
      <c r="AX263" s="14">
        <v>21168</v>
      </c>
      <c r="AY263" s="14">
        <v>21168</v>
      </c>
      <c r="AZ263" s="14">
        <v>0</v>
      </c>
      <c r="BA263">
        <v>0</v>
      </c>
      <c r="BB263" t="s">
        <v>22</v>
      </c>
      <c r="BC263" t="s">
        <v>175</v>
      </c>
      <c r="BD263" t="s">
        <v>176</v>
      </c>
      <c r="BG263" t="s">
        <v>989</v>
      </c>
      <c r="BH263" t="s">
        <v>132</v>
      </c>
      <c r="BJ263">
        <v>1</v>
      </c>
      <c r="BK263" t="s">
        <v>133</v>
      </c>
      <c r="BV263" t="s">
        <v>134</v>
      </c>
      <c r="BW263" s="16">
        <v>45761.406944444447</v>
      </c>
      <c r="BX263" t="s">
        <v>143</v>
      </c>
      <c r="BZ263">
        <v>38</v>
      </c>
      <c r="CA263" t="s">
        <v>983</v>
      </c>
      <c r="CB263">
        <v>0</v>
      </c>
      <c r="CF263" t="s">
        <v>357</v>
      </c>
      <c r="CG263">
        <v>2025</v>
      </c>
      <c r="CH263" t="s">
        <v>138</v>
      </c>
      <c r="CI263" t="s">
        <v>139</v>
      </c>
    </row>
    <row r="264" spans="1:87" x14ac:dyDescent="0.3">
      <c r="A264" t="s">
        <v>165</v>
      </c>
      <c r="B264" t="s">
        <v>116</v>
      </c>
      <c r="C264" t="s">
        <v>117</v>
      </c>
      <c r="D264" t="s">
        <v>118</v>
      </c>
      <c r="E264" t="s">
        <v>14</v>
      </c>
      <c r="F264" t="s">
        <v>974</v>
      </c>
      <c r="G264">
        <v>67</v>
      </c>
      <c r="H264">
        <v>0</v>
      </c>
      <c r="I264" s="14">
        <v>460000</v>
      </c>
      <c r="J264" s="14">
        <v>460000</v>
      </c>
      <c r="K264" t="s">
        <v>117</v>
      </c>
      <c r="L264" t="s">
        <v>118</v>
      </c>
      <c r="M264" t="s">
        <v>140</v>
      </c>
      <c r="N264" t="s">
        <v>952</v>
      </c>
      <c r="O264">
        <v>12.5</v>
      </c>
      <c r="P264">
        <v>0</v>
      </c>
      <c r="Q264" s="14">
        <v>47500</v>
      </c>
      <c r="R264" s="14">
        <v>47500</v>
      </c>
      <c r="S264" t="s">
        <v>117</v>
      </c>
      <c r="T264" t="s">
        <v>118</v>
      </c>
      <c r="U264" t="s">
        <v>168</v>
      </c>
      <c r="V264" t="s">
        <v>975</v>
      </c>
      <c r="W264">
        <v>6</v>
      </c>
      <c r="X264">
        <v>0</v>
      </c>
      <c r="Y264" s="14">
        <v>21700</v>
      </c>
      <c r="Z264" s="14">
        <v>21700</v>
      </c>
      <c r="AA264" t="s">
        <v>117</v>
      </c>
      <c r="AB264" t="s">
        <v>118</v>
      </c>
      <c r="AC264" t="s">
        <v>168</v>
      </c>
      <c r="AD264" t="s">
        <v>976</v>
      </c>
      <c r="AE264">
        <v>2.62</v>
      </c>
      <c r="AF264">
        <v>0</v>
      </c>
      <c r="AG264" s="14">
        <v>9500</v>
      </c>
      <c r="AH264" s="14">
        <v>9500</v>
      </c>
      <c r="AI264" t="s">
        <v>977</v>
      </c>
      <c r="AJ264" t="s">
        <v>978</v>
      </c>
      <c r="AK264" t="s">
        <v>979</v>
      </c>
      <c r="AM264" t="s">
        <v>980</v>
      </c>
      <c r="AN264" t="s">
        <v>981</v>
      </c>
      <c r="AO264" t="s">
        <v>125</v>
      </c>
      <c r="AP264" t="s">
        <v>318</v>
      </c>
      <c r="AQ264" s="15">
        <v>45819</v>
      </c>
      <c r="AR264" s="15">
        <v>45819</v>
      </c>
      <c r="AS264" t="s">
        <v>227</v>
      </c>
      <c r="AT264">
        <v>8</v>
      </c>
      <c r="AU264">
        <v>21168</v>
      </c>
      <c r="AV264">
        <v>0</v>
      </c>
      <c r="AW264">
        <v>0</v>
      </c>
      <c r="AX264" s="14">
        <v>21168</v>
      </c>
      <c r="AY264" s="14">
        <v>21168</v>
      </c>
      <c r="AZ264" s="14">
        <v>0</v>
      </c>
      <c r="BA264">
        <v>0</v>
      </c>
      <c r="BB264" t="s">
        <v>22</v>
      </c>
      <c r="BC264" t="s">
        <v>175</v>
      </c>
      <c r="BD264" t="s">
        <v>176</v>
      </c>
      <c r="BG264" t="s">
        <v>990</v>
      </c>
      <c r="BH264" t="s">
        <v>132</v>
      </c>
      <c r="BJ264">
        <v>1</v>
      </c>
      <c r="BK264" t="s">
        <v>133</v>
      </c>
      <c r="BV264" t="s">
        <v>134</v>
      </c>
      <c r="BW264" s="16">
        <v>45761.406944444447</v>
      </c>
      <c r="BX264" t="s">
        <v>143</v>
      </c>
      <c r="BZ264">
        <v>38</v>
      </c>
      <c r="CA264" t="s">
        <v>983</v>
      </c>
      <c r="CB264">
        <v>0</v>
      </c>
      <c r="CF264" t="s">
        <v>357</v>
      </c>
      <c r="CG264">
        <v>2025</v>
      </c>
      <c r="CH264" t="s">
        <v>138</v>
      </c>
      <c r="CI264" t="s">
        <v>139</v>
      </c>
    </row>
    <row r="265" spans="1:87" x14ac:dyDescent="0.3">
      <c r="A265" t="s">
        <v>165</v>
      </c>
      <c r="B265" t="s">
        <v>116</v>
      </c>
      <c r="C265" t="s">
        <v>117</v>
      </c>
      <c r="D265" t="s">
        <v>118</v>
      </c>
      <c r="E265" t="s">
        <v>14</v>
      </c>
      <c r="F265" t="s">
        <v>974</v>
      </c>
      <c r="G265">
        <v>67</v>
      </c>
      <c r="H265">
        <v>0</v>
      </c>
      <c r="I265" s="14">
        <v>460000</v>
      </c>
      <c r="J265" s="14">
        <v>460000</v>
      </c>
      <c r="K265" t="s">
        <v>117</v>
      </c>
      <c r="L265" t="s">
        <v>118</v>
      </c>
      <c r="M265" t="s">
        <v>140</v>
      </c>
      <c r="N265" t="s">
        <v>952</v>
      </c>
      <c r="O265">
        <v>12.5</v>
      </c>
      <c r="P265">
        <v>0</v>
      </c>
      <c r="Q265" s="14">
        <v>47500</v>
      </c>
      <c r="R265" s="14">
        <v>47500</v>
      </c>
      <c r="S265" t="s">
        <v>117</v>
      </c>
      <c r="T265" t="s">
        <v>118</v>
      </c>
      <c r="U265" t="s">
        <v>168</v>
      </c>
      <c r="V265" t="s">
        <v>975</v>
      </c>
      <c r="W265">
        <v>6</v>
      </c>
      <c r="X265">
        <v>0</v>
      </c>
      <c r="Y265" s="14">
        <v>21700</v>
      </c>
      <c r="Z265" s="14">
        <v>21700</v>
      </c>
      <c r="AA265" t="s">
        <v>117</v>
      </c>
      <c r="AB265" t="s">
        <v>118</v>
      </c>
      <c r="AC265" t="s">
        <v>168</v>
      </c>
      <c r="AD265" t="s">
        <v>976</v>
      </c>
      <c r="AE265">
        <v>2.62</v>
      </c>
      <c r="AF265">
        <v>0</v>
      </c>
      <c r="AG265" s="14">
        <v>9500</v>
      </c>
      <c r="AH265" s="14">
        <v>9500</v>
      </c>
      <c r="AI265" t="s">
        <v>977</v>
      </c>
      <c r="AJ265" t="s">
        <v>978</v>
      </c>
      <c r="AK265" t="s">
        <v>979</v>
      </c>
      <c r="AM265" t="s">
        <v>980</v>
      </c>
      <c r="AN265" t="s">
        <v>981</v>
      </c>
      <c r="AO265" t="s">
        <v>125</v>
      </c>
      <c r="AP265" t="s">
        <v>318</v>
      </c>
      <c r="AQ265" s="15">
        <v>45819</v>
      </c>
      <c r="AR265" s="15">
        <v>45819</v>
      </c>
      <c r="AS265" t="s">
        <v>227</v>
      </c>
      <c r="AT265">
        <v>9</v>
      </c>
      <c r="AU265">
        <v>21168</v>
      </c>
      <c r="AV265">
        <v>0</v>
      </c>
      <c r="AW265">
        <v>0</v>
      </c>
      <c r="AX265" s="14">
        <v>21168</v>
      </c>
      <c r="AY265" s="14">
        <v>21168</v>
      </c>
      <c r="AZ265" s="14">
        <v>0</v>
      </c>
      <c r="BA265">
        <v>0</v>
      </c>
      <c r="BB265" t="s">
        <v>22</v>
      </c>
      <c r="BC265" t="s">
        <v>175</v>
      </c>
      <c r="BD265" t="s">
        <v>176</v>
      </c>
      <c r="BG265" t="s">
        <v>991</v>
      </c>
      <c r="BH265" t="s">
        <v>132</v>
      </c>
      <c r="BJ265">
        <v>1</v>
      </c>
      <c r="BK265" t="s">
        <v>133</v>
      </c>
      <c r="BV265" t="s">
        <v>134</v>
      </c>
      <c r="BW265" s="16">
        <v>45761.406944444447</v>
      </c>
      <c r="BX265" t="s">
        <v>143</v>
      </c>
      <c r="BZ265">
        <v>38</v>
      </c>
      <c r="CA265" t="s">
        <v>983</v>
      </c>
      <c r="CB265">
        <v>0</v>
      </c>
      <c r="CF265" t="s">
        <v>357</v>
      </c>
      <c r="CG265">
        <v>2025</v>
      </c>
      <c r="CH265" t="s">
        <v>138</v>
      </c>
      <c r="CI265" t="s">
        <v>139</v>
      </c>
    </row>
    <row r="266" spans="1:87" x14ac:dyDescent="0.3">
      <c r="A266" t="s">
        <v>165</v>
      </c>
      <c r="B266" t="s">
        <v>116</v>
      </c>
      <c r="C266" t="s">
        <v>117</v>
      </c>
      <c r="D266" t="s">
        <v>118</v>
      </c>
      <c r="E266" t="s">
        <v>14</v>
      </c>
      <c r="F266" t="s">
        <v>974</v>
      </c>
      <c r="G266">
        <v>67</v>
      </c>
      <c r="H266">
        <v>0</v>
      </c>
      <c r="I266" s="14">
        <v>460000</v>
      </c>
      <c r="J266" s="14">
        <v>460000</v>
      </c>
      <c r="K266" t="s">
        <v>117</v>
      </c>
      <c r="L266" t="s">
        <v>118</v>
      </c>
      <c r="M266" t="s">
        <v>140</v>
      </c>
      <c r="N266" t="s">
        <v>952</v>
      </c>
      <c r="O266">
        <v>12.5</v>
      </c>
      <c r="P266">
        <v>0</v>
      </c>
      <c r="Q266" s="14">
        <v>47500</v>
      </c>
      <c r="R266" s="14">
        <v>47500</v>
      </c>
      <c r="S266" t="s">
        <v>117</v>
      </c>
      <c r="T266" t="s">
        <v>118</v>
      </c>
      <c r="U266" t="s">
        <v>168</v>
      </c>
      <c r="V266" t="s">
        <v>975</v>
      </c>
      <c r="W266">
        <v>6</v>
      </c>
      <c r="X266">
        <v>0</v>
      </c>
      <c r="Y266" s="14">
        <v>21700</v>
      </c>
      <c r="Z266" s="14">
        <v>21700</v>
      </c>
      <c r="AA266" t="s">
        <v>117</v>
      </c>
      <c r="AB266" t="s">
        <v>118</v>
      </c>
      <c r="AC266" t="s">
        <v>168</v>
      </c>
      <c r="AD266" t="s">
        <v>976</v>
      </c>
      <c r="AE266">
        <v>2.62</v>
      </c>
      <c r="AF266">
        <v>0</v>
      </c>
      <c r="AG266" s="14">
        <v>9500</v>
      </c>
      <c r="AH266" s="14">
        <v>9500</v>
      </c>
      <c r="AI266" t="s">
        <v>977</v>
      </c>
      <c r="AJ266" t="s">
        <v>978</v>
      </c>
      <c r="AK266" t="s">
        <v>979</v>
      </c>
      <c r="AM266" t="s">
        <v>980</v>
      </c>
      <c r="AN266" t="s">
        <v>981</v>
      </c>
      <c r="AO266" t="s">
        <v>125</v>
      </c>
      <c r="AP266" t="s">
        <v>318</v>
      </c>
      <c r="AQ266" s="15">
        <v>45819</v>
      </c>
      <c r="AR266" s="15">
        <v>45819</v>
      </c>
      <c r="AS266" t="s">
        <v>227</v>
      </c>
      <c r="AT266">
        <v>10</v>
      </c>
      <c r="AU266">
        <v>21168</v>
      </c>
      <c r="AV266">
        <v>0</v>
      </c>
      <c r="AW266">
        <v>0</v>
      </c>
      <c r="AX266" s="14">
        <v>21168</v>
      </c>
      <c r="AY266" s="14">
        <v>21168</v>
      </c>
      <c r="AZ266" s="14">
        <v>0</v>
      </c>
      <c r="BA266">
        <v>0</v>
      </c>
      <c r="BB266" t="s">
        <v>22</v>
      </c>
      <c r="BC266" t="s">
        <v>175</v>
      </c>
      <c r="BD266" t="s">
        <v>176</v>
      </c>
      <c r="BG266" t="s">
        <v>992</v>
      </c>
      <c r="BH266" t="s">
        <v>132</v>
      </c>
      <c r="BJ266">
        <v>1</v>
      </c>
      <c r="BK266" t="s">
        <v>133</v>
      </c>
      <c r="BV266" t="s">
        <v>134</v>
      </c>
      <c r="BW266" s="16">
        <v>45761.406944444447</v>
      </c>
      <c r="BX266" t="s">
        <v>143</v>
      </c>
      <c r="BZ266">
        <v>38</v>
      </c>
      <c r="CA266" t="s">
        <v>983</v>
      </c>
      <c r="CB266">
        <v>0</v>
      </c>
      <c r="CF266" t="s">
        <v>357</v>
      </c>
      <c r="CG266">
        <v>2025</v>
      </c>
      <c r="CH266" t="s">
        <v>138</v>
      </c>
      <c r="CI266" t="s">
        <v>139</v>
      </c>
    </row>
    <row r="267" spans="1:87" x14ac:dyDescent="0.3">
      <c r="A267" t="s">
        <v>115</v>
      </c>
      <c r="B267" t="s">
        <v>116</v>
      </c>
      <c r="C267" t="s">
        <v>117</v>
      </c>
      <c r="D267" t="s">
        <v>118</v>
      </c>
      <c r="E267" t="s">
        <v>14</v>
      </c>
      <c r="F267" t="s">
        <v>993</v>
      </c>
      <c r="G267">
        <v>88</v>
      </c>
      <c r="H267">
        <v>0</v>
      </c>
      <c r="I267" s="14">
        <v>660000</v>
      </c>
      <c r="J267" s="14">
        <v>660000</v>
      </c>
      <c r="Q267" s="14"/>
      <c r="R267" s="14"/>
      <c r="Y267" s="14"/>
      <c r="Z267" s="14"/>
      <c r="AG267" s="14"/>
      <c r="AH267" s="14"/>
      <c r="AI267" t="s">
        <v>994</v>
      </c>
      <c r="AJ267" t="s">
        <v>995</v>
      </c>
      <c r="AK267" t="s">
        <v>996</v>
      </c>
      <c r="AM267" t="s">
        <v>997</v>
      </c>
      <c r="AN267" t="s">
        <v>998</v>
      </c>
      <c r="AO267" t="s">
        <v>125</v>
      </c>
      <c r="AP267" t="s">
        <v>152</v>
      </c>
      <c r="AQ267" s="15">
        <v>45805</v>
      </c>
      <c r="AR267" s="15">
        <v>45805</v>
      </c>
      <c r="AS267" t="s">
        <v>127</v>
      </c>
      <c r="AT267">
        <v>1</v>
      </c>
      <c r="AU267">
        <v>3000</v>
      </c>
      <c r="AV267">
        <v>0</v>
      </c>
      <c r="AW267">
        <v>0</v>
      </c>
      <c r="AX267" s="14">
        <v>3000</v>
      </c>
      <c r="AY267" s="14">
        <v>3000</v>
      </c>
      <c r="AZ267" s="14">
        <v>0</v>
      </c>
      <c r="BA267">
        <v>0</v>
      </c>
      <c r="BB267" t="s">
        <v>22</v>
      </c>
      <c r="BC267" t="s">
        <v>128</v>
      </c>
      <c r="BD267" t="s">
        <v>129</v>
      </c>
      <c r="BE267" t="s">
        <v>130</v>
      </c>
      <c r="BF267" t="s">
        <v>995</v>
      </c>
      <c r="BG267" t="s">
        <v>999</v>
      </c>
      <c r="BH267" t="s">
        <v>132</v>
      </c>
      <c r="BI267" t="s">
        <v>154</v>
      </c>
      <c r="BJ267">
        <v>1</v>
      </c>
      <c r="BK267" t="s">
        <v>133</v>
      </c>
      <c r="BV267" t="s">
        <v>134</v>
      </c>
      <c r="BW267" s="16">
        <v>45856.689583333333</v>
      </c>
      <c r="BX267" t="s">
        <v>178</v>
      </c>
      <c r="BZ267">
        <v>14</v>
      </c>
      <c r="CA267" t="s">
        <v>224</v>
      </c>
      <c r="CB267">
        <v>0</v>
      </c>
      <c r="CF267" t="s">
        <v>357</v>
      </c>
      <c r="CG267">
        <v>2025</v>
      </c>
      <c r="CH267" t="s">
        <v>138</v>
      </c>
      <c r="CI267" t="s">
        <v>139</v>
      </c>
    </row>
    <row r="268" spans="1:87" x14ac:dyDescent="0.3">
      <c r="A268" t="s">
        <v>115</v>
      </c>
      <c r="B268" t="s">
        <v>116</v>
      </c>
      <c r="C268" t="s">
        <v>117</v>
      </c>
      <c r="D268" t="s">
        <v>118</v>
      </c>
      <c r="E268" t="s">
        <v>14</v>
      </c>
      <c r="F268" t="s">
        <v>993</v>
      </c>
      <c r="G268">
        <v>88</v>
      </c>
      <c r="H268">
        <v>0</v>
      </c>
      <c r="I268" s="14">
        <v>660000</v>
      </c>
      <c r="J268" s="14">
        <v>660000</v>
      </c>
      <c r="Q268" s="14"/>
      <c r="R268" s="14"/>
      <c r="Y268" s="14"/>
      <c r="Z268" s="14"/>
      <c r="AG268" s="14"/>
      <c r="AH268" s="14"/>
      <c r="AI268" t="s">
        <v>994</v>
      </c>
      <c r="AJ268" t="s">
        <v>995</v>
      </c>
      <c r="AK268" t="s">
        <v>996</v>
      </c>
      <c r="AM268" t="s">
        <v>997</v>
      </c>
      <c r="AN268" t="s">
        <v>998</v>
      </c>
      <c r="AO268" t="s">
        <v>125</v>
      </c>
      <c r="AP268" t="s">
        <v>152</v>
      </c>
      <c r="AQ268" s="15">
        <v>45856</v>
      </c>
      <c r="AR268" s="15">
        <v>45856</v>
      </c>
      <c r="AS268" t="s">
        <v>145</v>
      </c>
      <c r="AT268">
        <v>2</v>
      </c>
      <c r="AU268">
        <v>162000</v>
      </c>
      <c r="AV268">
        <v>0</v>
      </c>
      <c r="AW268">
        <v>0</v>
      </c>
      <c r="AX268" s="14">
        <v>162000</v>
      </c>
      <c r="AY268" s="14">
        <v>162</v>
      </c>
      <c r="AZ268" s="14">
        <v>0</v>
      </c>
      <c r="BA268">
        <v>0</v>
      </c>
      <c r="BB268" t="s">
        <v>22</v>
      </c>
      <c r="BC268" t="s">
        <v>128</v>
      </c>
      <c r="BD268" t="s">
        <v>129</v>
      </c>
      <c r="BE268" t="s">
        <v>130</v>
      </c>
      <c r="BG268" t="s">
        <v>1000</v>
      </c>
      <c r="BH268" t="s">
        <v>132</v>
      </c>
      <c r="BI268" t="s">
        <v>154</v>
      </c>
      <c r="BJ268">
        <v>4</v>
      </c>
      <c r="BK268" t="s">
        <v>133</v>
      </c>
      <c r="BV268" t="s">
        <v>134</v>
      </c>
      <c r="BW268" s="16">
        <v>45856.689583333333</v>
      </c>
      <c r="BX268" t="s">
        <v>178</v>
      </c>
      <c r="BZ268">
        <v>14</v>
      </c>
      <c r="CA268" t="s">
        <v>1001</v>
      </c>
      <c r="CB268">
        <v>0</v>
      </c>
      <c r="CF268" t="s">
        <v>357</v>
      </c>
      <c r="CG268">
        <v>2025</v>
      </c>
      <c r="CH268" t="s">
        <v>138</v>
      </c>
      <c r="CI268" t="s">
        <v>139</v>
      </c>
    </row>
    <row r="269" spans="1:87" x14ac:dyDescent="0.3">
      <c r="A269" t="s">
        <v>115</v>
      </c>
      <c r="B269" t="s">
        <v>116</v>
      </c>
      <c r="C269" t="s">
        <v>117</v>
      </c>
      <c r="D269" t="s">
        <v>118</v>
      </c>
      <c r="E269" t="s">
        <v>14</v>
      </c>
      <c r="F269" t="s">
        <v>993</v>
      </c>
      <c r="G269">
        <v>88</v>
      </c>
      <c r="H269">
        <v>0</v>
      </c>
      <c r="I269" s="14">
        <v>660000</v>
      </c>
      <c r="J269" s="14">
        <v>660000</v>
      </c>
      <c r="Q269" s="14"/>
      <c r="R269" s="14"/>
      <c r="Y269" s="14"/>
      <c r="Z269" s="14"/>
      <c r="AG269" s="14"/>
      <c r="AH269" s="14"/>
      <c r="AI269" t="s">
        <v>994</v>
      </c>
      <c r="AJ269" t="s">
        <v>995</v>
      </c>
      <c r="AK269" t="s">
        <v>996</v>
      </c>
      <c r="AM269" t="s">
        <v>997</v>
      </c>
      <c r="AN269" t="s">
        <v>998</v>
      </c>
      <c r="AO269" t="s">
        <v>125</v>
      </c>
      <c r="AP269" t="s">
        <v>152</v>
      </c>
      <c r="AQ269" s="15">
        <v>45856</v>
      </c>
      <c r="AR269" s="15">
        <v>45856</v>
      </c>
      <c r="AS269" t="s">
        <v>145</v>
      </c>
      <c r="AT269">
        <v>2</v>
      </c>
      <c r="AU269">
        <v>0</v>
      </c>
      <c r="AV269">
        <v>0</v>
      </c>
      <c r="AW269">
        <v>0</v>
      </c>
      <c r="AX269" s="14">
        <v>0</v>
      </c>
      <c r="AY269" s="14">
        <v>161838</v>
      </c>
      <c r="AZ269" s="14">
        <v>0</v>
      </c>
      <c r="BA269">
        <v>0</v>
      </c>
      <c r="BB269" t="s">
        <v>22</v>
      </c>
      <c r="BC269" t="s">
        <v>128</v>
      </c>
      <c r="BD269" t="s">
        <v>129</v>
      </c>
      <c r="BE269" t="s">
        <v>130</v>
      </c>
      <c r="BG269" t="s">
        <v>1002</v>
      </c>
      <c r="BH269" t="s">
        <v>132</v>
      </c>
      <c r="BI269" t="s">
        <v>154</v>
      </c>
      <c r="BJ269">
        <v>4</v>
      </c>
      <c r="BK269" t="s">
        <v>133</v>
      </c>
      <c r="BV269" t="s">
        <v>134</v>
      </c>
      <c r="BW269" s="16">
        <v>45856.689583333333</v>
      </c>
      <c r="BX269" t="s">
        <v>178</v>
      </c>
      <c r="BZ269">
        <v>14</v>
      </c>
      <c r="CA269" t="s">
        <v>1001</v>
      </c>
      <c r="CB269">
        <v>0</v>
      </c>
      <c r="CF269" t="s">
        <v>357</v>
      </c>
      <c r="CG269">
        <v>2025</v>
      </c>
      <c r="CH269" t="s">
        <v>138</v>
      </c>
      <c r="CI269" t="s">
        <v>139</v>
      </c>
    </row>
    <row r="270" spans="1:87" x14ac:dyDescent="0.3">
      <c r="A270" t="s">
        <v>426</v>
      </c>
      <c r="B270" t="s">
        <v>116</v>
      </c>
      <c r="C270" t="s">
        <v>117</v>
      </c>
      <c r="D270" t="s">
        <v>118</v>
      </c>
      <c r="E270" t="s">
        <v>14</v>
      </c>
      <c r="F270" t="s">
        <v>1003</v>
      </c>
      <c r="G270">
        <v>61</v>
      </c>
      <c r="H270">
        <v>0</v>
      </c>
      <c r="I270" s="14">
        <v>392000</v>
      </c>
      <c r="J270" s="14">
        <v>392000</v>
      </c>
      <c r="K270" t="s">
        <v>117</v>
      </c>
      <c r="L270" t="s">
        <v>118</v>
      </c>
      <c r="M270" t="s">
        <v>140</v>
      </c>
      <c r="N270" t="s">
        <v>1004</v>
      </c>
      <c r="O270">
        <v>14.5</v>
      </c>
      <c r="P270">
        <v>0</v>
      </c>
      <c r="Q270" s="14">
        <v>43000</v>
      </c>
      <c r="R270" s="14">
        <v>43000</v>
      </c>
      <c r="Y270" s="14"/>
      <c r="Z270" s="14"/>
      <c r="AG270" s="14"/>
      <c r="AH270" s="14"/>
      <c r="AI270" t="s">
        <v>1005</v>
      </c>
      <c r="AJ270" t="s">
        <v>1006</v>
      </c>
      <c r="AK270" t="s">
        <v>1007</v>
      </c>
      <c r="AL270">
        <v>0</v>
      </c>
      <c r="AM270" t="s">
        <v>1008</v>
      </c>
      <c r="AN270" t="s">
        <v>1009</v>
      </c>
      <c r="AO270" t="s">
        <v>433</v>
      </c>
      <c r="AP270" t="s">
        <v>433</v>
      </c>
      <c r="AQ270" s="15">
        <v>45896</v>
      </c>
      <c r="AR270" s="15">
        <v>45896</v>
      </c>
      <c r="AS270" t="s">
        <v>127</v>
      </c>
      <c r="AT270">
        <v>1</v>
      </c>
      <c r="AU270">
        <v>3000</v>
      </c>
      <c r="AV270">
        <v>0</v>
      </c>
      <c r="AW270">
        <v>0</v>
      </c>
      <c r="AX270" s="14">
        <v>3000</v>
      </c>
      <c r="AY270" s="14">
        <v>3000</v>
      </c>
      <c r="AZ270" s="14">
        <v>0</v>
      </c>
      <c r="BA270">
        <v>0</v>
      </c>
      <c r="BB270" t="s">
        <v>22</v>
      </c>
      <c r="BG270" t="s">
        <v>1010</v>
      </c>
      <c r="BH270" t="s">
        <v>132</v>
      </c>
      <c r="BJ270">
        <v>4</v>
      </c>
      <c r="BK270" t="s">
        <v>133</v>
      </c>
      <c r="BV270" t="s">
        <v>134</v>
      </c>
      <c r="BW270" s="16">
        <v>46178.343055555553</v>
      </c>
      <c r="BX270" t="s">
        <v>143</v>
      </c>
      <c r="BZ270">
        <v>9</v>
      </c>
      <c r="CA270" t="s">
        <v>1011</v>
      </c>
      <c r="CB270">
        <v>0</v>
      </c>
      <c r="CF270" t="s">
        <v>357</v>
      </c>
      <c r="CG270">
        <v>2025</v>
      </c>
      <c r="CH270" t="s">
        <v>138</v>
      </c>
      <c r="CI270" t="s">
        <v>139</v>
      </c>
    </row>
    <row r="271" spans="1:87" x14ac:dyDescent="0.3">
      <c r="A271" t="s">
        <v>426</v>
      </c>
      <c r="B271" t="s">
        <v>116</v>
      </c>
      <c r="C271" t="s">
        <v>117</v>
      </c>
      <c r="D271" t="s">
        <v>118</v>
      </c>
      <c r="E271" t="s">
        <v>14</v>
      </c>
      <c r="F271" t="s">
        <v>1003</v>
      </c>
      <c r="G271">
        <v>61</v>
      </c>
      <c r="H271">
        <v>0</v>
      </c>
      <c r="I271" s="14">
        <v>392000</v>
      </c>
      <c r="J271" s="14">
        <v>392000</v>
      </c>
      <c r="K271" t="s">
        <v>117</v>
      </c>
      <c r="L271" t="s">
        <v>118</v>
      </c>
      <c r="M271" t="s">
        <v>140</v>
      </c>
      <c r="N271" t="s">
        <v>1004</v>
      </c>
      <c r="O271">
        <v>14.5</v>
      </c>
      <c r="P271">
        <v>0</v>
      </c>
      <c r="Q271" s="14">
        <v>43000</v>
      </c>
      <c r="R271" s="14">
        <v>43000</v>
      </c>
      <c r="Y271" s="14"/>
      <c r="Z271" s="14"/>
      <c r="AG271" s="14"/>
      <c r="AH271" s="14"/>
      <c r="AI271" t="s">
        <v>1005</v>
      </c>
      <c r="AJ271" t="s">
        <v>1006</v>
      </c>
      <c r="AK271" t="s">
        <v>1007</v>
      </c>
      <c r="AL271">
        <v>0</v>
      </c>
      <c r="AM271" t="s">
        <v>1008</v>
      </c>
      <c r="AN271" t="s">
        <v>1009</v>
      </c>
      <c r="AO271" t="s">
        <v>433</v>
      </c>
      <c r="AP271" t="s">
        <v>433</v>
      </c>
      <c r="AQ271" s="15">
        <v>45905</v>
      </c>
      <c r="AR271" s="15">
        <v>45905</v>
      </c>
      <c r="AS271" t="s">
        <v>145</v>
      </c>
      <c r="AT271">
        <v>1</v>
      </c>
      <c r="AU271">
        <v>217500</v>
      </c>
      <c r="AV271">
        <v>0</v>
      </c>
      <c r="AW271">
        <v>0</v>
      </c>
      <c r="AX271" s="14">
        <v>217500</v>
      </c>
      <c r="AY271" s="14">
        <v>217500</v>
      </c>
      <c r="AZ271" s="14">
        <v>0</v>
      </c>
      <c r="BA271">
        <v>0</v>
      </c>
      <c r="BB271" t="s">
        <v>22</v>
      </c>
      <c r="BC271" t="s">
        <v>128</v>
      </c>
      <c r="BD271" t="s">
        <v>434</v>
      </c>
      <c r="BE271" t="s">
        <v>156</v>
      </c>
      <c r="BF271" t="s">
        <v>1012</v>
      </c>
      <c r="BG271" t="s">
        <v>1013</v>
      </c>
      <c r="BH271" t="s">
        <v>132</v>
      </c>
      <c r="BI271" t="s">
        <v>154</v>
      </c>
      <c r="BJ271">
        <v>4</v>
      </c>
      <c r="BK271" t="s">
        <v>133</v>
      </c>
      <c r="BV271" t="s">
        <v>134</v>
      </c>
      <c r="BW271" s="16">
        <v>46178.343055555553</v>
      </c>
      <c r="BX271" t="s">
        <v>143</v>
      </c>
      <c r="BZ271">
        <v>9</v>
      </c>
      <c r="CA271" t="s">
        <v>1014</v>
      </c>
      <c r="CB271">
        <v>0</v>
      </c>
      <c r="CF271" t="s">
        <v>357</v>
      </c>
      <c r="CG271">
        <v>2025</v>
      </c>
      <c r="CH271" t="s">
        <v>138</v>
      </c>
      <c r="CI271" t="s">
        <v>139</v>
      </c>
    </row>
    <row r="272" spans="1:87" x14ac:dyDescent="0.3">
      <c r="A272" t="s">
        <v>426</v>
      </c>
      <c r="B272" t="s">
        <v>116</v>
      </c>
      <c r="C272" t="s">
        <v>117</v>
      </c>
      <c r="D272" t="s">
        <v>118</v>
      </c>
      <c r="E272" t="s">
        <v>14</v>
      </c>
      <c r="F272" t="s">
        <v>1003</v>
      </c>
      <c r="G272">
        <v>61</v>
      </c>
      <c r="H272">
        <v>0</v>
      </c>
      <c r="I272" s="14">
        <v>392000</v>
      </c>
      <c r="J272" s="14">
        <v>392000</v>
      </c>
      <c r="K272" t="s">
        <v>117</v>
      </c>
      <c r="L272" t="s">
        <v>118</v>
      </c>
      <c r="M272" t="s">
        <v>140</v>
      </c>
      <c r="N272" t="s">
        <v>1004</v>
      </c>
      <c r="O272">
        <v>14.5</v>
      </c>
      <c r="P272">
        <v>0</v>
      </c>
      <c r="Q272" s="14">
        <v>43000</v>
      </c>
      <c r="R272" s="14">
        <v>43000</v>
      </c>
      <c r="Y272" s="14"/>
      <c r="Z272" s="14"/>
      <c r="AG272" s="14"/>
      <c r="AH272" s="14"/>
      <c r="AI272" t="s">
        <v>1005</v>
      </c>
      <c r="AJ272" t="s">
        <v>1006</v>
      </c>
      <c r="AK272" t="s">
        <v>1007</v>
      </c>
      <c r="AL272">
        <v>0</v>
      </c>
      <c r="AM272" t="s">
        <v>1008</v>
      </c>
      <c r="AN272" t="s">
        <v>1009</v>
      </c>
      <c r="AO272" t="s">
        <v>433</v>
      </c>
      <c r="AP272" t="s">
        <v>433</v>
      </c>
      <c r="AQ272" s="15">
        <v>45961</v>
      </c>
      <c r="AR272" s="15">
        <v>45954</v>
      </c>
      <c r="AS272" t="s">
        <v>227</v>
      </c>
      <c r="AT272">
        <v>1</v>
      </c>
      <c r="AU272">
        <v>14300</v>
      </c>
      <c r="AV272">
        <v>0</v>
      </c>
      <c r="AW272">
        <v>0</v>
      </c>
      <c r="AX272" s="14">
        <v>14300</v>
      </c>
      <c r="AY272" s="14">
        <v>14300</v>
      </c>
      <c r="AZ272" s="14">
        <v>0</v>
      </c>
      <c r="BA272">
        <v>0</v>
      </c>
      <c r="BB272" t="s">
        <v>22</v>
      </c>
      <c r="BC272" t="s">
        <v>128</v>
      </c>
      <c r="BD272" t="s">
        <v>434</v>
      </c>
      <c r="BE272" t="s">
        <v>287</v>
      </c>
      <c r="BG272" t="s">
        <v>1015</v>
      </c>
      <c r="BH272" t="s">
        <v>134</v>
      </c>
      <c r="BJ272">
        <v>4</v>
      </c>
      <c r="BK272" t="s">
        <v>133</v>
      </c>
      <c r="BV272" t="s">
        <v>134</v>
      </c>
      <c r="BW272" s="16">
        <v>46178.343055555553</v>
      </c>
      <c r="BX272" t="s">
        <v>143</v>
      </c>
      <c r="BZ272">
        <v>9</v>
      </c>
      <c r="CA272" t="s">
        <v>1016</v>
      </c>
      <c r="CB272">
        <v>0</v>
      </c>
      <c r="CF272" t="s">
        <v>357</v>
      </c>
      <c r="CG272">
        <v>2025</v>
      </c>
      <c r="CH272" t="s">
        <v>138</v>
      </c>
      <c r="CI272" t="s">
        <v>139</v>
      </c>
    </row>
    <row r="273" spans="1:87" x14ac:dyDescent="0.3">
      <c r="A273" t="s">
        <v>426</v>
      </c>
      <c r="B273" t="s">
        <v>116</v>
      </c>
      <c r="C273" t="s">
        <v>117</v>
      </c>
      <c r="D273" t="s">
        <v>118</v>
      </c>
      <c r="E273" t="s">
        <v>14</v>
      </c>
      <c r="F273" t="s">
        <v>1003</v>
      </c>
      <c r="G273">
        <v>61</v>
      </c>
      <c r="H273">
        <v>0</v>
      </c>
      <c r="I273" s="14">
        <v>392000</v>
      </c>
      <c r="J273" s="14">
        <v>392000</v>
      </c>
      <c r="K273" t="s">
        <v>117</v>
      </c>
      <c r="L273" t="s">
        <v>118</v>
      </c>
      <c r="M273" t="s">
        <v>140</v>
      </c>
      <c r="N273" t="s">
        <v>1004</v>
      </c>
      <c r="O273">
        <v>14.5</v>
      </c>
      <c r="P273">
        <v>0</v>
      </c>
      <c r="Q273" s="14">
        <v>43000</v>
      </c>
      <c r="R273" s="14">
        <v>43000</v>
      </c>
      <c r="Y273" s="14"/>
      <c r="Z273" s="14"/>
      <c r="AG273" s="14"/>
      <c r="AH273" s="14"/>
      <c r="AI273" t="s">
        <v>1005</v>
      </c>
      <c r="AJ273" t="s">
        <v>1006</v>
      </c>
      <c r="AK273" t="s">
        <v>1007</v>
      </c>
      <c r="AL273">
        <v>0</v>
      </c>
      <c r="AM273" t="s">
        <v>1008</v>
      </c>
      <c r="AN273" t="s">
        <v>1009</v>
      </c>
      <c r="AO273" t="s">
        <v>433</v>
      </c>
      <c r="AP273" t="s">
        <v>433</v>
      </c>
      <c r="AQ273" s="15">
        <v>45991</v>
      </c>
      <c r="AR273" s="15">
        <v>45988</v>
      </c>
      <c r="AS273" t="s">
        <v>227</v>
      </c>
      <c r="AT273">
        <v>2</v>
      </c>
      <c r="AU273">
        <v>14300</v>
      </c>
      <c r="AV273">
        <v>0</v>
      </c>
      <c r="AW273">
        <v>0</v>
      </c>
      <c r="AX273" s="14">
        <v>14300</v>
      </c>
      <c r="AY273" s="14">
        <v>14300</v>
      </c>
      <c r="AZ273" s="14">
        <v>0</v>
      </c>
      <c r="BA273">
        <v>0</v>
      </c>
      <c r="BB273" t="s">
        <v>22</v>
      </c>
      <c r="BC273" t="s">
        <v>128</v>
      </c>
      <c r="BD273" t="s">
        <v>434</v>
      </c>
      <c r="BE273" t="s">
        <v>287</v>
      </c>
      <c r="BG273" t="s">
        <v>1017</v>
      </c>
      <c r="BH273" t="s">
        <v>134</v>
      </c>
      <c r="BJ273">
        <v>4</v>
      </c>
      <c r="BK273" t="s">
        <v>133</v>
      </c>
      <c r="BV273" t="s">
        <v>134</v>
      </c>
      <c r="BW273" s="16">
        <v>46178.343055555553</v>
      </c>
      <c r="BX273" t="s">
        <v>143</v>
      </c>
      <c r="BZ273">
        <v>9</v>
      </c>
      <c r="CA273" t="s">
        <v>1018</v>
      </c>
      <c r="CB273">
        <v>0</v>
      </c>
      <c r="CF273" t="s">
        <v>357</v>
      </c>
      <c r="CG273">
        <v>2025</v>
      </c>
      <c r="CH273" t="s">
        <v>138</v>
      </c>
      <c r="CI273" t="s">
        <v>139</v>
      </c>
    </row>
    <row r="274" spans="1:87" x14ac:dyDescent="0.3">
      <c r="A274" t="s">
        <v>426</v>
      </c>
      <c r="B274" t="s">
        <v>116</v>
      </c>
      <c r="C274" t="s">
        <v>117</v>
      </c>
      <c r="D274" t="s">
        <v>118</v>
      </c>
      <c r="E274" t="s">
        <v>14</v>
      </c>
      <c r="F274" t="s">
        <v>1003</v>
      </c>
      <c r="G274">
        <v>61</v>
      </c>
      <c r="H274">
        <v>0</v>
      </c>
      <c r="I274" s="14">
        <v>392000</v>
      </c>
      <c r="J274" s="14">
        <v>392000</v>
      </c>
      <c r="K274" t="s">
        <v>117</v>
      </c>
      <c r="L274" t="s">
        <v>118</v>
      </c>
      <c r="M274" t="s">
        <v>140</v>
      </c>
      <c r="N274" t="s">
        <v>1004</v>
      </c>
      <c r="O274">
        <v>14.5</v>
      </c>
      <c r="P274">
        <v>0</v>
      </c>
      <c r="Q274" s="14">
        <v>43000</v>
      </c>
      <c r="R274" s="14">
        <v>43000</v>
      </c>
      <c r="Y274" s="14"/>
      <c r="Z274" s="14"/>
      <c r="AG274" s="14"/>
      <c r="AH274" s="14"/>
      <c r="AI274" t="s">
        <v>1005</v>
      </c>
      <c r="AJ274" t="s">
        <v>1006</v>
      </c>
      <c r="AK274" t="s">
        <v>1007</v>
      </c>
      <c r="AL274">
        <v>0</v>
      </c>
      <c r="AM274" t="s">
        <v>1008</v>
      </c>
      <c r="AN274" t="s">
        <v>1009</v>
      </c>
      <c r="AO274" t="s">
        <v>433</v>
      </c>
      <c r="AP274" t="s">
        <v>433</v>
      </c>
      <c r="AQ274" s="15">
        <v>46022</v>
      </c>
      <c r="AR274" s="15">
        <v>45988</v>
      </c>
      <c r="AS274" t="s">
        <v>227</v>
      </c>
      <c r="AT274">
        <v>3</v>
      </c>
      <c r="AU274">
        <v>14300</v>
      </c>
      <c r="AV274">
        <v>0</v>
      </c>
      <c r="AW274">
        <v>0</v>
      </c>
      <c r="AX274" s="14">
        <v>14300</v>
      </c>
      <c r="AY274" s="14">
        <v>14300</v>
      </c>
      <c r="AZ274" s="14">
        <v>0</v>
      </c>
      <c r="BA274">
        <v>0</v>
      </c>
      <c r="BB274" t="s">
        <v>22</v>
      </c>
      <c r="BC274" t="s">
        <v>128</v>
      </c>
      <c r="BD274" t="s">
        <v>434</v>
      </c>
      <c r="BE274" t="s">
        <v>287</v>
      </c>
      <c r="BG274" t="s">
        <v>1017</v>
      </c>
      <c r="BH274" t="s">
        <v>134</v>
      </c>
      <c r="BJ274">
        <v>4</v>
      </c>
      <c r="BK274" t="s">
        <v>133</v>
      </c>
      <c r="BV274" t="s">
        <v>134</v>
      </c>
      <c r="BW274" s="16">
        <v>46178.343055555553</v>
      </c>
      <c r="BX274" t="s">
        <v>143</v>
      </c>
      <c r="BZ274">
        <v>9</v>
      </c>
      <c r="CA274" t="s">
        <v>1018</v>
      </c>
      <c r="CB274">
        <v>0</v>
      </c>
      <c r="CF274" t="s">
        <v>357</v>
      </c>
      <c r="CG274">
        <v>2025</v>
      </c>
      <c r="CH274" t="s">
        <v>138</v>
      </c>
      <c r="CI274" t="s">
        <v>139</v>
      </c>
    </row>
    <row r="275" spans="1:87" x14ac:dyDescent="0.3">
      <c r="A275" t="s">
        <v>115</v>
      </c>
      <c r="B275" t="s">
        <v>116</v>
      </c>
      <c r="C275" t="s">
        <v>117</v>
      </c>
      <c r="D275" t="s">
        <v>118</v>
      </c>
      <c r="E275" t="s">
        <v>14</v>
      </c>
      <c r="F275" t="s">
        <v>323</v>
      </c>
      <c r="G275">
        <v>84</v>
      </c>
      <c r="H275">
        <v>0</v>
      </c>
      <c r="I275" s="14">
        <v>592500</v>
      </c>
      <c r="J275" s="14">
        <v>592500</v>
      </c>
      <c r="Q275" s="14"/>
      <c r="R275" s="14"/>
      <c r="Y275" s="14"/>
      <c r="Z275" s="14"/>
      <c r="AG275" s="14"/>
      <c r="AH275" s="14"/>
      <c r="AI275" t="s">
        <v>324</v>
      </c>
      <c r="AJ275" t="s">
        <v>325</v>
      </c>
      <c r="AK275" t="s">
        <v>326</v>
      </c>
      <c r="AM275" t="s">
        <v>327</v>
      </c>
      <c r="AN275" t="s">
        <v>328</v>
      </c>
      <c r="AO275" t="s">
        <v>125</v>
      </c>
      <c r="AP275" t="s">
        <v>329</v>
      </c>
      <c r="AQ275" s="15">
        <v>45688</v>
      </c>
      <c r="AR275" s="15">
        <v>45747</v>
      </c>
      <c r="AS275" t="s">
        <v>227</v>
      </c>
      <c r="AT275">
        <v>4</v>
      </c>
      <c r="AU275">
        <v>533250</v>
      </c>
      <c r="AV275">
        <v>0</v>
      </c>
      <c r="AW275">
        <v>0</v>
      </c>
      <c r="AX275" s="14">
        <v>533250</v>
      </c>
      <c r="AY275" s="14">
        <v>533250</v>
      </c>
      <c r="AZ275" s="14">
        <v>0</v>
      </c>
      <c r="BA275">
        <v>0</v>
      </c>
      <c r="BB275" t="s">
        <v>23</v>
      </c>
      <c r="BC275" t="s">
        <v>128</v>
      </c>
      <c r="BD275" t="s">
        <v>129</v>
      </c>
      <c r="BE275" t="s">
        <v>130</v>
      </c>
      <c r="BG275" t="s">
        <v>779</v>
      </c>
      <c r="BH275" t="s">
        <v>134</v>
      </c>
      <c r="BJ275">
        <v>4</v>
      </c>
      <c r="BK275" t="s">
        <v>133</v>
      </c>
      <c r="BV275" t="s">
        <v>134</v>
      </c>
      <c r="BW275" s="16">
        <v>45638.388194444437</v>
      </c>
      <c r="BX275" t="s">
        <v>178</v>
      </c>
      <c r="BZ275">
        <v>3</v>
      </c>
      <c r="CA275" t="s">
        <v>1019</v>
      </c>
      <c r="CB275">
        <v>0</v>
      </c>
      <c r="CF275" t="s">
        <v>357</v>
      </c>
      <c r="CG275">
        <v>2025</v>
      </c>
      <c r="CH275" t="s">
        <v>138</v>
      </c>
      <c r="CI275" t="s">
        <v>139</v>
      </c>
    </row>
    <row r="276" spans="1:87" x14ac:dyDescent="0.3">
      <c r="A276" t="s">
        <v>426</v>
      </c>
      <c r="B276" t="s">
        <v>116</v>
      </c>
      <c r="C276" t="s">
        <v>117</v>
      </c>
      <c r="D276" t="s">
        <v>118</v>
      </c>
      <c r="E276" t="s">
        <v>14</v>
      </c>
      <c r="F276" t="s">
        <v>1020</v>
      </c>
      <c r="G276">
        <v>83</v>
      </c>
      <c r="H276">
        <v>0</v>
      </c>
      <c r="I276" s="14">
        <v>573000</v>
      </c>
      <c r="J276" s="14">
        <v>573000</v>
      </c>
      <c r="K276" t="s">
        <v>117</v>
      </c>
      <c r="L276" t="s">
        <v>118</v>
      </c>
      <c r="M276" t="s">
        <v>140</v>
      </c>
      <c r="N276" t="s">
        <v>1021</v>
      </c>
      <c r="O276">
        <v>16.28</v>
      </c>
      <c r="P276">
        <v>0</v>
      </c>
      <c r="Q276" s="14">
        <v>51000</v>
      </c>
      <c r="R276" s="14">
        <v>51000</v>
      </c>
      <c r="Y276" s="14"/>
      <c r="Z276" s="14"/>
      <c r="AG276" s="14"/>
      <c r="AH276" s="14"/>
      <c r="AI276" t="s">
        <v>1022</v>
      </c>
      <c r="AJ276" t="s">
        <v>1023</v>
      </c>
      <c r="AK276" t="s">
        <v>1024</v>
      </c>
      <c r="AL276">
        <v>0</v>
      </c>
      <c r="AM276" t="s">
        <v>1025</v>
      </c>
      <c r="AN276" t="s">
        <v>1026</v>
      </c>
      <c r="AO276" t="s">
        <v>1027</v>
      </c>
      <c r="AP276" t="s">
        <v>1027</v>
      </c>
      <c r="AQ276" s="15">
        <v>45871</v>
      </c>
      <c r="AR276" s="15">
        <v>45871</v>
      </c>
      <c r="AS276" t="s">
        <v>127</v>
      </c>
      <c r="AT276">
        <v>1</v>
      </c>
      <c r="AU276">
        <v>3000</v>
      </c>
      <c r="AV276">
        <v>0</v>
      </c>
      <c r="AW276">
        <v>0</v>
      </c>
      <c r="AX276" s="14">
        <v>3000</v>
      </c>
      <c r="AY276" s="14">
        <v>3000</v>
      </c>
      <c r="AZ276" s="14">
        <v>0</v>
      </c>
      <c r="BA276">
        <v>0</v>
      </c>
      <c r="BB276" t="s">
        <v>22</v>
      </c>
      <c r="BC276" t="s">
        <v>128</v>
      </c>
      <c r="BD276" t="s">
        <v>434</v>
      </c>
      <c r="BE276" t="s">
        <v>130</v>
      </c>
      <c r="BG276" t="s">
        <v>1028</v>
      </c>
      <c r="BH276" t="s">
        <v>132</v>
      </c>
      <c r="BJ276">
        <v>4</v>
      </c>
      <c r="BK276" t="s">
        <v>133</v>
      </c>
      <c r="BV276" t="s">
        <v>132</v>
      </c>
      <c r="BW276" s="16">
        <v>45898.34652777778</v>
      </c>
      <c r="BX276" t="s">
        <v>143</v>
      </c>
      <c r="BZ276">
        <v>12</v>
      </c>
      <c r="CA276" t="s">
        <v>1029</v>
      </c>
      <c r="CB276">
        <v>0</v>
      </c>
      <c r="CF276" t="s">
        <v>357</v>
      </c>
      <c r="CG276">
        <v>2025</v>
      </c>
      <c r="CH276" t="s">
        <v>138</v>
      </c>
      <c r="CI276" t="s">
        <v>139</v>
      </c>
    </row>
    <row r="277" spans="1:87" x14ac:dyDescent="0.3">
      <c r="A277" t="s">
        <v>426</v>
      </c>
      <c r="B277" t="s">
        <v>116</v>
      </c>
      <c r="C277" t="s">
        <v>117</v>
      </c>
      <c r="D277" t="s">
        <v>118</v>
      </c>
      <c r="E277" t="s">
        <v>14</v>
      </c>
      <c r="F277" t="s">
        <v>1020</v>
      </c>
      <c r="G277">
        <v>83</v>
      </c>
      <c r="H277">
        <v>0</v>
      </c>
      <c r="I277" s="14">
        <v>573000</v>
      </c>
      <c r="J277" s="14">
        <v>573000</v>
      </c>
      <c r="K277" t="s">
        <v>117</v>
      </c>
      <c r="L277" t="s">
        <v>118</v>
      </c>
      <c r="M277" t="s">
        <v>140</v>
      </c>
      <c r="N277" t="s">
        <v>1021</v>
      </c>
      <c r="O277">
        <v>16.28</v>
      </c>
      <c r="P277">
        <v>0</v>
      </c>
      <c r="Q277" s="14">
        <v>51000</v>
      </c>
      <c r="R277" s="14">
        <v>51000</v>
      </c>
      <c r="Y277" s="14"/>
      <c r="Z277" s="14"/>
      <c r="AG277" s="14"/>
      <c r="AH277" s="14"/>
      <c r="AI277" t="s">
        <v>1022</v>
      </c>
      <c r="AJ277" t="s">
        <v>1023</v>
      </c>
      <c r="AK277" t="s">
        <v>1024</v>
      </c>
      <c r="AL277">
        <v>0</v>
      </c>
      <c r="AM277" t="s">
        <v>1025</v>
      </c>
      <c r="AN277" t="s">
        <v>1026</v>
      </c>
      <c r="AO277" t="s">
        <v>1027</v>
      </c>
      <c r="AP277" t="s">
        <v>1027</v>
      </c>
      <c r="AQ277" s="15">
        <v>45898</v>
      </c>
      <c r="AR277" s="15">
        <v>45898</v>
      </c>
      <c r="AS277" t="s">
        <v>145</v>
      </c>
      <c r="AT277">
        <v>1</v>
      </c>
      <c r="AU277">
        <v>54300</v>
      </c>
      <c r="AV277">
        <v>0</v>
      </c>
      <c r="AW277">
        <v>0</v>
      </c>
      <c r="AX277" s="14">
        <v>54300</v>
      </c>
      <c r="AY277" s="14">
        <v>54300</v>
      </c>
      <c r="AZ277" s="14">
        <v>0</v>
      </c>
      <c r="BA277">
        <v>0</v>
      </c>
      <c r="BB277" t="s">
        <v>22</v>
      </c>
      <c r="BC277" t="s">
        <v>128</v>
      </c>
      <c r="BD277" t="s">
        <v>434</v>
      </c>
      <c r="BE277" t="s">
        <v>130</v>
      </c>
      <c r="BG277" t="s">
        <v>1030</v>
      </c>
      <c r="BH277" t="s">
        <v>132</v>
      </c>
      <c r="BJ277">
        <v>4</v>
      </c>
      <c r="BK277" t="s">
        <v>133</v>
      </c>
      <c r="BV277" t="s">
        <v>132</v>
      </c>
      <c r="BW277" s="16">
        <v>45898.34652777778</v>
      </c>
      <c r="BX277" t="s">
        <v>143</v>
      </c>
      <c r="BZ277">
        <v>12</v>
      </c>
      <c r="CA277" t="s">
        <v>1031</v>
      </c>
      <c r="CB277">
        <v>0</v>
      </c>
      <c r="CF277" t="s">
        <v>357</v>
      </c>
      <c r="CG277">
        <v>2025</v>
      </c>
      <c r="CH277" t="s">
        <v>138</v>
      </c>
      <c r="CI277" t="s">
        <v>139</v>
      </c>
    </row>
    <row r="278" spans="1:87" x14ac:dyDescent="0.3">
      <c r="A278" t="s">
        <v>426</v>
      </c>
      <c r="B278" t="s">
        <v>116</v>
      </c>
      <c r="C278" t="s">
        <v>117</v>
      </c>
      <c r="D278" t="s">
        <v>118</v>
      </c>
      <c r="E278" t="s">
        <v>14</v>
      </c>
      <c r="F278" t="s">
        <v>1020</v>
      </c>
      <c r="G278">
        <v>83</v>
      </c>
      <c r="H278">
        <v>0</v>
      </c>
      <c r="I278" s="14">
        <v>573000</v>
      </c>
      <c r="J278" s="14">
        <v>573000</v>
      </c>
      <c r="K278" t="s">
        <v>117</v>
      </c>
      <c r="L278" t="s">
        <v>118</v>
      </c>
      <c r="M278" t="s">
        <v>140</v>
      </c>
      <c r="N278" t="s">
        <v>1021</v>
      </c>
      <c r="O278">
        <v>16.28</v>
      </c>
      <c r="P278">
        <v>0</v>
      </c>
      <c r="Q278" s="14">
        <v>51000</v>
      </c>
      <c r="R278" s="14">
        <v>51000</v>
      </c>
      <c r="Y278" s="14"/>
      <c r="Z278" s="14"/>
      <c r="AG278" s="14"/>
      <c r="AH278" s="14"/>
      <c r="AI278" t="s">
        <v>1022</v>
      </c>
      <c r="AJ278" t="s">
        <v>1023</v>
      </c>
      <c r="AK278" t="s">
        <v>1024</v>
      </c>
      <c r="AL278">
        <v>0</v>
      </c>
      <c r="AM278" t="s">
        <v>1025</v>
      </c>
      <c r="AN278" t="s">
        <v>1026</v>
      </c>
      <c r="AO278" t="s">
        <v>1027</v>
      </c>
      <c r="AP278" t="s">
        <v>1027</v>
      </c>
      <c r="AQ278" s="15">
        <v>45937</v>
      </c>
      <c r="AR278" s="15">
        <v>45937</v>
      </c>
      <c r="AS278" t="s">
        <v>145</v>
      </c>
      <c r="AT278">
        <v>2</v>
      </c>
      <c r="AU278">
        <v>10000</v>
      </c>
      <c r="AV278">
        <v>0</v>
      </c>
      <c r="AW278">
        <v>0</v>
      </c>
      <c r="AX278" s="14">
        <v>10000</v>
      </c>
      <c r="AY278" s="14">
        <v>10000</v>
      </c>
      <c r="AZ278" s="14">
        <v>0</v>
      </c>
      <c r="BA278">
        <v>0</v>
      </c>
      <c r="BB278" t="s">
        <v>22</v>
      </c>
      <c r="BC278" t="s">
        <v>128</v>
      </c>
      <c r="BD278" t="s">
        <v>434</v>
      </c>
      <c r="BE278" t="s">
        <v>130</v>
      </c>
      <c r="BG278" t="s">
        <v>1032</v>
      </c>
      <c r="BH278" t="s">
        <v>132</v>
      </c>
      <c r="BJ278">
        <v>4</v>
      </c>
      <c r="BK278" t="s">
        <v>133</v>
      </c>
      <c r="BV278" t="s">
        <v>132</v>
      </c>
      <c r="BW278" s="16">
        <v>45898.34652777778</v>
      </c>
      <c r="BX278" t="s">
        <v>143</v>
      </c>
      <c r="BZ278">
        <v>12</v>
      </c>
      <c r="CA278" t="s">
        <v>1031</v>
      </c>
      <c r="CB278">
        <v>0</v>
      </c>
      <c r="CF278" t="s">
        <v>357</v>
      </c>
      <c r="CG278">
        <v>2025</v>
      </c>
      <c r="CH278" t="s">
        <v>138</v>
      </c>
      <c r="CI278" t="s">
        <v>139</v>
      </c>
    </row>
    <row r="279" spans="1:87" x14ac:dyDescent="0.3">
      <c r="A279" t="s">
        <v>165</v>
      </c>
      <c r="B279" t="s">
        <v>116</v>
      </c>
      <c r="C279" t="s">
        <v>117</v>
      </c>
      <c r="D279" t="s">
        <v>118</v>
      </c>
      <c r="E279" t="s">
        <v>14</v>
      </c>
      <c r="F279" t="s">
        <v>383</v>
      </c>
      <c r="G279">
        <v>67</v>
      </c>
      <c r="H279">
        <v>0</v>
      </c>
      <c r="I279" s="14">
        <v>498000</v>
      </c>
      <c r="J279" s="14">
        <v>464400</v>
      </c>
      <c r="K279" t="s">
        <v>117</v>
      </c>
      <c r="L279" t="s">
        <v>118</v>
      </c>
      <c r="M279" t="s">
        <v>140</v>
      </c>
      <c r="N279" t="s">
        <v>1033</v>
      </c>
      <c r="O279">
        <v>12</v>
      </c>
      <c r="P279">
        <v>0</v>
      </c>
      <c r="Q279" s="14">
        <v>45600</v>
      </c>
      <c r="R279" s="14">
        <v>45600</v>
      </c>
      <c r="Y279" s="14"/>
      <c r="Z279" s="14"/>
      <c r="AG279" s="14"/>
      <c r="AH279" s="14"/>
      <c r="AI279" t="s">
        <v>1034</v>
      </c>
      <c r="AJ279" t="s">
        <v>1035</v>
      </c>
      <c r="AK279" t="s">
        <v>1036</v>
      </c>
      <c r="AL279">
        <v>0</v>
      </c>
      <c r="AM279" t="s">
        <v>1037</v>
      </c>
      <c r="AN279" t="s">
        <v>1038</v>
      </c>
      <c r="AO279" t="s">
        <v>125</v>
      </c>
      <c r="AP279" t="s">
        <v>1039</v>
      </c>
      <c r="AQ279" s="15">
        <v>45999</v>
      </c>
      <c r="AR279" s="15">
        <v>45999</v>
      </c>
      <c r="AS279" t="s">
        <v>127</v>
      </c>
      <c r="AT279">
        <v>1</v>
      </c>
      <c r="AU279">
        <v>3000</v>
      </c>
      <c r="AV279">
        <v>0</v>
      </c>
      <c r="AW279">
        <v>0</v>
      </c>
      <c r="AX279" s="14">
        <v>3000</v>
      </c>
      <c r="AY279" s="14">
        <v>3000</v>
      </c>
      <c r="AZ279" s="14">
        <v>0</v>
      </c>
      <c r="BA279">
        <v>0</v>
      </c>
      <c r="BB279" t="s">
        <v>24</v>
      </c>
      <c r="BC279" t="s">
        <v>175</v>
      </c>
      <c r="BD279" t="s">
        <v>176</v>
      </c>
      <c r="BE279" t="s">
        <v>130</v>
      </c>
      <c r="BG279" t="s">
        <v>1040</v>
      </c>
      <c r="BH279" t="s">
        <v>132</v>
      </c>
      <c r="BJ279">
        <v>4</v>
      </c>
      <c r="BK279" t="s">
        <v>133</v>
      </c>
      <c r="BV279" t="s">
        <v>134</v>
      </c>
      <c r="BW279" s="16">
        <v>46071.402083333327</v>
      </c>
      <c r="BX279" t="s">
        <v>178</v>
      </c>
      <c r="BZ279">
        <v>32</v>
      </c>
      <c r="CA279" t="s">
        <v>1041</v>
      </c>
      <c r="CB279">
        <v>0</v>
      </c>
      <c r="CF279" t="s">
        <v>357</v>
      </c>
      <c r="CG279">
        <v>2025</v>
      </c>
      <c r="CH279" t="s">
        <v>138</v>
      </c>
      <c r="CI279" t="s">
        <v>139</v>
      </c>
    </row>
    <row r="280" spans="1:87" x14ac:dyDescent="0.3">
      <c r="A280" t="s">
        <v>115</v>
      </c>
      <c r="B280" t="s">
        <v>116</v>
      </c>
      <c r="C280" t="s">
        <v>117</v>
      </c>
      <c r="D280" t="s">
        <v>118</v>
      </c>
      <c r="E280" t="s">
        <v>14</v>
      </c>
      <c r="F280" t="s">
        <v>334</v>
      </c>
      <c r="G280">
        <v>68.72</v>
      </c>
      <c r="H280">
        <v>0</v>
      </c>
      <c r="I280" s="14">
        <v>496000</v>
      </c>
      <c r="J280" s="14">
        <v>496000</v>
      </c>
      <c r="Q280" s="14"/>
      <c r="R280" s="14"/>
      <c r="Y280" s="14"/>
      <c r="Z280" s="14"/>
      <c r="AG280" s="14"/>
      <c r="AH280" s="14"/>
      <c r="AI280" t="s">
        <v>335</v>
      </c>
      <c r="AJ280" t="s">
        <v>336</v>
      </c>
      <c r="AK280" t="s">
        <v>245</v>
      </c>
      <c r="AM280" t="s">
        <v>337</v>
      </c>
      <c r="AN280" t="s">
        <v>338</v>
      </c>
      <c r="AO280" t="s">
        <v>125</v>
      </c>
      <c r="AP280" t="s">
        <v>339</v>
      </c>
      <c r="AQ280" s="15">
        <v>45721</v>
      </c>
      <c r="AR280" s="15">
        <v>45721</v>
      </c>
      <c r="AS280" t="s">
        <v>145</v>
      </c>
      <c r="AT280">
        <v>3</v>
      </c>
      <c r="AU280">
        <v>25000</v>
      </c>
      <c r="AV280">
        <v>0</v>
      </c>
      <c r="AW280">
        <v>0</v>
      </c>
      <c r="AX280" s="14">
        <v>25000</v>
      </c>
      <c r="AY280" s="14">
        <v>25000</v>
      </c>
      <c r="AZ280" s="14">
        <v>0</v>
      </c>
      <c r="BA280">
        <v>0</v>
      </c>
      <c r="BB280" t="s">
        <v>24</v>
      </c>
      <c r="BC280" t="s">
        <v>128</v>
      </c>
      <c r="BD280" t="s">
        <v>129</v>
      </c>
      <c r="BE280" t="s">
        <v>287</v>
      </c>
      <c r="BF280" t="s">
        <v>336</v>
      </c>
      <c r="BG280" t="s">
        <v>1042</v>
      </c>
      <c r="BH280" t="s">
        <v>132</v>
      </c>
      <c r="BI280" t="s">
        <v>154</v>
      </c>
      <c r="BJ280">
        <v>1</v>
      </c>
      <c r="BK280" t="s">
        <v>133</v>
      </c>
      <c r="BV280" t="s">
        <v>134</v>
      </c>
      <c r="BW280" s="16">
        <v>45829.38958333333</v>
      </c>
      <c r="BX280" t="s">
        <v>178</v>
      </c>
      <c r="BZ280">
        <v>2</v>
      </c>
      <c r="CA280" t="s">
        <v>284</v>
      </c>
      <c r="CB280">
        <v>0</v>
      </c>
      <c r="CF280" t="s">
        <v>357</v>
      </c>
      <c r="CG280">
        <v>2025</v>
      </c>
      <c r="CH280" t="s">
        <v>138</v>
      </c>
      <c r="CI280" t="s">
        <v>139</v>
      </c>
    </row>
    <row r="281" spans="1:87" x14ac:dyDescent="0.3">
      <c r="A281" t="s">
        <v>115</v>
      </c>
      <c r="B281" t="s">
        <v>116</v>
      </c>
      <c r="C281" t="s">
        <v>117</v>
      </c>
      <c r="D281" t="s">
        <v>118</v>
      </c>
      <c r="E281" t="s">
        <v>14</v>
      </c>
      <c r="F281" t="s">
        <v>334</v>
      </c>
      <c r="G281">
        <v>68.72</v>
      </c>
      <c r="H281">
        <v>0</v>
      </c>
      <c r="I281" s="14">
        <v>496000</v>
      </c>
      <c r="J281" s="14">
        <v>496000</v>
      </c>
      <c r="Q281" s="14"/>
      <c r="R281" s="14"/>
      <c r="Y281" s="14"/>
      <c r="Z281" s="14"/>
      <c r="AG281" s="14"/>
      <c r="AH281" s="14"/>
      <c r="AI281" t="s">
        <v>335</v>
      </c>
      <c r="AJ281" t="s">
        <v>336</v>
      </c>
      <c r="AK281" t="s">
        <v>245</v>
      </c>
      <c r="AM281" t="s">
        <v>337</v>
      </c>
      <c r="AN281" t="s">
        <v>338</v>
      </c>
      <c r="AO281" t="s">
        <v>125</v>
      </c>
      <c r="AP281" t="s">
        <v>339</v>
      </c>
      <c r="AQ281" s="15">
        <v>45828</v>
      </c>
      <c r="AR281" s="15">
        <v>45828</v>
      </c>
      <c r="AS281" t="s">
        <v>145</v>
      </c>
      <c r="AT281">
        <v>4</v>
      </c>
      <c r="AU281">
        <v>7000</v>
      </c>
      <c r="AV281">
        <v>0</v>
      </c>
      <c r="AW281">
        <v>0</v>
      </c>
      <c r="AX281" s="14">
        <v>7000</v>
      </c>
      <c r="AY281" s="14">
        <v>7000</v>
      </c>
      <c r="AZ281" s="14">
        <v>0</v>
      </c>
      <c r="BA281">
        <v>0</v>
      </c>
      <c r="BB281" t="s">
        <v>24</v>
      </c>
      <c r="BC281" t="s">
        <v>128</v>
      </c>
      <c r="BD281" t="s">
        <v>129</v>
      </c>
      <c r="BE281" t="s">
        <v>287</v>
      </c>
      <c r="BF281" t="s">
        <v>336</v>
      </c>
      <c r="BG281" t="s">
        <v>1043</v>
      </c>
      <c r="BH281" t="s">
        <v>132</v>
      </c>
      <c r="BI281" t="s">
        <v>154</v>
      </c>
      <c r="BJ281">
        <v>1</v>
      </c>
      <c r="BK281" t="s">
        <v>133</v>
      </c>
      <c r="BV281" t="s">
        <v>134</v>
      </c>
      <c r="BW281" s="16">
        <v>45829.38958333333</v>
      </c>
      <c r="BX281" t="s">
        <v>178</v>
      </c>
      <c r="BZ281">
        <v>2</v>
      </c>
      <c r="CA281" t="s">
        <v>284</v>
      </c>
      <c r="CB281">
        <v>0</v>
      </c>
      <c r="CF281" t="s">
        <v>357</v>
      </c>
      <c r="CG281">
        <v>2025</v>
      </c>
      <c r="CH281" t="s">
        <v>138</v>
      </c>
      <c r="CI281" t="s">
        <v>139</v>
      </c>
    </row>
    <row r="282" spans="1:87" x14ac:dyDescent="0.3">
      <c r="A282" t="s">
        <v>115</v>
      </c>
      <c r="B282" t="s">
        <v>116</v>
      </c>
      <c r="C282" t="s">
        <v>117</v>
      </c>
      <c r="D282" t="s">
        <v>118</v>
      </c>
      <c r="E282" t="s">
        <v>14</v>
      </c>
      <c r="F282" t="s">
        <v>334</v>
      </c>
      <c r="G282">
        <v>68.72</v>
      </c>
      <c r="H282">
        <v>0</v>
      </c>
      <c r="I282" s="14">
        <v>496000</v>
      </c>
      <c r="J282" s="14">
        <v>496000</v>
      </c>
      <c r="Q282" s="14"/>
      <c r="R282" s="14"/>
      <c r="Y282" s="14"/>
      <c r="Z282" s="14"/>
      <c r="AG282" s="14"/>
      <c r="AH282" s="14"/>
      <c r="AI282" t="s">
        <v>335</v>
      </c>
      <c r="AJ282" t="s">
        <v>336</v>
      </c>
      <c r="AK282" t="s">
        <v>245</v>
      </c>
      <c r="AM282" t="s">
        <v>337</v>
      </c>
      <c r="AN282" t="s">
        <v>338</v>
      </c>
      <c r="AO282" t="s">
        <v>125</v>
      </c>
      <c r="AP282" t="s">
        <v>339</v>
      </c>
      <c r="AQ282" s="15">
        <v>45829</v>
      </c>
      <c r="AR282" s="15">
        <v>45829</v>
      </c>
      <c r="AS282" t="s">
        <v>145</v>
      </c>
      <c r="AT282">
        <v>5</v>
      </c>
      <c r="AU282">
        <v>24800</v>
      </c>
      <c r="AV282">
        <v>0</v>
      </c>
      <c r="AW282">
        <v>0</v>
      </c>
      <c r="AX282" s="14">
        <v>24800</v>
      </c>
      <c r="AY282" s="14">
        <v>24800</v>
      </c>
      <c r="AZ282" s="14">
        <v>0</v>
      </c>
      <c r="BA282">
        <v>0</v>
      </c>
      <c r="BB282" t="s">
        <v>24</v>
      </c>
      <c r="BC282" t="s">
        <v>128</v>
      </c>
      <c r="BD282" t="s">
        <v>129</v>
      </c>
      <c r="BE282" t="s">
        <v>130</v>
      </c>
      <c r="BF282" t="s">
        <v>336</v>
      </c>
      <c r="BG282" t="s">
        <v>336</v>
      </c>
      <c r="BH282" t="s">
        <v>132</v>
      </c>
      <c r="BI282" t="s">
        <v>154</v>
      </c>
      <c r="BJ282">
        <v>1</v>
      </c>
      <c r="BK282" t="s">
        <v>133</v>
      </c>
      <c r="BV282" t="s">
        <v>134</v>
      </c>
      <c r="BW282" s="16">
        <v>45829.38958333333</v>
      </c>
      <c r="BX282" t="s">
        <v>178</v>
      </c>
      <c r="BZ282">
        <v>2</v>
      </c>
      <c r="CA282" t="s">
        <v>284</v>
      </c>
      <c r="CB282">
        <v>0</v>
      </c>
      <c r="CF282" t="s">
        <v>357</v>
      </c>
      <c r="CG282">
        <v>2025</v>
      </c>
      <c r="CH282" t="s">
        <v>138</v>
      </c>
      <c r="CI282" t="s">
        <v>139</v>
      </c>
    </row>
    <row r="283" spans="1:87" x14ac:dyDescent="0.3">
      <c r="A283" t="s">
        <v>115</v>
      </c>
      <c r="B283" t="s">
        <v>116</v>
      </c>
      <c r="C283" t="s">
        <v>117</v>
      </c>
      <c r="D283" t="s">
        <v>118</v>
      </c>
      <c r="E283" t="s">
        <v>14</v>
      </c>
      <c r="F283" t="s">
        <v>334</v>
      </c>
      <c r="G283">
        <v>68.72</v>
      </c>
      <c r="H283">
        <v>0</v>
      </c>
      <c r="I283" s="14">
        <v>496000</v>
      </c>
      <c r="J283" s="14">
        <v>496000</v>
      </c>
      <c r="Q283" s="14"/>
      <c r="R283" s="14"/>
      <c r="Y283" s="14"/>
      <c r="Z283" s="14"/>
      <c r="AG283" s="14"/>
      <c r="AH283" s="14"/>
      <c r="AI283" t="s">
        <v>335</v>
      </c>
      <c r="AJ283" t="s">
        <v>336</v>
      </c>
      <c r="AK283" t="s">
        <v>245</v>
      </c>
      <c r="AM283" t="s">
        <v>337</v>
      </c>
      <c r="AN283" t="s">
        <v>338</v>
      </c>
      <c r="AO283" t="s">
        <v>125</v>
      </c>
      <c r="AP283" t="s">
        <v>339</v>
      </c>
      <c r="AQ283" s="15">
        <v>45869</v>
      </c>
      <c r="AR283" s="15">
        <v>45854</v>
      </c>
      <c r="AS283" t="s">
        <v>227</v>
      </c>
      <c r="AT283">
        <v>6</v>
      </c>
      <c r="AU283">
        <v>436200</v>
      </c>
      <c r="AV283">
        <v>0</v>
      </c>
      <c r="AW283">
        <v>0</v>
      </c>
      <c r="AX283" s="14">
        <v>436200</v>
      </c>
      <c r="AY283" s="14">
        <v>436200</v>
      </c>
      <c r="AZ283" s="14">
        <v>0</v>
      </c>
      <c r="BA283">
        <v>0</v>
      </c>
      <c r="BB283" t="s">
        <v>24</v>
      </c>
      <c r="BC283" t="s">
        <v>128</v>
      </c>
      <c r="BD283" t="s">
        <v>129</v>
      </c>
      <c r="BE283" t="s">
        <v>130</v>
      </c>
      <c r="BG283" t="s">
        <v>1044</v>
      </c>
      <c r="BH283" t="s">
        <v>132</v>
      </c>
      <c r="BJ283">
        <v>4</v>
      </c>
      <c r="BK283" t="s">
        <v>133</v>
      </c>
      <c r="BV283" t="s">
        <v>134</v>
      </c>
      <c r="BW283" s="16">
        <v>45829.38958333333</v>
      </c>
      <c r="BX283" t="s">
        <v>178</v>
      </c>
      <c r="BZ283">
        <v>2</v>
      </c>
      <c r="CA283" t="s">
        <v>1045</v>
      </c>
      <c r="CB283">
        <v>0</v>
      </c>
      <c r="CF283" t="s">
        <v>357</v>
      </c>
      <c r="CG283">
        <v>2025</v>
      </c>
      <c r="CH283" t="s">
        <v>138</v>
      </c>
      <c r="CI283" t="s">
        <v>139</v>
      </c>
    </row>
    <row r="284" spans="1:87" x14ac:dyDescent="0.3">
      <c r="A284" t="s">
        <v>115</v>
      </c>
      <c r="B284" t="s">
        <v>116</v>
      </c>
      <c r="C284" t="s">
        <v>117</v>
      </c>
      <c r="D284" t="s">
        <v>118</v>
      </c>
      <c r="E284" t="s">
        <v>14</v>
      </c>
      <c r="F284" t="s">
        <v>743</v>
      </c>
      <c r="G284">
        <v>68.72</v>
      </c>
      <c r="H284">
        <v>0</v>
      </c>
      <c r="I284" s="14">
        <v>470500</v>
      </c>
      <c r="J284" s="14">
        <v>470500</v>
      </c>
      <c r="Q284" s="14"/>
      <c r="R284" s="14"/>
      <c r="Y284" s="14"/>
      <c r="Z284" s="14"/>
      <c r="AG284" s="14"/>
      <c r="AH284" s="14"/>
      <c r="AI284" t="s">
        <v>1046</v>
      </c>
      <c r="AJ284" t="s">
        <v>1047</v>
      </c>
      <c r="AK284" t="s">
        <v>1048</v>
      </c>
      <c r="AL284">
        <v>0</v>
      </c>
      <c r="AM284" t="s">
        <v>1049</v>
      </c>
      <c r="AN284" t="s">
        <v>1050</v>
      </c>
      <c r="AO284" t="s">
        <v>389</v>
      </c>
      <c r="AP284" t="s">
        <v>390</v>
      </c>
      <c r="AQ284" s="15">
        <v>45815</v>
      </c>
      <c r="AR284" s="15">
        <v>45815</v>
      </c>
      <c r="AS284" t="s">
        <v>127</v>
      </c>
      <c r="AT284">
        <v>1</v>
      </c>
      <c r="AU284">
        <v>3000</v>
      </c>
      <c r="AV284">
        <v>0</v>
      </c>
      <c r="AW284">
        <v>0</v>
      </c>
      <c r="AX284" s="14">
        <v>3000</v>
      </c>
      <c r="AY284" s="14">
        <v>3000</v>
      </c>
      <c r="AZ284" s="14">
        <v>0</v>
      </c>
      <c r="BA284">
        <v>0</v>
      </c>
      <c r="BB284" t="s">
        <v>24</v>
      </c>
      <c r="BC284" t="s">
        <v>128</v>
      </c>
      <c r="BD284" t="s">
        <v>129</v>
      </c>
      <c r="BE284" t="s">
        <v>130</v>
      </c>
      <c r="BG284" t="s">
        <v>1051</v>
      </c>
      <c r="BH284" t="s">
        <v>132</v>
      </c>
      <c r="BJ284">
        <v>4</v>
      </c>
      <c r="BK284" t="s">
        <v>133</v>
      </c>
      <c r="BV284" t="s">
        <v>134</v>
      </c>
      <c r="BW284" s="16">
        <v>45834.636111111111</v>
      </c>
      <c r="BX284" t="s">
        <v>143</v>
      </c>
      <c r="BZ284">
        <v>50</v>
      </c>
      <c r="CA284" t="s">
        <v>1052</v>
      </c>
      <c r="CB284">
        <v>0</v>
      </c>
      <c r="CF284" t="s">
        <v>357</v>
      </c>
      <c r="CG284">
        <v>2025</v>
      </c>
      <c r="CH284" t="s">
        <v>138</v>
      </c>
      <c r="CI284" t="s">
        <v>139</v>
      </c>
    </row>
    <row r="285" spans="1:87" x14ac:dyDescent="0.3">
      <c r="A285" t="s">
        <v>115</v>
      </c>
      <c r="B285" t="s">
        <v>116</v>
      </c>
      <c r="C285" t="s">
        <v>117</v>
      </c>
      <c r="D285" t="s">
        <v>118</v>
      </c>
      <c r="E285" t="s">
        <v>14</v>
      </c>
      <c r="F285" t="s">
        <v>743</v>
      </c>
      <c r="G285">
        <v>68.72</v>
      </c>
      <c r="H285">
        <v>0</v>
      </c>
      <c r="I285" s="14">
        <v>470500</v>
      </c>
      <c r="J285" s="14">
        <v>470500</v>
      </c>
      <c r="Q285" s="14"/>
      <c r="R285" s="14"/>
      <c r="Y285" s="14"/>
      <c r="Z285" s="14"/>
      <c r="AG285" s="14"/>
      <c r="AH285" s="14"/>
      <c r="AI285" t="s">
        <v>1046</v>
      </c>
      <c r="AJ285" t="s">
        <v>1047</v>
      </c>
      <c r="AK285" t="s">
        <v>1048</v>
      </c>
      <c r="AL285">
        <v>0</v>
      </c>
      <c r="AM285" t="s">
        <v>1049</v>
      </c>
      <c r="AN285" t="s">
        <v>1050</v>
      </c>
      <c r="AO285" t="s">
        <v>389</v>
      </c>
      <c r="AP285" t="s">
        <v>390</v>
      </c>
      <c r="AQ285" s="15">
        <v>45834</v>
      </c>
      <c r="AR285" s="15">
        <v>45834</v>
      </c>
      <c r="AS285" t="s">
        <v>145</v>
      </c>
      <c r="AT285">
        <v>1</v>
      </c>
      <c r="AU285">
        <v>39000</v>
      </c>
      <c r="AV285">
        <v>0</v>
      </c>
      <c r="AW285">
        <v>0</v>
      </c>
      <c r="AX285" s="14">
        <v>39000</v>
      </c>
      <c r="AY285" s="14">
        <v>39000</v>
      </c>
      <c r="AZ285" s="14">
        <v>0</v>
      </c>
      <c r="BA285">
        <v>0</v>
      </c>
      <c r="BB285" t="s">
        <v>24</v>
      </c>
      <c r="BC285" t="s">
        <v>128</v>
      </c>
      <c r="BD285" t="s">
        <v>129</v>
      </c>
      <c r="BE285" t="s">
        <v>130</v>
      </c>
      <c r="BG285" t="s">
        <v>1053</v>
      </c>
      <c r="BH285" t="s">
        <v>132</v>
      </c>
      <c r="BJ285">
        <v>4</v>
      </c>
      <c r="BK285" t="s">
        <v>133</v>
      </c>
      <c r="BV285" t="s">
        <v>134</v>
      </c>
      <c r="BW285" s="16">
        <v>45834.636111111111</v>
      </c>
      <c r="BX285" t="s">
        <v>143</v>
      </c>
      <c r="BZ285">
        <v>50</v>
      </c>
      <c r="CA285" t="s">
        <v>1054</v>
      </c>
      <c r="CB285">
        <v>0</v>
      </c>
      <c r="CF285" t="s">
        <v>357</v>
      </c>
      <c r="CG285">
        <v>2025</v>
      </c>
      <c r="CH285" t="s">
        <v>138</v>
      </c>
      <c r="CI285" t="s">
        <v>139</v>
      </c>
    </row>
    <row r="286" spans="1:87" x14ac:dyDescent="0.3">
      <c r="A286" t="s">
        <v>115</v>
      </c>
      <c r="B286" t="s">
        <v>116</v>
      </c>
      <c r="C286" t="s">
        <v>117</v>
      </c>
      <c r="D286" t="s">
        <v>118</v>
      </c>
      <c r="E286" t="s">
        <v>14</v>
      </c>
      <c r="F286" t="s">
        <v>743</v>
      </c>
      <c r="G286">
        <v>68.72</v>
      </c>
      <c r="H286">
        <v>0</v>
      </c>
      <c r="I286" s="14">
        <v>470500</v>
      </c>
      <c r="J286" s="14">
        <v>470500</v>
      </c>
      <c r="Q286" s="14"/>
      <c r="R286" s="14"/>
      <c r="Y286" s="14"/>
      <c r="Z286" s="14"/>
      <c r="AG286" s="14"/>
      <c r="AH286" s="14"/>
      <c r="AI286" t="s">
        <v>1046</v>
      </c>
      <c r="AJ286" t="s">
        <v>1047</v>
      </c>
      <c r="AK286" t="s">
        <v>1048</v>
      </c>
      <c r="AL286">
        <v>0</v>
      </c>
      <c r="AM286" t="s">
        <v>1049</v>
      </c>
      <c r="AN286" t="s">
        <v>1050</v>
      </c>
      <c r="AO286" t="s">
        <v>389</v>
      </c>
      <c r="AP286" t="s">
        <v>390</v>
      </c>
      <c r="AQ286" s="15">
        <v>45930</v>
      </c>
      <c r="AR286" s="15"/>
      <c r="AS286" t="s">
        <v>1055</v>
      </c>
      <c r="AT286">
        <v>2</v>
      </c>
      <c r="AU286">
        <v>58000</v>
      </c>
      <c r="AV286">
        <v>0</v>
      </c>
      <c r="AW286">
        <v>0</v>
      </c>
      <c r="AX286" s="14">
        <v>58000</v>
      </c>
      <c r="AY286" s="14">
        <v>0</v>
      </c>
      <c r="AZ286" s="14">
        <v>58000</v>
      </c>
      <c r="BB286" t="s">
        <v>24</v>
      </c>
      <c r="BH286" t="s">
        <v>132</v>
      </c>
      <c r="BK286" t="s">
        <v>550</v>
      </c>
      <c r="BV286" t="s">
        <v>132</v>
      </c>
      <c r="BW286" s="16">
        <v>45834.636111111111</v>
      </c>
      <c r="BX286" t="s">
        <v>143</v>
      </c>
      <c r="BZ286">
        <v>50</v>
      </c>
      <c r="CB286">
        <v>0</v>
      </c>
      <c r="CF286" t="s">
        <v>357</v>
      </c>
      <c r="CG286">
        <v>2025</v>
      </c>
      <c r="CH286" t="s">
        <v>138</v>
      </c>
      <c r="CI286" t="s">
        <v>139</v>
      </c>
    </row>
    <row r="287" spans="1:87" x14ac:dyDescent="0.3">
      <c r="A287" t="s">
        <v>165</v>
      </c>
      <c r="B287" t="s">
        <v>116</v>
      </c>
      <c r="C287" t="s">
        <v>117</v>
      </c>
      <c r="D287" t="s">
        <v>118</v>
      </c>
      <c r="E287" t="s">
        <v>14</v>
      </c>
      <c r="F287" t="s">
        <v>521</v>
      </c>
      <c r="G287">
        <v>70</v>
      </c>
      <c r="H287">
        <v>0</v>
      </c>
      <c r="I287" s="14">
        <v>531100</v>
      </c>
      <c r="J287" s="14">
        <v>518500</v>
      </c>
      <c r="Q287" s="14"/>
      <c r="R287" s="14"/>
      <c r="Y287" s="14"/>
      <c r="Z287" s="14"/>
      <c r="AG287" s="14"/>
      <c r="AH287" s="14"/>
      <c r="AI287" t="s">
        <v>1056</v>
      </c>
      <c r="AJ287" t="s">
        <v>1057</v>
      </c>
      <c r="AK287" t="s">
        <v>1058</v>
      </c>
      <c r="AL287">
        <v>0</v>
      </c>
      <c r="AM287" t="s">
        <v>1059</v>
      </c>
      <c r="AN287" t="s">
        <v>1060</v>
      </c>
      <c r="AO287" t="s">
        <v>125</v>
      </c>
      <c r="AP287" t="s">
        <v>758</v>
      </c>
      <c r="AQ287" s="15">
        <v>45855</v>
      </c>
      <c r="AR287" s="15">
        <v>45855</v>
      </c>
      <c r="AS287" t="s">
        <v>127</v>
      </c>
      <c r="AT287">
        <v>1</v>
      </c>
      <c r="AU287">
        <v>3000</v>
      </c>
      <c r="AV287">
        <v>0</v>
      </c>
      <c r="AW287">
        <v>0</v>
      </c>
      <c r="AX287" s="14">
        <v>3000</v>
      </c>
      <c r="AY287" s="14">
        <v>3000</v>
      </c>
      <c r="AZ287" s="14">
        <v>0</v>
      </c>
      <c r="BA287">
        <v>0</v>
      </c>
      <c r="BB287" t="s">
        <v>24</v>
      </c>
      <c r="BC287" t="s">
        <v>175</v>
      </c>
      <c r="BD287" t="s">
        <v>176</v>
      </c>
      <c r="BE287" t="s">
        <v>130</v>
      </c>
      <c r="BG287" t="s">
        <v>1061</v>
      </c>
      <c r="BH287" t="s">
        <v>132</v>
      </c>
      <c r="BJ287">
        <v>4</v>
      </c>
      <c r="BK287" t="s">
        <v>133</v>
      </c>
      <c r="BV287" t="s">
        <v>134</v>
      </c>
      <c r="BW287" s="16">
        <v>45870.434027777781</v>
      </c>
      <c r="BX287" t="s">
        <v>178</v>
      </c>
      <c r="BZ287">
        <v>16</v>
      </c>
      <c r="CA287" t="s">
        <v>1062</v>
      </c>
      <c r="CB287">
        <v>0</v>
      </c>
      <c r="CF287" t="s">
        <v>357</v>
      </c>
      <c r="CG287">
        <v>2025</v>
      </c>
      <c r="CH287" t="s">
        <v>138</v>
      </c>
      <c r="CI287" t="s">
        <v>139</v>
      </c>
    </row>
    <row r="288" spans="1:87" x14ac:dyDescent="0.3">
      <c r="A288" t="s">
        <v>165</v>
      </c>
      <c r="B288" t="s">
        <v>116</v>
      </c>
      <c r="C288" t="s">
        <v>117</v>
      </c>
      <c r="D288" t="s">
        <v>118</v>
      </c>
      <c r="E288" t="s">
        <v>14</v>
      </c>
      <c r="F288" t="s">
        <v>521</v>
      </c>
      <c r="G288">
        <v>70</v>
      </c>
      <c r="H288">
        <v>0</v>
      </c>
      <c r="I288" s="14">
        <v>531100</v>
      </c>
      <c r="J288" s="14">
        <v>518500</v>
      </c>
      <c r="Q288" s="14"/>
      <c r="R288" s="14"/>
      <c r="Y288" s="14"/>
      <c r="Z288" s="14"/>
      <c r="AG288" s="14"/>
      <c r="AH288" s="14"/>
      <c r="AI288" t="s">
        <v>1056</v>
      </c>
      <c r="AJ288" t="s">
        <v>1057</v>
      </c>
      <c r="AK288" t="s">
        <v>1058</v>
      </c>
      <c r="AL288">
        <v>0</v>
      </c>
      <c r="AM288" t="s">
        <v>1059</v>
      </c>
      <c r="AN288" t="s">
        <v>1060</v>
      </c>
      <c r="AO288" t="s">
        <v>125</v>
      </c>
      <c r="AP288" t="s">
        <v>758</v>
      </c>
      <c r="AQ288" s="15">
        <v>45870</v>
      </c>
      <c r="AR288" s="15">
        <v>45870</v>
      </c>
      <c r="AS288" t="s">
        <v>145</v>
      </c>
      <c r="AT288">
        <v>1</v>
      </c>
      <c r="AU288">
        <v>22925</v>
      </c>
      <c r="AV288">
        <v>0</v>
      </c>
      <c r="AW288">
        <v>0</v>
      </c>
      <c r="AX288" s="14">
        <v>22925</v>
      </c>
      <c r="AY288" s="14">
        <v>22925</v>
      </c>
      <c r="AZ288" s="14">
        <v>0</v>
      </c>
      <c r="BA288">
        <v>0</v>
      </c>
      <c r="BB288" t="s">
        <v>24</v>
      </c>
      <c r="BC288" t="s">
        <v>175</v>
      </c>
      <c r="BD288" t="s">
        <v>176</v>
      </c>
      <c r="BE288" t="s">
        <v>130</v>
      </c>
      <c r="BG288" t="s">
        <v>1063</v>
      </c>
      <c r="BH288" t="s">
        <v>132</v>
      </c>
      <c r="BJ288">
        <v>4</v>
      </c>
      <c r="BK288" t="s">
        <v>133</v>
      </c>
      <c r="BV288" t="s">
        <v>134</v>
      </c>
      <c r="BW288" s="16">
        <v>45870.434027777781</v>
      </c>
      <c r="BX288" t="s">
        <v>178</v>
      </c>
      <c r="BZ288">
        <v>16</v>
      </c>
      <c r="CA288" t="s">
        <v>1064</v>
      </c>
      <c r="CB288">
        <v>0</v>
      </c>
      <c r="CF288" t="s">
        <v>357</v>
      </c>
      <c r="CG288">
        <v>2025</v>
      </c>
      <c r="CH288" t="s">
        <v>138</v>
      </c>
      <c r="CI288" t="s">
        <v>139</v>
      </c>
    </row>
    <row r="289" spans="1:87" x14ac:dyDescent="0.3">
      <c r="A289" t="s">
        <v>165</v>
      </c>
      <c r="B289" t="s">
        <v>116</v>
      </c>
      <c r="C289" t="s">
        <v>117</v>
      </c>
      <c r="D289" t="s">
        <v>118</v>
      </c>
      <c r="E289" t="s">
        <v>14</v>
      </c>
      <c r="F289" t="s">
        <v>521</v>
      </c>
      <c r="G289">
        <v>70</v>
      </c>
      <c r="H289">
        <v>0</v>
      </c>
      <c r="I289" s="14">
        <v>531100</v>
      </c>
      <c r="J289" s="14">
        <v>518500</v>
      </c>
      <c r="Q289" s="14"/>
      <c r="R289" s="14"/>
      <c r="Y289" s="14"/>
      <c r="Z289" s="14"/>
      <c r="AG289" s="14"/>
      <c r="AH289" s="14"/>
      <c r="AI289" t="s">
        <v>1056</v>
      </c>
      <c r="AJ289" t="s">
        <v>1057</v>
      </c>
      <c r="AK289" t="s">
        <v>1058</v>
      </c>
      <c r="AL289">
        <v>0</v>
      </c>
      <c r="AM289" t="s">
        <v>1059</v>
      </c>
      <c r="AN289" t="s">
        <v>1060</v>
      </c>
      <c r="AO289" t="s">
        <v>125</v>
      </c>
      <c r="AP289" t="s">
        <v>758</v>
      </c>
      <c r="AQ289" s="15">
        <v>45991</v>
      </c>
      <c r="AR289" s="15">
        <v>46108</v>
      </c>
      <c r="AS289" t="s">
        <v>1055</v>
      </c>
      <c r="AT289">
        <v>2</v>
      </c>
      <c r="AU289">
        <v>13800</v>
      </c>
      <c r="AV289">
        <v>0</v>
      </c>
      <c r="AW289">
        <v>0</v>
      </c>
      <c r="AX289" s="14">
        <v>13800</v>
      </c>
      <c r="AY289" s="14">
        <v>13800</v>
      </c>
      <c r="AZ289" s="14">
        <v>0</v>
      </c>
      <c r="BA289">
        <v>0</v>
      </c>
      <c r="BB289" t="s">
        <v>24</v>
      </c>
      <c r="BC289" t="s">
        <v>175</v>
      </c>
      <c r="BD289" t="s">
        <v>176</v>
      </c>
      <c r="BE289" t="s">
        <v>130</v>
      </c>
      <c r="BG289" t="s">
        <v>1065</v>
      </c>
      <c r="BH289" t="s">
        <v>132</v>
      </c>
      <c r="BJ289">
        <v>4</v>
      </c>
      <c r="BK289" t="s">
        <v>133</v>
      </c>
      <c r="BV289" t="s">
        <v>134</v>
      </c>
      <c r="BW289" s="16">
        <v>45870.434027777781</v>
      </c>
      <c r="BX289" t="s">
        <v>178</v>
      </c>
      <c r="BZ289">
        <v>16</v>
      </c>
      <c r="CA289" t="s">
        <v>1066</v>
      </c>
      <c r="CB289">
        <v>0</v>
      </c>
      <c r="CF289" t="s">
        <v>357</v>
      </c>
      <c r="CG289">
        <v>2025</v>
      </c>
      <c r="CH289" t="s">
        <v>138</v>
      </c>
      <c r="CI289" t="s">
        <v>139</v>
      </c>
    </row>
    <row r="290" spans="1:87" x14ac:dyDescent="0.3">
      <c r="A290" t="s">
        <v>165</v>
      </c>
      <c r="B290" t="s">
        <v>116</v>
      </c>
      <c r="C290" t="s">
        <v>117</v>
      </c>
      <c r="D290" t="s">
        <v>118</v>
      </c>
      <c r="E290" t="s">
        <v>14</v>
      </c>
      <c r="F290" t="s">
        <v>190</v>
      </c>
      <c r="G290">
        <v>72</v>
      </c>
      <c r="H290">
        <v>16</v>
      </c>
      <c r="I290" s="14">
        <v>587000</v>
      </c>
      <c r="J290" s="14">
        <v>577000</v>
      </c>
      <c r="Q290" s="14"/>
      <c r="R290" s="14"/>
      <c r="Y290" s="14"/>
      <c r="Z290" s="14"/>
      <c r="AG290" s="14"/>
      <c r="AH290" s="14"/>
      <c r="AI290" t="s">
        <v>342</v>
      </c>
      <c r="AJ290" t="s">
        <v>343</v>
      </c>
      <c r="AK290" t="s">
        <v>344</v>
      </c>
      <c r="AL290">
        <v>0</v>
      </c>
      <c r="AM290" t="s">
        <v>345</v>
      </c>
      <c r="AN290" t="s">
        <v>346</v>
      </c>
      <c r="AO290" t="s">
        <v>125</v>
      </c>
      <c r="AP290" t="s">
        <v>152</v>
      </c>
      <c r="AQ290" s="15">
        <v>45918</v>
      </c>
      <c r="AR290" s="15">
        <v>45918</v>
      </c>
      <c r="AS290" t="s">
        <v>145</v>
      </c>
      <c r="AT290">
        <v>1</v>
      </c>
      <c r="AU290">
        <v>89400</v>
      </c>
      <c r="AV290">
        <v>0</v>
      </c>
      <c r="AW290">
        <v>0</v>
      </c>
      <c r="AX290" s="14">
        <v>89400</v>
      </c>
      <c r="AY290" s="14">
        <v>89400</v>
      </c>
      <c r="AZ290" s="14">
        <v>0</v>
      </c>
      <c r="BA290">
        <v>0</v>
      </c>
      <c r="BB290" t="s">
        <v>24</v>
      </c>
      <c r="BC290" t="s">
        <v>175</v>
      </c>
      <c r="BD290" t="s">
        <v>176</v>
      </c>
      <c r="BE290" t="s">
        <v>130</v>
      </c>
      <c r="BF290" t="s">
        <v>343</v>
      </c>
      <c r="BG290" t="s">
        <v>1067</v>
      </c>
      <c r="BH290" t="s">
        <v>132</v>
      </c>
      <c r="BI290" t="s">
        <v>154</v>
      </c>
      <c r="BJ290">
        <v>4</v>
      </c>
      <c r="BK290" t="s">
        <v>133</v>
      </c>
      <c r="BV290" t="s">
        <v>134</v>
      </c>
      <c r="BW290" s="16">
        <v>45918.415972222218</v>
      </c>
      <c r="BX290" t="s">
        <v>143</v>
      </c>
      <c r="BZ290">
        <v>4</v>
      </c>
      <c r="CA290" t="s">
        <v>1068</v>
      </c>
      <c r="CB290">
        <v>0</v>
      </c>
      <c r="CF290" t="s">
        <v>357</v>
      </c>
      <c r="CG290">
        <v>2025</v>
      </c>
      <c r="CH290" t="s">
        <v>138</v>
      </c>
      <c r="CI290" t="s">
        <v>139</v>
      </c>
    </row>
    <row r="291" spans="1:87" x14ac:dyDescent="0.3">
      <c r="A291" t="s">
        <v>165</v>
      </c>
      <c r="B291" t="s">
        <v>116</v>
      </c>
      <c r="C291" t="s">
        <v>117</v>
      </c>
      <c r="D291" t="s">
        <v>118</v>
      </c>
      <c r="E291" t="s">
        <v>14</v>
      </c>
      <c r="F291" t="s">
        <v>1069</v>
      </c>
      <c r="G291">
        <v>57</v>
      </c>
      <c r="H291">
        <v>0</v>
      </c>
      <c r="I291" s="14">
        <v>430000</v>
      </c>
      <c r="J291" s="14">
        <v>382000</v>
      </c>
      <c r="Q291" s="14"/>
      <c r="R291" s="14"/>
      <c r="Y291" s="14"/>
      <c r="Z291" s="14"/>
      <c r="AG291" s="14"/>
      <c r="AH291" s="14"/>
      <c r="AI291" t="s">
        <v>1070</v>
      </c>
      <c r="AJ291" t="s">
        <v>1071</v>
      </c>
      <c r="AK291" t="s">
        <v>1072</v>
      </c>
      <c r="AL291">
        <v>999533600</v>
      </c>
      <c r="AM291" t="s">
        <v>1073</v>
      </c>
      <c r="AN291" t="s">
        <v>1074</v>
      </c>
      <c r="AO291" t="s">
        <v>125</v>
      </c>
      <c r="AP291" t="s">
        <v>750</v>
      </c>
      <c r="AQ291" s="15">
        <v>46011</v>
      </c>
      <c r="AR291" s="15">
        <v>46011</v>
      </c>
      <c r="AS291" t="s">
        <v>127</v>
      </c>
      <c r="AT291">
        <v>1</v>
      </c>
      <c r="AU291">
        <v>3000</v>
      </c>
      <c r="AV291">
        <v>0</v>
      </c>
      <c r="AW291">
        <v>0</v>
      </c>
      <c r="AX291" s="14">
        <v>3000</v>
      </c>
      <c r="AY291" s="14">
        <v>3000</v>
      </c>
      <c r="AZ291" s="14">
        <v>0</v>
      </c>
      <c r="BA291">
        <v>0</v>
      </c>
      <c r="BB291" t="s">
        <v>23</v>
      </c>
      <c r="BC291" t="s">
        <v>175</v>
      </c>
      <c r="BD291" t="s">
        <v>176</v>
      </c>
      <c r="BE291" t="s">
        <v>130</v>
      </c>
      <c r="BG291" t="s">
        <v>1075</v>
      </c>
      <c r="BH291" t="s">
        <v>134</v>
      </c>
      <c r="BJ291">
        <v>4</v>
      </c>
      <c r="BK291" t="s">
        <v>133</v>
      </c>
      <c r="BV291" t="s">
        <v>134</v>
      </c>
      <c r="BW291" s="16">
        <v>46031.409722222219</v>
      </c>
      <c r="BX291" t="s">
        <v>143</v>
      </c>
      <c r="BZ291">
        <v>20</v>
      </c>
      <c r="CA291" t="s">
        <v>1076</v>
      </c>
      <c r="CB291">
        <v>0</v>
      </c>
      <c r="CF291" t="s">
        <v>357</v>
      </c>
      <c r="CG291">
        <v>2025</v>
      </c>
      <c r="CH291" t="s">
        <v>138</v>
      </c>
      <c r="CI291" t="s">
        <v>139</v>
      </c>
    </row>
    <row r="292" spans="1:87" x14ac:dyDescent="0.3">
      <c r="A292" t="s">
        <v>115</v>
      </c>
      <c r="B292" t="s">
        <v>116</v>
      </c>
      <c r="C292" t="s">
        <v>117</v>
      </c>
      <c r="D292" t="s">
        <v>118</v>
      </c>
      <c r="E292" t="s">
        <v>14</v>
      </c>
      <c r="F292" t="s">
        <v>427</v>
      </c>
      <c r="G292">
        <v>60.93</v>
      </c>
      <c r="H292">
        <v>0</v>
      </c>
      <c r="I292" s="14">
        <v>417700</v>
      </c>
      <c r="J292" s="14">
        <v>417700</v>
      </c>
      <c r="Q292" s="14"/>
      <c r="R292" s="14"/>
      <c r="Y292" s="14"/>
      <c r="Z292" s="14"/>
      <c r="AG292" s="14"/>
      <c r="AH292" s="14"/>
      <c r="AI292" t="s">
        <v>1077</v>
      </c>
      <c r="AJ292" t="s">
        <v>1078</v>
      </c>
      <c r="AK292" t="s">
        <v>1079</v>
      </c>
      <c r="AL292">
        <v>951990414</v>
      </c>
      <c r="AM292" t="s">
        <v>1080</v>
      </c>
      <c r="AN292" t="s">
        <v>1081</v>
      </c>
      <c r="AO292" t="s">
        <v>125</v>
      </c>
      <c r="AP292" t="s">
        <v>152</v>
      </c>
      <c r="AQ292" s="15">
        <v>45861</v>
      </c>
      <c r="AR292" s="15">
        <v>45861</v>
      </c>
      <c r="AS292" t="s">
        <v>127</v>
      </c>
      <c r="AT292">
        <v>1</v>
      </c>
      <c r="AU292">
        <v>3000</v>
      </c>
      <c r="AV292">
        <v>0</v>
      </c>
      <c r="AW292">
        <v>0</v>
      </c>
      <c r="AX292" s="14">
        <v>3000</v>
      </c>
      <c r="AY292" s="14">
        <v>3000</v>
      </c>
      <c r="AZ292" s="14">
        <v>0</v>
      </c>
      <c r="BA292">
        <v>0</v>
      </c>
      <c r="BB292" t="s">
        <v>23</v>
      </c>
      <c r="BC292" t="s">
        <v>128</v>
      </c>
      <c r="BD292" t="s">
        <v>129</v>
      </c>
      <c r="BE292" t="s">
        <v>130</v>
      </c>
      <c r="BF292" t="s">
        <v>1078</v>
      </c>
      <c r="BG292" t="s">
        <v>1082</v>
      </c>
      <c r="BH292" t="s">
        <v>132</v>
      </c>
      <c r="BI292" t="s">
        <v>154</v>
      </c>
      <c r="BJ292">
        <v>1</v>
      </c>
      <c r="BK292" t="s">
        <v>133</v>
      </c>
      <c r="BV292" t="s">
        <v>134</v>
      </c>
      <c r="BW292" s="16">
        <v>45887.701388888891</v>
      </c>
      <c r="BX292" t="s">
        <v>178</v>
      </c>
      <c r="BZ292">
        <v>15</v>
      </c>
      <c r="CA292" t="s">
        <v>224</v>
      </c>
      <c r="CB292">
        <v>0</v>
      </c>
      <c r="CF292" t="s">
        <v>357</v>
      </c>
      <c r="CG292">
        <v>2025</v>
      </c>
      <c r="CH292" t="s">
        <v>138</v>
      </c>
      <c r="CI292" t="s">
        <v>139</v>
      </c>
    </row>
    <row r="293" spans="1:87" x14ac:dyDescent="0.3">
      <c r="A293" t="s">
        <v>115</v>
      </c>
      <c r="B293" t="s">
        <v>116</v>
      </c>
      <c r="C293" t="s">
        <v>117</v>
      </c>
      <c r="D293" t="s">
        <v>118</v>
      </c>
      <c r="E293" t="s">
        <v>14</v>
      </c>
      <c r="F293" t="s">
        <v>427</v>
      </c>
      <c r="G293">
        <v>60.93</v>
      </c>
      <c r="H293">
        <v>0</v>
      </c>
      <c r="I293" s="14">
        <v>417700</v>
      </c>
      <c r="J293" s="14">
        <v>417700</v>
      </c>
      <c r="Q293" s="14"/>
      <c r="R293" s="14"/>
      <c r="Y293" s="14"/>
      <c r="Z293" s="14"/>
      <c r="AG293" s="14"/>
      <c r="AH293" s="14"/>
      <c r="AI293" t="s">
        <v>1077</v>
      </c>
      <c r="AJ293" t="s">
        <v>1078</v>
      </c>
      <c r="AK293" t="s">
        <v>1079</v>
      </c>
      <c r="AL293">
        <v>951990414</v>
      </c>
      <c r="AM293" t="s">
        <v>1080</v>
      </c>
      <c r="AN293" t="s">
        <v>1081</v>
      </c>
      <c r="AO293" t="s">
        <v>125</v>
      </c>
      <c r="AP293" t="s">
        <v>152</v>
      </c>
      <c r="AQ293" s="15">
        <v>45887</v>
      </c>
      <c r="AR293" s="15">
        <v>45887</v>
      </c>
      <c r="AS293" t="s">
        <v>145</v>
      </c>
      <c r="AT293">
        <v>1</v>
      </c>
      <c r="AU293">
        <v>47000</v>
      </c>
      <c r="AV293">
        <v>0</v>
      </c>
      <c r="AW293">
        <v>0</v>
      </c>
      <c r="AX293" s="14">
        <v>47000</v>
      </c>
      <c r="AY293" s="14">
        <v>47000</v>
      </c>
      <c r="AZ293" s="14">
        <v>0</v>
      </c>
      <c r="BA293">
        <v>0</v>
      </c>
      <c r="BB293" t="s">
        <v>23</v>
      </c>
      <c r="BC293" t="s">
        <v>128</v>
      </c>
      <c r="BD293" t="s">
        <v>129</v>
      </c>
      <c r="BE293" t="s">
        <v>130</v>
      </c>
      <c r="BG293" t="s">
        <v>1083</v>
      </c>
      <c r="BH293" t="s">
        <v>132</v>
      </c>
      <c r="BJ293">
        <v>4</v>
      </c>
      <c r="BK293" t="s">
        <v>133</v>
      </c>
      <c r="BV293" t="s">
        <v>134</v>
      </c>
      <c r="BW293" s="16">
        <v>45887.701388888891</v>
      </c>
      <c r="BX293" t="s">
        <v>178</v>
      </c>
      <c r="BZ293">
        <v>15</v>
      </c>
      <c r="CA293" t="s">
        <v>1084</v>
      </c>
      <c r="CB293">
        <v>0</v>
      </c>
      <c r="CF293" t="s">
        <v>357</v>
      </c>
      <c r="CG293">
        <v>2025</v>
      </c>
      <c r="CH293" t="s">
        <v>138</v>
      </c>
      <c r="CI293" t="s">
        <v>139</v>
      </c>
    </row>
    <row r="294" spans="1:87" x14ac:dyDescent="0.3">
      <c r="A294" t="s">
        <v>115</v>
      </c>
      <c r="B294" t="s">
        <v>116</v>
      </c>
      <c r="C294" t="s">
        <v>117</v>
      </c>
      <c r="D294" t="s">
        <v>118</v>
      </c>
      <c r="E294" t="s">
        <v>14</v>
      </c>
      <c r="F294" t="s">
        <v>427</v>
      </c>
      <c r="G294">
        <v>60.93</v>
      </c>
      <c r="H294">
        <v>0</v>
      </c>
      <c r="I294" s="14">
        <v>417700</v>
      </c>
      <c r="J294" s="14">
        <v>417700</v>
      </c>
      <c r="Q294" s="14"/>
      <c r="R294" s="14"/>
      <c r="Y294" s="14"/>
      <c r="Z294" s="14"/>
      <c r="AG294" s="14"/>
      <c r="AH294" s="14"/>
      <c r="AI294" t="s">
        <v>1077</v>
      </c>
      <c r="AJ294" t="s">
        <v>1078</v>
      </c>
      <c r="AK294" t="s">
        <v>1079</v>
      </c>
      <c r="AL294">
        <v>951990414</v>
      </c>
      <c r="AM294" t="s">
        <v>1080</v>
      </c>
      <c r="AN294" t="s">
        <v>1081</v>
      </c>
      <c r="AO294" t="s">
        <v>125</v>
      </c>
      <c r="AP294" t="s">
        <v>152</v>
      </c>
      <c r="AQ294" s="15">
        <v>45930</v>
      </c>
      <c r="AR294" s="15">
        <v>45929</v>
      </c>
      <c r="AS294" t="s">
        <v>227</v>
      </c>
      <c r="AT294">
        <v>1</v>
      </c>
      <c r="AU294">
        <v>367700</v>
      </c>
      <c r="AV294">
        <v>0</v>
      </c>
      <c r="AW294">
        <v>0</v>
      </c>
      <c r="AX294" s="14">
        <v>367700</v>
      </c>
      <c r="AY294" s="14">
        <v>367700</v>
      </c>
      <c r="AZ294" s="14">
        <v>0</v>
      </c>
      <c r="BA294">
        <v>0</v>
      </c>
      <c r="BB294" t="s">
        <v>23</v>
      </c>
      <c r="BC294" t="s">
        <v>128</v>
      </c>
      <c r="BD294" t="s">
        <v>129</v>
      </c>
      <c r="BE294" t="s">
        <v>130</v>
      </c>
      <c r="BG294" t="s">
        <v>1085</v>
      </c>
      <c r="BH294" t="s">
        <v>132</v>
      </c>
      <c r="BJ294">
        <v>4</v>
      </c>
      <c r="BK294" t="s">
        <v>133</v>
      </c>
      <c r="BV294" t="s">
        <v>134</v>
      </c>
      <c r="BW294" s="16">
        <v>45887.701388888891</v>
      </c>
      <c r="BX294" t="s">
        <v>178</v>
      </c>
      <c r="BZ294">
        <v>15</v>
      </c>
      <c r="CA294" t="s">
        <v>1086</v>
      </c>
      <c r="CB294">
        <v>0</v>
      </c>
      <c r="CF294" t="s">
        <v>357</v>
      </c>
      <c r="CG294">
        <v>2025</v>
      </c>
      <c r="CH294" t="s">
        <v>138</v>
      </c>
      <c r="CI294" t="s">
        <v>139</v>
      </c>
    </row>
    <row r="295" spans="1:87" x14ac:dyDescent="0.3">
      <c r="A295" t="s">
        <v>165</v>
      </c>
      <c r="B295" t="s">
        <v>116</v>
      </c>
      <c r="C295" t="s">
        <v>117</v>
      </c>
      <c r="D295" t="s">
        <v>118</v>
      </c>
      <c r="E295" t="s">
        <v>14</v>
      </c>
      <c r="F295" t="s">
        <v>349</v>
      </c>
      <c r="G295">
        <v>40</v>
      </c>
      <c r="H295">
        <v>0</v>
      </c>
      <c r="I295" s="14">
        <v>312500</v>
      </c>
      <c r="J295" s="14">
        <v>265000</v>
      </c>
      <c r="Q295" s="14"/>
      <c r="R295" s="14"/>
      <c r="Y295" s="14"/>
      <c r="Z295" s="14"/>
      <c r="AG295" s="14"/>
      <c r="AH295" s="14"/>
      <c r="AI295" t="s">
        <v>350</v>
      </c>
      <c r="AJ295" t="s">
        <v>351</v>
      </c>
      <c r="AK295" t="s">
        <v>352</v>
      </c>
      <c r="AL295">
        <v>0</v>
      </c>
      <c r="AM295" t="s">
        <v>353</v>
      </c>
      <c r="AN295" t="s">
        <v>354</v>
      </c>
      <c r="AO295" t="s">
        <v>125</v>
      </c>
      <c r="AP295" t="s">
        <v>339</v>
      </c>
      <c r="AQ295" s="15">
        <v>46053</v>
      </c>
      <c r="AR295" s="15"/>
      <c r="AS295" t="s">
        <v>1055</v>
      </c>
      <c r="AT295">
        <v>2</v>
      </c>
      <c r="AU295">
        <v>11400</v>
      </c>
      <c r="AV295">
        <v>0</v>
      </c>
      <c r="AW295">
        <v>0</v>
      </c>
      <c r="AX295" s="14">
        <v>11400</v>
      </c>
      <c r="AY295" s="14">
        <v>0</v>
      </c>
      <c r="AZ295" s="14">
        <v>11400</v>
      </c>
      <c r="BB295" t="s">
        <v>24</v>
      </c>
      <c r="BH295" t="s">
        <v>132</v>
      </c>
      <c r="BK295" t="s">
        <v>550</v>
      </c>
      <c r="BV295" t="s">
        <v>132</v>
      </c>
      <c r="BW295" s="16">
        <v>45904.805555555547</v>
      </c>
      <c r="BX295" t="s">
        <v>178</v>
      </c>
      <c r="BZ295">
        <v>11</v>
      </c>
      <c r="CB295">
        <v>0</v>
      </c>
      <c r="CF295" t="s">
        <v>1087</v>
      </c>
      <c r="CG295">
        <v>2026</v>
      </c>
      <c r="CH295" t="s">
        <v>138</v>
      </c>
      <c r="CI295" t="s">
        <v>139</v>
      </c>
    </row>
    <row r="296" spans="1:87" x14ac:dyDescent="0.3">
      <c r="A296" t="s">
        <v>165</v>
      </c>
      <c r="B296" t="s">
        <v>116</v>
      </c>
      <c r="C296" t="s">
        <v>117</v>
      </c>
      <c r="D296" t="s">
        <v>118</v>
      </c>
      <c r="E296" t="s">
        <v>14</v>
      </c>
      <c r="F296" t="s">
        <v>349</v>
      </c>
      <c r="G296">
        <v>40</v>
      </c>
      <c r="H296">
        <v>0</v>
      </c>
      <c r="I296" s="14">
        <v>312500</v>
      </c>
      <c r="J296" s="14">
        <v>265000</v>
      </c>
      <c r="Q296" s="14"/>
      <c r="R296" s="14"/>
      <c r="Y296" s="14"/>
      <c r="Z296" s="14"/>
      <c r="AG296" s="14"/>
      <c r="AH296" s="14"/>
      <c r="AI296" t="s">
        <v>350</v>
      </c>
      <c r="AJ296" t="s">
        <v>351</v>
      </c>
      <c r="AK296" t="s">
        <v>352</v>
      </c>
      <c r="AL296">
        <v>0</v>
      </c>
      <c r="AM296" t="s">
        <v>353</v>
      </c>
      <c r="AN296" t="s">
        <v>354</v>
      </c>
      <c r="AO296" t="s">
        <v>125</v>
      </c>
      <c r="AP296" t="s">
        <v>339</v>
      </c>
      <c r="AQ296" s="15">
        <v>46234</v>
      </c>
      <c r="AR296" s="15"/>
      <c r="AS296" t="s">
        <v>227</v>
      </c>
      <c r="AT296">
        <v>1</v>
      </c>
      <c r="AU296">
        <v>185000</v>
      </c>
      <c r="AV296">
        <v>0</v>
      </c>
      <c r="AW296">
        <v>0</v>
      </c>
      <c r="AX296" s="14">
        <v>185000</v>
      </c>
      <c r="AY296" s="14">
        <v>0</v>
      </c>
      <c r="AZ296" s="14">
        <v>185000</v>
      </c>
      <c r="BB296" t="s">
        <v>24</v>
      </c>
      <c r="BH296" t="s">
        <v>132</v>
      </c>
      <c r="BK296" t="s">
        <v>550</v>
      </c>
      <c r="BV296" t="s">
        <v>132</v>
      </c>
      <c r="BW296" s="16">
        <v>45904.805555555547</v>
      </c>
      <c r="BX296" t="s">
        <v>178</v>
      </c>
      <c r="BZ296">
        <v>11</v>
      </c>
      <c r="CB296">
        <v>0</v>
      </c>
      <c r="CF296" t="s">
        <v>1087</v>
      </c>
      <c r="CG296">
        <v>2026</v>
      </c>
      <c r="CH296" t="s">
        <v>138</v>
      </c>
      <c r="CI296" t="s">
        <v>139</v>
      </c>
    </row>
    <row r="297" spans="1:87" x14ac:dyDescent="0.3">
      <c r="A297" t="s">
        <v>165</v>
      </c>
      <c r="B297" t="s">
        <v>116</v>
      </c>
      <c r="C297" t="s">
        <v>117</v>
      </c>
      <c r="D297" t="s">
        <v>118</v>
      </c>
      <c r="E297" t="s">
        <v>14</v>
      </c>
      <c r="F297" t="s">
        <v>1088</v>
      </c>
      <c r="G297">
        <v>72</v>
      </c>
      <c r="H297">
        <v>0</v>
      </c>
      <c r="I297" s="14">
        <v>482100</v>
      </c>
      <c r="J297" s="14">
        <v>482100</v>
      </c>
      <c r="K297" t="s">
        <v>117</v>
      </c>
      <c r="L297" t="s">
        <v>118</v>
      </c>
      <c r="M297" t="s">
        <v>140</v>
      </c>
      <c r="N297" t="s">
        <v>1089</v>
      </c>
      <c r="O297">
        <v>12.5</v>
      </c>
      <c r="P297">
        <v>2</v>
      </c>
      <c r="Q297" s="14">
        <v>54000</v>
      </c>
      <c r="R297" s="14">
        <v>54000</v>
      </c>
      <c r="Y297" s="14"/>
      <c r="Z297" s="14"/>
      <c r="AG297" s="14"/>
      <c r="AH297" s="14"/>
      <c r="AI297" t="s">
        <v>1090</v>
      </c>
      <c r="AJ297" t="s">
        <v>1091</v>
      </c>
      <c r="AK297" t="s">
        <v>1092</v>
      </c>
      <c r="AL297">
        <v>0</v>
      </c>
      <c r="AM297" t="s">
        <v>1093</v>
      </c>
      <c r="AN297" t="s">
        <v>1094</v>
      </c>
      <c r="AO297" t="s">
        <v>125</v>
      </c>
      <c r="AP297" t="s">
        <v>187</v>
      </c>
      <c r="AQ297" s="15">
        <v>46169</v>
      </c>
      <c r="AR297" s="15">
        <v>46169</v>
      </c>
      <c r="AS297" t="s">
        <v>127</v>
      </c>
      <c r="AT297">
        <v>1</v>
      </c>
      <c r="AU297">
        <v>3000</v>
      </c>
      <c r="AV297">
        <v>0</v>
      </c>
      <c r="AW297">
        <v>0</v>
      </c>
      <c r="AX297" s="14">
        <v>3000</v>
      </c>
      <c r="AY297" s="14">
        <v>3000</v>
      </c>
      <c r="AZ297" s="14">
        <v>0</v>
      </c>
      <c r="BA297">
        <v>0</v>
      </c>
      <c r="BB297" t="s">
        <v>24</v>
      </c>
      <c r="BC297" t="s">
        <v>175</v>
      </c>
      <c r="BD297" t="s">
        <v>176</v>
      </c>
      <c r="BE297" t="s">
        <v>130</v>
      </c>
      <c r="BG297" t="s">
        <v>1095</v>
      </c>
      <c r="BH297" t="s">
        <v>132</v>
      </c>
      <c r="BJ297">
        <v>4</v>
      </c>
      <c r="BK297" t="s">
        <v>133</v>
      </c>
      <c r="BV297" t="s">
        <v>134</v>
      </c>
      <c r="BW297" s="16">
        <v>46172.737500000003</v>
      </c>
      <c r="BX297" t="s">
        <v>143</v>
      </c>
      <c r="BZ297">
        <v>41</v>
      </c>
      <c r="CA297" t="s">
        <v>1096</v>
      </c>
      <c r="CB297">
        <v>0</v>
      </c>
      <c r="CF297" t="s">
        <v>1087</v>
      </c>
      <c r="CG297">
        <v>2026</v>
      </c>
      <c r="CH297" t="s">
        <v>138</v>
      </c>
      <c r="CI297" t="s">
        <v>139</v>
      </c>
    </row>
    <row r="298" spans="1:87" x14ac:dyDescent="0.3">
      <c r="A298" t="s">
        <v>165</v>
      </c>
      <c r="B298" t="s">
        <v>116</v>
      </c>
      <c r="C298" t="s">
        <v>117</v>
      </c>
      <c r="D298" t="s">
        <v>118</v>
      </c>
      <c r="E298" t="s">
        <v>14</v>
      </c>
      <c r="F298" t="s">
        <v>1088</v>
      </c>
      <c r="G298">
        <v>72</v>
      </c>
      <c r="H298">
        <v>0</v>
      </c>
      <c r="I298" s="14">
        <v>482100</v>
      </c>
      <c r="J298" s="14">
        <v>482100</v>
      </c>
      <c r="K298" t="s">
        <v>117</v>
      </c>
      <c r="L298" t="s">
        <v>118</v>
      </c>
      <c r="M298" t="s">
        <v>140</v>
      </c>
      <c r="N298" t="s">
        <v>1089</v>
      </c>
      <c r="O298">
        <v>12.5</v>
      </c>
      <c r="P298">
        <v>2</v>
      </c>
      <c r="Q298" s="14">
        <v>54000</v>
      </c>
      <c r="R298" s="14">
        <v>54000</v>
      </c>
      <c r="Y298" s="14"/>
      <c r="Z298" s="14"/>
      <c r="AG298" s="14"/>
      <c r="AH298" s="14"/>
      <c r="AI298" t="s">
        <v>1090</v>
      </c>
      <c r="AJ298" t="s">
        <v>1091</v>
      </c>
      <c r="AK298" t="s">
        <v>1092</v>
      </c>
      <c r="AL298">
        <v>0</v>
      </c>
      <c r="AM298" t="s">
        <v>1093</v>
      </c>
      <c r="AN298" t="s">
        <v>1094</v>
      </c>
      <c r="AO298" t="s">
        <v>125</v>
      </c>
      <c r="AP298" t="s">
        <v>187</v>
      </c>
      <c r="AQ298" s="15">
        <v>46172</v>
      </c>
      <c r="AR298" s="15">
        <v>46172</v>
      </c>
      <c r="AS298" t="s">
        <v>145</v>
      </c>
      <c r="AT298">
        <v>1</v>
      </c>
      <c r="AU298">
        <v>7000</v>
      </c>
      <c r="AV298">
        <v>0</v>
      </c>
      <c r="AW298">
        <v>0</v>
      </c>
      <c r="AX298" s="14">
        <v>7000</v>
      </c>
      <c r="AY298" s="14">
        <v>7000</v>
      </c>
      <c r="AZ298" s="14">
        <v>0</v>
      </c>
      <c r="BA298">
        <v>0</v>
      </c>
      <c r="BB298" t="s">
        <v>24</v>
      </c>
      <c r="BC298" t="s">
        <v>175</v>
      </c>
      <c r="BD298" t="s">
        <v>176</v>
      </c>
      <c r="BE298" t="s">
        <v>130</v>
      </c>
      <c r="BG298" t="s">
        <v>1097</v>
      </c>
      <c r="BH298" t="s">
        <v>132</v>
      </c>
      <c r="BJ298">
        <v>4</v>
      </c>
      <c r="BK298" t="s">
        <v>133</v>
      </c>
      <c r="BV298" t="s">
        <v>134</v>
      </c>
      <c r="BW298" s="16">
        <v>46172.737500000003</v>
      </c>
      <c r="BX298" t="s">
        <v>143</v>
      </c>
      <c r="BZ298">
        <v>41</v>
      </c>
      <c r="CA298" t="s">
        <v>1098</v>
      </c>
      <c r="CB298">
        <v>0</v>
      </c>
      <c r="CF298" t="s">
        <v>1087</v>
      </c>
      <c r="CG298">
        <v>2026</v>
      </c>
      <c r="CH298" t="s">
        <v>138</v>
      </c>
      <c r="CI298" t="s">
        <v>139</v>
      </c>
    </row>
    <row r="299" spans="1:87" x14ac:dyDescent="0.3">
      <c r="A299" t="s">
        <v>165</v>
      </c>
      <c r="B299" t="s">
        <v>116</v>
      </c>
      <c r="C299" t="s">
        <v>117</v>
      </c>
      <c r="D299" t="s">
        <v>118</v>
      </c>
      <c r="E299" t="s">
        <v>14</v>
      </c>
      <c r="F299" t="s">
        <v>1088</v>
      </c>
      <c r="G299">
        <v>72</v>
      </c>
      <c r="H299">
        <v>0</v>
      </c>
      <c r="I299" s="14">
        <v>482100</v>
      </c>
      <c r="J299" s="14">
        <v>482100</v>
      </c>
      <c r="K299" t="s">
        <v>117</v>
      </c>
      <c r="L299" t="s">
        <v>118</v>
      </c>
      <c r="M299" t="s">
        <v>140</v>
      </c>
      <c r="N299" t="s">
        <v>1089</v>
      </c>
      <c r="O299">
        <v>12.5</v>
      </c>
      <c r="P299">
        <v>2</v>
      </c>
      <c r="Q299" s="14">
        <v>54000</v>
      </c>
      <c r="R299" s="14">
        <v>54000</v>
      </c>
      <c r="Y299" s="14"/>
      <c r="Z299" s="14"/>
      <c r="AG299" s="14"/>
      <c r="AH299" s="14"/>
      <c r="AI299" t="s">
        <v>1090</v>
      </c>
      <c r="AJ299" t="s">
        <v>1091</v>
      </c>
      <c r="AK299" t="s">
        <v>1092</v>
      </c>
      <c r="AL299">
        <v>0</v>
      </c>
      <c r="AM299" t="s">
        <v>1093</v>
      </c>
      <c r="AN299" t="s">
        <v>1094</v>
      </c>
      <c r="AO299" t="s">
        <v>125</v>
      </c>
      <c r="AP299" t="s">
        <v>187</v>
      </c>
      <c r="AQ299" s="15">
        <v>46174</v>
      </c>
      <c r="AR299" s="15">
        <v>46174</v>
      </c>
      <c r="AS299" t="s">
        <v>145</v>
      </c>
      <c r="AT299">
        <v>2</v>
      </c>
      <c r="AU299">
        <v>70415</v>
      </c>
      <c r="AV299">
        <v>0</v>
      </c>
      <c r="AW299">
        <v>0</v>
      </c>
      <c r="AX299" s="14">
        <v>70415</v>
      </c>
      <c r="AY299" s="14">
        <v>70415</v>
      </c>
      <c r="AZ299" s="14">
        <v>0</v>
      </c>
      <c r="BA299">
        <v>0</v>
      </c>
      <c r="BB299" t="s">
        <v>24</v>
      </c>
      <c r="BC299" t="s">
        <v>175</v>
      </c>
      <c r="BD299" t="s">
        <v>176</v>
      </c>
      <c r="BE299" t="s">
        <v>130</v>
      </c>
      <c r="BG299" t="s">
        <v>1099</v>
      </c>
      <c r="BH299" t="s">
        <v>132</v>
      </c>
      <c r="BJ299">
        <v>4</v>
      </c>
      <c r="BK299" t="s">
        <v>133</v>
      </c>
      <c r="BV299" t="s">
        <v>134</v>
      </c>
      <c r="BW299" s="16">
        <v>46172.737500000003</v>
      </c>
      <c r="BX299" t="s">
        <v>143</v>
      </c>
      <c r="BZ299">
        <v>41</v>
      </c>
      <c r="CA299" t="s">
        <v>1098</v>
      </c>
      <c r="CB299">
        <v>0</v>
      </c>
      <c r="CF299" t="s">
        <v>1087</v>
      </c>
      <c r="CG299">
        <v>2026</v>
      </c>
      <c r="CH299" t="s">
        <v>138</v>
      </c>
      <c r="CI299" t="s">
        <v>139</v>
      </c>
    </row>
    <row r="300" spans="1:87" x14ac:dyDescent="0.3">
      <c r="A300" t="s">
        <v>165</v>
      </c>
      <c r="B300" t="s">
        <v>116</v>
      </c>
      <c r="C300" t="s">
        <v>117</v>
      </c>
      <c r="D300" t="s">
        <v>118</v>
      </c>
      <c r="E300" t="s">
        <v>14</v>
      </c>
      <c r="F300" t="s">
        <v>1088</v>
      </c>
      <c r="G300">
        <v>72</v>
      </c>
      <c r="H300">
        <v>0</v>
      </c>
      <c r="I300" s="14">
        <v>482100</v>
      </c>
      <c r="J300" s="14">
        <v>482100</v>
      </c>
      <c r="K300" t="s">
        <v>117</v>
      </c>
      <c r="L300" t="s">
        <v>118</v>
      </c>
      <c r="M300" t="s">
        <v>140</v>
      </c>
      <c r="N300" t="s">
        <v>1089</v>
      </c>
      <c r="O300">
        <v>12.5</v>
      </c>
      <c r="P300">
        <v>2</v>
      </c>
      <c r="Q300" s="14">
        <v>54000</v>
      </c>
      <c r="R300" s="14">
        <v>54000</v>
      </c>
      <c r="Y300" s="14"/>
      <c r="Z300" s="14"/>
      <c r="AG300" s="14"/>
      <c r="AH300" s="14"/>
      <c r="AI300" t="s">
        <v>1090</v>
      </c>
      <c r="AJ300" t="s">
        <v>1091</v>
      </c>
      <c r="AK300" t="s">
        <v>1092</v>
      </c>
      <c r="AL300">
        <v>0</v>
      </c>
      <c r="AM300" t="s">
        <v>1093</v>
      </c>
      <c r="AN300" t="s">
        <v>1094</v>
      </c>
      <c r="AO300" t="s">
        <v>125</v>
      </c>
      <c r="AP300" t="s">
        <v>187</v>
      </c>
      <c r="AQ300" s="15">
        <v>46386</v>
      </c>
      <c r="AR300" s="15"/>
      <c r="AS300" t="s">
        <v>1055</v>
      </c>
      <c r="AT300">
        <v>3</v>
      </c>
      <c r="AU300">
        <v>26805</v>
      </c>
      <c r="AV300">
        <v>0</v>
      </c>
      <c r="AW300">
        <v>0</v>
      </c>
      <c r="AX300" s="14">
        <v>26805</v>
      </c>
      <c r="AY300" s="14">
        <v>0</v>
      </c>
      <c r="AZ300" s="14">
        <v>26805</v>
      </c>
      <c r="BB300" t="s">
        <v>24</v>
      </c>
      <c r="BH300" t="s">
        <v>132</v>
      </c>
      <c r="BK300" t="s">
        <v>1100</v>
      </c>
      <c r="BV300" t="s">
        <v>132</v>
      </c>
      <c r="BW300" s="16">
        <v>46172.737500000003</v>
      </c>
      <c r="BX300" t="s">
        <v>143</v>
      </c>
      <c r="BZ300">
        <v>41</v>
      </c>
      <c r="CB300">
        <v>0</v>
      </c>
      <c r="CF300" t="s">
        <v>1087</v>
      </c>
      <c r="CG300">
        <v>2026</v>
      </c>
      <c r="CH300" t="s">
        <v>138</v>
      </c>
      <c r="CI300" t="s">
        <v>139</v>
      </c>
    </row>
    <row r="301" spans="1:87" x14ac:dyDescent="0.3">
      <c r="A301" t="s">
        <v>115</v>
      </c>
      <c r="B301" t="s">
        <v>116</v>
      </c>
      <c r="C301" t="s">
        <v>117</v>
      </c>
      <c r="D301" t="s">
        <v>118</v>
      </c>
      <c r="E301" t="s">
        <v>140</v>
      </c>
      <c r="F301" t="s">
        <v>376</v>
      </c>
      <c r="G301">
        <v>12.49</v>
      </c>
      <c r="H301">
        <v>1.83</v>
      </c>
      <c r="I301" s="14">
        <v>52000</v>
      </c>
      <c r="J301" s="14">
        <v>52000</v>
      </c>
      <c r="Q301" s="14"/>
      <c r="R301" s="14"/>
      <c r="Y301" s="14"/>
      <c r="Z301" s="14"/>
      <c r="AG301" s="14"/>
      <c r="AH301" s="14"/>
      <c r="AI301" t="s">
        <v>361</v>
      </c>
      <c r="AJ301" t="s">
        <v>362</v>
      </c>
      <c r="AK301" t="s">
        <v>363</v>
      </c>
      <c r="AL301">
        <v>0</v>
      </c>
      <c r="AM301" t="s">
        <v>364</v>
      </c>
      <c r="AN301" t="s">
        <v>365</v>
      </c>
      <c r="AO301" t="s">
        <v>125</v>
      </c>
      <c r="AP301" t="s">
        <v>366</v>
      </c>
      <c r="AQ301" s="15">
        <v>46112</v>
      </c>
      <c r="AR301" s="15">
        <v>46112</v>
      </c>
      <c r="AS301" t="s">
        <v>227</v>
      </c>
      <c r="AT301">
        <v>3</v>
      </c>
      <c r="AU301">
        <v>14000</v>
      </c>
      <c r="AV301">
        <v>0</v>
      </c>
      <c r="AW301">
        <v>0</v>
      </c>
      <c r="AX301" s="14">
        <v>14000</v>
      </c>
      <c r="AY301" s="14">
        <v>14000</v>
      </c>
      <c r="AZ301" s="14">
        <v>0</v>
      </c>
      <c r="BA301">
        <v>0</v>
      </c>
      <c r="BB301" t="s">
        <v>22</v>
      </c>
      <c r="BC301" t="s">
        <v>128</v>
      </c>
      <c r="BD301" t="s">
        <v>129</v>
      </c>
      <c r="BE301" t="s">
        <v>130</v>
      </c>
      <c r="BG301" t="s">
        <v>1101</v>
      </c>
      <c r="BH301" t="s">
        <v>132</v>
      </c>
      <c r="BJ301">
        <v>4</v>
      </c>
      <c r="BK301" t="s">
        <v>133</v>
      </c>
      <c r="BV301" t="s">
        <v>134</v>
      </c>
      <c r="BW301" s="16">
        <v>45961.432638888888</v>
      </c>
      <c r="BX301" t="s">
        <v>143</v>
      </c>
      <c r="BZ301">
        <v>54</v>
      </c>
      <c r="CA301" t="s">
        <v>1102</v>
      </c>
      <c r="CB301">
        <v>0</v>
      </c>
      <c r="CF301" t="s">
        <v>1087</v>
      </c>
      <c r="CG301">
        <v>2026</v>
      </c>
      <c r="CH301" t="s">
        <v>138</v>
      </c>
      <c r="CI301" t="s">
        <v>139</v>
      </c>
    </row>
    <row r="302" spans="1:87" x14ac:dyDescent="0.3">
      <c r="A302" t="s">
        <v>115</v>
      </c>
      <c r="B302" t="s">
        <v>116</v>
      </c>
      <c r="C302" t="s">
        <v>117</v>
      </c>
      <c r="D302" t="s">
        <v>118</v>
      </c>
      <c r="E302" t="s">
        <v>14</v>
      </c>
      <c r="F302" t="s">
        <v>383</v>
      </c>
      <c r="G302">
        <v>60.93</v>
      </c>
      <c r="H302">
        <v>0</v>
      </c>
      <c r="I302" s="14">
        <v>417700</v>
      </c>
      <c r="J302" s="14">
        <v>417700</v>
      </c>
      <c r="Q302" s="14"/>
      <c r="R302" s="14"/>
      <c r="Y302" s="14"/>
      <c r="Z302" s="14"/>
      <c r="AG302" s="14"/>
      <c r="AH302" s="14"/>
      <c r="AI302" t="s">
        <v>384</v>
      </c>
      <c r="AJ302" t="s">
        <v>385</v>
      </c>
      <c r="AK302" t="s">
        <v>386</v>
      </c>
      <c r="AL302">
        <v>938217737</v>
      </c>
      <c r="AM302" t="s">
        <v>387</v>
      </c>
      <c r="AN302" t="s">
        <v>388</v>
      </c>
      <c r="AO302" t="s">
        <v>389</v>
      </c>
      <c r="AP302" t="s">
        <v>390</v>
      </c>
      <c r="AQ302" s="15">
        <v>46142</v>
      </c>
      <c r="AR302" s="15">
        <v>46146</v>
      </c>
      <c r="AS302" t="s">
        <v>145</v>
      </c>
      <c r="AT302">
        <v>2</v>
      </c>
      <c r="AU302">
        <v>0</v>
      </c>
      <c r="AV302">
        <v>0</v>
      </c>
      <c r="AW302">
        <v>0</v>
      </c>
      <c r="AX302" s="14">
        <v>31000</v>
      </c>
      <c r="AY302" s="14">
        <v>12000</v>
      </c>
      <c r="AZ302" s="14">
        <v>0</v>
      </c>
      <c r="BA302">
        <v>0</v>
      </c>
      <c r="BB302" t="s">
        <v>24</v>
      </c>
      <c r="BC302" t="s">
        <v>128</v>
      </c>
      <c r="BD302" t="s">
        <v>129</v>
      </c>
      <c r="BE302" t="s">
        <v>130</v>
      </c>
      <c r="BG302" t="s">
        <v>1103</v>
      </c>
      <c r="BH302" t="s">
        <v>132</v>
      </c>
      <c r="BJ302">
        <v>4</v>
      </c>
      <c r="BK302" t="s">
        <v>133</v>
      </c>
      <c r="BV302" t="s">
        <v>134</v>
      </c>
      <c r="BW302" s="16">
        <v>45919.615972222222</v>
      </c>
      <c r="BX302" t="s">
        <v>135</v>
      </c>
      <c r="BZ302">
        <v>36</v>
      </c>
      <c r="CA302" t="s">
        <v>1104</v>
      </c>
      <c r="CB302">
        <v>0</v>
      </c>
      <c r="CF302" t="s">
        <v>1087</v>
      </c>
      <c r="CG302">
        <v>2026</v>
      </c>
      <c r="CH302" t="s">
        <v>138</v>
      </c>
      <c r="CI302" t="s">
        <v>139</v>
      </c>
    </row>
    <row r="303" spans="1:87" x14ac:dyDescent="0.3">
      <c r="A303" t="s">
        <v>115</v>
      </c>
      <c r="B303" t="s">
        <v>116</v>
      </c>
      <c r="C303" t="s">
        <v>117</v>
      </c>
      <c r="D303" t="s">
        <v>118</v>
      </c>
      <c r="E303" t="s">
        <v>14</v>
      </c>
      <c r="F303" t="s">
        <v>383</v>
      </c>
      <c r="G303">
        <v>60.93</v>
      </c>
      <c r="H303">
        <v>0</v>
      </c>
      <c r="I303" s="14">
        <v>417700</v>
      </c>
      <c r="J303" s="14">
        <v>417700</v>
      </c>
      <c r="Q303" s="14"/>
      <c r="R303" s="14"/>
      <c r="Y303" s="14"/>
      <c r="Z303" s="14"/>
      <c r="AG303" s="14"/>
      <c r="AH303" s="14"/>
      <c r="AI303" t="s">
        <v>384</v>
      </c>
      <c r="AJ303" t="s">
        <v>385</v>
      </c>
      <c r="AK303" t="s">
        <v>386</v>
      </c>
      <c r="AL303">
        <v>938217737</v>
      </c>
      <c r="AM303" t="s">
        <v>387</v>
      </c>
      <c r="AN303" t="s">
        <v>388</v>
      </c>
      <c r="AO303" t="s">
        <v>389</v>
      </c>
      <c r="AP303" t="s">
        <v>390</v>
      </c>
      <c r="AQ303" s="15">
        <v>46142</v>
      </c>
      <c r="AR303" s="15">
        <v>46144</v>
      </c>
      <c r="AS303" t="s">
        <v>145</v>
      </c>
      <c r="AT303">
        <v>2</v>
      </c>
      <c r="AU303">
        <v>0</v>
      </c>
      <c r="AV303">
        <v>0</v>
      </c>
      <c r="AW303">
        <v>0</v>
      </c>
      <c r="AX303" s="14">
        <v>0</v>
      </c>
      <c r="AY303" s="14">
        <v>12000</v>
      </c>
      <c r="AZ303" s="14">
        <v>0</v>
      </c>
      <c r="BA303">
        <v>0</v>
      </c>
      <c r="BB303" t="s">
        <v>24</v>
      </c>
      <c r="BC303" t="s">
        <v>128</v>
      </c>
      <c r="BD303" t="s">
        <v>129</v>
      </c>
      <c r="BE303" t="s">
        <v>130</v>
      </c>
      <c r="BG303" t="s">
        <v>1105</v>
      </c>
      <c r="BH303" t="s">
        <v>132</v>
      </c>
      <c r="BJ303">
        <v>4</v>
      </c>
      <c r="BK303" t="s">
        <v>133</v>
      </c>
      <c r="BV303" t="s">
        <v>134</v>
      </c>
      <c r="BW303" s="16">
        <v>45919.615972222222</v>
      </c>
      <c r="BX303" t="s">
        <v>135</v>
      </c>
      <c r="BZ303">
        <v>36</v>
      </c>
      <c r="CA303" t="s">
        <v>1106</v>
      </c>
      <c r="CB303">
        <v>0</v>
      </c>
      <c r="CF303" t="s">
        <v>1087</v>
      </c>
      <c r="CG303">
        <v>2026</v>
      </c>
      <c r="CH303" t="s">
        <v>138</v>
      </c>
      <c r="CI303" t="s">
        <v>139</v>
      </c>
    </row>
    <row r="304" spans="1:87" x14ac:dyDescent="0.3">
      <c r="A304" t="s">
        <v>115</v>
      </c>
      <c r="B304" t="s">
        <v>116</v>
      </c>
      <c r="C304" t="s">
        <v>117</v>
      </c>
      <c r="D304" t="s">
        <v>118</v>
      </c>
      <c r="E304" t="s">
        <v>14</v>
      </c>
      <c r="F304" t="s">
        <v>383</v>
      </c>
      <c r="G304">
        <v>60.93</v>
      </c>
      <c r="H304">
        <v>0</v>
      </c>
      <c r="I304" s="14">
        <v>417700</v>
      </c>
      <c r="J304" s="14">
        <v>417700</v>
      </c>
      <c r="Q304" s="14"/>
      <c r="R304" s="14"/>
      <c r="Y304" s="14"/>
      <c r="Z304" s="14"/>
      <c r="AG304" s="14"/>
      <c r="AH304" s="14"/>
      <c r="AI304" t="s">
        <v>384</v>
      </c>
      <c r="AJ304" t="s">
        <v>385</v>
      </c>
      <c r="AK304" t="s">
        <v>386</v>
      </c>
      <c r="AL304">
        <v>938217737</v>
      </c>
      <c r="AM304" t="s">
        <v>387</v>
      </c>
      <c r="AN304" t="s">
        <v>388</v>
      </c>
      <c r="AO304" t="s">
        <v>389</v>
      </c>
      <c r="AP304" t="s">
        <v>390</v>
      </c>
      <c r="AQ304" s="15">
        <v>46142</v>
      </c>
      <c r="AR304" s="15">
        <v>46144</v>
      </c>
      <c r="AS304" t="s">
        <v>145</v>
      </c>
      <c r="AT304">
        <v>2</v>
      </c>
      <c r="AU304">
        <v>31000</v>
      </c>
      <c r="AV304">
        <v>0</v>
      </c>
      <c r="AW304">
        <v>0</v>
      </c>
      <c r="AX304" s="14">
        <v>0</v>
      </c>
      <c r="AY304" s="14">
        <v>7000</v>
      </c>
      <c r="AZ304" s="14">
        <v>0</v>
      </c>
      <c r="BA304">
        <v>0</v>
      </c>
      <c r="BB304" t="s">
        <v>24</v>
      </c>
      <c r="BC304" t="s">
        <v>128</v>
      </c>
      <c r="BD304" t="s">
        <v>129</v>
      </c>
      <c r="BE304" t="s">
        <v>130</v>
      </c>
      <c r="BG304" t="s">
        <v>1107</v>
      </c>
      <c r="BH304" t="s">
        <v>132</v>
      </c>
      <c r="BJ304">
        <v>4</v>
      </c>
      <c r="BK304" t="s">
        <v>133</v>
      </c>
      <c r="BV304" t="s">
        <v>134</v>
      </c>
      <c r="BW304" s="16">
        <v>45919.615972222222</v>
      </c>
      <c r="BX304" t="s">
        <v>135</v>
      </c>
      <c r="BZ304">
        <v>36</v>
      </c>
      <c r="CA304" t="s">
        <v>1108</v>
      </c>
      <c r="CB304">
        <v>0</v>
      </c>
      <c r="CF304" t="s">
        <v>1087</v>
      </c>
      <c r="CG304">
        <v>2026</v>
      </c>
      <c r="CH304" t="s">
        <v>138</v>
      </c>
      <c r="CI304" t="s">
        <v>139</v>
      </c>
    </row>
    <row r="305" spans="1:87" x14ac:dyDescent="0.3">
      <c r="A305" t="s">
        <v>115</v>
      </c>
      <c r="B305" t="s">
        <v>116</v>
      </c>
      <c r="C305" t="s">
        <v>117</v>
      </c>
      <c r="D305" t="s">
        <v>118</v>
      </c>
      <c r="E305" t="s">
        <v>14</v>
      </c>
      <c r="F305" t="s">
        <v>383</v>
      </c>
      <c r="G305">
        <v>60.93</v>
      </c>
      <c r="H305">
        <v>0</v>
      </c>
      <c r="I305" s="14">
        <v>417700</v>
      </c>
      <c r="J305" s="14">
        <v>417700</v>
      </c>
      <c r="Q305" s="14"/>
      <c r="R305" s="14"/>
      <c r="Y305" s="14"/>
      <c r="Z305" s="14"/>
      <c r="AG305" s="14"/>
      <c r="AH305" s="14"/>
      <c r="AI305" t="s">
        <v>384</v>
      </c>
      <c r="AJ305" t="s">
        <v>385</v>
      </c>
      <c r="AK305" t="s">
        <v>386</v>
      </c>
      <c r="AL305">
        <v>938217737</v>
      </c>
      <c r="AM305" t="s">
        <v>387</v>
      </c>
      <c r="AN305" t="s">
        <v>388</v>
      </c>
      <c r="AO305" t="s">
        <v>389</v>
      </c>
      <c r="AP305" t="s">
        <v>390</v>
      </c>
      <c r="AQ305" s="15">
        <v>46081</v>
      </c>
      <c r="AR305" s="15">
        <v>46144</v>
      </c>
      <c r="AS305" t="s">
        <v>145</v>
      </c>
      <c r="AT305">
        <v>3</v>
      </c>
      <c r="AU305">
        <v>21000</v>
      </c>
      <c r="AV305">
        <v>0</v>
      </c>
      <c r="AW305">
        <v>0</v>
      </c>
      <c r="AX305" s="14">
        <v>21000</v>
      </c>
      <c r="AY305" s="14">
        <v>21000</v>
      </c>
      <c r="AZ305" s="14">
        <v>0</v>
      </c>
      <c r="BA305">
        <v>0</v>
      </c>
      <c r="BB305" t="s">
        <v>24</v>
      </c>
      <c r="BC305" t="s">
        <v>128</v>
      </c>
      <c r="BD305" t="s">
        <v>129</v>
      </c>
      <c r="BE305" t="s">
        <v>130</v>
      </c>
      <c r="BG305" t="s">
        <v>1107</v>
      </c>
      <c r="BH305" t="s">
        <v>132</v>
      </c>
      <c r="BJ305">
        <v>4</v>
      </c>
      <c r="BK305" t="s">
        <v>133</v>
      </c>
      <c r="BV305" t="s">
        <v>134</v>
      </c>
      <c r="BW305" s="16">
        <v>45919.615972222222</v>
      </c>
      <c r="BX305" t="s">
        <v>135</v>
      </c>
      <c r="BZ305">
        <v>36</v>
      </c>
      <c r="CA305" t="s">
        <v>1108</v>
      </c>
      <c r="CB305">
        <v>0</v>
      </c>
      <c r="CF305" t="s">
        <v>1087</v>
      </c>
      <c r="CG305">
        <v>2026</v>
      </c>
      <c r="CH305" t="s">
        <v>138</v>
      </c>
      <c r="CI305" t="s">
        <v>139</v>
      </c>
    </row>
    <row r="306" spans="1:87" x14ac:dyDescent="0.3">
      <c r="A306" t="s">
        <v>115</v>
      </c>
      <c r="B306" t="s">
        <v>116</v>
      </c>
      <c r="C306" t="s">
        <v>117</v>
      </c>
      <c r="D306" t="s">
        <v>118</v>
      </c>
      <c r="E306" t="s">
        <v>14</v>
      </c>
      <c r="F306" t="s">
        <v>383</v>
      </c>
      <c r="G306">
        <v>60.93</v>
      </c>
      <c r="H306">
        <v>0</v>
      </c>
      <c r="I306" s="14">
        <v>417700</v>
      </c>
      <c r="J306" s="14">
        <v>417700</v>
      </c>
      <c r="Q306" s="14"/>
      <c r="R306" s="14"/>
      <c r="Y306" s="14"/>
      <c r="Z306" s="14"/>
      <c r="AG306" s="14"/>
      <c r="AH306" s="14"/>
      <c r="AI306" t="s">
        <v>384</v>
      </c>
      <c r="AJ306" t="s">
        <v>385</v>
      </c>
      <c r="AK306" t="s">
        <v>386</v>
      </c>
      <c r="AL306">
        <v>938217737</v>
      </c>
      <c r="AM306" t="s">
        <v>387</v>
      </c>
      <c r="AN306" t="s">
        <v>388</v>
      </c>
      <c r="AO306" t="s">
        <v>389</v>
      </c>
      <c r="AP306" t="s">
        <v>390</v>
      </c>
      <c r="AQ306" s="15">
        <v>46203</v>
      </c>
      <c r="AR306" s="15">
        <v>46172</v>
      </c>
      <c r="AS306" t="s">
        <v>227</v>
      </c>
      <c r="AT306">
        <v>1</v>
      </c>
      <c r="AU306">
        <v>352700</v>
      </c>
      <c r="AV306">
        <v>0</v>
      </c>
      <c r="AW306">
        <v>0</v>
      </c>
      <c r="AX306" s="14">
        <v>352700</v>
      </c>
      <c r="AY306" s="14">
        <v>352700</v>
      </c>
      <c r="AZ306" s="14">
        <v>0</v>
      </c>
      <c r="BA306">
        <v>0</v>
      </c>
      <c r="BB306" t="s">
        <v>24</v>
      </c>
      <c r="BC306" t="s">
        <v>128</v>
      </c>
      <c r="BD306" t="s">
        <v>129</v>
      </c>
      <c r="BE306" t="s">
        <v>130</v>
      </c>
      <c r="BG306" t="s">
        <v>1109</v>
      </c>
      <c r="BH306" t="s">
        <v>132</v>
      </c>
      <c r="BJ306">
        <v>4</v>
      </c>
      <c r="BK306" t="s">
        <v>133</v>
      </c>
      <c r="BV306" t="s">
        <v>134</v>
      </c>
      <c r="BW306" s="16">
        <v>45919.615972222222</v>
      </c>
      <c r="BX306" t="s">
        <v>135</v>
      </c>
      <c r="BZ306">
        <v>36</v>
      </c>
      <c r="CA306" t="s">
        <v>1110</v>
      </c>
      <c r="CB306">
        <v>0</v>
      </c>
      <c r="CF306" t="s">
        <v>1087</v>
      </c>
      <c r="CG306">
        <v>2026</v>
      </c>
      <c r="CH306" t="s">
        <v>138</v>
      </c>
      <c r="CI306" t="s">
        <v>139</v>
      </c>
    </row>
    <row r="307" spans="1:87" x14ac:dyDescent="0.3">
      <c r="A307" t="s">
        <v>115</v>
      </c>
      <c r="B307" t="s">
        <v>116</v>
      </c>
      <c r="C307" t="s">
        <v>117</v>
      </c>
      <c r="D307" t="s">
        <v>118</v>
      </c>
      <c r="E307" t="s">
        <v>140</v>
      </c>
      <c r="F307" t="s">
        <v>408</v>
      </c>
      <c r="G307">
        <v>13.27</v>
      </c>
      <c r="H307">
        <v>0</v>
      </c>
      <c r="I307" s="14">
        <v>50500</v>
      </c>
      <c r="J307" s="14">
        <v>50500</v>
      </c>
      <c r="Q307" s="14"/>
      <c r="R307" s="14"/>
      <c r="Y307" s="14"/>
      <c r="Z307" s="14"/>
      <c r="AG307" s="14"/>
      <c r="AH307" s="14"/>
      <c r="AI307" t="s">
        <v>396</v>
      </c>
      <c r="AJ307" t="s">
        <v>397</v>
      </c>
      <c r="AK307" t="s">
        <v>398</v>
      </c>
      <c r="AL307">
        <v>0</v>
      </c>
      <c r="AM307" t="s">
        <v>399</v>
      </c>
      <c r="AN307" t="s">
        <v>400</v>
      </c>
      <c r="AO307" t="s">
        <v>125</v>
      </c>
      <c r="AP307" t="s">
        <v>297</v>
      </c>
      <c r="AQ307" s="15">
        <v>46052</v>
      </c>
      <c r="AR307" s="15">
        <v>46052</v>
      </c>
      <c r="AS307" t="s">
        <v>227</v>
      </c>
      <c r="AT307">
        <v>7</v>
      </c>
      <c r="AU307">
        <v>3000</v>
      </c>
      <c r="AV307">
        <v>0</v>
      </c>
      <c r="AW307">
        <v>0</v>
      </c>
      <c r="AX307" s="14">
        <v>3000</v>
      </c>
      <c r="AY307" s="14">
        <v>3000</v>
      </c>
      <c r="AZ307" s="14">
        <v>0</v>
      </c>
      <c r="BA307">
        <v>0</v>
      </c>
      <c r="BB307" t="s">
        <v>22</v>
      </c>
      <c r="BC307" t="s">
        <v>128</v>
      </c>
      <c r="BD307" t="s">
        <v>434</v>
      </c>
      <c r="BE307" t="s">
        <v>130</v>
      </c>
      <c r="BG307" t="s">
        <v>1111</v>
      </c>
      <c r="BH307" t="s">
        <v>132</v>
      </c>
      <c r="BJ307">
        <v>4</v>
      </c>
      <c r="BK307" t="s">
        <v>133</v>
      </c>
      <c r="BV307" t="s">
        <v>134</v>
      </c>
      <c r="BW307" s="16">
        <v>45868.491666666669</v>
      </c>
      <c r="BX307" t="s">
        <v>143</v>
      </c>
      <c r="BZ307">
        <v>62</v>
      </c>
      <c r="CA307" t="s">
        <v>425</v>
      </c>
      <c r="CB307">
        <v>0</v>
      </c>
      <c r="CF307" t="s">
        <v>1087</v>
      </c>
      <c r="CG307">
        <v>2026</v>
      </c>
      <c r="CH307" t="s">
        <v>138</v>
      </c>
      <c r="CI307" t="s">
        <v>139</v>
      </c>
    </row>
    <row r="308" spans="1:87" x14ac:dyDescent="0.3">
      <c r="A308" t="s">
        <v>115</v>
      </c>
      <c r="B308" t="s">
        <v>116</v>
      </c>
      <c r="C308" t="s">
        <v>117</v>
      </c>
      <c r="D308" t="s">
        <v>118</v>
      </c>
      <c r="E308" t="s">
        <v>140</v>
      </c>
      <c r="F308" t="s">
        <v>408</v>
      </c>
      <c r="G308">
        <v>13.27</v>
      </c>
      <c r="H308">
        <v>0</v>
      </c>
      <c r="I308" s="14">
        <v>50500</v>
      </c>
      <c r="J308" s="14">
        <v>50500</v>
      </c>
      <c r="Q308" s="14"/>
      <c r="R308" s="14"/>
      <c r="Y308" s="14"/>
      <c r="Z308" s="14"/>
      <c r="AG308" s="14"/>
      <c r="AH308" s="14"/>
      <c r="AI308" t="s">
        <v>396</v>
      </c>
      <c r="AJ308" t="s">
        <v>397</v>
      </c>
      <c r="AK308" t="s">
        <v>398</v>
      </c>
      <c r="AL308">
        <v>0</v>
      </c>
      <c r="AM308" t="s">
        <v>399</v>
      </c>
      <c r="AN308" t="s">
        <v>400</v>
      </c>
      <c r="AO308" t="s">
        <v>125</v>
      </c>
      <c r="AP308" t="s">
        <v>297</v>
      </c>
      <c r="AQ308" s="15">
        <v>46080</v>
      </c>
      <c r="AR308" s="15">
        <v>46080</v>
      </c>
      <c r="AS308" t="s">
        <v>227</v>
      </c>
      <c r="AT308">
        <v>8</v>
      </c>
      <c r="AU308">
        <v>3000</v>
      </c>
      <c r="AV308">
        <v>0</v>
      </c>
      <c r="AW308">
        <v>0</v>
      </c>
      <c r="AX308" s="14">
        <v>3000</v>
      </c>
      <c r="AY308" s="14">
        <v>3000</v>
      </c>
      <c r="AZ308" s="14">
        <v>0</v>
      </c>
      <c r="BA308">
        <v>0</v>
      </c>
      <c r="BB308" t="s">
        <v>22</v>
      </c>
      <c r="BC308" t="s">
        <v>128</v>
      </c>
      <c r="BD308" t="s">
        <v>434</v>
      </c>
      <c r="BE308" t="s">
        <v>130</v>
      </c>
      <c r="BG308" t="s">
        <v>1112</v>
      </c>
      <c r="BH308" t="s">
        <v>132</v>
      </c>
      <c r="BJ308">
        <v>4</v>
      </c>
      <c r="BK308" t="s">
        <v>133</v>
      </c>
      <c r="BV308" t="s">
        <v>134</v>
      </c>
      <c r="BW308" s="16">
        <v>45868.491666666669</v>
      </c>
      <c r="BX308" t="s">
        <v>143</v>
      </c>
      <c r="BZ308">
        <v>62</v>
      </c>
      <c r="CA308" t="s">
        <v>1113</v>
      </c>
      <c r="CB308">
        <v>0</v>
      </c>
      <c r="CF308" t="s">
        <v>1087</v>
      </c>
      <c r="CG308">
        <v>2026</v>
      </c>
      <c r="CH308" t="s">
        <v>138</v>
      </c>
      <c r="CI308" t="s">
        <v>139</v>
      </c>
    </row>
    <row r="309" spans="1:87" x14ac:dyDescent="0.3">
      <c r="A309" t="s">
        <v>115</v>
      </c>
      <c r="B309" t="s">
        <v>116</v>
      </c>
      <c r="C309" t="s">
        <v>117</v>
      </c>
      <c r="D309" t="s">
        <v>118</v>
      </c>
      <c r="E309" t="s">
        <v>140</v>
      </c>
      <c r="F309" t="s">
        <v>408</v>
      </c>
      <c r="G309">
        <v>13.27</v>
      </c>
      <c r="H309">
        <v>0</v>
      </c>
      <c r="I309" s="14">
        <v>50500</v>
      </c>
      <c r="J309" s="14">
        <v>50500</v>
      </c>
      <c r="Q309" s="14"/>
      <c r="R309" s="14"/>
      <c r="Y309" s="14"/>
      <c r="Z309" s="14"/>
      <c r="AG309" s="14"/>
      <c r="AH309" s="14"/>
      <c r="AI309" t="s">
        <v>396</v>
      </c>
      <c r="AJ309" t="s">
        <v>397</v>
      </c>
      <c r="AK309" t="s">
        <v>398</v>
      </c>
      <c r="AL309">
        <v>0</v>
      </c>
      <c r="AM309" t="s">
        <v>399</v>
      </c>
      <c r="AN309" t="s">
        <v>400</v>
      </c>
      <c r="AO309" t="s">
        <v>125</v>
      </c>
      <c r="AP309" t="s">
        <v>297</v>
      </c>
      <c r="AQ309" s="15">
        <v>46112</v>
      </c>
      <c r="AR309" s="15">
        <v>46112</v>
      </c>
      <c r="AS309" t="s">
        <v>227</v>
      </c>
      <c r="AT309">
        <v>9</v>
      </c>
      <c r="AU309">
        <v>3000</v>
      </c>
      <c r="AV309">
        <v>0</v>
      </c>
      <c r="AW309">
        <v>0</v>
      </c>
      <c r="AX309" s="14">
        <v>3000</v>
      </c>
      <c r="AY309" s="14">
        <v>3000</v>
      </c>
      <c r="AZ309" s="14">
        <v>0</v>
      </c>
      <c r="BA309">
        <v>0</v>
      </c>
      <c r="BB309" t="s">
        <v>22</v>
      </c>
      <c r="BC309" t="s">
        <v>128</v>
      </c>
      <c r="BD309" t="s">
        <v>434</v>
      </c>
      <c r="BE309" t="s">
        <v>130</v>
      </c>
      <c r="BG309" t="s">
        <v>1114</v>
      </c>
      <c r="BH309" t="s">
        <v>132</v>
      </c>
      <c r="BJ309">
        <v>4</v>
      </c>
      <c r="BK309" t="s">
        <v>133</v>
      </c>
      <c r="BV309" t="s">
        <v>134</v>
      </c>
      <c r="BW309" s="16">
        <v>45868.491666666669</v>
      </c>
      <c r="BX309" t="s">
        <v>143</v>
      </c>
      <c r="BZ309">
        <v>62</v>
      </c>
      <c r="CA309" t="s">
        <v>1115</v>
      </c>
      <c r="CB309">
        <v>0</v>
      </c>
      <c r="CF309" t="s">
        <v>1087</v>
      </c>
      <c r="CG309">
        <v>2026</v>
      </c>
      <c r="CH309" t="s">
        <v>138</v>
      </c>
      <c r="CI309" t="s">
        <v>139</v>
      </c>
    </row>
    <row r="310" spans="1:87" x14ac:dyDescent="0.3">
      <c r="A310" t="s">
        <v>115</v>
      </c>
      <c r="B310" t="s">
        <v>116</v>
      </c>
      <c r="C310" t="s">
        <v>117</v>
      </c>
      <c r="D310" t="s">
        <v>118</v>
      </c>
      <c r="E310" t="s">
        <v>140</v>
      </c>
      <c r="F310" t="s">
        <v>408</v>
      </c>
      <c r="G310">
        <v>13.27</v>
      </c>
      <c r="H310">
        <v>0</v>
      </c>
      <c r="I310" s="14">
        <v>50500</v>
      </c>
      <c r="J310" s="14">
        <v>50500</v>
      </c>
      <c r="Q310" s="14"/>
      <c r="R310" s="14"/>
      <c r="Y310" s="14"/>
      <c r="Z310" s="14"/>
      <c r="AG310" s="14"/>
      <c r="AH310" s="14"/>
      <c r="AI310" t="s">
        <v>396</v>
      </c>
      <c r="AJ310" t="s">
        <v>397</v>
      </c>
      <c r="AK310" t="s">
        <v>398</v>
      </c>
      <c r="AL310">
        <v>0</v>
      </c>
      <c r="AM310" t="s">
        <v>399</v>
      </c>
      <c r="AN310" t="s">
        <v>400</v>
      </c>
      <c r="AO310" t="s">
        <v>125</v>
      </c>
      <c r="AP310" t="s">
        <v>297</v>
      </c>
      <c r="AQ310" s="15">
        <v>46144</v>
      </c>
      <c r="AR310" s="15">
        <v>46144</v>
      </c>
      <c r="AS310" t="s">
        <v>227</v>
      </c>
      <c r="AT310">
        <v>10</v>
      </c>
      <c r="AU310">
        <v>3000</v>
      </c>
      <c r="AV310">
        <v>0</v>
      </c>
      <c r="AW310">
        <v>0</v>
      </c>
      <c r="AX310" s="14">
        <v>3000</v>
      </c>
      <c r="AY310" s="14">
        <v>3000</v>
      </c>
      <c r="AZ310" s="14">
        <v>0</v>
      </c>
      <c r="BA310">
        <v>0</v>
      </c>
      <c r="BB310" t="s">
        <v>22</v>
      </c>
      <c r="BC310" t="s">
        <v>128</v>
      </c>
      <c r="BD310" t="s">
        <v>434</v>
      </c>
      <c r="BE310" t="s">
        <v>130</v>
      </c>
      <c r="BG310" t="s">
        <v>1116</v>
      </c>
      <c r="BH310" t="s">
        <v>132</v>
      </c>
      <c r="BJ310">
        <v>4</v>
      </c>
      <c r="BK310" t="s">
        <v>133</v>
      </c>
      <c r="BV310" t="s">
        <v>134</v>
      </c>
      <c r="BW310" s="16">
        <v>45868.491666666669</v>
      </c>
      <c r="BX310" t="s">
        <v>143</v>
      </c>
      <c r="BZ310">
        <v>62</v>
      </c>
      <c r="CA310" t="s">
        <v>1117</v>
      </c>
      <c r="CB310">
        <v>0</v>
      </c>
      <c r="CF310" t="s">
        <v>1087</v>
      </c>
      <c r="CG310">
        <v>2026</v>
      </c>
      <c r="CH310" t="s">
        <v>138</v>
      </c>
      <c r="CI310" t="s">
        <v>139</v>
      </c>
    </row>
    <row r="311" spans="1:87" x14ac:dyDescent="0.3">
      <c r="A311" t="s">
        <v>115</v>
      </c>
      <c r="B311" t="s">
        <v>116</v>
      </c>
      <c r="C311" t="s">
        <v>117</v>
      </c>
      <c r="D311" t="s">
        <v>118</v>
      </c>
      <c r="E311" t="s">
        <v>140</v>
      </c>
      <c r="F311" t="s">
        <v>408</v>
      </c>
      <c r="G311">
        <v>13.27</v>
      </c>
      <c r="H311">
        <v>0</v>
      </c>
      <c r="I311" s="14">
        <v>50500</v>
      </c>
      <c r="J311" s="14">
        <v>50500</v>
      </c>
      <c r="Q311" s="14"/>
      <c r="R311" s="14"/>
      <c r="Y311" s="14"/>
      <c r="Z311" s="14"/>
      <c r="AG311" s="14"/>
      <c r="AH311" s="14"/>
      <c r="AI311" t="s">
        <v>396</v>
      </c>
      <c r="AJ311" t="s">
        <v>397</v>
      </c>
      <c r="AK311" t="s">
        <v>398</v>
      </c>
      <c r="AL311">
        <v>0</v>
      </c>
      <c r="AM311" t="s">
        <v>399</v>
      </c>
      <c r="AN311" t="s">
        <v>400</v>
      </c>
      <c r="AO311" t="s">
        <v>125</v>
      </c>
      <c r="AP311" t="s">
        <v>297</v>
      </c>
      <c r="AQ311" s="15">
        <v>46175</v>
      </c>
      <c r="AR311" s="15">
        <v>46175</v>
      </c>
      <c r="AS311" t="s">
        <v>227</v>
      </c>
      <c r="AT311">
        <v>11</v>
      </c>
      <c r="AU311">
        <v>3000</v>
      </c>
      <c r="AV311">
        <v>0</v>
      </c>
      <c r="AW311">
        <v>0</v>
      </c>
      <c r="AX311" s="14">
        <v>3000</v>
      </c>
      <c r="AY311" s="14">
        <v>3000</v>
      </c>
      <c r="AZ311" s="14">
        <v>0</v>
      </c>
      <c r="BA311">
        <v>0</v>
      </c>
      <c r="BB311" t="s">
        <v>22</v>
      </c>
      <c r="BC311" t="s">
        <v>128</v>
      </c>
      <c r="BD311" t="s">
        <v>434</v>
      </c>
      <c r="BE311" t="s">
        <v>130</v>
      </c>
      <c r="BG311" t="s">
        <v>1118</v>
      </c>
      <c r="BH311" t="s">
        <v>132</v>
      </c>
      <c r="BJ311">
        <v>4</v>
      </c>
      <c r="BK311" t="s">
        <v>133</v>
      </c>
      <c r="BV311" t="s">
        <v>134</v>
      </c>
      <c r="BW311" s="16">
        <v>45868.491666666669</v>
      </c>
      <c r="BX311" t="s">
        <v>143</v>
      </c>
      <c r="BZ311">
        <v>62</v>
      </c>
      <c r="CA311" t="s">
        <v>1119</v>
      </c>
      <c r="CB311">
        <v>0</v>
      </c>
      <c r="CF311" t="s">
        <v>1087</v>
      </c>
      <c r="CG311">
        <v>2026</v>
      </c>
      <c r="CH311" t="s">
        <v>138</v>
      </c>
      <c r="CI311" t="s">
        <v>139</v>
      </c>
    </row>
    <row r="312" spans="1:87" x14ac:dyDescent="0.3">
      <c r="A312" t="s">
        <v>115</v>
      </c>
      <c r="B312" t="s">
        <v>116</v>
      </c>
      <c r="C312" t="s">
        <v>117</v>
      </c>
      <c r="D312" t="s">
        <v>118</v>
      </c>
      <c r="E312" t="s">
        <v>140</v>
      </c>
      <c r="F312" t="s">
        <v>408</v>
      </c>
      <c r="G312">
        <v>13.27</v>
      </c>
      <c r="H312">
        <v>0</v>
      </c>
      <c r="I312" s="14">
        <v>50500</v>
      </c>
      <c r="J312" s="14">
        <v>50500</v>
      </c>
      <c r="Q312" s="14"/>
      <c r="R312" s="14"/>
      <c r="Y312" s="14"/>
      <c r="Z312" s="14"/>
      <c r="AG312" s="14"/>
      <c r="AH312" s="14"/>
      <c r="AI312" t="s">
        <v>396</v>
      </c>
      <c r="AJ312" t="s">
        <v>397</v>
      </c>
      <c r="AK312" t="s">
        <v>398</v>
      </c>
      <c r="AL312">
        <v>0</v>
      </c>
      <c r="AM312" t="s">
        <v>399</v>
      </c>
      <c r="AN312" t="s">
        <v>400</v>
      </c>
      <c r="AO312" t="s">
        <v>125</v>
      </c>
      <c r="AP312" t="s">
        <v>297</v>
      </c>
      <c r="AQ312" s="15">
        <v>46204</v>
      </c>
      <c r="AR312" s="15">
        <v>46230</v>
      </c>
      <c r="AS312" t="s">
        <v>227</v>
      </c>
      <c r="AT312">
        <v>12</v>
      </c>
      <c r="AU312">
        <v>7500</v>
      </c>
      <c r="AV312">
        <v>0</v>
      </c>
      <c r="AW312">
        <v>0</v>
      </c>
      <c r="AX312" s="14">
        <v>7500</v>
      </c>
      <c r="AY312" s="14">
        <v>7500</v>
      </c>
      <c r="AZ312" s="14">
        <v>0</v>
      </c>
      <c r="BA312">
        <v>0</v>
      </c>
      <c r="BB312" t="s">
        <v>22</v>
      </c>
      <c r="BC312" t="s">
        <v>128</v>
      </c>
      <c r="BD312" t="s">
        <v>434</v>
      </c>
      <c r="BE312" t="s">
        <v>130</v>
      </c>
      <c r="BG312" t="s">
        <v>1120</v>
      </c>
      <c r="BH312" t="s">
        <v>132</v>
      </c>
      <c r="BJ312">
        <v>4</v>
      </c>
      <c r="BK312" t="s">
        <v>133</v>
      </c>
      <c r="BV312" t="s">
        <v>134</v>
      </c>
      <c r="BW312" s="16">
        <v>45868.491666666669</v>
      </c>
      <c r="BX312" t="s">
        <v>143</v>
      </c>
      <c r="BZ312">
        <v>62</v>
      </c>
      <c r="CA312" t="s">
        <v>1119</v>
      </c>
      <c r="CB312">
        <v>0</v>
      </c>
      <c r="CF312" t="s">
        <v>1087</v>
      </c>
      <c r="CG312">
        <v>2026</v>
      </c>
      <c r="CH312" t="s">
        <v>138</v>
      </c>
      <c r="CI312" t="s">
        <v>139</v>
      </c>
    </row>
    <row r="313" spans="1:87" x14ac:dyDescent="0.3">
      <c r="A313" t="s">
        <v>426</v>
      </c>
      <c r="B313" t="s">
        <v>116</v>
      </c>
      <c r="C313" t="s">
        <v>117</v>
      </c>
      <c r="D313" t="s">
        <v>118</v>
      </c>
      <c r="E313" t="s">
        <v>14</v>
      </c>
      <c r="F313" t="s">
        <v>427</v>
      </c>
      <c r="G313">
        <v>67</v>
      </c>
      <c r="H313">
        <v>0</v>
      </c>
      <c r="I313" s="14">
        <v>438000</v>
      </c>
      <c r="J313" s="14">
        <v>438000</v>
      </c>
      <c r="Q313" s="14"/>
      <c r="R313" s="14"/>
      <c r="Y313" s="14"/>
      <c r="Z313" s="14"/>
      <c r="AG313" s="14"/>
      <c r="AH313" s="14"/>
      <c r="AI313" t="s">
        <v>428</v>
      </c>
      <c r="AJ313" t="s">
        <v>429</v>
      </c>
      <c r="AK313" t="s">
        <v>430</v>
      </c>
      <c r="AL313">
        <v>0</v>
      </c>
      <c r="AM313" t="s">
        <v>431</v>
      </c>
      <c r="AN313" t="s">
        <v>432</v>
      </c>
      <c r="AO313" t="s">
        <v>433</v>
      </c>
      <c r="AP313" t="s">
        <v>433</v>
      </c>
      <c r="AQ313" s="15">
        <v>46112</v>
      </c>
      <c r="AR313" s="15">
        <v>46112</v>
      </c>
      <c r="AS313" t="s">
        <v>145</v>
      </c>
      <c r="AT313">
        <v>2</v>
      </c>
      <c r="AU313">
        <v>20800</v>
      </c>
      <c r="AV313">
        <v>0</v>
      </c>
      <c r="AW313">
        <v>0</v>
      </c>
      <c r="AX313" s="14">
        <v>20800</v>
      </c>
      <c r="AY313" s="14">
        <v>20800</v>
      </c>
      <c r="AZ313" s="14">
        <v>0</v>
      </c>
      <c r="BA313">
        <v>0</v>
      </c>
      <c r="BB313" t="s">
        <v>23</v>
      </c>
      <c r="BC313" t="s">
        <v>128</v>
      </c>
      <c r="BD313" t="s">
        <v>434</v>
      </c>
      <c r="BE313" t="s">
        <v>156</v>
      </c>
      <c r="BF313" t="s">
        <v>429</v>
      </c>
      <c r="BG313" t="s">
        <v>1121</v>
      </c>
      <c r="BH313" t="s">
        <v>132</v>
      </c>
      <c r="BI313" t="s">
        <v>154</v>
      </c>
      <c r="BJ313">
        <v>4</v>
      </c>
      <c r="BK313" t="s">
        <v>133</v>
      </c>
      <c r="BV313" t="s">
        <v>134</v>
      </c>
      <c r="BW313" s="16">
        <v>46178.350694444453</v>
      </c>
      <c r="BX313" t="s">
        <v>143</v>
      </c>
      <c r="BZ313">
        <v>14</v>
      </c>
      <c r="CA313" t="s">
        <v>1122</v>
      </c>
      <c r="CB313">
        <v>0</v>
      </c>
      <c r="CF313" t="s">
        <v>1087</v>
      </c>
      <c r="CG313">
        <v>2026</v>
      </c>
      <c r="CH313" t="s">
        <v>138</v>
      </c>
      <c r="CI313" t="s">
        <v>139</v>
      </c>
    </row>
    <row r="314" spans="1:87" x14ac:dyDescent="0.3">
      <c r="A314" t="s">
        <v>426</v>
      </c>
      <c r="B314" t="s">
        <v>116</v>
      </c>
      <c r="C314" t="s">
        <v>117</v>
      </c>
      <c r="D314" t="s">
        <v>118</v>
      </c>
      <c r="E314" t="s">
        <v>14</v>
      </c>
      <c r="F314" t="s">
        <v>427</v>
      </c>
      <c r="G314">
        <v>67</v>
      </c>
      <c r="H314">
        <v>0</v>
      </c>
      <c r="I314" s="14">
        <v>438000</v>
      </c>
      <c r="J314" s="14">
        <v>438000</v>
      </c>
      <c r="Q314" s="14"/>
      <c r="R314" s="14"/>
      <c r="Y314" s="14"/>
      <c r="Z314" s="14"/>
      <c r="AG314" s="14"/>
      <c r="AH314" s="14"/>
      <c r="AI314" t="s">
        <v>428</v>
      </c>
      <c r="AJ314" t="s">
        <v>429</v>
      </c>
      <c r="AK314" t="s">
        <v>430</v>
      </c>
      <c r="AL314">
        <v>0</v>
      </c>
      <c r="AM314" t="s">
        <v>431</v>
      </c>
      <c r="AN314" t="s">
        <v>432</v>
      </c>
      <c r="AO314" t="s">
        <v>433</v>
      </c>
      <c r="AP314" t="s">
        <v>433</v>
      </c>
      <c r="AQ314" s="15">
        <v>46203</v>
      </c>
      <c r="AR314" s="15">
        <v>46172</v>
      </c>
      <c r="AS314" t="s">
        <v>227</v>
      </c>
      <c r="AT314">
        <v>1</v>
      </c>
      <c r="AU314">
        <v>394200</v>
      </c>
      <c r="AV314">
        <v>0</v>
      </c>
      <c r="AW314">
        <v>0</v>
      </c>
      <c r="AX314" s="14">
        <v>394200</v>
      </c>
      <c r="AY314" s="14">
        <v>394200</v>
      </c>
      <c r="AZ314" s="14">
        <v>0</v>
      </c>
      <c r="BA314">
        <v>0</v>
      </c>
      <c r="BB314" t="s">
        <v>23</v>
      </c>
      <c r="BC314" t="s">
        <v>128</v>
      </c>
      <c r="BD314" t="s">
        <v>434</v>
      </c>
      <c r="BE314" t="s">
        <v>130</v>
      </c>
      <c r="BH314" t="s">
        <v>132</v>
      </c>
      <c r="BJ314">
        <v>4</v>
      </c>
      <c r="BK314" t="s">
        <v>133</v>
      </c>
      <c r="BV314" t="s">
        <v>134</v>
      </c>
      <c r="BW314" s="16">
        <v>46178.350694444453</v>
      </c>
      <c r="BX314" t="s">
        <v>143</v>
      </c>
      <c r="BZ314">
        <v>14</v>
      </c>
      <c r="CA314" t="s">
        <v>1123</v>
      </c>
      <c r="CB314">
        <v>0</v>
      </c>
      <c r="CF314" t="s">
        <v>1087</v>
      </c>
      <c r="CG314">
        <v>2026</v>
      </c>
      <c r="CH314" t="s">
        <v>138</v>
      </c>
      <c r="CI314" t="s">
        <v>139</v>
      </c>
    </row>
    <row r="315" spans="1:87" x14ac:dyDescent="0.3">
      <c r="A315" t="s">
        <v>115</v>
      </c>
      <c r="B315" t="s">
        <v>116</v>
      </c>
      <c r="C315" t="s">
        <v>117</v>
      </c>
      <c r="D315" t="s">
        <v>118</v>
      </c>
      <c r="E315" t="s">
        <v>14</v>
      </c>
      <c r="F315" t="s">
        <v>439</v>
      </c>
      <c r="G315">
        <v>88.27</v>
      </c>
      <c r="H315">
        <v>0</v>
      </c>
      <c r="I315" s="14">
        <v>675000</v>
      </c>
      <c r="J315" s="14">
        <v>675000</v>
      </c>
      <c r="K315" t="s">
        <v>117</v>
      </c>
      <c r="L315" t="s">
        <v>118</v>
      </c>
      <c r="M315" t="s">
        <v>140</v>
      </c>
      <c r="N315" t="s">
        <v>440</v>
      </c>
      <c r="O315">
        <v>12.5</v>
      </c>
      <c r="P315">
        <v>3.8</v>
      </c>
      <c r="Q315" s="14">
        <v>60400</v>
      </c>
      <c r="R315" s="14">
        <v>60400</v>
      </c>
      <c r="Y315" s="14"/>
      <c r="Z315" s="14"/>
      <c r="AG315" s="14"/>
      <c r="AH315" s="14"/>
      <c r="AI315" t="s">
        <v>441</v>
      </c>
      <c r="AJ315" t="s">
        <v>442</v>
      </c>
      <c r="AK315" t="s">
        <v>443</v>
      </c>
      <c r="AL315">
        <v>0</v>
      </c>
      <c r="AM315" t="s">
        <v>444</v>
      </c>
      <c r="AN315" t="s">
        <v>445</v>
      </c>
      <c r="AO315" t="s">
        <v>433</v>
      </c>
      <c r="AP315" t="s">
        <v>433</v>
      </c>
      <c r="AQ315" s="15">
        <v>46039</v>
      </c>
      <c r="AR315" s="15">
        <v>46010</v>
      </c>
      <c r="AS315" t="s">
        <v>227</v>
      </c>
      <c r="AT315">
        <v>2</v>
      </c>
      <c r="AU315">
        <v>66057.14</v>
      </c>
      <c r="AV315">
        <v>0</v>
      </c>
      <c r="AW315">
        <v>0</v>
      </c>
      <c r="AX315" s="14">
        <v>66057.14</v>
      </c>
      <c r="AY315" s="14">
        <v>66057.14</v>
      </c>
      <c r="AZ315" s="14">
        <v>0</v>
      </c>
      <c r="BA315">
        <v>0</v>
      </c>
      <c r="BB315" t="s">
        <v>22</v>
      </c>
      <c r="BC315" t="s">
        <v>128</v>
      </c>
      <c r="BD315" t="s">
        <v>129</v>
      </c>
      <c r="BE315" t="s">
        <v>130</v>
      </c>
      <c r="BG315" t="s">
        <v>450</v>
      </c>
      <c r="BH315" t="s">
        <v>134</v>
      </c>
      <c r="BJ315">
        <v>3.38</v>
      </c>
      <c r="BK315" t="s">
        <v>133</v>
      </c>
      <c r="BV315" t="s">
        <v>134</v>
      </c>
      <c r="BW315" s="16">
        <v>45985.738194444442</v>
      </c>
      <c r="BX315" t="s">
        <v>143</v>
      </c>
      <c r="BZ315">
        <v>28</v>
      </c>
      <c r="CA315" t="s">
        <v>451</v>
      </c>
      <c r="CB315">
        <v>0</v>
      </c>
      <c r="CF315" t="s">
        <v>1087</v>
      </c>
      <c r="CG315">
        <v>2026</v>
      </c>
      <c r="CH315" t="s">
        <v>138</v>
      </c>
      <c r="CI315" t="s">
        <v>139</v>
      </c>
    </row>
    <row r="316" spans="1:87" x14ac:dyDescent="0.3">
      <c r="A316" t="s">
        <v>115</v>
      </c>
      <c r="B316" t="s">
        <v>116</v>
      </c>
      <c r="C316" t="s">
        <v>117</v>
      </c>
      <c r="D316" t="s">
        <v>118</v>
      </c>
      <c r="E316" t="s">
        <v>14</v>
      </c>
      <c r="F316" t="s">
        <v>439</v>
      </c>
      <c r="G316">
        <v>88.27</v>
      </c>
      <c r="H316">
        <v>0</v>
      </c>
      <c r="I316" s="14">
        <v>675000</v>
      </c>
      <c r="J316" s="14">
        <v>675000</v>
      </c>
      <c r="K316" t="s">
        <v>117</v>
      </c>
      <c r="L316" t="s">
        <v>118</v>
      </c>
      <c r="M316" t="s">
        <v>140</v>
      </c>
      <c r="N316" t="s">
        <v>440</v>
      </c>
      <c r="O316">
        <v>12.5</v>
      </c>
      <c r="P316">
        <v>3.8</v>
      </c>
      <c r="Q316" s="14">
        <v>60400</v>
      </c>
      <c r="R316" s="14">
        <v>60400</v>
      </c>
      <c r="Y316" s="14"/>
      <c r="Z316" s="14"/>
      <c r="AG316" s="14"/>
      <c r="AH316" s="14"/>
      <c r="AI316" t="s">
        <v>441</v>
      </c>
      <c r="AJ316" t="s">
        <v>442</v>
      </c>
      <c r="AK316" t="s">
        <v>443</v>
      </c>
      <c r="AL316">
        <v>0</v>
      </c>
      <c r="AM316" t="s">
        <v>444</v>
      </c>
      <c r="AN316" t="s">
        <v>445</v>
      </c>
      <c r="AO316" t="s">
        <v>433</v>
      </c>
      <c r="AP316" t="s">
        <v>433</v>
      </c>
      <c r="AQ316" s="15">
        <v>46070</v>
      </c>
      <c r="AR316" s="15">
        <v>46065</v>
      </c>
      <c r="AS316" t="s">
        <v>227</v>
      </c>
      <c r="AT316">
        <v>3</v>
      </c>
      <c r="AU316">
        <v>66057.14</v>
      </c>
      <c r="AV316">
        <v>0</v>
      </c>
      <c r="AW316">
        <v>0</v>
      </c>
      <c r="AX316" s="14">
        <v>66057.14</v>
      </c>
      <c r="AY316" s="14">
        <v>66057.14</v>
      </c>
      <c r="AZ316" s="14">
        <v>0</v>
      </c>
      <c r="BA316">
        <v>0</v>
      </c>
      <c r="BB316" t="s">
        <v>22</v>
      </c>
      <c r="BC316" t="s">
        <v>128</v>
      </c>
      <c r="BD316" t="s">
        <v>129</v>
      </c>
      <c r="BE316" t="s">
        <v>130</v>
      </c>
      <c r="BG316" t="s">
        <v>1124</v>
      </c>
      <c r="BH316" t="s">
        <v>134</v>
      </c>
      <c r="BJ316">
        <v>3.38</v>
      </c>
      <c r="BK316" t="s">
        <v>133</v>
      </c>
      <c r="BV316" t="s">
        <v>134</v>
      </c>
      <c r="BW316" s="16">
        <v>45985.738194444442</v>
      </c>
      <c r="BX316" t="s">
        <v>143</v>
      </c>
      <c r="BZ316">
        <v>28</v>
      </c>
      <c r="CA316" t="s">
        <v>1125</v>
      </c>
      <c r="CB316">
        <v>0</v>
      </c>
      <c r="CF316" t="s">
        <v>1087</v>
      </c>
      <c r="CG316">
        <v>2026</v>
      </c>
      <c r="CH316" t="s">
        <v>138</v>
      </c>
      <c r="CI316" t="s">
        <v>139</v>
      </c>
    </row>
    <row r="317" spans="1:87" x14ac:dyDescent="0.3">
      <c r="A317" t="s">
        <v>115</v>
      </c>
      <c r="B317" t="s">
        <v>116</v>
      </c>
      <c r="C317" t="s">
        <v>117</v>
      </c>
      <c r="D317" t="s">
        <v>118</v>
      </c>
      <c r="E317" t="s">
        <v>14</v>
      </c>
      <c r="F317" t="s">
        <v>439</v>
      </c>
      <c r="G317">
        <v>88.27</v>
      </c>
      <c r="H317">
        <v>0</v>
      </c>
      <c r="I317" s="14">
        <v>675000</v>
      </c>
      <c r="J317" s="14">
        <v>675000</v>
      </c>
      <c r="K317" t="s">
        <v>117</v>
      </c>
      <c r="L317" t="s">
        <v>118</v>
      </c>
      <c r="M317" t="s">
        <v>140</v>
      </c>
      <c r="N317" t="s">
        <v>440</v>
      </c>
      <c r="O317">
        <v>12.5</v>
      </c>
      <c r="P317">
        <v>3.8</v>
      </c>
      <c r="Q317" s="14">
        <v>60400</v>
      </c>
      <c r="R317" s="14">
        <v>60400</v>
      </c>
      <c r="Y317" s="14"/>
      <c r="Z317" s="14"/>
      <c r="AG317" s="14"/>
      <c r="AH317" s="14"/>
      <c r="AI317" t="s">
        <v>441</v>
      </c>
      <c r="AJ317" t="s">
        <v>442</v>
      </c>
      <c r="AK317" t="s">
        <v>443</v>
      </c>
      <c r="AL317">
        <v>0</v>
      </c>
      <c r="AM317" t="s">
        <v>444</v>
      </c>
      <c r="AN317" t="s">
        <v>445</v>
      </c>
      <c r="AO317" t="s">
        <v>433</v>
      </c>
      <c r="AP317" t="s">
        <v>433</v>
      </c>
      <c r="AQ317" s="15">
        <v>46098</v>
      </c>
      <c r="AR317" s="15">
        <v>46065</v>
      </c>
      <c r="AS317" t="s">
        <v>227</v>
      </c>
      <c r="AT317">
        <v>4</v>
      </c>
      <c r="AU317">
        <v>66057.14</v>
      </c>
      <c r="AV317">
        <v>0</v>
      </c>
      <c r="AW317">
        <v>0</v>
      </c>
      <c r="AX317" s="14">
        <v>66057.14</v>
      </c>
      <c r="AY317" s="14">
        <v>66057.14</v>
      </c>
      <c r="AZ317" s="14">
        <v>0</v>
      </c>
      <c r="BA317">
        <v>0</v>
      </c>
      <c r="BB317" t="s">
        <v>22</v>
      </c>
      <c r="BC317" t="s">
        <v>128</v>
      </c>
      <c r="BD317" t="s">
        <v>129</v>
      </c>
      <c r="BE317" t="s">
        <v>130</v>
      </c>
      <c r="BG317" t="s">
        <v>1124</v>
      </c>
      <c r="BH317" t="s">
        <v>134</v>
      </c>
      <c r="BJ317">
        <v>3.38</v>
      </c>
      <c r="BK317" t="s">
        <v>133</v>
      </c>
      <c r="BV317" t="s">
        <v>134</v>
      </c>
      <c r="BW317" s="16">
        <v>45985.738194444442</v>
      </c>
      <c r="BX317" t="s">
        <v>143</v>
      </c>
      <c r="BZ317">
        <v>28</v>
      </c>
      <c r="CA317" t="s">
        <v>1125</v>
      </c>
      <c r="CB317">
        <v>0</v>
      </c>
      <c r="CF317" t="s">
        <v>1087</v>
      </c>
      <c r="CG317">
        <v>2026</v>
      </c>
      <c r="CH317" t="s">
        <v>138</v>
      </c>
      <c r="CI317" t="s">
        <v>139</v>
      </c>
    </row>
    <row r="318" spans="1:87" x14ac:dyDescent="0.3">
      <c r="A318" t="s">
        <v>115</v>
      </c>
      <c r="B318" t="s">
        <v>116</v>
      </c>
      <c r="C318" t="s">
        <v>117</v>
      </c>
      <c r="D318" t="s">
        <v>118</v>
      </c>
      <c r="E318" t="s">
        <v>14</v>
      </c>
      <c r="F318" t="s">
        <v>439</v>
      </c>
      <c r="G318">
        <v>88.27</v>
      </c>
      <c r="H318">
        <v>0</v>
      </c>
      <c r="I318" s="14">
        <v>675000</v>
      </c>
      <c r="J318" s="14">
        <v>675000</v>
      </c>
      <c r="K318" t="s">
        <v>117</v>
      </c>
      <c r="L318" t="s">
        <v>118</v>
      </c>
      <c r="M318" t="s">
        <v>140</v>
      </c>
      <c r="N318" t="s">
        <v>440</v>
      </c>
      <c r="O318">
        <v>12.5</v>
      </c>
      <c r="P318">
        <v>3.8</v>
      </c>
      <c r="Q318" s="14">
        <v>60400</v>
      </c>
      <c r="R318" s="14">
        <v>60400</v>
      </c>
      <c r="Y318" s="14"/>
      <c r="Z318" s="14"/>
      <c r="AG318" s="14"/>
      <c r="AH318" s="14"/>
      <c r="AI318" t="s">
        <v>441</v>
      </c>
      <c r="AJ318" t="s">
        <v>442</v>
      </c>
      <c r="AK318" t="s">
        <v>443</v>
      </c>
      <c r="AL318">
        <v>0</v>
      </c>
      <c r="AM318" t="s">
        <v>444</v>
      </c>
      <c r="AN318" t="s">
        <v>445</v>
      </c>
      <c r="AO318" t="s">
        <v>433</v>
      </c>
      <c r="AP318" t="s">
        <v>433</v>
      </c>
      <c r="AQ318" s="15">
        <v>46129</v>
      </c>
      <c r="AR318" s="15">
        <v>46171</v>
      </c>
      <c r="AS318" t="s">
        <v>227</v>
      </c>
      <c r="AT318">
        <v>5</v>
      </c>
      <c r="AU318">
        <v>66057.14</v>
      </c>
      <c r="AV318">
        <v>0</v>
      </c>
      <c r="AW318">
        <v>0</v>
      </c>
      <c r="AX318" s="14">
        <v>66057.14</v>
      </c>
      <c r="AY318" s="14">
        <v>66057.14</v>
      </c>
      <c r="AZ318" s="14">
        <v>0</v>
      </c>
      <c r="BA318">
        <v>0</v>
      </c>
      <c r="BB318" t="s">
        <v>22</v>
      </c>
      <c r="BC318" t="s">
        <v>128</v>
      </c>
      <c r="BD318" t="s">
        <v>129</v>
      </c>
      <c r="BE318" t="s">
        <v>130</v>
      </c>
      <c r="BG318" t="s">
        <v>1126</v>
      </c>
      <c r="BH318" t="s">
        <v>134</v>
      </c>
      <c r="BJ318">
        <v>3.38</v>
      </c>
      <c r="BK318" t="s">
        <v>133</v>
      </c>
      <c r="BV318" t="s">
        <v>134</v>
      </c>
      <c r="BW318" s="16">
        <v>45985.738194444442</v>
      </c>
      <c r="BX318" t="s">
        <v>143</v>
      </c>
      <c r="BZ318">
        <v>28</v>
      </c>
      <c r="CA318" t="s">
        <v>1127</v>
      </c>
      <c r="CB318">
        <v>0</v>
      </c>
      <c r="CF318" t="s">
        <v>1087</v>
      </c>
      <c r="CG318">
        <v>2026</v>
      </c>
      <c r="CH318" t="s">
        <v>138</v>
      </c>
      <c r="CI318" t="s">
        <v>139</v>
      </c>
    </row>
    <row r="319" spans="1:87" x14ac:dyDescent="0.3">
      <c r="A319" t="s">
        <v>115</v>
      </c>
      <c r="B319" t="s">
        <v>116</v>
      </c>
      <c r="C319" t="s">
        <v>117</v>
      </c>
      <c r="D319" t="s">
        <v>118</v>
      </c>
      <c r="E319" t="s">
        <v>14</v>
      </c>
      <c r="F319" t="s">
        <v>439</v>
      </c>
      <c r="G319">
        <v>88.27</v>
      </c>
      <c r="H319">
        <v>0</v>
      </c>
      <c r="I319" s="14">
        <v>675000</v>
      </c>
      <c r="J319" s="14">
        <v>675000</v>
      </c>
      <c r="K319" t="s">
        <v>117</v>
      </c>
      <c r="L319" t="s">
        <v>118</v>
      </c>
      <c r="M319" t="s">
        <v>140</v>
      </c>
      <c r="N319" t="s">
        <v>440</v>
      </c>
      <c r="O319">
        <v>12.5</v>
      </c>
      <c r="P319">
        <v>3.8</v>
      </c>
      <c r="Q319" s="14">
        <v>60400</v>
      </c>
      <c r="R319" s="14">
        <v>60400</v>
      </c>
      <c r="Y319" s="14"/>
      <c r="Z319" s="14"/>
      <c r="AG319" s="14"/>
      <c r="AH319" s="14"/>
      <c r="AI319" t="s">
        <v>441</v>
      </c>
      <c r="AJ319" t="s">
        <v>442</v>
      </c>
      <c r="AK319" t="s">
        <v>443</v>
      </c>
      <c r="AL319">
        <v>0</v>
      </c>
      <c r="AM319" t="s">
        <v>444</v>
      </c>
      <c r="AN319" t="s">
        <v>445</v>
      </c>
      <c r="AO319" t="s">
        <v>433</v>
      </c>
      <c r="AP319" t="s">
        <v>433</v>
      </c>
      <c r="AQ319" s="15">
        <v>46159</v>
      </c>
      <c r="AR319" s="15">
        <v>46171</v>
      </c>
      <c r="AS319" t="s">
        <v>227</v>
      </c>
      <c r="AT319">
        <v>6</v>
      </c>
      <c r="AU319">
        <v>66057.14</v>
      </c>
      <c r="AV319">
        <v>0</v>
      </c>
      <c r="AW319">
        <v>0</v>
      </c>
      <c r="AX319" s="14">
        <v>66057.14</v>
      </c>
      <c r="AY319" s="14">
        <v>66057.14</v>
      </c>
      <c r="AZ319" s="14">
        <v>0</v>
      </c>
      <c r="BA319">
        <v>0</v>
      </c>
      <c r="BB319" t="s">
        <v>22</v>
      </c>
      <c r="BC319" t="s">
        <v>128</v>
      </c>
      <c r="BD319" t="s">
        <v>129</v>
      </c>
      <c r="BE319" t="s">
        <v>130</v>
      </c>
      <c r="BG319" t="s">
        <v>1126</v>
      </c>
      <c r="BH319" t="s">
        <v>134</v>
      </c>
      <c r="BJ319">
        <v>3.38</v>
      </c>
      <c r="BK319" t="s">
        <v>133</v>
      </c>
      <c r="BV319" t="s">
        <v>134</v>
      </c>
      <c r="BW319" s="16">
        <v>45985.738194444442</v>
      </c>
      <c r="BX319" t="s">
        <v>143</v>
      </c>
      <c r="BZ319">
        <v>28</v>
      </c>
      <c r="CA319" t="s">
        <v>1127</v>
      </c>
      <c r="CB319">
        <v>0</v>
      </c>
      <c r="CF319" t="s">
        <v>1087</v>
      </c>
      <c r="CG319">
        <v>2026</v>
      </c>
      <c r="CH319" t="s">
        <v>138</v>
      </c>
      <c r="CI319" t="s">
        <v>139</v>
      </c>
    </row>
    <row r="320" spans="1:87" x14ac:dyDescent="0.3">
      <c r="A320" t="s">
        <v>115</v>
      </c>
      <c r="B320" t="s">
        <v>116</v>
      </c>
      <c r="C320" t="s">
        <v>117</v>
      </c>
      <c r="D320" t="s">
        <v>118</v>
      </c>
      <c r="E320" t="s">
        <v>14</v>
      </c>
      <c r="F320" t="s">
        <v>439</v>
      </c>
      <c r="G320">
        <v>88.27</v>
      </c>
      <c r="H320">
        <v>0</v>
      </c>
      <c r="I320" s="14">
        <v>675000</v>
      </c>
      <c r="J320" s="14">
        <v>675000</v>
      </c>
      <c r="K320" t="s">
        <v>117</v>
      </c>
      <c r="L320" t="s">
        <v>118</v>
      </c>
      <c r="M320" t="s">
        <v>140</v>
      </c>
      <c r="N320" t="s">
        <v>440</v>
      </c>
      <c r="O320">
        <v>12.5</v>
      </c>
      <c r="P320">
        <v>3.8</v>
      </c>
      <c r="Q320" s="14">
        <v>60400</v>
      </c>
      <c r="R320" s="14">
        <v>60400</v>
      </c>
      <c r="Y320" s="14"/>
      <c r="Z320" s="14"/>
      <c r="AG320" s="14"/>
      <c r="AH320" s="14"/>
      <c r="AI320" t="s">
        <v>441</v>
      </c>
      <c r="AJ320" t="s">
        <v>442</v>
      </c>
      <c r="AK320" t="s">
        <v>443</v>
      </c>
      <c r="AL320">
        <v>0</v>
      </c>
      <c r="AM320" t="s">
        <v>444</v>
      </c>
      <c r="AN320" t="s">
        <v>445</v>
      </c>
      <c r="AO320" t="s">
        <v>433</v>
      </c>
      <c r="AP320" t="s">
        <v>433</v>
      </c>
      <c r="AQ320" s="15">
        <v>46190</v>
      </c>
      <c r="AR320" s="15">
        <v>46171</v>
      </c>
      <c r="AS320" t="s">
        <v>227</v>
      </c>
      <c r="AT320">
        <v>7</v>
      </c>
      <c r="AU320">
        <v>66057.16</v>
      </c>
      <c r="AV320">
        <v>0</v>
      </c>
      <c r="AW320">
        <v>0</v>
      </c>
      <c r="AX320" s="14">
        <v>66057.16</v>
      </c>
      <c r="AY320" s="14">
        <v>66057.14</v>
      </c>
      <c r="AZ320" s="14">
        <v>0</v>
      </c>
      <c r="BA320">
        <v>0</v>
      </c>
      <c r="BB320" t="s">
        <v>22</v>
      </c>
      <c r="BC320" t="s">
        <v>128</v>
      </c>
      <c r="BD320" t="s">
        <v>129</v>
      </c>
      <c r="BE320" t="s">
        <v>130</v>
      </c>
      <c r="BG320" t="s">
        <v>1126</v>
      </c>
      <c r="BH320" t="s">
        <v>134</v>
      </c>
      <c r="BJ320">
        <v>3.38</v>
      </c>
      <c r="BK320" t="s">
        <v>133</v>
      </c>
      <c r="BV320" t="s">
        <v>134</v>
      </c>
      <c r="BW320" s="16">
        <v>45985.738194444442</v>
      </c>
      <c r="BX320" t="s">
        <v>143</v>
      </c>
      <c r="BZ320">
        <v>28</v>
      </c>
      <c r="CA320" t="s">
        <v>1127</v>
      </c>
      <c r="CB320">
        <v>0</v>
      </c>
      <c r="CF320" t="s">
        <v>1087</v>
      </c>
      <c r="CG320">
        <v>2026</v>
      </c>
      <c r="CH320" t="s">
        <v>138</v>
      </c>
      <c r="CI320" t="s">
        <v>139</v>
      </c>
    </row>
    <row r="321" spans="1:87" x14ac:dyDescent="0.3">
      <c r="A321" t="s">
        <v>115</v>
      </c>
      <c r="B321" t="s">
        <v>116</v>
      </c>
      <c r="C321" t="s">
        <v>117</v>
      </c>
      <c r="D321" t="s">
        <v>118</v>
      </c>
      <c r="E321" t="s">
        <v>140</v>
      </c>
      <c r="F321" t="s">
        <v>141</v>
      </c>
      <c r="G321">
        <v>14.63</v>
      </c>
      <c r="H321">
        <v>2.37</v>
      </c>
      <c r="I321" s="14">
        <v>56300</v>
      </c>
      <c r="J321" s="14">
        <v>56300</v>
      </c>
      <c r="Q321" s="14"/>
      <c r="R321" s="14"/>
      <c r="Y321" s="14"/>
      <c r="Z321" s="14"/>
      <c r="AG321" s="14"/>
      <c r="AH321" s="14"/>
      <c r="AI321" t="s">
        <v>120</v>
      </c>
      <c r="AJ321" t="s">
        <v>121</v>
      </c>
      <c r="AK321" t="s">
        <v>122</v>
      </c>
      <c r="AL321">
        <v>978722675</v>
      </c>
      <c r="AM321" t="s">
        <v>123</v>
      </c>
      <c r="AN321" t="s">
        <v>124</v>
      </c>
      <c r="AO321" t="s">
        <v>125</v>
      </c>
      <c r="AP321" t="s">
        <v>126</v>
      </c>
      <c r="AQ321" s="15">
        <v>46023</v>
      </c>
      <c r="AR321" s="15">
        <v>46084</v>
      </c>
      <c r="AS321" t="s">
        <v>227</v>
      </c>
      <c r="AT321">
        <v>10</v>
      </c>
      <c r="AU321">
        <v>3800</v>
      </c>
      <c r="AV321">
        <v>0</v>
      </c>
      <c r="AW321">
        <v>0</v>
      </c>
      <c r="AX321" s="14">
        <v>3800</v>
      </c>
      <c r="AY321" s="14">
        <v>3800</v>
      </c>
      <c r="AZ321" s="14">
        <v>0</v>
      </c>
      <c r="BA321">
        <v>0</v>
      </c>
      <c r="BB321" t="s">
        <v>22</v>
      </c>
      <c r="BC321" t="s">
        <v>128</v>
      </c>
      <c r="BD321" t="s">
        <v>129</v>
      </c>
      <c r="BE321" t="s">
        <v>130</v>
      </c>
      <c r="BG321" t="s">
        <v>1128</v>
      </c>
      <c r="BH321" t="s">
        <v>132</v>
      </c>
      <c r="BJ321">
        <v>4</v>
      </c>
      <c r="BK321" t="s">
        <v>133</v>
      </c>
      <c r="BV321" t="s">
        <v>134</v>
      </c>
      <c r="BW321" s="16">
        <v>45748.629861111112</v>
      </c>
      <c r="BX321" t="s">
        <v>143</v>
      </c>
      <c r="BZ321">
        <v>56</v>
      </c>
      <c r="CA321" t="s">
        <v>1129</v>
      </c>
      <c r="CB321">
        <v>0</v>
      </c>
      <c r="CF321" t="s">
        <v>1087</v>
      </c>
      <c r="CG321">
        <v>2026</v>
      </c>
      <c r="CH321" t="s">
        <v>138</v>
      </c>
      <c r="CI321" t="s">
        <v>139</v>
      </c>
    </row>
    <row r="322" spans="1:87" x14ac:dyDescent="0.3">
      <c r="A322" t="s">
        <v>115</v>
      </c>
      <c r="B322" t="s">
        <v>116</v>
      </c>
      <c r="C322" t="s">
        <v>117</v>
      </c>
      <c r="D322" t="s">
        <v>118</v>
      </c>
      <c r="E322" t="s">
        <v>140</v>
      </c>
      <c r="F322" t="s">
        <v>141</v>
      </c>
      <c r="G322">
        <v>14.63</v>
      </c>
      <c r="H322">
        <v>2.37</v>
      </c>
      <c r="I322" s="14">
        <v>56300</v>
      </c>
      <c r="J322" s="14">
        <v>56300</v>
      </c>
      <c r="Q322" s="14"/>
      <c r="R322" s="14"/>
      <c r="Y322" s="14"/>
      <c r="Z322" s="14"/>
      <c r="AG322" s="14"/>
      <c r="AH322" s="14"/>
      <c r="AI322" t="s">
        <v>120</v>
      </c>
      <c r="AJ322" t="s">
        <v>121</v>
      </c>
      <c r="AK322" t="s">
        <v>122</v>
      </c>
      <c r="AL322">
        <v>978722675</v>
      </c>
      <c r="AM322" t="s">
        <v>123</v>
      </c>
      <c r="AN322" t="s">
        <v>124</v>
      </c>
      <c r="AO322" t="s">
        <v>125</v>
      </c>
      <c r="AP322" t="s">
        <v>126</v>
      </c>
      <c r="AQ322" s="15">
        <v>46054</v>
      </c>
      <c r="AR322" s="15">
        <v>46174</v>
      </c>
      <c r="AS322" t="s">
        <v>227</v>
      </c>
      <c r="AT322">
        <v>11</v>
      </c>
      <c r="AU322">
        <v>3800</v>
      </c>
      <c r="AV322">
        <v>0</v>
      </c>
      <c r="AW322">
        <v>0</v>
      </c>
      <c r="AX322" s="14">
        <v>3800</v>
      </c>
      <c r="AY322" s="14">
        <v>3800</v>
      </c>
      <c r="AZ322" s="14">
        <v>0</v>
      </c>
      <c r="BA322">
        <v>0</v>
      </c>
      <c r="BB322" t="s">
        <v>22</v>
      </c>
      <c r="BC322" t="s">
        <v>128</v>
      </c>
      <c r="BD322" t="s">
        <v>129</v>
      </c>
      <c r="BE322" t="s">
        <v>130</v>
      </c>
      <c r="BG322" t="s">
        <v>1130</v>
      </c>
      <c r="BH322" t="s">
        <v>132</v>
      </c>
      <c r="BJ322">
        <v>4</v>
      </c>
      <c r="BK322" t="s">
        <v>133</v>
      </c>
      <c r="BV322" t="s">
        <v>134</v>
      </c>
      <c r="BW322" s="16">
        <v>45748.629861111112</v>
      </c>
      <c r="BX322" t="s">
        <v>143</v>
      </c>
      <c r="BZ322">
        <v>56</v>
      </c>
      <c r="CA322" t="s">
        <v>1131</v>
      </c>
      <c r="CB322">
        <v>0</v>
      </c>
      <c r="CF322" t="s">
        <v>1087</v>
      </c>
      <c r="CG322">
        <v>2026</v>
      </c>
      <c r="CH322" t="s">
        <v>138</v>
      </c>
      <c r="CI322" t="s">
        <v>139</v>
      </c>
    </row>
    <row r="323" spans="1:87" x14ac:dyDescent="0.3">
      <c r="A323" t="s">
        <v>115</v>
      </c>
      <c r="B323" t="s">
        <v>116</v>
      </c>
      <c r="C323" t="s">
        <v>117</v>
      </c>
      <c r="D323" t="s">
        <v>118</v>
      </c>
      <c r="E323" t="s">
        <v>140</v>
      </c>
      <c r="F323" t="s">
        <v>141</v>
      </c>
      <c r="G323">
        <v>14.63</v>
      </c>
      <c r="H323">
        <v>2.37</v>
      </c>
      <c r="I323" s="14">
        <v>56300</v>
      </c>
      <c r="J323" s="14">
        <v>56300</v>
      </c>
      <c r="Q323" s="14"/>
      <c r="R323" s="14"/>
      <c r="Y323" s="14"/>
      <c r="Z323" s="14"/>
      <c r="AG323" s="14"/>
      <c r="AH323" s="14"/>
      <c r="AI323" t="s">
        <v>120</v>
      </c>
      <c r="AJ323" t="s">
        <v>121</v>
      </c>
      <c r="AK323" t="s">
        <v>122</v>
      </c>
      <c r="AL323">
        <v>978722675</v>
      </c>
      <c r="AM323" t="s">
        <v>123</v>
      </c>
      <c r="AN323" t="s">
        <v>124</v>
      </c>
      <c r="AO323" t="s">
        <v>125</v>
      </c>
      <c r="AP323" t="s">
        <v>126</v>
      </c>
      <c r="AQ323" s="15">
        <v>46233</v>
      </c>
      <c r="AR323" s="15"/>
      <c r="AS323" t="s">
        <v>227</v>
      </c>
      <c r="AT323">
        <v>12</v>
      </c>
      <c r="AU323">
        <v>4500</v>
      </c>
      <c r="AV323">
        <v>0</v>
      </c>
      <c r="AW323">
        <v>0</v>
      </c>
      <c r="AX323" s="14">
        <v>4500</v>
      </c>
      <c r="AY323" s="14">
        <v>0</v>
      </c>
      <c r="AZ323" s="14">
        <v>4500</v>
      </c>
      <c r="BB323" t="s">
        <v>22</v>
      </c>
      <c r="BH323" t="s">
        <v>132</v>
      </c>
      <c r="BK323" t="s">
        <v>550</v>
      </c>
      <c r="BV323" t="s">
        <v>132</v>
      </c>
      <c r="BW323" s="16">
        <v>45748.629861111112</v>
      </c>
      <c r="BX323" t="s">
        <v>143</v>
      </c>
      <c r="BZ323">
        <v>56</v>
      </c>
      <c r="CB323">
        <v>0</v>
      </c>
      <c r="CF323" t="s">
        <v>1087</v>
      </c>
      <c r="CG323">
        <v>2026</v>
      </c>
      <c r="CH323" t="s">
        <v>138</v>
      </c>
      <c r="CI323" t="s">
        <v>139</v>
      </c>
    </row>
    <row r="324" spans="1:87" x14ac:dyDescent="0.3">
      <c r="A324" t="s">
        <v>115</v>
      </c>
      <c r="B324" t="s">
        <v>116</v>
      </c>
      <c r="C324" t="s">
        <v>117</v>
      </c>
      <c r="D324" t="s">
        <v>118</v>
      </c>
      <c r="E324" t="s">
        <v>14</v>
      </c>
      <c r="F324" t="s">
        <v>1132</v>
      </c>
      <c r="G324">
        <v>61.67</v>
      </c>
      <c r="H324">
        <v>0</v>
      </c>
      <c r="I324" s="14">
        <v>429000</v>
      </c>
      <c r="J324" s="14">
        <v>429000</v>
      </c>
      <c r="Q324" s="14"/>
      <c r="R324" s="14"/>
      <c r="Y324" s="14"/>
      <c r="Z324" s="14"/>
      <c r="AG324" s="14"/>
      <c r="AH324" s="14"/>
      <c r="AI324" t="s">
        <v>1133</v>
      </c>
      <c r="AJ324" t="s">
        <v>1134</v>
      </c>
      <c r="AK324" t="s">
        <v>1135</v>
      </c>
      <c r="AL324">
        <v>921881457</v>
      </c>
      <c r="AM324" t="s">
        <v>1136</v>
      </c>
      <c r="AN324" t="s">
        <v>1137</v>
      </c>
      <c r="AO324" t="s">
        <v>125</v>
      </c>
      <c r="AP324" t="s">
        <v>248</v>
      </c>
      <c r="AQ324" s="15">
        <v>46103</v>
      </c>
      <c r="AR324" s="15">
        <v>46103</v>
      </c>
      <c r="AS324" t="s">
        <v>127</v>
      </c>
      <c r="AT324">
        <v>1</v>
      </c>
      <c r="AU324">
        <v>3000</v>
      </c>
      <c r="AV324">
        <v>0</v>
      </c>
      <c r="AW324">
        <v>0</v>
      </c>
      <c r="AX324" s="14">
        <v>3000</v>
      </c>
      <c r="AY324" s="14">
        <v>3000</v>
      </c>
      <c r="AZ324" s="14">
        <v>0</v>
      </c>
      <c r="BA324">
        <v>0</v>
      </c>
      <c r="BB324" t="s">
        <v>23</v>
      </c>
      <c r="BC324" t="s">
        <v>128</v>
      </c>
      <c r="BD324" t="s">
        <v>129</v>
      </c>
      <c r="BE324" t="s">
        <v>130</v>
      </c>
      <c r="BG324" t="s">
        <v>1138</v>
      </c>
      <c r="BH324" t="s">
        <v>132</v>
      </c>
      <c r="BJ324">
        <v>4</v>
      </c>
      <c r="BK324" t="s">
        <v>133</v>
      </c>
      <c r="BV324" t="s">
        <v>134</v>
      </c>
      <c r="BW324" s="16">
        <v>46122.600694444453</v>
      </c>
      <c r="BX324" t="s">
        <v>135</v>
      </c>
      <c r="BZ324">
        <v>49</v>
      </c>
      <c r="CA324" t="s">
        <v>1139</v>
      </c>
      <c r="CB324">
        <v>0</v>
      </c>
      <c r="CF324" t="s">
        <v>1087</v>
      </c>
      <c r="CG324">
        <v>2026</v>
      </c>
      <c r="CH324" t="s">
        <v>138</v>
      </c>
      <c r="CI324" t="s">
        <v>139</v>
      </c>
    </row>
    <row r="325" spans="1:87" x14ac:dyDescent="0.3">
      <c r="A325" t="s">
        <v>115</v>
      </c>
      <c r="B325" t="s">
        <v>116</v>
      </c>
      <c r="C325" t="s">
        <v>117</v>
      </c>
      <c r="D325" t="s">
        <v>118</v>
      </c>
      <c r="E325" t="s">
        <v>14</v>
      </c>
      <c r="F325" t="s">
        <v>1132</v>
      </c>
      <c r="G325">
        <v>61.67</v>
      </c>
      <c r="H325">
        <v>0</v>
      </c>
      <c r="I325" s="14">
        <v>429000</v>
      </c>
      <c r="J325" s="14">
        <v>429000</v>
      </c>
      <c r="Q325" s="14"/>
      <c r="R325" s="14"/>
      <c r="Y325" s="14"/>
      <c r="Z325" s="14"/>
      <c r="AG325" s="14"/>
      <c r="AH325" s="14"/>
      <c r="AI325" t="s">
        <v>1133</v>
      </c>
      <c r="AJ325" t="s">
        <v>1134</v>
      </c>
      <c r="AK325" t="s">
        <v>1135</v>
      </c>
      <c r="AL325">
        <v>921881457</v>
      </c>
      <c r="AM325" t="s">
        <v>1136</v>
      </c>
      <c r="AN325" t="s">
        <v>1137</v>
      </c>
      <c r="AO325" t="s">
        <v>125</v>
      </c>
      <c r="AP325" t="s">
        <v>248</v>
      </c>
      <c r="AQ325" s="15">
        <v>46122</v>
      </c>
      <c r="AR325" s="15">
        <v>46122</v>
      </c>
      <c r="AS325" t="s">
        <v>145</v>
      </c>
      <c r="AT325">
        <v>1</v>
      </c>
      <c r="AU325">
        <v>0</v>
      </c>
      <c r="AV325">
        <v>0</v>
      </c>
      <c r="AW325">
        <v>0</v>
      </c>
      <c r="AX325" s="14">
        <v>39900</v>
      </c>
      <c r="AY325" s="14">
        <v>30000</v>
      </c>
      <c r="AZ325" s="14">
        <v>0</v>
      </c>
      <c r="BA325">
        <v>0</v>
      </c>
      <c r="BB325" t="s">
        <v>23</v>
      </c>
      <c r="BC325" t="s">
        <v>128</v>
      </c>
      <c r="BD325" t="s">
        <v>129</v>
      </c>
      <c r="BE325" t="s">
        <v>130</v>
      </c>
      <c r="BF325" t="s">
        <v>1134</v>
      </c>
      <c r="BG325" t="s">
        <v>1140</v>
      </c>
      <c r="BH325" t="s">
        <v>132</v>
      </c>
      <c r="BI325" t="s">
        <v>154</v>
      </c>
      <c r="BJ325">
        <v>4</v>
      </c>
      <c r="BK325" t="s">
        <v>133</v>
      </c>
      <c r="BV325" t="s">
        <v>134</v>
      </c>
      <c r="BW325" s="16">
        <v>46122.600694444453</v>
      </c>
      <c r="BX325" t="s">
        <v>135</v>
      </c>
      <c r="BZ325">
        <v>49</v>
      </c>
      <c r="CA325" t="s">
        <v>1141</v>
      </c>
      <c r="CB325">
        <v>0</v>
      </c>
      <c r="CF325" t="s">
        <v>1087</v>
      </c>
      <c r="CG325">
        <v>2026</v>
      </c>
      <c r="CH325" t="s">
        <v>138</v>
      </c>
      <c r="CI325" t="s">
        <v>139</v>
      </c>
    </row>
    <row r="326" spans="1:87" x14ac:dyDescent="0.3">
      <c r="A326" t="s">
        <v>115</v>
      </c>
      <c r="B326" t="s">
        <v>116</v>
      </c>
      <c r="C326" t="s">
        <v>117</v>
      </c>
      <c r="D326" t="s">
        <v>118</v>
      </c>
      <c r="E326" t="s">
        <v>14</v>
      </c>
      <c r="F326" t="s">
        <v>1132</v>
      </c>
      <c r="G326">
        <v>61.67</v>
      </c>
      <c r="H326">
        <v>0</v>
      </c>
      <c r="I326" s="14">
        <v>429000</v>
      </c>
      <c r="J326" s="14">
        <v>429000</v>
      </c>
      <c r="Q326" s="14"/>
      <c r="R326" s="14"/>
      <c r="Y326" s="14"/>
      <c r="Z326" s="14"/>
      <c r="AG326" s="14"/>
      <c r="AH326" s="14"/>
      <c r="AI326" t="s">
        <v>1133</v>
      </c>
      <c r="AJ326" t="s">
        <v>1134</v>
      </c>
      <c r="AK326" t="s">
        <v>1135</v>
      </c>
      <c r="AL326">
        <v>921881457</v>
      </c>
      <c r="AM326" t="s">
        <v>1136</v>
      </c>
      <c r="AN326" t="s">
        <v>1137</v>
      </c>
      <c r="AO326" t="s">
        <v>125</v>
      </c>
      <c r="AP326" t="s">
        <v>248</v>
      </c>
      <c r="AQ326" s="15">
        <v>46122</v>
      </c>
      <c r="AR326" s="15">
        <v>46122</v>
      </c>
      <c r="AS326" t="s">
        <v>145</v>
      </c>
      <c r="AT326">
        <v>1</v>
      </c>
      <c r="AU326">
        <v>39900</v>
      </c>
      <c r="AV326">
        <v>0</v>
      </c>
      <c r="AW326">
        <v>0</v>
      </c>
      <c r="AX326" s="14">
        <v>0</v>
      </c>
      <c r="AY326" s="14">
        <v>9900</v>
      </c>
      <c r="AZ326" s="14">
        <v>0</v>
      </c>
      <c r="BA326">
        <v>0</v>
      </c>
      <c r="BB326" t="s">
        <v>23</v>
      </c>
      <c r="BC326" t="s">
        <v>128</v>
      </c>
      <c r="BD326" t="s">
        <v>129</v>
      </c>
      <c r="BE326" t="s">
        <v>130</v>
      </c>
      <c r="BF326" t="s">
        <v>1134</v>
      </c>
      <c r="BG326" t="s">
        <v>1142</v>
      </c>
      <c r="BH326" t="s">
        <v>132</v>
      </c>
      <c r="BI326" t="s">
        <v>154</v>
      </c>
      <c r="BJ326">
        <v>4</v>
      </c>
      <c r="BK326" t="s">
        <v>133</v>
      </c>
      <c r="BV326" t="s">
        <v>134</v>
      </c>
      <c r="BW326" s="16">
        <v>46122.600694444453</v>
      </c>
      <c r="BX326" t="s">
        <v>135</v>
      </c>
      <c r="BZ326">
        <v>49</v>
      </c>
      <c r="CA326" t="s">
        <v>1143</v>
      </c>
      <c r="CB326">
        <v>0</v>
      </c>
      <c r="CF326" t="s">
        <v>1087</v>
      </c>
      <c r="CG326">
        <v>2026</v>
      </c>
      <c r="CH326" t="s">
        <v>138</v>
      </c>
      <c r="CI326" t="s">
        <v>139</v>
      </c>
    </row>
    <row r="327" spans="1:87" x14ac:dyDescent="0.3">
      <c r="A327" t="s">
        <v>115</v>
      </c>
      <c r="B327" t="s">
        <v>116</v>
      </c>
      <c r="C327" t="s">
        <v>117</v>
      </c>
      <c r="D327" t="s">
        <v>118</v>
      </c>
      <c r="E327" t="s">
        <v>14</v>
      </c>
      <c r="F327" t="s">
        <v>1132</v>
      </c>
      <c r="G327">
        <v>61.67</v>
      </c>
      <c r="H327">
        <v>0</v>
      </c>
      <c r="I327" s="14">
        <v>429000</v>
      </c>
      <c r="J327" s="14">
        <v>429000</v>
      </c>
      <c r="Q327" s="14"/>
      <c r="R327" s="14"/>
      <c r="Y327" s="14"/>
      <c r="Z327" s="14"/>
      <c r="AG327" s="14"/>
      <c r="AH327" s="14"/>
      <c r="AI327" t="s">
        <v>1133</v>
      </c>
      <c r="AJ327" t="s">
        <v>1134</v>
      </c>
      <c r="AK327" t="s">
        <v>1135</v>
      </c>
      <c r="AL327">
        <v>921881457</v>
      </c>
      <c r="AM327" t="s">
        <v>1136</v>
      </c>
      <c r="AN327" t="s">
        <v>1137</v>
      </c>
      <c r="AO327" t="s">
        <v>125</v>
      </c>
      <c r="AP327" t="s">
        <v>248</v>
      </c>
      <c r="AQ327" s="15">
        <v>46172</v>
      </c>
      <c r="AR327" s="15">
        <v>46172</v>
      </c>
      <c r="AS327" t="s">
        <v>227</v>
      </c>
      <c r="AT327">
        <v>1</v>
      </c>
      <c r="AU327">
        <v>386100</v>
      </c>
      <c r="AV327">
        <v>0</v>
      </c>
      <c r="AW327">
        <v>0</v>
      </c>
      <c r="AX327" s="14">
        <v>386100</v>
      </c>
      <c r="AY327" s="14">
        <v>386100</v>
      </c>
      <c r="AZ327" s="14">
        <v>0</v>
      </c>
      <c r="BA327">
        <v>0</v>
      </c>
      <c r="BB327" t="s">
        <v>23</v>
      </c>
      <c r="BC327" t="s">
        <v>128</v>
      </c>
      <c r="BD327" t="s">
        <v>129</v>
      </c>
      <c r="BE327" t="s">
        <v>130</v>
      </c>
      <c r="BF327" t="s">
        <v>1134</v>
      </c>
      <c r="BG327" t="s">
        <v>1144</v>
      </c>
      <c r="BH327" t="s">
        <v>132</v>
      </c>
      <c r="BI327" t="s">
        <v>154</v>
      </c>
      <c r="BJ327">
        <v>4</v>
      </c>
      <c r="BK327" t="s">
        <v>133</v>
      </c>
      <c r="BV327" t="s">
        <v>134</v>
      </c>
      <c r="BW327" s="16">
        <v>46122.600694444453</v>
      </c>
      <c r="BX327" t="s">
        <v>135</v>
      </c>
      <c r="BZ327">
        <v>49</v>
      </c>
      <c r="CA327" t="s">
        <v>1145</v>
      </c>
      <c r="CB327">
        <v>0</v>
      </c>
      <c r="CF327" t="s">
        <v>1087</v>
      </c>
      <c r="CG327">
        <v>2026</v>
      </c>
      <c r="CH327" t="s">
        <v>138</v>
      </c>
      <c r="CI327" t="s">
        <v>139</v>
      </c>
    </row>
    <row r="328" spans="1:87" x14ac:dyDescent="0.3">
      <c r="A328" t="s">
        <v>115</v>
      </c>
      <c r="B328" t="s">
        <v>116</v>
      </c>
      <c r="C328" t="s">
        <v>117</v>
      </c>
      <c r="D328" t="s">
        <v>118</v>
      </c>
      <c r="E328" t="s">
        <v>140</v>
      </c>
      <c r="F328" t="s">
        <v>1146</v>
      </c>
      <c r="G328">
        <v>13.5</v>
      </c>
      <c r="H328">
        <v>0.56999999999999995</v>
      </c>
      <c r="I328" s="14">
        <v>50500</v>
      </c>
      <c r="J328" s="14">
        <v>50500</v>
      </c>
      <c r="Q328" s="14"/>
      <c r="R328" s="14"/>
      <c r="Y328" s="14"/>
      <c r="Z328" s="14"/>
      <c r="AG328" s="14"/>
      <c r="AH328" s="14"/>
      <c r="AI328" t="s">
        <v>1133</v>
      </c>
      <c r="AJ328" t="s">
        <v>1134</v>
      </c>
      <c r="AK328" t="s">
        <v>1135</v>
      </c>
      <c r="AL328">
        <v>921881457</v>
      </c>
      <c r="AM328" t="s">
        <v>1136</v>
      </c>
      <c r="AN328" t="s">
        <v>1137</v>
      </c>
      <c r="AO328" t="s">
        <v>125</v>
      </c>
      <c r="AP328" t="s">
        <v>248</v>
      </c>
      <c r="AQ328" s="15">
        <v>46243</v>
      </c>
      <c r="AR328" s="15">
        <v>46243</v>
      </c>
      <c r="AS328" t="s">
        <v>127</v>
      </c>
      <c r="AT328">
        <v>1</v>
      </c>
      <c r="AU328">
        <v>3000</v>
      </c>
      <c r="AV328">
        <v>0</v>
      </c>
      <c r="AW328">
        <v>0</v>
      </c>
      <c r="AX328" s="14">
        <v>3000</v>
      </c>
      <c r="AY328" s="14">
        <v>3000</v>
      </c>
      <c r="AZ328" s="14">
        <v>0</v>
      </c>
      <c r="BA328">
        <v>0</v>
      </c>
      <c r="BB328" t="s">
        <v>22</v>
      </c>
      <c r="BC328" t="s">
        <v>128</v>
      </c>
      <c r="BD328" t="s">
        <v>129</v>
      </c>
      <c r="BE328" t="s">
        <v>130</v>
      </c>
      <c r="BG328" t="s">
        <v>1147</v>
      </c>
      <c r="BH328" t="s">
        <v>132</v>
      </c>
      <c r="BJ328">
        <v>4</v>
      </c>
      <c r="BK328" t="s">
        <v>133</v>
      </c>
      <c r="BV328" t="s">
        <v>134</v>
      </c>
      <c r="BW328" s="16">
        <v>46246.634027777778</v>
      </c>
      <c r="BX328" t="s">
        <v>135</v>
      </c>
      <c r="BZ328">
        <v>57</v>
      </c>
      <c r="CA328" t="s">
        <v>1148</v>
      </c>
      <c r="CB328">
        <v>0</v>
      </c>
      <c r="CF328" t="s">
        <v>1087</v>
      </c>
      <c r="CG328">
        <v>2026</v>
      </c>
      <c r="CH328" t="s">
        <v>138</v>
      </c>
      <c r="CI328" t="s">
        <v>139</v>
      </c>
    </row>
    <row r="329" spans="1:87" x14ac:dyDescent="0.3">
      <c r="A329" t="s">
        <v>115</v>
      </c>
      <c r="B329" t="s">
        <v>116</v>
      </c>
      <c r="C329" t="s">
        <v>117</v>
      </c>
      <c r="D329" t="s">
        <v>118</v>
      </c>
      <c r="E329" t="s">
        <v>140</v>
      </c>
      <c r="F329" t="s">
        <v>1146</v>
      </c>
      <c r="G329">
        <v>13.5</v>
      </c>
      <c r="H329">
        <v>0.56999999999999995</v>
      </c>
      <c r="I329" s="14">
        <v>50500</v>
      </c>
      <c r="J329" s="14">
        <v>50500</v>
      </c>
      <c r="Q329" s="14"/>
      <c r="R329" s="14"/>
      <c r="Y329" s="14"/>
      <c r="Z329" s="14"/>
      <c r="AG329" s="14"/>
      <c r="AH329" s="14"/>
      <c r="AI329" t="s">
        <v>1133</v>
      </c>
      <c r="AJ329" t="s">
        <v>1134</v>
      </c>
      <c r="AK329" t="s">
        <v>1135</v>
      </c>
      <c r="AL329">
        <v>921881457</v>
      </c>
      <c r="AM329" t="s">
        <v>1136</v>
      </c>
      <c r="AN329" t="s">
        <v>1137</v>
      </c>
      <c r="AO329" t="s">
        <v>125</v>
      </c>
      <c r="AP329" t="s">
        <v>248</v>
      </c>
      <c r="AQ329" s="15">
        <v>46248</v>
      </c>
      <c r="AR329" s="15">
        <v>46248</v>
      </c>
      <c r="AS329" t="s">
        <v>145</v>
      </c>
      <c r="AT329">
        <v>1</v>
      </c>
      <c r="AU329">
        <v>30000</v>
      </c>
      <c r="AV329">
        <v>0</v>
      </c>
      <c r="AW329">
        <v>0</v>
      </c>
      <c r="AX329" s="14">
        <v>30000</v>
      </c>
      <c r="AY329" s="14">
        <v>30000</v>
      </c>
      <c r="AZ329" s="14">
        <v>0</v>
      </c>
      <c r="BA329">
        <v>0</v>
      </c>
      <c r="BB329" t="s">
        <v>22</v>
      </c>
      <c r="BC329" t="s">
        <v>128</v>
      </c>
      <c r="BD329" t="s">
        <v>129</v>
      </c>
      <c r="BE329" t="s">
        <v>130</v>
      </c>
      <c r="BG329" t="s">
        <v>1149</v>
      </c>
      <c r="BH329" t="s">
        <v>132</v>
      </c>
      <c r="BI329" t="s">
        <v>873</v>
      </c>
      <c r="BJ329">
        <v>4</v>
      </c>
      <c r="BK329" t="s">
        <v>133</v>
      </c>
      <c r="BV329" t="s">
        <v>134</v>
      </c>
      <c r="BW329" s="16">
        <v>46246.634027777778</v>
      </c>
      <c r="BX329" t="s">
        <v>135</v>
      </c>
      <c r="BZ329">
        <v>57</v>
      </c>
      <c r="CA329" t="s">
        <v>1150</v>
      </c>
      <c r="CB329">
        <v>0</v>
      </c>
      <c r="CF329" t="s">
        <v>1087</v>
      </c>
      <c r="CG329">
        <v>2026</v>
      </c>
      <c r="CH329" t="s">
        <v>138</v>
      </c>
      <c r="CI329" t="s">
        <v>139</v>
      </c>
    </row>
    <row r="330" spans="1:87" x14ac:dyDescent="0.3">
      <c r="A330" t="s">
        <v>115</v>
      </c>
      <c r="B330" t="s">
        <v>116</v>
      </c>
      <c r="C330" t="s">
        <v>117</v>
      </c>
      <c r="D330" t="s">
        <v>118</v>
      </c>
      <c r="E330" t="s">
        <v>140</v>
      </c>
      <c r="F330" t="s">
        <v>1146</v>
      </c>
      <c r="G330">
        <v>13.5</v>
      </c>
      <c r="H330">
        <v>0.56999999999999995</v>
      </c>
      <c r="I330" s="14">
        <v>50500</v>
      </c>
      <c r="J330" s="14">
        <v>50500</v>
      </c>
      <c r="Q330" s="14"/>
      <c r="R330" s="14"/>
      <c r="Y330" s="14"/>
      <c r="Z330" s="14"/>
      <c r="AG330" s="14"/>
      <c r="AH330" s="14"/>
      <c r="AI330" t="s">
        <v>1133</v>
      </c>
      <c r="AJ330" t="s">
        <v>1134</v>
      </c>
      <c r="AK330" t="s">
        <v>1135</v>
      </c>
      <c r="AL330">
        <v>921881457</v>
      </c>
      <c r="AM330" t="s">
        <v>1136</v>
      </c>
      <c r="AN330" t="s">
        <v>1137</v>
      </c>
      <c r="AO330" t="s">
        <v>125</v>
      </c>
      <c r="AP330" t="s">
        <v>248</v>
      </c>
      <c r="AQ330" s="15">
        <v>46249</v>
      </c>
      <c r="AR330" s="15">
        <v>46249</v>
      </c>
      <c r="AS330" t="s">
        <v>227</v>
      </c>
      <c r="AT330">
        <v>1</v>
      </c>
      <c r="AU330">
        <v>17500</v>
      </c>
      <c r="AV330">
        <v>0</v>
      </c>
      <c r="AW330">
        <v>0</v>
      </c>
      <c r="AX330" s="14">
        <v>17500</v>
      </c>
      <c r="AY330" s="14">
        <v>17500</v>
      </c>
      <c r="AZ330" s="14">
        <v>0</v>
      </c>
      <c r="BA330">
        <v>0</v>
      </c>
      <c r="BB330" t="s">
        <v>22</v>
      </c>
      <c r="BC330" t="s">
        <v>128</v>
      </c>
      <c r="BD330" t="s">
        <v>129</v>
      </c>
      <c r="BE330" t="s">
        <v>130</v>
      </c>
      <c r="BG330" t="s">
        <v>1149</v>
      </c>
      <c r="BH330" t="s">
        <v>132</v>
      </c>
      <c r="BI330" t="s">
        <v>873</v>
      </c>
      <c r="BJ330">
        <v>4</v>
      </c>
      <c r="BK330" t="s">
        <v>133</v>
      </c>
      <c r="BV330" t="s">
        <v>134</v>
      </c>
      <c r="BW330" s="16">
        <v>46246.634027777778</v>
      </c>
      <c r="BX330" t="s">
        <v>135</v>
      </c>
      <c r="BZ330">
        <v>57</v>
      </c>
      <c r="CA330" t="s">
        <v>1151</v>
      </c>
      <c r="CB330">
        <v>0</v>
      </c>
      <c r="CF330" t="s">
        <v>1087</v>
      </c>
      <c r="CG330">
        <v>2026</v>
      </c>
      <c r="CH330" t="s">
        <v>138</v>
      </c>
      <c r="CI330" t="s">
        <v>139</v>
      </c>
    </row>
    <row r="331" spans="1:87" x14ac:dyDescent="0.3">
      <c r="A331" t="s">
        <v>426</v>
      </c>
      <c r="B331" t="s">
        <v>116</v>
      </c>
      <c r="C331" t="s">
        <v>117</v>
      </c>
      <c r="D331" t="s">
        <v>118</v>
      </c>
      <c r="E331" t="s">
        <v>14</v>
      </c>
      <c r="F331" t="s">
        <v>473</v>
      </c>
      <c r="G331">
        <v>67</v>
      </c>
      <c r="H331">
        <v>0</v>
      </c>
      <c r="I331" s="14">
        <v>483000</v>
      </c>
      <c r="J331" s="14">
        <v>443000</v>
      </c>
      <c r="K331" t="s">
        <v>117</v>
      </c>
      <c r="L331" t="s">
        <v>118</v>
      </c>
      <c r="M331" t="s">
        <v>140</v>
      </c>
      <c r="N331" t="s">
        <v>474</v>
      </c>
      <c r="O331">
        <v>14.5</v>
      </c>
      <c r="P331">
        <v>0</v>
      </c>
      <c r="Q331" s="14">
        <v>42800</v>
      </c>
      <c r="R331" s="14">
        <v>42800</v>
      </c>
      <c r="Y331" s="14"/>
      <c r="Z331" s="14"/>
      <c r="AG331" s="14"/>
      <c r="AH331" s="14"/>
      <c r="AI331" t="s">
        <v>475</v>
      </c>
      <c r="AJ331" t="s">
        <v>476</v>
      </c>
      <c r="AK331" t="s">
        <v>477</v>
      </c>
      <c r="AL331">
        <v>0</v>
      </c>
      <c r="AM331" t="s">
        <v>478</v>
      </c>
      <c r="AN331" t="s">
        <v>479</v>
      </c>
      <c r="AO331" t="s">
        <v>125</v>
      </c>
      <c r="AP331" t="s">
        <v>187</v>
      </c>
      <c r="AQ331" s="15">
        <v>46204</v>
      </c>
      <c r="AR331" s="15">
        <v>45839</v>
      </c>
      <c r="AS331" t="s">
        <v>145</v>
      </c>
      <c r="AT331">
        <v>1</v>
      </c>
      <c r="AU331">
        <v>0</v>
      </c>
      <c r="AV331">
        <v>0</v>
      </c>
      <c r="AW331">
        <v>0</v>
      </c>
      <c r="AX331" s="14">
        <v>45580</v>
      </c>
      <c r="AY331" s="14">
        <v>30000</v>
      </c>
      <c r="AZ331" s="14">
        <v>0</v>
      </c>
      <c r="BA331">
        <v>0</v>
      </c>
      <c r="BB331" t="s">
        <v>22</v>
      </c>
      <c r="BC331" t="s">
        <v>128</v>
      </c>
      <c r="BD331" t="s">
        <v>434</v>
      </c>
      <c r="BE331" t="s">
        <v>130</v>
      </c>
      <c r="BH331" t="s">
        <v>132</v>
      </c>
      <c r="BJ331">
        <v>4</v>
      </c>
      <c r="BK331" t="s">
        <v>133</v>
      </c>
      <c r="BV331" t="s">
        <v>134</v>
      </c>
      <c r="BW331" s="16">
        <v>45839.335416666669</v>
      </c>
      <c r="BX331" t="s">
        <v>143</v>
      </c>
      <c r="BZ331">
        <v>2</v>
      </c>
      <c r="CA331" t="s">
        <v>1152</v>
      </c>
      <c r="CB331">
        <v>0</v>
      </c>
      <c r="CF331" t="s">
        <v>1087</v>
      </c>
      <c r="CG331">
        <v>2026</v>
      </c>
      <c r="CH331" t="s">
        <v>138</v>
      </c>
      <c r="CI331" t="s">
        <v>139</v>
      </c>
    </row>
    <row r="332" spans="1:87" x14ac:dyDescent="0.3">
      <c r="A332" t="s">
        <v>426</v>
      </c>
      <c r="B332" t="s">
        <v>116</v>
      </c>
      <c r="C332" t="s">
        <v>117</v>
      </c>
      <c r="D332" t="s">
        <v>118</v>
      </c>
      <c r="E332" t="s">
        <v>14</v>
      </c>
      <c r="F332" t="s">
        <v>473</v>
      </c>
      <c r="G332">
        <v>67</v>
      </c>
      <c r="H332">
        <v>0</v>
      </c>
      <c r="I332" s="14">
        <v>483000</v>
      </c>
      <c r="J332" s="14">
        <v>443000</v>
      </c>
      <c r="K332" t="s">
        <v>117</v>
      </c>
      <c r="L332" t="s">
        <v>118</v>
      </c>
      <c r="M332" t="s">
        <v>140</v>
      </c>
      <c r="N332" t="s">
        <v>474</v>
      </c>
      <c r="O332">
        <v>14.5</v>
      </c>
      <c r="P332">
        <v>0</v>
      </c>
      <c r="Q332" s="14">
        <v>42800</v>
      </c>
      <c r="R332" s="14">
        <v>42800</v>
      </c>
      <c r="Y332" s="14"/>
      <c r="Z332" s="14"/>
      <c r="AG332" s="14"/>
      <c r="AH332" s="14"/>
      <c r="AI332" t="s">
        <v>475</v>
      </c>
      <c r="AJ332" t="s">
        <v>476</v>
      </c>
      <c r="AK332" t="s">
        <v>477</v>
      </c>
      <c r="AL332">
        <v>0</v>
      </c>
      <c r="AM332" t="s">
        <v>478</v>
      </c>
      <c r="AN332" t="s">
        <v>479</v>
      </c>
      <c r="AO332" t="s">
        <v>125</v>
      </c>
      <c r="AP332" t="s">
        <v>187</v>
      </c>
      <c r="AQ332" s="15">
        <v>46204</v>
      </c>
      <c r="AR332" s="15">
        <v>45841</v>
      </c>
      <c r="AS332" t="s">
        <v>145</v>
      </c>
      <c r="AT332">
        <v>1</v>
      </c>
      <c r="AU332">
        <v>45580</v>
      </c>
      <c r="AV332">
        <v>0</v>
      </c>
      <c r="AW332">
        <v>0</v>
      </c>
      <c r="AX332" s="14">
        <v>0</v>
      </c>
      <c r="AY332" s="14">
        <v>15580</v>
      </c>
      <c r="AZ332" s="14">
        <v>0</v>
      </c>
      <c r="BA332">
        <v>0</v>
      </c>
      <c r="BB332" t="s">
        <v>22</v>
      </c>
      <c r="BC332" t="s">
        <v>128</v>
      </c>
      <c r="BD332" t="s">
        <v>434</v>
      </c>
      <c r="BE332" t="s">
        <v>130</v>
      </c>
      <c r="BG332" t="s">
        <v>1153</v>
      </c>
      <c r="BH332" t="s">
        <v>132</v>
      </c>
      <c r="BJ332">
        <v>4</v>
      </c>
      <c r="BK332" t="s">
        <v>133</v>
      </c>
      <c r="BV332" t="s">
        <v>134</v>
      </c>
      <c r="BW332" s="16">
        <v>45839.335416666669</v>
      </c>
      <c r="BX332" t="s">
        <v>143</v>
      </c>
      <c r="BZ332">
        <v>2</v>
      </c>
      <c r="CA332" t="s">
        <v>1152</v>
      </c>
      <c r="CB332">
        <v>0</v>
      </c>
      <c r="CF332" t="s">
        <v>1087</v>
      </c>
      <c r="CG332">
        <v>2026</v>
      </c>
      <c r="CH332" t="s">
        <v>138</v>
      </c>
      <c r="CI332" t="s">
        <v>139</v>
      </c>
    </row>
    <row r="333" spans="1:87" x14ac:dyDescent="0.3">
      <c r="A333" t="s">
        <v>426</v>
      </c>
      <c r="B333" t="s">
        <v>116</v>
      </c>
      <c r="C333" t="s">
        <v>117</v>
      </c>
      <c r="D333" t="s">
        <v>118</v>
      </c>
      <c r="E333" t="s">
        <v>14</v>
      </c>
      <c r="F333" t="s">
        <v>473</v>
      </c>
      <c r="G333">
        <v>67</v>
      </c>
      <c r="H333">
        <v>0</v>
      </c>
      <c r="I333" s="14">
        <v>483000</v>
      </c>
      <c r="J333" s="14">
        <v>443000</v>
      </c>
      <c r="K333" t="s">
        <v>117</v>
      </c>
      <c r="L333" t="s">
        <v>118</v>
      </c>
      <c r="M333" t="s">
        <v>140</v>
      </c>
      <c r="N333" t="s">
        <v>474</v>
      </c>
      <c r="O333">
        <v>14.5</v>
      </c>
      <c r="P333">
        <v>0</v>
      </c>
      <c r="Q333" s="14">
        <v>42800</v>
      </c>
      <c r="R333" s="14">
        <v>42800</v>
      </c>
      <c r="Y333" s="14"/>
      <c r="Z333" s="14"/>
      <c r="AG333" s="14"/>
      <c r="AH333" s="14"/>
      <c r="AI333" t="s">
        <v>475</v>
      </c>
      <c r="AJ333" t="s">
        <v>476</v>
      </c>
      <c r="AK333" t="s">
        <v>477</v>
      </c>
      <c r="AL333">
        <v>0</v>
      </c>
      <c r="AM333" t="s">
        <v>478</v>
      </c>
      <c r="AN333" t="s">
        <v>479</v>
      </c>
      <c r="AO333" t="s">
        <v>125</v>
      </c>
      <c r="AP333" t="s">
        <v>187</v>
      </c>
      <c r="AQ333" s="15">
        <v>46206</v>
      </c>
      <c r="AR333" s="15">
        <v>45841</v>
      </c>
      <c r="AS333" t="s">
        <v>145</v>
      </c>
      <c r="AT333">
        <v>2</v>
      </c>
      <c r="AU333">
        <v>145740</v>
      </c>
      <c r="AV333">
        <v>0</v>
      </c>
      <c r="AW333">
        <v>0</v>
      </c>
      <c r="AX333" s="14">
        <v>145740</v>
      </c>
      <c r="AY333" s="14">
        <v>145740</v>
      </c>
      <c r="AZ333" s="14">
        <v>0</v>
      </c>
      <c r="BA333">
        <v>0</v>
      </c>
      <c r="BB333" t="s">
        <v>22</v>
      </c>
      <c r="BC333" t="s">
        <v>128</v>
      </c>
      <c r="BD333" t="s">
        <v>434</v>
      </c>
      <c r="BE333" t="s">
        <v>156</v>
      </c>
      <c r="BF333" t="s">
        <v>1154</v>
      </c>
      <c r="BG333" t="s">
        <v>1155</v>
      </c>
      <c r="BH333" t="s">
        <v>132</v>
      </c>
      <c r="BJ333">
        <v>4</v>
      </c>
      <c r="BK333" t="s">
        <v>133</v>
      </c>
      <c r="BV333" t="s">
        <v>134</v>
      </c>
      <c r="BW333" s="16">
        <v>45839.335416666669</v>
      </c>
      <c r="BX333" t="s">
        <v>143</v>
      </c>
      <c r="BZ333">
        <v>2</v>
      </c>
      <c r="CA333" t="s">
        <v>1156</v>
      </c>
      <c r="CB333">
        <v>0</v>
      </c>
      <c r="CF333" t="s">
        <v>1087</v>
      </c>
      <c r="CG333">
        <v>2026</v>
      </c>
      <c r="CH333" t="s">
        <v>138</v>
      </c>
      <c r="CI333" t="s">
        <v>139</v>
      </c>
    </row>
    <row r="334" spans="1:87" x14ac:dyDescent="0.3">
      <c r="A334" t="s">
        <v>426</v>
      </c>
      <c r="B334" t="s">
        <v>116</v>
      </c>
      <c r="C334" t="s">
        <v>117</v>
      </c>
      <c r="D334" t="s">
        <v>118</v>
      </c>
      <c r="E334" t="s">
        <v>14</v>
      </c>
      <c r="F334" t="s">
        <v>473</v>
      </c>
      <c r="G334">
        <v>67</v>
      </c>
      <c r="H334">
        <v>0</v>
      </c>
      <c r="I334" s="14">
        <v>483000</v>
      </c>
      <c r="J334" s="14">
        <v>443000</v>
      </c>
      <c r="K334" t="s">
        <v>117</v>
      </c>
      <c r="L334" t="s">
        <v>118</v>
      </c>
      <c r="M334" t="s">
        <v>140</v>
      </c>
      <c r="N334" t="s">
        <v>474</v>
      </c>
      <c r="O334">
        <v>14.5</v>
      </c>
      <c r="P334">
        <v>0</v>
      </c>
      <c r="Q334" s="14">
        <v>42800</v>
      </c>
      <c r="R334" s="14">
        <v>42800</v>
      </c>
      <c r="Y334" s="14"/>
      <c r="Z334" s="14"/>
      <c r="AG334" s="14"/>
      <c r="AH334" s="14"/>
      <c r="AI334" t="s">
        <v>475</v>
      </c>
      <c r="AJ334" t="s">
        <v>476</v>
      </c>
      <c r="AK334" t="s">
        <v>477</v>
      </c>
      <c r="AL334">
        <v>0</v>
      </c>
      <c r="AM334" t="s">
        <v>478</v>
      </c>
      <c r="AN334" t="s">
        <v>479</v>
      </c>
      <c r="AO334" t="s">
        <v>125</v>
      </c>
      <c r="AP334" t="s">
        <v>187</v>
      </c>
      <c r="AQ334" s="15">
        <v>46027</v>
      </c>
      <c r="AR334" s="15">
        <v>46027</v>
      </c>
      <c r="AS334" t="s">
        <v>227</v>
      </c>
      <c r="AT334">
        <v>1</v>
      </c>
      <c r="AU334">
        <v>70000</v>
      </c>
      <c r="AV334">
        <v>0</v>
      </c>
      <c r="AW334">
        <v>0</v>
      </c>
      <c r="AX334" s="14">
        <v>70000</v>
      </c>
      <c r="AY334" s="14">
        <v>70000</v>
      </c>
      <c r="AZ334" s="14">
        <v>0</v>
      </c>
      <c r="BA334">
        <v>0</v>
      </c>
      <c r="BB334" t="s">
        <v>22</v>
      </c>
      <c r="BC334" t="s">
        <v>128</v>
      </c>
      <c r="BD334" t="s">
        <v>434</v>
      </c>
      <c r="BE334" t="s">
        <v>130</v>
      </c>
      <c r="BG334" t="s">
        <v>1157</v>
      </c>
      <c r="BH334" t="s">
        <v>132</v>
      </c>
      <c r="BJ334">
        <v>4</v>
      </c>
      <c r="BK334" t="s">
        <v>133</v>
      </c>
      <c r="BV334" t="s">
        <v>134</v>
      </c>
      <c r="BW334" s="16">
        <v>45839.335416666669</v>
      </c>
      <c r="BX334" t="s">
        <v>143</v>
      </c>
      <c r="BZ334">
        <v>2</v>
      </c>
      <c r="CA334" t="s">
        <v>1158</v>
      </c>
      <c r="CB334">
        <v>0</v>
      </c>
      <c r="CF334" t="s">
        <v>1087</v>
      </c>
      <c r="CG334">
        <v>2026</v>
      </c>
      <c r="CH334" t="s">
        <v>138</v>
      </c>
      <c r="CI334" t="s">
        <v>139</v>
      </c>
    </row>
    <row r="335" spans="1:87" x14ac:dyDescent="0.3">
      <c r="A335" t="s">
        <v>426</v>
      </c>
      <c r="B335" t="s">
        <v>116</v>
      </c>
      <c r="C335" t="s">
        <v>117</v>
      </c>
      <c r="D335" t="s">
        <v>118</v>
      </c>
      <c r="E335" t="s">
        <v>14</v>
      </c>
      <c r="F335" t="s">
        <v>473</v>
      </c>
      <c r="G335">
        <v>67</v>
      </c>
      <c r="H335">
        <v>0</v>
      </c>
      <c r="I335" s="14">
        <v>483000</v>
      </c>
      <c r="J335" s="14">
        <v>443000</v>
      </c>
      <c r="K335" t="s">
        <v>117</v>
      </c>
      <c r="L335" t="s">
        <v>118</v>
      </c>
      <c r="M335" t="s">
        <v>140</v>
      </c>
      <c r="N335" t="s">
        <v>474</v>
      </c>
      <c r="O335">
        <v>14.5</v>
      </c>
      <c r="P335">
        <v>0</v>
      </c>
      <c r="Q335" s="14">
        <v>42800</v>
      </c>
      <c r="R335" s="14">
        <v>42800</v>
      </c>
      <c r="Y335" s="14"/>
      <c r="Z335" s="14"/>
      <c r="AG335" s="14"/>
      <c r="AH335" s="14"/>
      <c r="AI335" t="s">
        <v>475</v>
      </c>
      <c r="AJ335" t="s">
        <v>476</v>
      </c>
      <c r="AK335" t="s">
        <v>477</v>
      </c>
      <c r="AL335">
        <v>0</v>
      </c>
      <c r="AM335" t="s">
        <v>478</v>
      </c>
      <c r="AN335" t="s">
        <v>479</v>
      </c>
      <c r="AO335" t="s">
        <v>125</v>
      </c>
      <c r="AP335" t="s">
        <v>187</v>
      </c>
      <c r="AQ335" s="15">
        <v>46063</v>
      </c>
      <c r="AR335" s="15">
        <v>46063</v>
      </c>
      <c r="AS335" t="s">
        <v>227</v>
      </c>
      <c r="AT335">
        <v>2</v>
      </c>
      <c r="AU335">
        <v>83000</v>
      </c>
      <c r="AV335">
        <v>0</v>
      </c>
      <c r="AW335">
        <v>0</v>
      </c>
      <c r="AX335" s="14">
        <v>83000</v>
      </c>
      <c r="AY335" s="14">
        <v>83000</v>
      </c>
      <c r="AZ335" s="14">
        <v>0</v>
      </c>
      <c r="BA335">
        <v>0</v>
      </c>
      <c r="BB335" t="s">
        <v>22</v>
      </c>
      <c r="BC335" t="s">
        <v>128</v>
      </c>
      <c r="BD335" t="s">
        <v>434</v>
      </c>
      <c r="BE335" t="s">
        <v>130</v>
      </c>
      <c r="BG335" t="s">
        <v>1159</v>
      </c>
      <c r="BH335" t="s">
        <v>132</v>
      </c>
      <c r="BJ335">
        <v>4</v>
      </c>
      <c r="BK335" t="s">
        <v>133</v>
      </c>
      <c r="BV335" t="s">
        <v>134</v>
      </c>
      <c r="BW335" s="16">
        <v>45839.335416666669</v>
      </c>
      <c r="BX335" t="s">
        <v>143</v>
      </c>
      <c r="BZ335">
        <v>2</v>
      </c>
      <c r="CA335" t="s">
        <v>1158</v>
      </c>
      <c r="CB335">
        <v>0</v>
      </c>
      <c r="CF335" t="s">
        <v>1087</v>
      </c>
      <c r="CG335">
        <v>2026</v>
      </c>
      <c r="CH335" t="s">
        <v>138</v>
      </c>
      <c r="CI335" t="s">
        <v>139</v>
      </c>
    </row>
    <row r="336" spans="1:87" x14ac:dyDescent="0.3">
      <c r="A336" t="s">
        <v>426</v>
      </c>
      <c r="B336" t="s">
        <v>116</v>
      </c>
      <c r="C336" t="s">
        <v>117</v>
      </c>
      <c r="D336" t="s">
        <v>118</v>
      </c>
      <c r="E336" t="s">
        <v>14</v>
      </c>
      <c r="F336" t="s">
        <v>473</v>
      </c>
      <c r="G336">
        <v>67</v>
      </c>
      <c r="H336">
        <v>0</v>
      </c>
      <c r="I336" s="14">
        <v>483000</v>
      </c>
      <c r="J336" s="14">
        <v>443000</v>
      </c>
      <c r="K336" t="s">
        <v>117</v>
      </c>
      <c r="L336" t="s">
        <v>118</v>
      </c>
      <c r="M336" t="s">
        <v>140</v>
      </c>
      <c r="N336" t="s">
        <v>474</v>
      </c>
      <c r="O336">
        <v>14.5</v>
      </c>
      <c r="P336">
        <v>0</v>
      </c>
      <c r="Q336" s="14">
        <v>42800</v>
      </c>
      <c r="R336" s="14">
        <v>42800</v>
      </c>
      <c r="Y336" s="14"/>
      <c r="Z336" s="14"/>
      <c r="AG336" s="14"/>
      <c r="AH336" s="14"/>
      <c r="AI336" t="s">
        <v>475</v>
      </c>
      <c r="AJ336" t="s">
        <v>476</v>
      </c>
      <c r="AK336" t="s">
        <v>477</v>
      </c>
      <c r="AL336">
        <v>0</v>
      </c>
      <c r="AM336" t="s">
        <v>478</v>
      </c>
      <c r="AN336" t="s">
        <v>479</v>
      </c>
      <c r="AO336" t="s">
        <v>125</v>
      </c>
      <c r="AP336" t="s">
        <v>187</v>
      </c>
      <c r="AQ336" s="15">
        <v>46167</v>
      </c>
      <c r="AR336" s="15">
        <v>46167</v>
      </c>
      <c r="AS336" t="s">
        <v>227</v>
      </c>
      <c r="AT336">
        <v>3</v>
      </c>
      <c r="AU336">
        <v>40000</v>
      </c>
      <c r="AV336">
        <v>0</v>
      </c>
      <c r="AW336">
        <v>0</v>
      </c>
      <c r="AX336" s="14">
        <v>40000</v>
      </c>
      <c r="AY336" s="14">
        <v>40000</v>
      </c>
      <c r="AZ336" s="14">
        <v>0</v>
      </c>
      <c r="BA336">
        <v>0</v>
      </c>
      <c r="BB336" t="s">
        <v>22</v>
      </c>
      <c r="BC336" t="s">
        <v>128</v>
      </c>
      <c r="BD336" t="s">
        <v>434</v>
      </c>
      <c r="BE336" t="s">
        <v>130</v>
      </c>
      <c r="BG336" t="s">
        <v>1160</v>
      </c>
      <c r="BH336" t="s">
        <v>132</v>
      </c>
      <c r="BJ336">
        <v>4</v>
      </c>
      <c r="BK336" t="s">
        <v>133</v>
      </c>
      <c r="BV336" t="s">
        <v>134</v>
      </c>
      <c r="BW336" s="16">
        <v>45839.335416666669</v>
      </c>
      <c r="BX336" t="s">
        <v>143</v>
      </c>
      <c r="BZ336">
        <v>2</v>
      </c>
      <c r="CA336" t="s">
        <v>1161</v>
      </c>
      <c r="CB336">
        <v>0</v>
      </c>
      <c r="CF336" t="s">
        <v>1087</v>
      </c>
      <c r="CG336">
        <v>2026</v>
      </c>
      <c r="CH336" t="s">
        <v>138</v>
      </c>
      <c r="CI336" t="s">
        <v>139</v>
      </c>
    </row>
    <row r="337" spans="1:87" x14ac:dyDescent="0.3">
      <c r="A337" t="s">
        <v>426</v>
      </c>
      <c r="B337" t="s">
        <v>116</v>
      </c>
      <c r="C337" t="s">
        <v>117</v>
      </c>
      <c r="D337" t="s">
        <v>118</v>
      </c>
      <c r="E337" t="s">
        <v>14</v>
      </c>
      <c r="F337" t="s">
        <v>473</v>
      </c>
      <c r="G337">
        <v>67</v>
      </c>
      <c r="H337">
        <v>0</v>
      </c>
      <c r="I337" s="14">
        <v>483000</v>
      </c>
      <c r="J337" s="14">
        <v>443000</v>
      </c>
      <c r="K337" t="s">
        <v>117</v>
      </c>
      <c r="L337" t="s">
        <v>118</v>
      </c>
      <c r="M337" t="s">
        <v>140</v>
      </c>
      <c r="N337" t="s">
        <v>474</v>
      </c>
      <c r="O337">
        <v>14.5</v>
      </c>
      <c r="P337">
        <v>0</v>
      </c>
      <c r="Q337" s="14">
        <v>42800</v>
      </c>
      <c r="R337" s="14">
        <v>42800</v>
      </c>
      <c r="Y337" s="14"/>
      <c r="Z337" s="14"/>
      <c r="AG337" s="14"/>
      <c r="AH337" s="14"/>
      <c r="AI337" t="s">
        <v>475</v>
      </c>
      <c r="AJ337" t="s">
        <v>476</v>
      </c>
      <c r="AK337" t="s">
        <v>477</v>
      </c>
      <c r="AL337">
        <v>0</v>
      </c>
      <c r="AM337" t="s">
        <v>478</v>
      </c>
      <c r="AN337" t="s">
        <v>479</v>
      </c>
      <c r="AO337" t="s">
        <v>125</v>
      </c>
      <c r="AP337" t="s">
        <v>187</v>
      </c>
      <c r="AQ337" s="15">
        <v>46295</v>
      </c>
      <c r="AR337" s="15"/>
      <c r="AS337" t="s">
        <v>227</v>
      </c>
      <c r="AT337">
        <v>4</v>
      </c>
      <c r="AU337">
        <v>98480</v>
      </c>
      <c r="AV337">
        <v>0</v>
      </c>
      <c r="AW337">
        <v>0</v>
      </c>
      <c r="AX337" s="14">
        <v>98480</v>
      </c>
      <c r="AY337" s="14">
        <v>0</v>
      </c>
      <c r="AZ337" s="14">
        <v>98480</v>
      </c>
      <c r="BB337" t="s">
        <v>22</v>
      </c>
      <c r="BH337" t="s">
        <v>132</v>
      </c>
      <c r="BK337" t="s">
        <v>1100</v>
      </c>
      <c r="BV337" t="s">
        <v>132</v>
      </c>
      <c r="BW337" s="16">
        <v>45839.335416666669</v>
      </c>
      <c r="BX337" t="s">
        <v>143</v>
      </c>
      <c r="BZ337">
        <v>2</v>
      </c>
      <c r="CB337">
        <v>0</v>
      </c>
      <c r="CF337" t="s">
        <v>1087</v>
      </c>
      <c r="CG337">
        <v>2026</v>
      </c>
      <c r="CH337" t="s">
        <v>138</v>
      </c>
      <c r="CI337" t="s">
        <v>139</v>
      </c>
    </row>
    <row r="338" spans="1:87" x14ac:dyDescent="0.3">
      <c r="A338" t="s">
        <v>115</v>
      </c>
      <c r="B338" t="s">
        <v>116</v>
      </c>
      <c r="C338" t="s">
        <v>117</v>
      </c>
      <c r="D338" t="s">
        <v>118</v>
      </c>
      <c r="E338" t="s">
        <v>14</v>
      </c>
      <c r="F338" t="s">
        <v>497</v>
      </c>
      <c r="G338">
        <v>56</v>
      </c>
      <c r="H338">
        <v>0</v>
      </c>
      <c r="I338" s="14">
        <v>433500</v>
      </c>
      <c r="J338" s="14">
        <v>433500</v>
      </c>
      <c r="K338" t="s">
        <v>117</v>
      </c>
      <c r="L338" t="s">
        <v>118</v>
      </c>
      <c r="M338" t="s">
        <v>140</v>
      </c>
      <c r="N338" t="s">
        <v>498</v>
      </c>
      <c r="O338">
        <v>13.27</v>
      </c>
      <c r="P338">
        <v>0</v>
      </c>
      <c r="Q338" s="14">
        <v>50500</v>
      </c>
      <c r="R338" s="14">
        <v>50500</v>
      </c>
      <c r="Y338" s="14"/>
      <c r="Z338" s="14"/>
      <c r="AG338" s="14"/>
      <c r="AH338" s="14"/>
      <c r="AI338" t="s">
        <v>499</v>
      </c>
      <c r="AJ338" t="s">
        <v>500</v>
      </c>
      <c r="AK338" t="s">
        <v>501</v>
      </c>
      <c r="AL338">
        <v>943151339</v>
      </c>
      <c r="AM338" t="s">
        <v>502</v>
      </c>
      <c r="AN338" t="s">
        <v>503</v>
      </c>
      <c r="AO338" t="s">
        <v>125</v>
      </c>
      <c r="AP338" t="s">
        <v>504</v>
      </c>
      <c r="AQ338" s="15">
        <v>46081</v>
      </c>
      <c r="AR338" s="15">
        <v>46050</v>
      </c>
      <c r="AS338" t="s">
        <v>227</v>
      </c>
      <c r="AT338">
        <v>1</v>
      </c>
      <c r="AU338">
        <v>435600</v>
      </c>
      <c r="AV338">
        <v>0</v>
      </c>
      <c r="AW338">
        <v>0</v>
      </c>
      <c r="AX338" s="14">
        <v>435600</v>
      </c>
      <c r="AY338" s="14">
        <v>435600</v>
      </c>
      <c r="AZ338" s="14">
        <v>0</v>
      </c>
      <c r="BA338">
        <v>0</v>
      </c>
      <c r="BB338" t="s">
        <v>23</v>
      </c>
      <c r="BC338" t="s">
        <v>128</v>
      </c>
      <c r="BD338" t="s">
        <v>129</v>
      </c>
      <c r="BE338" t="s">
        <v>130</v>
      </c>
      <c r="BF338" t="s">
        <v>500</v>
      </c>
      <c r="BG338" t="s">
        <v>1162</v>
      </c>
      <c r="BH338" t="s">
        <v>132</v>
      </c>
      <c r="BI338" t="s">
        <v>154</v>
      </c>
      <c r="BJ338">
        <v>4</v>
      </c>
      <c r="BK338" t="s">
        <v>133</v>
      </c>
      <c r="BV338" t="s">
        <v>134</v>
      </c>
      <c r="BW338" s="16">
        <v>46008.744444444441</v>
      </c>
      <c r="BX338" t="s">
        <v>135</v>
      </c>
      <c r="BZ338">
        <v>41</v>
      </c>
      <c r="CA338" t="s">
        <v>1163</v>
      </c>
      <c r="CB338">
        <v>0</v>
      </c>
      <c r="CF338" t="s">
        <v>1087</v>
      </c>
      <c r="CG338">
        <v>2026</v>
      </c>
      <c r="CH338" t="s">
        <v>138</v>
      </c>
      <c r="CI338" t="s">
        <v>139</v>
      </c>
    </row>
    <row r="339" spans="1:87" x14ac:dyDescent="0.3">
      <c r="A339" t="s">
        <v>165</v>
      </c>
      <c r="B339" t="s">
        <v>116</v>
      </c>
      <c r="C339" t="s">
        <v>117</v>
      </c>
      <c r="D339" t="s">
        <v>118</v>
      </c>
      <c r="E339" t="s">
        <v>14</v>
      </c>
      <c r="F339" t="s">
        <v>146</v>
      </c>
      <c r="G339">
        <v>57</v>
      </c>
      <c r="H339">
        <v>0</v>
      </c>
      <c r="I339" s="14">
        <v>430000</v>
      </c>
      <c r="J339" s="14">
        <v>381000</v>
      </c>
      <c r="Q339" s="14"/>
      <c r="R339" s="14"/>
      <c r="Y339" s="14"/>
      <c r="Z339" s="14"/>
      <c r="AG339" s="14"/>
      <c r="AH339" s="14"/>
      <c r="AI339" t="s">
        <v>509</v>
      </c>
      <c r="AJ339" t="s">
        <v>510</v>
      </c>
      <c r="AK339" t="s">
        <v>511</v>
      </c>
      <c r="AL339">
        <v>0</v>
      </c>
      <c r="AM339" t="s">
        <v>512</v>
      </c>
      <c r="AN339" t="s">
        <v>513</v>
      </c>
      <c r="AO339" t="s">
        <v>125</v>
      </c>
      <c r="AP339" t="s">
        <v>152</v>
      </c>
      <c r="AQ339" s="15">
        <v>46172</v>
      </c>
      <c r="AR339" s="15"/>
      <c r="AS339" t="s">
        <v>145</v>
      </c>
      <c r="AT339">
        <v>3</v>
      </c>
      <c r="AU339">
        <v>21000</v>
      </c>
      <c r="AV339">
        <v>0</v>
      </c>
      <c r="AW339">
        <v>0</v>
      </c>
      <c r="AX339" s="14">
        <v>21000</v>
      </c>
      <c r="AY339" s="14">
        <v>0</v>
      </c>
      <c r="AZ339" s="14">
        <v>21000</v>
      </c>
      <c r="BB339" t="s">
        <v>24</v>
      </c>
      <c r="BH339" t="s">
        <v>132</v>
      </c>
      <c r="BK339" t="s">
        <v>550</v>
      </c>
      <c r="BV339" t="s">
        <v>132</v>
      </c>
      <c r="BW339" s="16">
        <v>45940.418749999997</v>
      </c>
      <c r="BX339" t="s">
        <v>143</v>
      </c>
      <c r="BZ339">
        <v>6</v>
      </c>
      <c r="CB339">
        <v>0</v>
      </c>
      <c r="CF339" t="s">
        <v>1087</v>
      </c>
      <c r="CG339">
        <v>2026</v>
      </c>
      <c r="CH339" t="s">
        <v>138</v>
      </c>
      <c r="CI339" t="s">
        <v>139</v>
      </c>
    </row>
    <row r="340" spans="1:87" x14ac:dyDescent="0.3">
      <c r="A340" t="s">
        <v>165</v>
      </c>
      <c r="B340" t="s">
        <v>116</v>
      </c>
      <c r="C340" t="s">
        <v>117</v>
      </c>
      <c r="D340" t="s">
        <v>118</v>
      </c>
      <c r="E340" t="s">
        <v>14</v>
      </c>
      <c r="F340" t="s">
        <v>146</v>
      </c>
      <c r="G340">
        <v>57</v>
      </c>
      <c r="H340">
        <v>0</v>
      </c>
      <c r="I340" s="14">
        <v>430000</v>
      </c>
      <c r="J340" s="14">
        <v>381000</v>
      </c>
      <c r="Q340" s="14"/>
      <c r="R340" s="14"/>
      <c r="Y340" s="14"/>
      <c r="Z340" s="14"/>
      <c r="AG340" s="14"/>
      <c r="AH340" s="14"/>
      <c r="AI340" t="s">
        <v>509</v>
      </c>
      <c r="AJ340" t="s">
        <v>510</v>
      </c>
      <c r="AK340" t="s">
        <v>511</v>
      </c>
      <c r="AL340">
        <v>0</v>
      </c>
      <c r="AM340" t="s">
        <v>512</v>
      </c>
      <c r="AN340" t="s">
        <v>513</v>
      </c>
      <c r="AO340" t="s">
        <v>125</v>
      </c>
      <c r="AP340" t="s">
        <v>152</v>
      </c>
      <c r="AQ340" s="15">
        <v>46234</v>
      </c>
      <c r="AR340" s="15"/>
      <c r="AS340" t="s">
        <v>227</v>
      </c>
      <c r="AT340">
        <v>1</v>
      </c>
      <c r="AU340">
        <v>296000</v>
      </c>
      <c r="AV340">
        <v>0</v>
      </c>
      <c r="AW340">
        <v>0</v>
      </c>
      <c r="AX340" s="14">
        <v>296000</v>
      </c>
      <c r="AY340" s="14">
        <v>0</v>
      </c>
      <c r="AZ340" s="14">
        <v>296000</v>
      </c>
      <c r="BB340" t="s">
        <v>24</v>
      </c>
      <c r="BH340" t="s">
        <v>132</v>
      </c>
      <c r="BK340" t="s">
        <v>550</v>
      </c>
      <c r="BV340" t="s">
        <v>132</v>
      </c>
      <c r="BW340" s="16">
        <v>45940.418749999997</v>
      </c>
      <c r="BX340" t="s">
        <v>143</v>
      </c>
      <c r="BZ340">
        <v>6</v>
      </c>
      <c r="CB340">
        <v>0</v>
      </c>
      <c r="CF340" t="s">
        <v>1087</v>
      </c>
      <c r="CG340">
        <v>2026</v>
      </c>
      <c r="CH340" t="s">
        <v>138</v>
      </c>
      <c r="CI340" t="s">
        <v>139</v>
      </c>
    </row>
    <row r="341" spans="1:87" x14ac:dyDescent="0.3">
      <c r="A341" t="s">
        <v>115</v>
      </c>
      <c r="B341" t="s">
        <v>116</v>
      </c>
      <c r="C341" t="s">
        <v>117</v>
      </c>
      <c r="D341" t="s">
        <v>118</v>
      </c>
      <c r="E341" t="s">
        <v>14</v>
      </c>
      <c r="F341" t="s">
        <v>521</v>
      </c>
      <c r="G341">
        <v>82.63</v>
      </c>
      <c r="H341">
        <v>0</v>
      </c>
      <c r="I341" s="14">
        <v>615000</v>
      </c>
      <c r="J341" s="14">
        <v>615000</v>
      </c>
      <c r="Q341" s="14"/>
      <c r="R341" s="14"/>
      <c r="Y341" s="14"/>
      <c r="Z341" s="14"/>
      <c r="AG341" s="14"/>
      <c r="AH341" s="14"/>
      <c r="AI341" t="s">
        <v>522</v>
      </c>
      <c r="AJ341" t="s">
        <v>523</v>
      </c>
      <c r="AK341" t="s">
        <v>524</v>
      </c>
      <c r="AL341">
        <v>966327809</v>
      </c>
      <c r="AM341" t="s">
        <v>525</v>
      </c>
      <c r="AN341" t="s">
        <v>526</v>
      </c>
      <c r="AO341" t="s">
        <v>527</v>
      </c>
      <c r="AP341" t="s">
        <v>528</v>
      </c>
      <c r="AQ341" s="15">
        <v>46037</v>
      </c>
      <c r="AR341" s="15">
        <v>46056</v>
      </c>
      <c r="AS341" t="s">
        <v>145</v>
      </c>
      <c r="AT341">
        <v>2</v>
      </c>
      <c r="AU341">
        <v>50000</v>
      </c>
      <c r="AV341">
        <v>0</v>
      </c>
      <c r="AW341">
        <v>0</v>
      </c>
      <c r="AX341" s="14">
        <v>50000</v>
      </c>
      <c r="AY341" s="14">
        <v>50000</v>
      </c>
      <c r="AZ341" s="14">
        <v>0</v>
      </c>
      <c r="BA341">
        <v>0</v>
      </c>
      <c r="BB341" t="s">
        <v>23</v>
      </c>
      <c r="BC341" t="s">
        <v>128</v>
      </c>
      <c r="BD341" t="s">
        <v>129</v>
      </c>
      <c r="BE341" t="s">
        <v>130</v>
      </c>
      <c r="BF341" t="s">
        <v>523</v>
      </c>
      <c r="BG341" t="s">
        <v>1164</v>
      </c>
      <c r="BH341" t="s">
        <v>132</v>
      </c>
      <c r="BI341" t="s">
        <v>154</v>
      </c>
      <c r="BJ341">
        <v>4</v>
      </c>
      <c r="BK341" t="s">
        <v>133</v>
      </c>
      <c r="BV341" t="s">
        <v>134</v>
      </c>
      <c r="BW341" s="16">
        <v>45885.586805555547</v>
      </c>
      <c r="BX341" t="s">
        <v>135</v>
      </c>
      <c r="BZ341">
        <v>47</v>
      </c>
      <c r="CA341" t="s">
        <v>1165</v>
      </c>
      <c r="CB341">
        <v>0</v>
      </c>
      <c r="CF341" t="s">
        <v>1087</v>
      </c>
      <c r="CG341">
        <v>2026</v>
      </c>
      <c r="CH341" t="s">
        <v>138</v>
      </c>
      <c r="CI341" t="s">
        <v>139</v>
      </c>
    </row>
    <row r="342" spans="1:87" x14ac:dyDescent="0.3">
      <c r="A342" t="s">
        <v>115</v>
      </c>
      <c r="B342" t="s">
        <v>116</v>
      </c>
      <c r="C342" t="s">
        <v>117</v>
      </c>
      <c r="D342" t="s">
        <v>118</v>
      </c>
      <c r="E342" t="s">
        <v>14</v>
      </c>
      <c r="F342" t="s">
        <v>521</v>
      </c>
      <c r="G342">
        <v>82.63</v>
      </c>
      <c r="H342">
        <v>0</v>
      </c>
      <c r="I342" s="14">
        <v>615000</v>
      </c>
      <c r="J342" s="14">
        <v>615000</v>
      </c>
      <c r="Q342" s="14"/>
      <c r="R342" s="14"/>
      <c r="Y342" s="14"/>
      <c r="Z342" s="14"/>
      <c r="AG342" s="14"/>
      <c r="AH342" s="14"/>
      <c r="AI342" t="s">
        <v>522</v>
      </c>
      <c r="AJ342" t="s">
        <v>523</v>
      </c>
      <c r="AK342" t="s">
        <v>524</v>
      </c>
      <c r="AL342">
        <v>966327809</v>
      </c>
      <c r="AM342" t="s">
        <v>525</v>
      </c>
      <c r="AN342" t="s">
        <v>526</v>
      </c>
      <c r="AO342" t="s">
        <v>527</v>
      </c>
      <c r="AP342" t="s">
        <v>528</v>
      </c>
      <c r="AQ342" s="15">
        <v>46037</v>
      </c>
      <c r="AR342" s="15">
        <v>46056</v>
      </c>
      <c r="AS342" t="s">
        <v>145</v>
      </c>
      <c r="AT342">
        <v>3</v>
      </c>
      <c r="AU342">
        <v>34000</v>
      </c>
      <c r="AV342">
        <v>0</v>
      </c>
      <c r="AW342">
        <v>0</v>
      </c>
      <c r="AX342" s="14">
        <v>34000</v>
      </c>
      <c r="AY342" s="14">
        <v>34000</v>
      </c>
      <c r="AZ342" s="14">
        <v>0</v>
      </c>
      <c r="BA342">
        <v>0</v>
      </c>
      <c r="BB342" t="s">
        <v>23</v>
      </c>
      <c r="BC342" t="s">
        <v>128</v>
      </c>
      <c r="BD342" t="s">
        <v>415</v>
      </c>
      <c r="BE342" t="s">
        <v>130</v>
      </c>
      <c r="BF342" t="s">
        <v>523</v>
      </c>
      <c r="BG342" t="s">
        <v>1166</v>
      </c>
      <c r="BH342" t="s">
        <v>132</v>
      </c>
      <c r="BI342" t="s">
        <v>154</v>
      </c>
      <c r="BJ342">
        <v>4</v>
      </c>
      <c r="BK342" t="s">
        <v>133</v>
      </c>
      <c r="BV342" t="s">
        <v>134</v>
      </c>
      <c r="BW342" s="16">
        <v>45885.586805555547</v>
      </c>
      <c r="BX342" t="s">
        <v>135</v>
      </c>
      <c r="BZ342">
        <v>47</v>
      </c>
      <c r="CA342" t="s">
        <v>1167</v>
      </c>
      <c r="CB342">
        <v>0</v>
      </c>
      <c r="CF342" t="s">
        <v>1087</v>
      </c>
      <c r="CG342">
        <v>2026</v>
      </c>
      <c r="CH342" t="s">
        <v>138</v>
      </c>
      <c r="CI342" t="s">
        <v>139</v>
      </c>
    </row>
    <row r="343" spans="1:87" x14ac:dyDescent="0.3">
      <c r="A343" t="s">
        <v>115</v>
      </c>
      <c r="B343" t="s">
        <v>116</v>
      </c>
      <c r="C343" t="s">
        <v>117</v>
      </c>
      <c r="D343" t="s">
        <v>118</v>
      </c>
      <c r="E343" t="s">
        <v>14</v>
      </c>
      <c r="F343" t="s">
        <v>521</v>
      </c>
      <c r="G343">
        <v>82.63</v>
      </c>
      <c r="H343">
        <v>0</v>
      </c>
      <c r="I343" s="14">
        <v>615000</v>
      </c>
      <c r="J343" s="14">
        <v>615000</v>
      </c>
      <c r="Q343" s="14"/>
      <c r="R343" s="14"/>
      <c r="Y343" s="14"/>
      <c r="Z343" s="14"/>
      <c r="AG343" s="14"/>
      <c r="AH343" s="14"/>
      <c r="AI343" t="s">
        <v>522</v>
      </c>
      <c r="AJ343" t="s">
        <v>523</v>
      </c>
      <c r="AK343" t="s">
        <v>524</v>
      </c>
      <c r="AL343">
        <v>966327809</v>
      </c>
      <c r="AM343" t="s">
        <v>525</v>
      </c>
      <c r="AN343" t="s">
        <v>526</v>
      </c>
      <c r="AO343" t="s">
        <v>527</v>
      </c>
      <c r="AP343" t="s">
        <v>528</v>
      </c>
      <c r="AQ343" s="15">
        <v>46073</v>
      </c>
      <c r="AR343" s="15">
        <v>46073</v>
      </c>
      <c r="AS343" t="s">
        <v>145</v>
      </c>
      <c r="AT343">
        <v>4</v>
      </c>
      <c r="AU343">
        <v>10000</v>
      </c>
      <c r="AV343">
        <v>0</v>
      </c>
      <c r="AW343">
        <v>0</v>
      </c>
      <c r="AX343" s="14">
        <v>10000</v>
      </c>
      <c r="AY343" s="14">
        <v>10000</v>
      </c>
      <c r="AZ343" s="14">
        <v>0</v>
      </c>
      <c r="BA343">
        <v>0</v>
      </c>
      <c r="BB343" t="s">
        <v>23</v>
      </c>
      <c r="BC343" t="s">
        <v>128</v>
      </c>
      <c r="BD343" t="s">
        <v>129</v>
      </c>
      <c r="BE343" t="s">
        <v>130</v>
      </c>
      <c r="BF343" t="s">
        <v>523</v>
      </c>
      <c r="BG343" t="s">
        <v>1168</v>
      </c>
      <c r="BH343" t="s">
        <v>132</v>
      </c>
      <c r="BI343" t="s">
        <v>154</v>
      </c>
      <c r="BJ343">
        <v>4</v>
      </c>
      <c r="BK343" t="s">
        <v>133</v>
      </c>
      <c r="BV343" t="s">
        <v>134</v>
      </c>
      <c r="BW343" s="16">
        <v>45885.586805555547</v>
      </c>
      <c r="BX343" t="s">
        <v>135</v>
      </c>
      <c r="BZ343">
        <v>47</v>
      </c>
      <c r="CA343" t="s">
        <v>1169</v>
      </c>
      <c r="CB343">
        <v>0</v>
      </c>
      <c r="CF343" t="s">
        <v>1087</v>
      </c>
      <c r="CG343">
        <v>2026</v>
      </c>
      <c r="CH343" t="s">
        <v>138</v>
      </c>
      <c r="CI343" t="s">
        <v>139</v>
      </c>
    </row>
    <row r="344" spans="1:87" x14ac:dyDescent="0.3">
      <c r="A344" t="s">
        <v>115</v>
      </c>
      <c r="B344" t="s">
        <v>116</v>
      </c>
      <c r="C344" t="s">
        <v>117</v>
      </c>
      <c r="D344" t="s">
        <v>118</v>
      </c>
      <c r="E344" t="s">
        <v>14</v>
      </c>
      <c r="F344" t="s">
        <v>521</v>
      </c>
      <c r="G344">
        <v>82.63</v>
      </c>
      <c r="H344">
        <v>0</v>
      </c>
      <c r="I344" s="14">
        <v>615000</v>
      </c>
      <c r="J344" s="14">
        <v>615000</v>
      </c>
      <c r="Q344" s="14"/>
      <c r="R344" s="14"/>
      <c r="Y344" s="14"/>
      <c r="Z344" s="14"/>
      <c r="AG344" s="14"/>
      <c r="AH344" s="14"/>
      <c r="AI344" t="s">
        <v>522</v>
      </c>
      <c r="AJ344" t="s">
        <v>523</v>
      </c>
      <c r="AK344" t="s">
        <v>524</v>
      </c>
      <c r="AL344">
        <v>966327809</v>
      </c>
      <c r="AM344" t="s">
        <v>525</v>
      </c>
      <c r="AN344" t="s">
        <v>526</v>
      </c>
      <c r="AO344" t="s">
        <v>527</v>
      </c>
      <c r="AP344" t="s">
        <v>528</v>
      </c>
      <c r="AQ344" s="15">
        <v>46081</v>
      </c>
      <c r="AR344" s="15">
        <v>46112</v>
      </c>
      <c r="AS344" t="s">
        <v>227</v>
      </c>
      <c r="AT344">
        <v>1</v>
      </c>
      <c r="AU344">
        <v>508000</v>
      </c>
      <c r="AV344">
        <v>0</v>
      </c>
      <c r="AW344">
        <v>0</v>
      </c>
      <c r="AX344" s="14">
        <v>508000</v>
      </c>
      <c r="AY344" s="14">
        <v>508000</v>
      </c>
      <c r="AZ344" s="14">
        <v>0</v>
      </c>
      <c r="BA344">
        <v>0</v>
      </c>
      <c r="BB344" t="s">
        <v>23</v>
      </c>
      <c r="BC344" t="s">
        <v>128</v>
      </c>
      <c r="BD344" t="s">
        <v>129</v>
      </c>
      <c r="BE344" t="s">
        <v>130</v>
      </c>
      <c r="BG344" t="s">
        <v>1170</v>
      </c>
      <c r="BH344" t="s">
        <v>132</v>
      </c>
      <c r="BJ344">
        <v>4</v>
      </c>
      <c r="BK344" t="s">
        <v>133</v>
      </c>
      <c r="BV344" t="s">
        <v>134</v>
      </c>
      <c r="BW344" s="16">
        <v>45885.586805555547</v>
      </c>
      <c r="BX344" t="s">
        <v>135</v>
      </c>
      <c r="BZ344">
        <v>47</v>
      </c>
      <c r="CA344" t="s">
        <v>1171</v>
      </c>
      <c r="CB344">
        <v>0</v>
      </c>
      <c r="CF344" t="s">
        <v>1087</v>
      </c>
      <c r="CG344">
        <v>2026</v>
      </c>
      <c r="CH344" t="s">
        <v>138</v>
      </c>
      <c r="CI344" t="s">
        <v>139</v>
      </c>
    </row>
    <row r="345" spans="1:87" x14ac:dyDescent="0.3">
      <c r="A345" t="s">
        <v>165</v>
      </c>
      <c r="B345" t="s">
        <v>116</v>
      </c>
      <c r="C345" t="s">
        <v>117</v>
      </c>
      <c r="D345" t="s">
        <v>118</v>
      </c>
      <c r="E345" t="s">
        <v>14</v>
      </c>
      <c r="F345" t="s">
        <v>166</v>
      </c>
      <c r="G345">
        <v>72</v>
      </c>
      <c r="H345">
        <v>0</v>
      </c>
      <c r="I345" s="14">
        <v>532100</v>
      </c>
      <c r="J345" s="14">
        <v>500000</v>
      </c>
      <c r="K345" t="s">
        <v>117</v>
      </c>
      <c r="L345" t="s">
        <v>118</v>
      </c>
      <c r="M345" t="s">
        <v>140</v>
      </c>
      <c r="N345" t="s">
        <v>167</v>
      </c>
      <c r="O345">
        <v>12</v>
      </c>
      <c r="P345">
        <v>0</v>
      </c>
      <c r="Q345" s="14">
        <v>45600</v>
      </c>
      <c r="R345" s="14">
        <v>45600</v>
      </c>
      <c r="S345" t="s">
        <v>117</v>
      </c>
      <c r="T345" t="s">
        <v>118</v>
      </c>
      <c r="U345" t="s">
        <v>168</v>
      </c>
      <c r="V345" t="s">
        <v>169</v>
      </c>
      <c r="W345">
        <v>4.4000000000000004</v>
      </c>
      <c r="X345">
        <v>0</v>
      </c>
      <c r="Y345" s="14">
        <v>15900</v>
      </c>
      <c r="Z345" s="14">
        <v>15900</v>
      </c>
      <c r="AG345" s="14"/>
      <c r="AH345" s="14"/>
      <c r="AI345" t="s">
        <v>170</v>
      </c>
      <c r="AJ345" t="s">
        <v>171</v>
      </c>
      <c r="AK345" t="s">
        <v>172</v>
      </c>
      <c r="AL345">
        <v>0</v>
      </c>
      <c r="AM345" t="s">
        <v>173</v>
      </c>
      <c r="AN345" t="s">
        <v>174</v>
      </c>
      <c r="AQ345" s="15">
        <v>46047</v>
      </c>
      <c r="AR345" s="15"/>
      <c r="AS345" t="s">
        <v>227</v>
      </c>
      <c r="AT345">
        <v>10</v>
      </c>
      <c r="AU345">
        <v>21341.25</v>
      </c>
      <c r="AV345">
        <v>0</v>
      </c>
      <c r="AW345">
        <v>0</v>
      </c>
      <c r="AX345" s="14">
        <v>21341.25</v>
      </c>
      <c r="AY345" s="14">
        <v>0</v>
      </c>
      <c r="AZ345" s="14">
        <v>21341.25</v>
      </c>
      <c r="BB345" t="s">
        <v>22</v>
      </c>
      <c r="BH345" t="s">
        <v>132</v>
      </c>
      <c r="BK345" t="s">
        <v>550</v>
      </c>
      <c r="BV345" t="s">
        <v>132</v>
      </c>
      <c r="BW345" s="16">
        <v>45386.40347222222</v>
      </c>
      <c r="BX345" t="s">
        <v>178</v>
      </c>
      <c r="BZ345">
        <v>35</v>
      </c>
      <c r="CB345">
        <v>0</v>
      </c>
      <c r="CF345" t="s">
        <v>1087</v>
      </c>
      <c r="CG345">
        <v>2026</v>
      </c>
      <c r="CH345" t="s">
        <v>138</v>
      </c>
      <c r="CI345" t="s">
        <v>139</v>
      </c>
    </row>
    <row r="346" spans="1:87" x14ac:dyDescent="0.3">
      <c r="A346" t="s">
        <v>165</v>
      </c>
      <c r="B346" t="s">
        <v>116</v>
      </c>
      <c r="C346" t="s">
        <v>117</v>
      </c>
      <c r="D346" t="s">
        <v>118</v>
      </c>
      <c r="E346" t="s">
        <v>14</v>
      </c>
      <c r="F346" t="s">
        <v>166</v>
      </c>
      <c r="G346">
        <v>72</v>
      </c>
      <c r="H346">
        <v>0</v>
      </c>
      <c r="I346" s="14">
        <v>532100</v>
      </c>
      <c r="J346" s="14">
        <v>500000</v>
      </c>
      <c r="K346" t="s">
        <v>117</v>
      </c>
      <c r="L346" t="s">
        <v>118</v>
      </c>
      <c r="M346" t="s">
        <v>140</v>
      </c>
      <c r="N346" t="s">
        <v>167</v>
      </c>
      <c r="O346">
        <v>12</v>
      </c>
      <c r="P346">
        <v>0</v>
      </c>
      <c r="Q346" s="14">
        <v>45600</v>
      </c>
      <c r="R346" s="14">
        <v>45600</v>
      </c>
      <c r="S346" t="s">
        <v>117</v>
      </c>
      <c r="T346" t="s">
        <v>118</v>
      </c>
      <c r="U346" t="s">
        <v>168</v>
      </c>
      <c r="V346" t="s">
        <v>169</v>
      </c>
      <c r="W346">
        <v>4.4000000000000004</v>
      </c>
      <c r="X346">
        <v>0</v>
      </c>
      <c r="Y346" s="14">
        <v>15900</v>
      </c>
      <c r="Z346" s="14">
        <v>15900</v>
      </c>
      <c r="AG346" s="14"/>
      <c r="AH346" s="14"/>
      <c r="AI346" t="s">
        <v>170</v>
      </c>
      <c r="AJ346" t="s">
        <v>171</v>
      </c>
      <c r="AK346" t="s">
        <v>172</v>
      </c>
      <c r="AL346">
        <v>0</v>
      </c>
      <c r="AM346" t="s">
        <v>173</v>
      </c>
      <c r="AN346" t="s">
        <v>174</v>
      </c>
      <c r="AQ346" s="15">
        <v>46078</v>
      </c>
      <c r="AR346" s="15"/>
      <c r="AS346" t="s">
        <v>227</v>
      </c>
      <c r="AT346">
        <v>11</v>
      </c>
      <c r="AU346">
        <v>21341.25</v>
      </c>
      <c r="AV346">
        <v>0</v>
      </c>
      <c r="AW346">
        <v>0</v>
      </c>
      <c r="AX346" s="14">
        <v>21341.25</v>
      </c>
      <c r="AY346" s="14">
        <v>0</v>
      </c>
      <c r="AZ346" s="14">
        <v>21341.25</v>
      </c>
      <c r="BB346" t="s">
        <v>22</v>
      </c>
      <c r="BH346" t="s">
        <v>132</v>
      </c>
      <c r="BK346" t="s">
        <v>550</v>
      </c>
      <c r="BV346" t="s">
        <v>132</v>
      </c>
      <c r="BW346" s="16">
        <v>45386.40347222222</v>
      </c>
      <c r="BX346" t="s">
        <v>178</v>
      </c>
      <c r="BZ346">
        <v>35</v>
      </c>
      <c r="CB346">
        <v>0</v>
      </c>
      <c r="CF346" t="s">
        <v>1087</v>
      </c>
      <c r="CG346">
        <v>2026</v>
      </c>
      <c r="CH346" t="s">
        <v>138</v>
      </c>
      <c r="CI346" t="s">
        <v>139</v>
      </c>
    </row>
    <row r="347" spans="1:87" x14ac:dyDescent="0.3">
      <c r="A347" t="s">
        <v>165</v>
      </c>
      <c r="B347" t="s">
        <v>116</v>
      </c>
      <c r="C347" t="s">
        <v>117</v>
      </c>
      <c r="D347" t="s">
        <v>118</v>
      </c>
      <c r="E347" t="s">
        <v>14</v>
      </c>
      <c r="F347" t="s">
        <v>166</v>
      </c>
      <c r="G347">
        <v>72</v>
      </c>
      <c r="H347">
        <v>0</v>
      </c>
      <c r="I347" s="14">
        <v>532100</v>
      </c>
      <c r="J347" s="14">
        <v>500000</v>
      </c>
      <c r="K347" t="s">
        <v>117</v>
      </c>
      <c r="L347" t="s">
        <v>118</v>
      </c>
      <c r="M347" t="s">
        <v>140</v>
      </c>
      <c r="N347" t="s">
        <v>167</v>
      </c>
      <c r="O347">
        <v>12</v>
      </c>
      <c r="P347">
        <v>0</v>
      </c>
      <c r="Q347" s="14">
        <v>45600</v>
      </c>
      <c r="R347" s="14">
        <v>45600</v>
      </c>
      <c r="S347" t="s">
        <v>117</v>
      </c>
      <c r="T347" t="s">
        <v>118</v>
      </c>
      <c r="U347" t="s">
        <v>168</v>
      </c>
      <c r="V347" t="s">
        <v>169</v>
      </c>
      <c r="W347">
        <v>4.4000000000000004</v>
      </c>
      <c r="X347">
        <v>0</v>
      </c>
      <c r="Y347" s="14">
        <v>15900</v>
      </c>
      <c r="Z347" s="14">
        <v>15900</v>
      </c>
      <c r="AG347" s="14"/>
      <c r="AH347" s="14"/>
      <c r="AI347" t="s">
        <v>170</v>
      </c>
      <c r="AJ347" t="s">
        <v>171</v>
      </c>
      <c r="AK347" t="s">
        <v>172</v>
      </c>
      <c r="AL347">
        <v>0</v>
      </c>
      <c r="AM347" t="s">
        <v>173</v>
      </c>
      <c r="AN347" t="s">
        <v>174</v>
      </c>
      <c r="AQ347" s="15">
        <v>46106</v>
      </c>
      <c r="AR347" s="15"/>
      <c r="AS347" t="s">
        <v>227</v>
      </c>
      <c r="AT347">
        <v>12</v>
      </c>
      <c r="AU347">
        <v>21341.25</v>
      </c>
      <c r="AV347">
        <v>0</v>
      </c>
      <c r="AW347">
        <v>0</v>
      </c>
      <c r="AX347" s="14">
        <v>21341.25</v>
      </c>
      <c r="AY347" s="14">
        <v>0</v>
      </c>
      <c r="AZ347" s="14">
        <v>21341.25</v>
      </c>
      <c r="BB347" t="s">
        <v>22</v>
      </c>
      <c r="BH347" t="s">
        <v>132</v>
      </c>
      <c r="BK347" t="s">
        <v>550</v>
      </c>
      <c r="BV347" t="s">
        <v>132</v>
      </c>
      <c r="BW347" s="16">
        <v>45386.40347222222</v>
      </c>
      <c r="BX347" t="s">
        <v>178</v>
      </c>
      <c r="BZ347">
        <v>35</v>
      </c>
      <c r="CB347">
        <v>0</v>
      </c>
      <c r="CF347" t="s">
        <v>1087</v>
      </c>
      <c r="CG347">
        <v>2026</v>
      </c>
      <c r="CH347" t="s">
        <v>138</v>
      </c>
      <c r="CI347" t="s">
        <v>139</v>
      </c>
    </row>
    <row r="348" spans="1:87" x14ac:dyDescent="0.3">
      <c r="A348" t="s">
        <v>165</v>
      </c>
      <c r="B348" t="s">
        <v>116</v>
      </c>
      <c r="C348" t="s">
        <v>117</v>
      </c>
      <c r="D348" t="s">
        <v>118</v>
      </c>
      <c r="E348" t="s">
        <v>14</v>
      </c>
      <c r="F348" t="s">
        <v>166</v>
      </c>
      <c r="G348">
        <v>72</v>
      </c>
      <c r="H348">
        <v>0</v>
      </c>
      <c r="I348" s="14">
        <v>532100</v>
      </c>
      <c r="J348" s="14">
        <v>500000</v>
      </c>
      <c r="K348" t="s">
        <v>117</v>
      </c>
      <c r="L348" t="s">
        <v>118</v>
      </c>
      <c r="M348" t="s">
        <v>140</v>
      </c>
      <c r="N348" t="s">
        <v>167</v>
      </c>
      <c r="O348">
        <v>12</v>
      </c>
      <c r="P348">
        <v>0</v>
      </c>
      <c r="Q348" s="14">
        <v>45600</v>
      </c>
      <c r="R348" s="14">
        <v>45600</v>
      </c>
      <c r="S348" t="s">
        <v>117</v>
      </c>
      <c r="T348" t="s">
        <v>118</v>
      </c>
      <c r="U348" t="s">
        <v>168</v>
      </c>
      <c r="V348" t="s">
        <v>169</v>
      </c>
      <c r="W348">
        <v>4.4000000000000004</v>
      </c>
      <c r="X348">
        <v>0</v>
      </c>
      <c r="Y348" s="14">
        <v>15900</v>
      </c>
      <c r="Z348" s="14">
        <v>15900</v>
      </c>
      <c r="AG348" s="14"/>
      <c r="AH348" s="14"/>
      <c r="AI348" t="s">
        <v>170</v>
      </c>
      <c r="AJ348" t="s">
        <v>171</v>
      </c>
      <c r="AK348" t="s">
        <v>172</v>
      </c>
      <c r="AL348">
        <v>0</v>
      </c>
      <c r="AM348" t="s">
        <v>173</v>
      </c>
      <c r="AN348" t="s">
        <v>174</v>
      </c>
      <c r="AQ348" s="15">
        <v>46137</v>
      </c>
      <c r="AR348" s="15"/>
      <c r="AS348" t="s">
        <v>227</v>
      </c>
      <c r="AT348">
        <v>13</v>
      </c>
      <c r="AU348">
        <v>21341.25</v>
      </c>
      <c r="AV348">
        <v>0</v>
      </c>
      <c r="AW348">
        <v>0</v>
      </c>
      <c r="AX348" s="14">
        <v>21341.25</v>
      </c>
      <c r="AY348" s="14">
        <v>0</v>
      </c>
      <c r="AZ348" s="14">
        <v>21341.25</v>
      </c>
      <c r="BB348" t="s">
        <v>22</v>
      </c>
      <c r="BH348" t="s">
        <v>132</v>
      </c>
      <c r="BK348" t="s">
        <v>550</v>
      </c>
      <c r="BV348" t="s">
        <v>132</v>
      </c>
      <c r="BW348" s="16">
        <v>45386.40347222222</v>
      </c>
      <c r="BX348" t="s">
        <v>178</v>
      </c>
      <c r="BZ348">
        <v>35</v>
      </c>
      <c r="CB348">
        <v>0</v>
      </c>
      <c r="CF348" t="s">
        <v>1087</v>
      </c>
      <c r="CG348">
        <v>2026</v>
      </c>
      <c r="CH348" t="s">
        <v>138</v>
      </c>
      <c r="CI348" t="s">
        <v>139</v>
      </c>
    </row>
    <row r="349" spans="1:87" x14ac:dyDescent="0.3">
      <c r="A349" t="s">
        <v>165</v>
      </c>
      <c r="B349" t="s">
        <v>116</v>
      </c>
      <c r="C349" t="s">
        <v>117</v>
      </c>
      <c r="D349" t="s">
        <v>118</v>
      </c>
      <c r="E349" t="s">
        <v>14</v>
      </c>
      <c r="F349" t="s">
        <v>166</v>
      </c>
      <c r="G349">
        <v>72</v>
      </c>
      <c r="H349">
        <v>0</v>
      </c>
      <c r="I349" s="14">
        <v>532100</v>
      </c>
      <c r="J349" s="14">
        <v>500000</v>
      </c>
      <c r="K349" t="s">
        <v>117</v>
      </c>
      <c r="L349" t="s">
        <v>118</v>
      </c>
      <c r="M349" t="s">
        <v>140</v>
      </c>
      <c r="N349" t="s">
        <v>167</v>
      </c>
      <c r="O349">
        <v>12</v>
      </c>
      <c r="P349">
        <v>0</v>
      </c>
      <c r="Q349" s="14">
        <v>45600</v>
      </c>
      <c r="R349" s="14">
        <v>45600</v>
      </c>
      <c r="S349" t="s">
        <v>117</v>
      </c>
      <c r="T349" t="s">
        <v>118</v>
      </c>
      <c r="U349" t="s">
        <v>168</v>
      </c>
      <c r="V349" t="s">
        <v>169</v>
      </c>
      <c r="W349">
        <v>4.4000000000000004</v>
      </c>
      <c r="X349">
        <v>0</v>
      </c>
      <c r="Y349" s="14">
        <v>15900</v>
      </c>
      <c r="Z349" s="14">
        <v>15900</v>
      </c>
      <c r="AG349" s="14"/>
      <c r="AH349" s="14"/>
      <c r="AI349" t="s">
        <v>170</v>
      </c>
      <c r="AJ349" t="s">
        <v>171</v>
      </c>
      <c r="AK349" t="s">
        <v>172</v>
      </c>
      <c r="AL349">
        <v>0</v>
      </c>
      <c r="AM349" t="s">
        <v>173</v>
      </c>
      <c r="AN349" t="s">
        <v>174</v>
      </c>
      <c r="AQ349" s="15">
        <v>46167</v>
      </c>
      <c r="AR349" s="15"/>
      <c r="AS349" t="s">
        <v>227</v>
      </c>
      <c r="AT349">
        <v>14</v>
      </c>
      <c r="AU349">
        <v>21341.25</v>
      </c>
      <c r="AV349">
        <v>0</v>
      </c>
      <c r="AW349">
        <v>0</v>
      </c>
      <c r="AX349" s="14">
        <v>21341.25</v>
      </c>
      <c r="AY349" s="14">
        <v>0</v>
      </c>
      <c r="AZ349" s="14">
        <v>21341.25</v>
      </c>
      <c r="BB349" t="s">
        <v>22</v>
      </c>
      <c r="BH349" t="s">
        <v>132</v>
      </c>
      <c r="BK349" t="s">
        <v>550</v>
      </c>
      <c r="BV349" t="s">
        <v>132</v>
      </c>
      <c r="BW349" s="16">
        <v>45386.40347222222</v>
      </c>
      <c r="BX349" t="s">
        <v>178</v>
      </c>
      <c r="BZ349">
        <v>35</v>
      </c>
      <c r="CB349">
        <v>0</v>
      </c>
      <c r="CF349" t="s">
        <v>1087</v>
      </c>
      <c r="CG349">
        <v>2026</v>
      </c>
      <c r="CH349" t="s">
        <v>138</v>
      </c>
      <c r="CI349" t="s">
        <v>139</v>
      </c>
    </row>
    <row r="350" spans="1:87" x14ac:dyDescent="0.3">
      <c r="A350" t="s">
        <v>165</v>
      </c>
      <c r="B350" t="s">
        <v>116</v>
      </c>
      <c r="C350" t="s">
        <v>117</v>
      </c>
      <c r="D350" t="s">
        <v>118</v>
      </c>
      <c r="E350" t="s">
        <v>14</v>
      </c>
      <c r="F350" t="s">
        <v>166</v>
      </c>
      <c r="G350">
        <v>72</v>
      </c>
      <c r="H350">
        <v>0</v>
      </c>
      <c r="I350" s="14">
        <v>532100</v>
      </c>
      <c r="J350" s="14">
        <v>500000</v>
      </c>
      <c r="K350" t="s">
        <v>117</v>
      </c>
      <c r="L350" t="s">
        <v>118</v>
      </c>
      <c r="M350" t="s">
        <v>140</v>
      </c>
      <c r="N350" t="s">
        <v>167</v>
      </c>
      <c r="O350">
        <v>12</v>
      </c>
      <c r="P350">
        <v>0</v>
      </c>
      <c r="Q350" s="14">
        <v>45600</v>
      </c>
      <c r="R350" s="14">
        <v>45600</v>
      </c>
      <c r="S350" t="s">
        <v>117</v>
      </c>
      <c r="T350" t="s">
        <v>118</v>
      </c>
      <c r="U350" t="s">
        <v>168</v>
      </c>
      <c r="V350" t="s">
        <v>169</v>
      </c>
      <c r="W350">
        <v>4.4000000000000004</v>
      </c>
      <c r="X350">
        <v>0</v>
      </c>
      <c r="Y350" s="14">
        <v>15900</v>
      </c>
      <c r="Z350" s="14">
        <v>15900</v>
      </c>
      <c r="AG350" s="14"/>
      <c r="AH350" s="14"/>
      <c r="AI350" t="s">
        <v>170</v>
      </c>
      <c r="AJ350" t="s">
        <v>171</v>
      </c>
      <c r="AK350" t="s">
        <v>172</v>
      </c>
      <c r="AL350">
        <v>0</v>
      </c>
      <c r="AM350" t="s">
        <v>173</v>
      </c>
      <c r="AN350" t="s">
        <v>174</v>
      </c>
      <c r="AQ350" s="15">
        <v>46198</v>
      </c>
      <c r="AR350" s="15"/>
      <c r="AS350" t="s">
        <v>227</v>
      </c>
      <c r="AT350">
        <v>15</v>
      </c>
      <c r="AU350">
        <v>21341.25</v>
      </c>
      <c r="AV350">
        <v>0</v>
      </c>
      <c r="AW350">
        <v>0</v>
      </c>
      <c r="AX350" s="14">
        <v>21341.25</v>
      </c>
      <c r="AY350" s="14">
        <v>0</v>
      </c>
      <c r="AZ350" s="14">
        <v>21341.25</v>
      </c>
      <c r="BB350" t="s">
        <v>22</v>
      </c>
      <c r="BH350" t="s">
        <v>132</v>
      </c>
      <c r="BK350" t="s">
        <v>550</v>
      </c>
      <c r="BV350" t="s">
        <v>132</v>
      </c>
      <c r="BW350" s="16">
        <v>45386.40347222222</v>
      </c>
      <c r="BX350" t="s">
        <v>178</v>
      </c>
      <c r="BZ350">
        <v>35</v>
      </c>
      <c r="CB350">
        <v>0</v>
      </c>
      <c r="CF350" t="s">
        <v>1087</v>
      </c>
      <c r="CG350">
        <v>2026</v>
      </c>
      <c r="CH350" t="s">
        <v>138</v>
      </c>
      <c r="CI350" t="s">
        <v>139</v>
      </c>
    </row>
    <row r="351" spans="1:87" x14ac:dyDescent="0.3">
      <c r="A351" t="s">
        <v>165</v>
      </c>
      <c r="B351" t="s">
        <v>116</v>
      </c>
      <c r="C351" t="s">
        <v>117</v>
      </c>
      <c r="D351" t="s">
        <v>118</v>
      </c>
      <c r="E351" t="s">
        <v>14</v>
      </c>
      <c r="F351" t="s">
        <v>166</v>
      </c>
      <c r="G351">
        <v>72</v>
      </c>
      <c r="H351">
        <v>0</v>
      </c>
      <c r="I351" s="14">
        <v>532100</v>
      </c>
      <c r="J351" s="14">
        <v>500000</v>
      </c>
      <c r="K351" t="s">
        <v>117</v>
      </c>
      <c r="L351" t="s">
        <v>118</v>
      </c>
      <c r="M351" t="s">
        <v>140</v>
      </c>
      <c r="N351" t="s">
        <v>167</v>
      </c>
      <c r="O351">
        <v>12</v>
      </c>
      <c r="P351">
        <v>0</v>
      </c>
      <c r="Q351" s="14">
        <v>45600</v>
      </c>
      <c r="R351" s="14">
        <v>45600</v>
      </c>
      <c r="S351" t="s">
        <v>117</v>
      </c>
      <c r="T351" t="s">
        <v>118</v>
      </c>
      <c r="U351" t="s">
        <v>168</v>
      </c>
      <c r="V351" t="s">
        <v>169</v>
      </c>
      <c r="W351">
        <v>4.4000000000000004</v>
      </c>
      <c r="X351">
        <v>0</v>
      </c>
      <c r="Y351" s="14">
        <v>15900</v>
      </c>
      <c r="Z351" s="14">
        <v>15900</v>
      </c>
      <c r="AG351" s="14"/>
      <c r="AH351" s="14"/>
      <c r="AI351" t="s">
        <v>170</v>
      </c>
      <c r="AJ351" t="s">
        <v>171</v>
      </c>
      <c r="AK351" t="s">
        <v>172</v>
      </c>
      <c r="AL351">
        <v>0</v>
      </c>
      <c r="AM351" t="s">
        <v>173</v>
      </c>
      <c r="AN351" t="s">
        <v>174</v>
      </c>
      <c r="AQ351" s="15">
        <v>46228</v>
      </c>
      <c r="AR351" s="15"/>
      <c r="AS351" t="s">
        <v>227</v>
      </c>
      <c r="AT351">
        <v>16</v>
      </c>
      <c r="AU351">
        <v>21341.25</v>
      </c>
      <c r="AV351">
        <v>0</v>
      </c>
      <c r="AW351">
        <v>0</v>
      </c>
      <c r="AX351" s="14">
        <v>21341.25</v>
      </c>
      <c r="AY351" s="14">
        <v>0</v>
      </c>
      <c r="AZ351" s="14">
        <v>21341.25</v>
      </c>
      <c r="BB351" t="s">
        <v>22</v>
      </c>
      <c r="BH351" t="s">
        <v>132</v>
      </c>
      <c r="BK351" t="s">
        <v>550</v>
      </c>
      <c r="BV351" t="s">
        <v>132</v>
      </c>
      <c r="BW351" s="16">
        <v>45386.40347222222</v>
      </c>
      <c r="BX351" t="s">
        <v>178</v>
      </c>
      <c r="BZ351">
        <v>35</v>
      </c>
      <c r="CB351">
        <v>0</v>
      </c>
      <c r="CF351" t="s">
        <v>1087</v>
      </c>
      <c r="CG351">
        <v>2026</v>
      </c>
      <c r="CH351" t="s">
        <v>138</v>
      </c>
      <c r="CI351" t="s">
        <v>139</v>
      </c>
    </row>
    <row r="352" spans="1:87" x14ac:dyDescent="0.3">
      <c r="A352" t="s">
        <v>115</v>
      </c>
      <c r="B352" t="s">
        <v>116</v>
      </c>
      <c r="C352" t="s">
        <v>117</v>
      </c>
      <c r="D352" t="s">
        <v>118</v>
      </c>
      <c r="E352" t="s">
        <v>14</v>
      </c>
      <c r="F352" t="s">
        <v>180</v>
      </c>
      <c r="G352">
        <v>88.27</v>
      </c>
      <c r="H352">
        <v>0</v>
      </c>
      <c r="I352" s="14">
        <v>654000</v>
      </c>
      <c r="J352" s="14">
        <v>654000</v>
      </c>
      <c r="K352" t="s">
        <v>117</v>
      </c>
      <c r="L352" t="s">
        <v>118</v>
      </c>
      <c r="M352" t="s">
        <v>140</v>
      </c>
      <c r="N352" t="s">
        <v>181</v>
      </c>
      <c r="O352">
        <v>15.9</v>
      </c>
      <c r="P352">
        <v>2.2599999999999998</v>
      </c>
      <c r="Q352" s="14">
        <v>57500</v>
      </c>
      <c r="R352" s="14">
        <v>57500</v>
      </c>
      <c r="Y352" s="14"/>
      <c r="Z352" s="14"/>
      <c r="AG352" s="14"/>
      <c r="AH352" s="14"/>
      <c r="AI352" t="s">
        <v>182</v>
      </c>
      <c r="AJ352" t="s">
        <v>183</v>
      </c>
      <c r="AK352" t="s">
        <v>184</v>
      </c>
      <c r="AL352">
        <v>991846561</v>
      </c>
      <c r="AM352" t="s">
        <v>185</v>
      </c>
      <c r="AN352" t="s">
        <v>186</v>
      </c>
      <c r="AO352" t="s">
        <v>125</v>
      </c>
      <c r="AP352" t="s">
        <v>187</v>
      </c>
      <c r="AQ352" s="15">
        <v>46052</v>
      </c>
      <c r="AR352" s="15">
        <v>46043</v>
      </c>
      <c r="AS352" t="s">
        <v>227</v>
      </c>
      <c r="AT352">
        <v>12</v>
      </c>
      <c r="AU352">
        <v>34750</v>
      </c>
      <c r="AV352">
        <v>0</v>
      </c>
      <c r="AW352">
        <v>0</v>
      </c>
      <c r="AX352" s="14">
        <v>34750</v>
      </c>
      <c r="AY352" s="14">
        <v>34750</v>
      </c>
      <c r="AZ352" s="14">
        <v>0</v>
      </c>
      <c r="BA352">
        <v>0</v>
      </c>
      <c r="BB352" t="s">
        <v>23</v>
      </c>
      <c r="BC352" t="s">
        <v>128</v>
      </c>
      <c r="BD352" t="s">
        <v>129</v>
      </c>
      <c r="BE352" t="s">
        <v>130</v>
      </c>
      <c r="BF352" t="s">
        <v>183</v>
      </c>
      <c r="BG352" t="s">
        <v>565</v>
      </c>
      <c r="BH352" t="s">
        <v>132</v>
      </c>
      <c r="BI352" t="s">
        <v>154</v>
      </c>
      <c r="BJ352">
        <v>4</v>
      </c>
      <c r="BK352" t="s">
        <v>133</v>
      </c>
      <c r="BV352" t="s">
        <v>134</v>
      </c>
      <c r="BW352" s="16">
        <v>45687.617361111108</v>
      </c>
      <c r="BX352" t="s">
        <v>178</v>
      </c>
      <c r="BZ352">
        <v>38</v>
      </c>
      <c r="CA352" t="s">
        <v>1172</v>
      </c>
      <c r="CB352">
        <v>0</v>
      </c>
      <c r="CF352" t="s">
        <v>1087</v>
      </c>
      <c r="CG352">
        <v>2026</v>
      </c>
      <c r="CH352" t="s">
        <v>138</v>
      </c>
      <c r="CI352" t="s">
        <v>139</v>
      </c>
    </row>
    <row r="353" spans="1:87" x14ac:dyDescent="0.3">
      <c r="A353" t="s">
        <v>115</v>
      </c>
      <c r="B353" t="s">
        <v>116</v>
      </c>
      <c r="C353" t="s">
        <v>117</v>
      </c>
      <c r="D353" t="s">
        <v>118</v>
      </c>
      <c r="E353" t="s">
        <v>14</v>
      </c>
      <c r="F353" t="s">
        <v>571</v>
      </c>
      <c r="G353">
        <v>84</v>
      </c>
      <c r="H353">
        <v>0</v>
      </c>
      <c r="I353" s="14">
        <v>630000</v>
      </c>
      <c r="J353" s="14">
        <v>630000</v>
      </c>
      <c r="Q353" s="14"/>
      <c r="R353" s="14"/>
      <c r="Y353" s="14"/>
      <c r="Z353" s="14"/>
      <c r="AG353" s="14"/>
      <c r="AH353" s="14"/>
      <c r="AI353" t="s">
        <v>572</v>
      </c>
      <c r="AJ353" t="s">
        <v>573</v>
      </c>
      <c r="AK353" t="s">
        <v>574</v>
      </c>
      <c r="AL353">
        <v>991810339</v>
      </c>
      <c r="AM353" t="s">
        <v>575</v>
      </c>
      <c r="AN353" t="s">
        <v>576</v>
      </c>
      <c r="AO353" t="s">
        <v>125</v>
      </c>
      <c r="AP353" t="s">
        <v>339</v>
      </c>
      <c r="AQ353" s="15">
        <v>46081</v>
      </c>
      <c r="AR353" s="15">
        <v>46053</v>
      </c>
      <c r="AS353" t="s">
        <v>227</v>
      </c>
      <c r="AT353">
        <v>1</v>
      </c>
      <c r="AU353">
        <v>504000</v>
      </c>
      <c r="AV353">
        <v>0</v>
      </c>
      <c r="AW353">
        <v>0</v>
      </c>
      <c r="AX353" s="14">
        <v>504000</v>
      </c>
      <c r="AY353" s="14">
        <v>504000</v>
      </c>
      <c r="AZ353" s="14">
        <v>0</v>
      </c>
      <c r="BA353">
        <v>0</v>
      </c>
      <c r="BB353" t="s">
        <v>24</v>
      </c>
      <c r="BC353" t="s">
        <v>128</v>
      </c>
      <c r="BD353" t="s">
        <v>129</v>
      </c>
      <c r="BE353" t="s">
        <v>130</v>
      </c>
      <c r="BG353" t="s">
        <v>1173</v>
      </c>
      <c r="BH353" t="s">
        <v>132</v>
      </c>
      <c r="BJ353">
        <v>4</v>
      </c>
      <c r="BK353" t="s">
        <v>133</v>
      </c>
      <c r="BV353" t="s">
        <v>134</v>
      </c>
      <c r="BW353" s="16">
        <v>45880.513194444437</v>
      </c>
      <c r="BX353" t="s">
        <v>135</v>
      </c>
      <c r="BZ353">
        <v>44</v>
      </c>
      <c r="CA353" t="s">
        <v>1174</v>
      </c>
      <c r="CB353">
        <v>0</v>
      </c>
      <c r="CF353" t="s">
        <v>1087</v>
      </c>
      <c r="CG353">
        <v>2026</v>
      </c>
      <c r="CH353" t="s">
        <v>138</v>
      </c>
      <c r="CI353" t="s">
        <v>139</v>
      </c>
    </row>
    <row r="354" spans="1:87" x14ac:dyDescent="0.3">
      <c r="A354" t="s">
        <v>165</v>
      </c>
      <c r="B354" t="s">
        <v>116</v>
      </c>
      <c r="C354" t="s">
        <v>117</v>
      </c>
      <c r="D354" t="s">
        <v>118</v>
      </c>
      <c r="E354" t="s">
        <v>14</v>
      </c>
      <c r="F354" t="s">
        <v>1175</v>
      </c>
      <c r="G354">
        <v>57</v>
      </c>
      <c r="H354">
        <v>0</v>
      </c>
      <c r="I354" s="14">
        <v>422000</v>
      </c>
      <c r="J354" s="14">
        <v>370000</v>
      </c>
      <c r="Q354" s="14"/>
      <c r="R354" s="14"/>
      <c r="Y354" s="14"/>
      <c r="Z354" s="14"/>
      <c r="AG354" s="14"/>
      <c r="AH354" s="14"/>
      <c r="AI354" t="s">
        <v>1176</v>
      </c>
      <c r="AJ354" t="s">
        <v>1177</v>
      </c>
      <c r="AK354" t="s">
        <v>1178</v>
      </c>
      <c r="AL354">
        <v>0</v>
      </c>
      <c r="AM354" t="s">
        <v>1179</v>
      </c>
      <c r="AN354" t="s">
        <v>1180</v>
      </c>
      <c r="AO354" t="s">
        <v>125</v>
      </c>
      <c r="AP354" t="s">
        <v>750</v>
      </c>
      <c r="AQ354" s="15">
        <v>46027</v>
      </c>
      <c r="AR354" s="15">
        <v>46027</v>
      </c>
      <c r="AS354" t="s">
        <v>127</v>
      </c>
      <c r="AT354">
        <v>1</v>
      </c>
      <c r="AU354">
        <v>5000</v>
      </c>
      <c r="AV354">
        <v>0</v>
      </c>
      <c r="AW354">
        <v>0</v>
      </c>
      <c r="AX354" s="14">
        <v>5000</v>
      </c>
      <c r="AY354" s="14">
        <v>5000</v>
      </c>
      <c r="AZ354" s="14">
        <v>0</v>
      </c>
      <c r="BA354">
        <v>0</v>
      </c>
      <c r="BB354" t="s">
        <v>22</v>
      </c>
      <c r="BC354" t="s">
        <v>175</v>
      </c>
      <c r="BD354" t="s">
        <v>176</v>
      </c>
      <c r="BE354" t="s">
        <v>130</v>
      </c>
      <c r="BG354" t="s">
        <v>1181</v>
      </c>
      <c r="BH354" t="s">
        <v>132</v>
      </c>
      <c r="BJ354">
        <v>4</v>
      </c>
      <c r="BK354" t="s">
        <v>133</v>
      </c>
      <c r="BV354" t="s">
        <v>134</v>
      </c>
      <c r="BW354" s="16">
        <v>46079.4375</v>
      </c>
      <c r="BX354" t="s">
        <v>143</v>
      </c>
      <c r="BZ354">
        <v>15</v>
      </c>
      <c r="CA354" t="s">
        <v>1182</v>
      </c>
      <c r="CB354">
        <v>0</v>
      </c>
      <c r="CF354" t="s">
        <v>1087</v>
      </c>
      <c r="CG354">
        <v>2026</v>
      </c>
      <c r="CH354" t="s">
        <v>138</v>
      </c>
      <c r="CI354" t="s">
        <v>139</v>
      </c>
    </row>
    <row r="355" spans="1:87" x14ac:dyDescent="0.3">
      <c r="A355" t="s">
        <v>165</v>
      </c>
      <c r="B355" t="s">
        <v>116</v>
      </c>
      <c r="C355" t="s">
        <v>117</v>
      </c>
      <c r="D355" t="s">
        <v>118</v>
      </c>
      <c r="E355" t="s">
        <v>14</v>
      </c>
      <c r="F355" t="s">
        <v>1175</v>
      </c>
      <c r="G355">
        <v>57</v>
      </c>
      <c r="H355">
        <v>0</v>
      </c>
      <c r="I355" s="14">
        <v>422000</v>
      </c>
      <c r="J355" s="14">
        <v>370000</v>
      </c>
      <c r="Q355" s="14"/>
      <c r="R355" s="14"/>
      <c r="Y355" s="14"/>
      <c r="Z355" s="14"/>
      <c r="AG355" s="14"/>
      <c r="AH355" s="14"/>
      <c r="AI355" t="s">
        <v>1176</v>
      </c>
      <c r="AJ355" t="s">
        <v>1177</v>
      </c>
      <c r="AK355" t="s">
        <v>1178</v>
      </c>
      <c r="AL355">
        <v>0</v>
      </c>
      <c r="AM355" t="s">
        <v>1179</v>
      </c>
      <c r="AN355" t="s">
        <v>1180</v>
      </c>
      <c r="AO355" t="s">
        <v>125</v>
      </c>
      <c r="AP355" t="s">
        <v>750</v>
      </c>
      <c r="AQ355" s="15">
        <v>46079</v>
      </c>
      <c r="AR355" s="15">
        <v>46079</v>
      </c>
      <c r="AS355" t="s">
        <v>145</v>
      </c>
      <c r="AT355">
        <v>1</v>
      </c>
      <c r="AU355">
        <v>5000</v>
      </c>
      <c r="AV355">
        <v>0</v>
      </c>
      <c r="AW355">
        <v>0</v>
      </c>
      <c r="AX355" s="14">
        <v>5000</v>
      </c>
      <c r="AY355" s="14">
        <v>5000</v>
      </c>
      <c r="AZ355" s="14">
        <v>0</v>
      </c>
      <c r="BA355">
        <v>0</v>
      </c>
      <c r="BB355" t="s">
        <v>22</v>
      </c>
      <c r="BC355" t="s">
        <v>175</v>
      </c>
      <c r="BD355" t="s">
        <v>176</v>
      </c>
      <c r="BE355" t="s">
        <v>130</v>
      </c>
      <c r="BG355" t="s">
        <v>1183</v>
      </c>
      <c r="BH355" t="s">
        <v>132</v>
      </c>
      <c r="BJ355">
        <v>4</v>
      </c>
      <c r="BK355" t="s">
        <v>133</v>
      </c>
      <c r="BV355" t="s">
        <v>134</v>
      </c>
      <c r="BW355" s="16">
        <v>46079.4375</v>
      </c>
      <c r="BX355" t="s">
        <v>143</v>
      </c>
      <c r="BZ355">
        <v>15</v>
      </c>
      <c r="CA355" t="s">
        <v>1184</v>
      </c>
      <c r="CB355">
        <v>0</v>
      </c>
      <c r="CF355" t="s">
        <v>1087</v>
      </c>
      <c r="CG355">
        <v>2026</v>
      </c>
      <c r="CH355" t="s">
        <v>138</v>
      </c>
      <c r="CI355" t="s">
        <v>139</v>
      </c>
    </row>
    <row r="356" spans="1:87" x14ac:dyDescent="0.3">
      <c r="A356" t="s">
        <v>165</v>
      </c>
      <c r="B356" t="s">
        <v>116</v>
      </c>
      <c r="C356" t="s">
        <v>117</v>
      </c>
      <c r="D356" t="s">
        <v>118</v>
      </c>
      <c r="E356" t="s">
        <v>14</v>
      </c>
      <c r="F356" t="s">
        <v>1175</v>
      </c>
      <c r="G356">
        <v>57</v>
      </c>
      <c r="H356">
        <v>0</v>
      </c>
      <c r="I356" s="14">
        <v>422000</v>
      </c>
      <c r="J356" s="14">
        <v>370000</v>
      </c>
      <c r="Q356" s="14"/>
      <c r="R356" s="14"/>
      <c r="Y356" s="14"/>
      <c r="Z356" s="14"/>
      <c r="AG356" s="14"/>
      <c r="AH356" s="14"/>
      <c r="AI356" t="s">
        <v>1176</v>
      </c>
      <c r="AJ356" t="s">
        <v>1177</v>
      </c>
      <c r="AK356" t="s">
        <v>1178</v>
      </c>
      <c r="AL356">
        <v>0</v>
      </c>
      <c r="AM356" t="s">
        <v>1179</v>
      </c>
      <c r="AN356" t="s">
        <v>1180</v>
      </c>
      <c r="AO356" t="s">
        <v>125</v>
      </c>
      <c r="AP356" t="s">
        <v>750</v>
      </c>
      <c r="AQ356" s="15">
        <v>46132</v>
      </c>
      <c r="AR356" s="15">
        <v>46132</v>
      </c>
      <c r="AS356" t="s">
        <v>145</v>
      </c>
      <c r="AT356">
        <v>2</v>
      </c>
      <c r="AU356">
        <v>20000</v>
      </c>
      <c r="AV356">
        <v>0</v>
      </c>
      <c r="AW356">
        <v>0</v>
      </c>
      <c r="AX356" s="14">
        <v>20000</v>
      </c>
      <c r="AY356" s="14">
        <v>20000</v>
      </c>
      <c r="AZ356" s="14">
        <v>0</v>
      </c>
      <c r="BA356">
        <v>0</v>
      </c>
      <c r="BB356" t="s">
        <v>22</v>
      </c>
      <c r="BC356" t="s">
        <v>175</v>
      </c>
      <c r="BD356" t="s">
        <v>176</v>
      </c>
      <c r="BE356" t="s">
        <v>130</v>
      </c>
      <c r="BG356" t="s">
        <v>1185</v>
      </c>
      <c r="BH356" t="s">
        <v>132</v>
      </c>
      <c r="BJ356">
        <v>4</v>
      </c>
      <c r="BK356" t="s">
        <v>133</v>
      </c>
      <c r="BV356" t="s">
        <v>134</v>
      </c>
      <c r="BW356" s="16">
        <v>46079.4375</v>
      </c>
      <c r="BX356" t="s">
        <v>143</v>
      </c>
      <c r="BZ356">
        <v>15</v>
      </c>
      <c r="CA356" t="s">
        <v>1186</v>
      </c>
      <c r="CB356">
        <v>0</v>
      </c>
      <c r="CF356" t="s">
        <v>1087</v>
      </c>
      <c r="CG356">
        <v>2026</v>
      </c>
      <c r="CH356" t="s">
        <v>138</v>
      </c>
      <c r="CI356" t="s">
        <v>139</v>
      </c>
    </row>
    <row r="357" spans="1:87" x14ac:dyDescent="0.3">
      <c r="A357" t="s">
        <v>165</v>
      </c>
      <c r="B357" t="s">
        <v>116</v>
      </c>
      <c r="C357" t="s">
        <v>117</v>
      </c>
      <c r="D357" t="s">
        <v>118</v>
      </c>
      <c r="E357" t="s">
        <v>14</v>
      </c>
      <c r="F357" t="s">
        <v>1175</v>
      </c>
      <c r="G357">
        <v>57</v>
      </c>
      <c r="H357">
        <v>0</v>
      </c>
      <c r="I357" s="14">
        <v>422000</v>
      </c>
      <c r="J357" s="14">
        <v>370000</v>
      </c>
      <c r="Q357" s="14"/>
      <c r="R357" s="14"/>
      <c r="Y357" s="14"/>
      <c r="Z357" s="14"/>
      <c r="AG357" s="14"/>
      <c r="AH357" s="14"/>
      <c r="AI357" t="s">
        <v>1176</v>
      </c>
      <c r="AJ357" t="s">
        <v>1177</v>
      </c>
      <c r="AK357" t="s">
        <v>1178</v>
      </c>
      <c r="AL357">
        <v>0</v>
      </c>
      <c r="AM357" t="s">
        <v>1179</v>
      </c>
      <c r="AN357" t="s">
        <v>1180</v>
      </c>
      <c r="AO357" t="s">
        <v>125</v>
      </c>
      <c r="AP357" t="s">
        <v>750</v>
      </c>
      <c r="AQ357" s="15">
        <v>46234</v>
      </c>
      <c r="AR357" s="15"/>
      <c r="AS357" t="s">
        <v>227</v>
      </c>
      <c r="AT357">
        <v>1</v>
      </c>
      <c r="AU357">
        <v>99500</v>
      </c>
      <c r="AV357">
        <v>0</v>
      </c>
      <c r="AW357">
        <v>0</v>
      </c>
      <c r="AX357" s="14">
        <v>99500</v>
      </c>
      <c r="AY357" s="14">
        <v>0</v>
      </c>
      <c r="AZ357" s="14">
        <v>99500</v>
      </c>
      <c r="BB357" t="s">
        <v>22</v>
      </c>
      <c r="BH357" t="s">
        <v>132</v>
      </c>
      <c r="BK357" t="s">
        <v>550</v>
      </c>
      <c r="BV357" t="s">
        <v>132</v>
      </c>
      <c r="BW357" s="16">
        <v>46079.4375</v>
      </c>
      <c r="BX357" t="s">
        <v>143</v>
      </c>
      <c r="BZ357">
        <v>15</v>
      </c>
      <c r="CB357">
        <v>0</v>
      </c>
      <c r="CF357" t="s">
        <v>1087</v>
      </c>
      <c r="CG357">
        <v>2026</v>
      </c>
      <c r="CH357" t="s">
        <v>138</v>
      </c>
      <c r="CI357" t="s">
        <v>139</v>
      </c>
    </row>
    <row r="358" spans="1:87" x14ac:dyDescent="0.3">
      <c r="A358" t="s">
        <v>165</v>
      </c>
      <c r="B358" t="s">
        <v>116</v>
      </c>
      <c r="C358" t="s">
        <v>117</v>
      </c>
      <c r="D358" t="s">
        <v>118</v>
      </c>
      <c r="E358" t="s">
        <v>14</v>
      </c>
      <c r="F358" t="s">
        <v>323</v>
      </c>
      <c r="G358">
        <v>70</v>
      </c>
      <c r="H358">
        <v>0</v>
      </c>
      <c r="I358" s="14">
        <v>475000</v>
      </c>
      <c r="J358" s="14">
        <v>475000</v>
      </c>
      <c r="K358" t="s">
        <v>117</v>
      </c>
      <c r="L358" t="s">
        <v>118</v>
      </c>
      <c r="M358" t="s">
        <v>140</v>
      </c>
      <c r="N358" t="s">
        <v>584</v>
      </c>
      <c r="O358">
        <v>12.5</v>
      </c>
      <c r="P358">
        <v>0</v>
      </c>
      <c r="Q358" s="14">
        <v>46800</v>
      </c>
      <c r="R358" s="14">
        <v>46800</v>
      </c>
      <c r="Y358" s="14"/>
      <c r="Z358" s="14"/>
      <c r="AG358" s="14"/>
      <c r="AH358" s="14"/>
      <c r="AI358" t="s">
        <v>585</v>
      </c>
      <c r="AJ358" t="s">
        <v>586</v>
      </c>
      <c r="AK358" t="s">
        <v>587</v>
      </c>
      <c r="AL358">
        <v>0</v>
      </c>
      <c r="AM358" t="s">
        <v>588</v>
      </c>
      <c r="AN358" t="s">
        <v>589</v>
      </c>
      <c r="AO358" t="s">
        <v>590</v>
      </c>
      <c r="AP358" t="s">
        <v>591</v>
      </c>
      <c r="AQ358" s="15">
        <v>46197.012499999997</v>
      </c>
      <c r="AR358" s="15">
        <v>46003</v>
      </c>
      <c r="AS358" t="s">
        <v>145</v>
      </c>
      <c r="AT358">
        <v>1</v>
      </c>
      <c r="AU358">
        <v>0</v>
      </c>
      <c r="AV358">
        <v>0</v>
      </c>
      <c r="AW358">
        <v>0</v>
      </c>
      <c r="AX358" s="14">
        <v>101360</v>
      </c>
      <c r="AY358" s="14">
        <v>86440</v>
      </c>
      <c r="AZ358" s="14">
        <v>0</v>
      </c>
      <c r="BA358">
        <v>0</v>
      </c>
      <c r="BB358" t="s">
        <v>24</v>
      </c>
      <c r="BC358" t="s">
        <v>175</v>
      </c>
      <c r="BD358" t="s">
        <v>176</v>
      </c>
      <c r="BE358" t="s">
        <v>130</v>
      </c>
      <c r="BG358" t="s">
        <v>1187</v>
      </c>
      <c r="BH358" t="s">
        <v>132</v>
      </c>
      <c r="BJ358">
        <v>4</v>
      </c>
      <c r="BK358" t="s">
        <v>133</v>
      </c>
      <c r="BV358" t="s">
        <v>134</v>
      </c>
      <c r="BW358" s="16">
        <v>46003.408333333333</v>
      </c>
      <c r="BX358" t="s">
        <v>143</v>
      </c>
      <c r="BZ358">
        <v>21</v>
      </c>
      <c r="CA358" t="s">
        <v>1188</v>
      </c>
      <c r="CB358">
        <v>0</v>
      </c>
      <c r="CF358" t="s">
        <v>1087</v>
      </c>
      <c r="CG358">
        <v>2026</v>
      </c>
      <c r="CH358" t="s">
        <v>138</v>
      </c>
      <c r="CI358" t="s">
        <v>139</v>
      </c>
    </row>
    <row r="359" spans="1:87" x14ac:dyDescent="0.3">
      <c r="A359" t="s">
        <v>165</v>
      </c>
      <c r="B359" t="s">
        <v>116</v>
      </c>
      <c r="C359" t="s">
        <v>117</v>
      </c>
      <c r="D359" t="s">
        <v>118</v>
      </c>
      <c r="E359" t="s">
        <v>14</v>
      </c>
      <c r="F359" t="s">
        <v>323</v>
      </c>
      <c r="G359">
        <v>70</v>
      </c>
      <c r="H359">
        <v>0</v>
      </c>
      <c r="I359" s="14">
        <v>475000</v>
      </c>
      <c r="J359" s="14">
        <v>475000</v>
      </c>
      <c r="K359" t="s">
        <v>117</v>
      </c>
      <c r="L359" t="s">
        <v>118</v>
      </c>
      <c r="M359" t="s">
        <v>140</v>
      </c>
      <c r="N359" t="s">
        <v>584</v>
      </c>
      <c r="O359">
        <v>12.5</v>
      </c>
      <c r="P359">
        <v>0</v>
      </c>
      <c r="Q359" s="14">
        <v>46800</v>
      </c>
      <c r="R359" s="14">
        <v>46800</v>
      </c>
      <c r="Y359" s="14"/>
      <c r="Z359" s="14"/>
      <c r="AG359" s="14"/>
      <c r="AH359" s="14"/>
      <c r="AI359" t="s">
        <v>585</v>
      </c>
      <c r="AJ359" t="s">
        <v>586</v>
      </c>
      <c r="AK359" t="s">
        <v>587</v>
      </c>
      <c r="AL359">
        <v>0</v>
      </c>
      <c r="AM359" t="s">
        <v>588</v>
      </c>
      <c r="AN359" t="s">
        <v>589</v>
      </c>
      <c r="AO359" t="s">
        <v>590</v>
      </c>
      <c r="AP359" t="s">
        <v>591</v>
      </c>
      <c r="AQ359" s="15">
        <v>46197.012499999997</v>
      </c>
      <c r="AR359" s="15">
        <v>46252</v>
      </c>
      <c r="AS359" t="s">
        <v>145</v>
      </c>
      <c r="AT359">
        <v>1</v>
      </c>
      <c r="AU359">
        <v>101360</v>
      </c>
      <c r="AV359">
        <v>0</v>
      </c>
      <c r="AW359">
        <v>0</v>
      </c>
      <c r="AX359" s="14">
        <v>0</v>
      </c>
      <c r="AY359" s="14">
        <v>14920</v>
      </c>
      <c r="AZ359" s="14">
        <v>0</v>
      </c>
      <c r="BA359">
        <v>0</v>
      </c>
      <c r="BB359" t="s">
        <v>24</v>
      </c>
      <c r="BC359" t="s">
        <v>175</v>
      </c>
      <c r="BD359" t="s">
        <v>176</v>
      </c>
      <c r="BE359" t="s">
        <v>130</v>
      </c>
      <c r="BG359" t="s">
        <v>1189</v>
      </c>
      <c r="BH359" t="s">
        <v>132</v>
      </c>
      <c r="BJ359">
        <v>4</v>
      </c>
      <c r="BK359" t="s">
        <v>133</v>
      </c>
      <c r="BV359" t="s">
        <v>134</v>
      </c>
      <c r="BW359" s="16">
        <v>46003.408333333333</v>
      </c>
      <c r="BX359" t="s">
        <v>143</v>
      </c>
      <c r="BZ359">
        <v>21</v>
      </c>
      <c r="CA359" t="s">
        <v>1190</v>
      </c>
      <c r="CB359">
        <v>0</v>
      </c>
      <c r="CF359" t="s">
        <v>1087</v>
      </c>
      <c r="CG359">
        <v>2026</v>
      </c>
      <c r="CH359" t="s">
        <v>138</v>
      </c>
      <c r="CI359" t="s">
        <v>139</v>
      </c>
    </row>
    <row r="360" spans="1:87" x14ac:dyDescent="0.3">
      <c r="A360" t="s">
        <v>165</v>
      </c>
      <c r="B360" t="s">
        <v>116</v>
      </c>
      <c r="C360" t="s">
        <v>117</v>
      </c>
      <c r="D360" t="s">
        <v>118</v>
      </c>
      <c r="E360" t="s">
        <v>14</v>
      </c>
      <c r="F360" t="s">
        <v>323</v>
      </c>
      <c r="G360">
        <v>70</v>
      </c>
      <c r="H360">
        <v>0</v>
      </c>
      <c r="I360" s="14">
        <v>475000</v>
      </c>
      <c r="J360" s="14">
        <v>475000</v>
      </c>
      <c r="K360" t="s">
        <v>117</v>
      </c>
      <c r="L360" t="s">
        <v>118</v>
      </c>
      <c r="M360" t="s">
        <v>140</v>
      </c>
      <c r="N360" t="s">
        <v>584</v>
      </c>
      <c r="O360">
        <v>12.5</v>
      </c>
      <c r="P360">
        <v>0</v>
      </c>
      <c r="Q360" s="14">
        <v>46800</v>
      </c>
      <c r="R360" s="14">
        <v>46800</v>
      </c>
      <c r="Y360" s="14"/>
      <c r="Z360" s="14"/>
      <c r="AG360" s="14"/>
      <c r="AH360" s="14"/>
      <c r="AI360" t="s">
        <v>585</v>
      </c>
      <c r="AJ360" t="s">
        <v>586</v>
      </c>
      <c r="AK360" t="s">
        <v>587</v>
      </c>
      <c r="AL360">
        <v>0</v>
      </c>
      <c r="AM360" t="s">
        <v>588</v>
      </c>
      <c r="AN360" t="s">
        <v>589</v>
      </c>
      <c r="AO360" t="s">
        <v>590</v>
      </c>
      <c r="AP360" t="s">
        <v>591</v>
      </c>
      <c r="AQ360" s="15">
        <v>46227.012499999997</v>
      </c>
      <c r="AR360" s="15"/>
      <c r="AS360" t="s">
        <v>227</v>
      </c>
      <c r="AT360">
        <v>1</v>
      </c>
      <c r="AU360">
        <v>417440</v>
      </c>
      <c r="AV360">
        <v>0</v>
      </c>
      <c r="AW360">
        <v>0</v>
      </c>
      <c r="AX360" s="14">
        <v>417440</v>
      </c>
      <c r="AY360" s="14">
        <v>0</v>
      </c>
      <c r="AZ360" s="14">
        <v>417440</v>
      </c>
      <c r="BB360" t="s">
        <v>24</v>
      </c>
      <c r="BH360" t="s">
        <v>132</v>
      </c>
      <c r="BK360" t="s">
        <v>550</v>
      </c>
      <c r="BV360" t="s">
        <v>132</v>
      </c>
      <c r="BW360" s="16">
        <v>46003.408333333333</v>
      </c>
      <c r="BX360" t="s">
        <v>143</v>
      </c>
      <c r="BZ360">
        <v>21</v>
      </c>
      <c r="CB360">
        <v>0</v>
      </c>
      <c r="CF360" t="s">
        <v>1087</v>
      </c>
      <c r="CG360">
        <v>2026</v>
      </c>
      <c r="CH360" t="s">
        <v>138</v>
      </c>
      <c r="CI360" t="s">
        <v>139</v>
      </c>
    </row>
    <row r="361" spans="1:87" x14ac:dyDescent="0.3">
      <c r="A361" t="s">
        <v>115</v>
      </c>
      <c r="B361" t="s">
        <v>116</v>
      </c>
      <c r="C361" t="s">
        <v>117</v>
      </c>
      <c r="D361" t="s">
        <v>118</v>
      </c>
      <c r="E361" t="s">
        <v>140</v>
      </c>
      <c r="F361" t="s">
        <v>613</v>
      </c>
      <c r="G361">
        <v>12.5</v>
      </c>
      <c r="H361">
        <v>5.32</v>
      </c>
      <c r="I361" s="14">
        <v>66300</v>
      </c>
      <c r="J361" s="14">
        <v>66300</v>
      </c>
      <c r="Q361" s="14"/>
      <c r="R361" s="14"/>
      <c r="Y361" s="14"/>
      <c r="Z361" s="14"/>
      <c r="AG361" s="14"/>
      <c r="AH361" s="14"/>
      <c r="AI361" t="s">
        <v>595</v>
      </c>
      <c r="AJ361" t="s">
        <v>596</v>
      </c>
      <c r="AK361" t="s">
        <v>597</v>
      </c>
      <c r="AL361">
        <v>997463109</v>
      </c>
      <c r="AM361" t="s">
        <v>598</v>
      </c>
      <c r="AN361" t="s">
        <v>599</v>
      </c>
      <c r="AO361" t="s">
        <v>125</v>
      </c>
      <c r="AP361" t="s">
        <v>600</v>
      </c>
      <c r="AQ361" s="15">
        <v>46051</v>
      </c>
      <c r="AR361" s="15">
        <v>46048</v>
      </c>
      <c r="AS361" t="s">
        <v>227</v>
      </c>
      <c r="AT361">
        <v>7</v>
      </c>
      <c r="AU361">
        <v>7037.5</v>
      </c>
      <c r="AV361">
        <v>0</v>
      </c>
      <c r="AW361">
        <v>0</v>
      </c>
      <c r="AX361" s="14">
        <v>7037.5</v>
      </c>
      <c r="AY361" s="14">
        <v>7037.5</v>
      </c>
      <c r="AZ361" s="14">
        <v>0</v>
      </c>
      <c r="BA361">
        <v>0</v>
      </c>
      <c r="BB361" t="s">
        <v>22</v>
      </c>
      <c r="BC361" t="s">
        <v>128</v>
      </c>
      <c r="BD361" t="s">
        <v>129</v>
      </c>
      <c r="BE361" t="s">
        <v>130</v>
      </c>
      <c r="BG361" t="s">
        <v>1191</v>
      </c>
      <c r="BH361" t="s">
        <v>132</v>
      </c>
      <c r="BJ361">
        <v>4</v>
      </c>
      <c r="BK361" t="s">
        <v>133</v>
      </c>
      <c r="BV361" t="s">
        <v>134</v>
      </c>
      <c r="BW361" s="16">
        <v>45862.565972222219</v>
      </c>
      <c r="BX361" t="s">
        <v>143</v>
      </c>
      <c r="BZ361">
        <v>55</v>
      </c>
      <c r="CA361" t="s">
        <v>1192</v>
      </c>
      <c r="CB361">
        <v>0</v>
      </c>
      <c r="CF361" t="s">
        <v>1087</v>
      </c>
      <c r="CG361">
        <v>2026</v>
      </c>
      <c r="CH361" t="s">
        <v>138</v>
      </c>
      <c r="CI361" t="s">
        <v>139</v>
      </c>
    </row>
    <row r="362" spans="1:87" x14ac:dyDescent="0.3">
      <c r="A362" t="s">
        <v>115</v>
      </c>
      <c r="B362" t="s">
        <v>116</v>
      </c>
      <c r="C362" t="s">
        <v>117</v>
      </c>
      <c r="D362" t="s">
        <v>118</v>
      </c>
      <c r="E362" t="s">
        <v>140</v>
      </c>
      <c r="F362" t="s">
        <v>613</v>
      </c>
      <c r="G362">
        <v>12.5</v>
      </c>
      <c r="H362">
        <v>5.32</v>
      </c>
      <c r="I362" s="14">
        <v>66300</v>
      </c>
      <c r="J362" s="14">
        <v>66300</v>
      </c>
      <c r="Q362" s="14"/>
      <c r="R362" s="14"/>
      <c r="Y362" s="14"/>
      <c r="Z362" s="14"/>
      <c r="AG362" s="14"/>
      <c r="AH362" s="14"/>
      <c r="AI362" t="s">
        <v>595</v>
      </c>
      <c r="AJ362" t="s">
        <v>596</v>
      </c>
      <c r="AK362" t="s">
        <v>597</v>
      </c>
      <c r="AL362">
        <v>997463109</v>
      </c>
      <c r="AM362" t="s">
        <v>598</v>
      </c>
      <c r="AN362" t="s">
        <v>599</v>
      </c>
      <c r="AO362" t="s">
        <v>125</v>
      </c>
      <c r="AP362" t="s">
        <v>600</v>
      </c>
      <c r="AQ362" s="15">
        <v>46081</v>
      </c>
      <c r="AR362" s="15">
        <v>46078</v>
      </c>
      <c r="AS362" t="s">
        <v>227</v>
      </c>
      <c r="AT362">
        <v>8</v>
      </c>
      <c r="AU362">
        <v>7037.5</v>
      </c>
      <c r="AV362">
        <v>0</v>
      </c>
      <c r="AW362">
        <v>0</v>
      </c>
      <c r="AX362" s="14">
        <v>7037.5</v>
      </c>
      <c r="AY362" s="14">
        <v>7037.5</v>
      </c>
      <c r="AZ362" s="14">
        <v>0</v>
      </c>
      <c r="BA362">
        <v>0</v>
      </c>
      <c r="BB362" t="s">
        <v>22</v>
      </c>
      <c r="BC362" t="s">
        <v>128</v>
      </c>
      <c r="BD362" t="s">
        <v>129</v>
      </c>
      <c r="BE362" t="s">
        <v>130</v>
      </c>
      <c r="BG362" t="s">
        <v>1193</v>
      </c>
      <c r="BH362" t="s">
        <v>132</v>
      </c>
      <c r="BJ362">
        <v>4</v>
      </c>
      <c r="BK362" t="s">
        <v>133</v>
      </c>
      <c r="BV362" t="s">
        <v>134</v>
      </c>
      <c r="BW362" s="16">
        <v>45862.565972222219</v>
      </c>
      <c r="BX362" t="s">
        <v>143</v>
      </c>
      <c r="BZ362">
        <v>55</v>
      </c>
      <c r="CA362" t="s">
        <v>1194</v>
      </c>
      <c r="CB362">
        <v>0</v>
      </c>
      <c r="CF362" t="s">
        <v>1087</v>
      </c>
      <c r="CG362">
        <v>2026</v>
      </c>
      <c r="CH362" t="s">
        <v>138</v>
      </c>
      <c r="CI362" t="s">
        <v>139</v>
      </c>
    </row>
    <row r="363" spans="1:87" x14ac:dyDescent="0.3">
      <c r="A363" t="s">
        <v>115</v>
      </c>
      <c r="B363" t="s">
        <v>116</v>
      </c>
      <c r="C363" t="s">
        <v>117</v>
      </c>
      <c r="D363" t="s">
        <v>118</v>
      </c>
      <c r="E363" t="s">
        <v>14</v>
      </c>
      <c r="F363" t="s">
        <v>1020</v>
      </c>
      <c r="G363">
        <v>56</v>
      </c>
      <c r="H363">
        <v>0</v>
      </c>
      <c r="I363" s="14">
        <v>475000</v>
      </c>
      <c r="J363" s="14">
        <v>475000</v>
      </c>
      <c r="Q363" s="14"/>
      <c r="R363" s="14"/>
      <c r="Y363" s="14"/>
      <c r="Z363" s="14"/>
      <c r="AG363" s="14"/>
      <c r="AH363" s="14"/>
      <c r="AI363" t="s">
        <v>1195</v>
      </c>
      <c r="AJ363" t="s">
        <v>1196</v>
      </c>
      <c r="AK363" t="s">
        <v>1197</v>
      </c>
      <c r="AL363">
        <v>943011992</v>
      </c>
      <c r="AM363" t="s">
        <v>1198</v>
      </c>
      <c r="AN363" t="s">
        <v>1199</v>
      </c>
      <c r="AO363" t="s">
        <v>125</v>
      </c>
      <c r="AP363" t="s">
        <v>187</v>
      </c>
      <c r="AQ363" s="15">
        <v>46096</v>
      </c>
      <c r="AR363" s="15">
        <v>46096</v>
      </c>
      <c r="AS363" t="s">
        <v>127</v>
      </c>
      <c r="AT363">
        <v>1</v>
      </c>
      <c r="AU363">
        <v>3000</v>
      </c>
      <c r="AV363">
        <v>0</v>
      </c>
      <c r="AW363">
        <v>0</v>
      </c>
      <c r="AX363" s="14">
        <v>3000</v>
      </c>
      <c r="AY363" s="14">
        <v>3000</v>
      </c>
      <c r="AZ363" s="14">
        <v>0</v>
      </c>
      <c r="BA363">
        <v>0</v>
      </c>
      <c r="BB363" t="s">
        <v>22</v>
      </c>
      <c r="BC363" t="s">
        <v>128</v>
      </c>
      <c r="BD363" t="s">
        <v>129</v>
      </c>
      <c r="BE363" t="s">
        <v>222</v>
      </c>
      <c r="BG363" t="s">
        <v>1200</v>
      </c>
      <c r="BH363" t="s">
        <v>134</v>
      </c>
      <c r="BJ363">
        <v>4</v>
      </c>
      <c r="BK363" t="s">
        <v>133</v>
      </c>
      <c r="BV363" t="s">
        <v>134</v>
      </c>
      <c r="BW363" s="16">
        <v>46111.693749999999</v>
      </c>
      <c r="BX363" t="s">
        <v>135</v>
      </c>
      <c r="BZ363">
        <v>29</v>
      </c>
      <c r="CA363" t="s">
        <v>1201</v>
      </c>
      <c r="CB363">
        <v>0</v>
      </c>
      <c r="CF363" t="s">
        <v>1087</v>
      </c>
      <c r="CG363">
        <v>2026</v>
      </c>
      <c r="CH363" t="s">
        <v>138</v>
      </c>
      <c r="CI363" t="s">
        <v>139</v>
      </c>
    </row>
    <row r="364" spans="1:87" x14ac:dyDescent="0.3">
      <c r="A364" t="s">
        <v>115</v>
      </c>
      <c r="B364" t="s">
        <v>116</v>
      </c>
      <c r="C364" t="s">
        <v>117</v>
      </c>
      <c r="D364" t="s">
        <v>118</v>
      </c>
      <c r="E364" t="s">
        <v>14</v>
      </c>
      <c r="F364" t="s">
        <v>1020</v>
      </c>
      <c r="G364">
        <v>56</v>
      </c>
      <c r="H364">
        <v>0</v>
      </c>
      <c r="I364" s="14">
        <v>475000</v>
      </c>
      <c r="J364" s="14">
        <v>475000</v>
      </c>
      <c r="Q364" s="14"/>
      <c r="R364" s="14"/>
      <c r="Y364" s="14"/>
      <c r="Z364" s="14"/>
      <c r="AG364" s="14"/>
      <c r="AH364" s="14"/>
      <c r="AI364" t="s">
        <v>1195</v>
      </c>
      <c r="AJ364" t="s">
        <v>1196</v>
      </c>
      <c r="AK364" t="s">
        <v>1197</v>
      </c>
      <c r="AL364">
        <v>943011992</v>
      </c>
      <c r="AM364" t="s">
        <v>1198</v>
      </c>
      <c r="AN364" t="s">
        <v>1199</v>
      </c>
      <c r="AO364" t="s">
        <v>125</v>
      </c>
      <c r="AP364" t="s">
        <v>187</v>
      </c>
      <c r="AQ364" s="15">
        <v>46112</v>
      </c>
      <c r="AR364" s="15">
        <v>46112</v>
      </c>
      <c r="AS364" t="s">
        <v>145</v>
      </c>
      <c r="AT364">
        <v>1</v>
      </c>
      <c r="AU364">
        <v>234500</v>
      </c>
      <c r="AV364">
        <v>0</v>
      </c>
      <c r="AW364">
        <v>0</v>
      </c>
      <c r="AX364" s="14">
        <v>234500</v>
      </c>
      <c r="AY364" s="14">
        <v>100000</v>
      </c>
      <c r="AZ364" s="14">
        <v>0</v>
      </c>
      <c r="BA364">
        <v>0</v>
      </c>
      <c r="BB364" t="s">
        <v>22</v>
      </c>
      <c r="BC364" t="s">
        <v>128</v>
      </c>
      <c r="BD364" t="s">
        <v>129</v>
      </c>
      <c r="BE364" t="s">
        <v>130</v>
      </c>
      <c r="BG364" t="s">
        <v>1202</v>
      </c>
      <c r="BH364" t="s">
        <v>134</v>
      </c>
      <c r="BJ364">
        <v>4</v>
      </c>
      <c r="BK364" t="s">
        <v>133</v>
      </c>
      <c r="BV364" t="s">
        <v>134</v>
      </c>
      <c r="BW364" s="16">
        <v>46111.693749999999</v>
      </c>
      <c r="BX364" t="s">
        <v>135</v>
      </c>
      <c r="BZ364">
        <v>29</v>
      </c>
      <c r="CA364" t="s">
        <v>1203</v>
      </c>
      <c r="CB364">
        <v>0</v>
      </c>
      <c r="CF364" t="s">
        <v>1087</v>
      </c>
      <c r="CG364">
        <v>2026</v>
      </c>
      <c r="CH364" t="s">
        <v>138</v>
      </c>
      <c r="CI364" t="s">
        <v>139</v>
      </c>
    </row>
    <row r="365" spans="1:87" x14ac:dyDescent="0.3">
      <c r="A365" t="s">
        <v>115</v>
      </c>
      <c r="B365" t="s">
        <v>116</v>
      </c>
      <c r="C365" t="s">
        <v>117</v>
      </c>
      <c r="D365" t="s">
        <v>118</v>
      </c>
      <c r="E365" t="s">
        <v>14</v>
      </c>
      <c r="F365" t="s">
        <v>1020</v>
      </c>
      <c r="G365">
        <v>56</v>
      </c>
      <c r="H365">
        <v>0</v>
      </c>
      <c r="I365" s="14">
        <v>475000</v>
      </c>
      <c r="J365" s="14">
        <v>475000</v>
      </c>
      <c r="Q365" s="14"/>
      <c r="R365" s="14"/>
      <c r="Y365" s="14"/>
      <c r="Z365" s="14"/>
      <c r="AG365" s="14"/>
      <c r="AH365" s="14"/>
      <c r="AI365" t="s">
        <v>1195</v>
      </c>
      <c r="AJ365" t="s">
        <v>1196</v>
      </c>
      <c r="AK365" t="s">
        <v>1197</v>
      </c>
      <c r="AL365">
        <v>943011992</v>
      </c>
      <c r="AM365" t="s">
        <v>1198</v>
      </c>
      <c r="AN365" t="s">
        <v>1199</v>
      </c>
      <c r="AO365" t="s">
        <v>125</v>
      </c>
      <c r="AP365" t="s">
        <v>187</v>
      </c>
      <c r="AQ365" s="15">
        <v>46112</v>
      </c>
      <c r="AR365" s="15">
        <v>46112</v>
      </c>
      <c r="AS365" t="s">
        <v>145</v>
      </c>
      <c r="AT365">
        <v>1</v>
      </c>
      <c r="AU365">
        <v>0</v>
      </c>
      <c r="AV365">
        <v>0</v>
      </c>
      <c r="AW365">
        <v>0</v>
      </c>
      <c r="AX365" s="14">
        <v>0</v>
      </c>
      <c r="AY365" s="14">
        <v>134500</v>
      </c>
      <c r="AZ365" s="14">
        <v>0</v>
      </c>
      <c r="BA365">
        <v>0</v>
      </c>
      <c r="BB365" t="s">
        <v>22</v>
      </c>
      <c r="BC365" t="s">
        <v>128</v>
      </c>
      <c r="BD365" t="s">
        <v>129</v>
      </c>
      <c r="BE365" t="s">
        <v>130</v>
      </c>
      <c r="BG365" t="s">
        <v>1204</v>
      </c>
      <c r="BH365" t="s">
        <v>134</v>
      </c>
      <c r="BJ365">
        <v>4</v>
      </c>
      <c r="BK365" t="s">
        <v>133</v>
      </c>
      <c r="BV365" t="s">
        <v>134</v>
      </c>
      <c r="BW365" s="16">
        <v>46111.693749999999</v>
      </c>
      <c r="BX365" t="s">
        <v>135</v>
      </c>
      <c r="BZ365">
        <v>29</v>
      </c>
      <c r="CA365" t="s">
        <v>1205</v>
      </c>
      <c r="CB365">
        <v>0</v>
      </c>
      <c r="CF365" t="s">
        <v>1087</v>
      </c>
      <c r="CG365">
        <v>2026</v>
      </c>
      <c r="CH365" t="s">
        <v>138</v>
      </c>
      <c r="CI365" t="s">
        <v>139</v>
      </c>
    </row>
    <row r="366" spans="1:87" x14ac:dyDescent="0.3">
      <c r="A366" t="s">
        <v>115</v>
      </c>
      <c r="B366" t="s">
        <v>116</v>
      </c>
      <c r="C366" t="s">
        <v>117</v>
      </c>
      <c r="D366" t="s">
        <v>118</v>
      </c>
      <c r="E366" t="s">
        <v>14</v>
      </c>
      <c r="F366" t="s">
        <v>1020</v>
      </c>
      <c r="G366">
        <v>56</v>
      </c>
      <c r="H366">
        <v>0</v>
      </c>
      <c r="I366" s="14">
        <v>475000</v>
      </c>
      <c r="J366" s="14">
        <v>475000</v>
      </c>
      <c r="Q366" s="14"/>
      <c r="R366" s="14"/>
      <c r="Y366" s="14"/>
      <c r="Z366" s="14"/>
      <c r="AG366" s="14"/>
      <c r="AH366" s="14"/>
      <c r="AI366" t="s">
        <v>1195</v>
      </c>
      <c r="AJ366" t="s">
        <v>1196</v>
      </c>
      <c r="AK366" t="s">
        <v>1197</v>
      </c>
      <c r="AL366">
        <v>943011992</v>
      </c>
      <c r="AM366" t="s">
        <v>1198</v>
      </c>
      <c r="AN366" t="s">
        <v>1199</v>
      </c>
      <c r="AO366" t="s">
        <v>125</v>
      </c>
      <c r="AP366" t="s">
        <v>187</v>
      </c>
      <c r="AQ366" s="15">
        <v>46188</v>
      </c>
      <c r="AR366" s="15">
        <v>46188</v>
      </c>
      <c r="AS366" t="s">
        <v>227</v>
      </c>
      <c r="AT366">
        <v>1</v>
      </c>
      <c r="AU366">
        <v>237500</v>
      </c>
      <c r="AV366">
        <v>0</v>
      </c>
      <c r="AW366">
        <v>0</v>
      </c>
      <c r="AX366" s="14">
        <v>237500</v>
      </c>
      <c r="AY366" s="14">
        <v>237500</v>
      </c>
      <c r="AZ366" s="14">
        <v>0</v>
      </c>
      <c r="BA366">
        <v>0</v>
      </c>
      <c r="BB366" t="s">
        <v>22</v>
      </c>
      <c r="BC366" t="s">
        <v>128</v>
      </c>
      <c r="BD366" t="s">
        <v>129</v>
      </c>
      <c r="BE366" t="s">
        <v>130</v>
      </c>
      <c r="BG366" t="s">
        <v>1206</v>
      </c>
      <c r="BH366" t="s">
        <v>134</v>
      </c>
      <c r="BJ366">
        <v>4</v>
      </c>
      <c r="BK366" t="s">
        <v>133</v>
      </c>
      <c r="BV366" t="s">
        <v>134</v>
      </c>
      <c r="BW366" s="16">
        <v>46111.693749999999</v>
      </c>
      <c r="BX366" t="s">
        <v>135</v>
      </c>
      <c r="BZ366">
        <v>29</v>
      </c>
      <c r="CA366" t="s">
        <v>1207</v>
      </c>
      <c r="CB366">
        <v>0</v>
      </c>
      <c r="CF366" t="s">
        <v>1087</v>
      </c>
      <c r="CG366">
        <v>2026</v>
      </c>
      <c r="CH366" t="s">
        <v>138</v>
      </c>
      <c r="CI366" t="s">
        <v>139</v>
      </c>
    </row>
    <row r="367" spans="1:87" x14ac:dyDescent="0.3">
      <c r="A367" t="s">
        <v>115</v>
      </c>
      <c r="B367" t="s">
        <v>116</v>
      </c>
      <c r="C367" t="s">
        <v>117</v>
      </c>
      <c r="D367" t="s">
        <v>118</v>
      </c>
      <c r="E367" t="s">
        <v>140</v>
      </c>
      <c r="F367" t="s">
        <v>1208</v>
      </c>
      <c r="G367">
        <v>13.52</v>
      </c>
      <c r="H367">
        <v>0</v>
      </c>
      <c r="I367" s="14">
        <v>50000</v>
      </c>
      <c r="J367" s="14">
        <v>50000</v>
      </c>
      <c r="Q367" s="14"/>
      <c r="R367" s="14"/>
      <c r="Y367" s="14"/>
      <c r="Z367" s="14"/>
      <c r="AG367" s="14"/>
      <c r="AH367" s="14"/>
      <c r="AI367" t="s">
        <v>1195</v>
      </c>
      <c r="AJ367" t="s">
        <v>1196</v>
      </c>
      <c r="AK367" t="s">
        <v>1197</v>
      </c>
      <c r="AM367" t="s">
        <v>1198</v>
      </c>
      <c r="AN367" t="s">
        <v>1199</v>
      </c>
      <c r="AO367" t="s">
        <v>125</v>
      </c>
      <c r="AP367" t="s">
        <v>187</v>
      </c>
      <c r="AQ367" s="15">
        <v>46098</v>
      </c>
      <c r="AR367" s="15">
        <v>46098</v>
      </c>
      <c r="AS367" t="s">
        <v>127</v>
      </c>
      <c r="AT367">
        <v>1</v>
      </c>
      <c r="AU367">
        <v>3000</v>
      </c>
      <c r="AV367">
        <v>0</v>
      </c>
      <c r="AW367">
        <v>0</v>
      </c>
      <c r="AX367" s="14">
        <v>3000</v>
      </c>
      <c r="AY367" s="14">
        <v>3000</v>
      </c>
      <c r="AZ367" s="14">
        <v>0</v>
      </c>
      <c r="BA367">
        <v>0</v>
      </c>
      <c r="BB367" t="s">
        <v>22</v>
      </c>
      <c r="BC367" t="s">
        <v>128</v>
      </c>
      <c r="BD367" t="s">
        <v>129</v>
      </c>
      <c r="BE367" t="s">
        <v>130</v>
      </c>
      <c r="BG367" t="s">
        <v>1209</v>
      </c>
      <c r="BH367" t="s">
        <v>132</v>
      </c>
      <c r="BJ367">
        <v>4</v>
      </c>
      <c r="BK367" t="s">
        <v>133</v>
      </c>
      <c r="BV367" t="s">
        <v>134</v>
      </c>
      <c r="BW367" s="16">
        <v>46140.395833333343</v>
      </c>
      <c r="BX367" t="s">
        <v>178</v>
      </c>
      <c r="BZ367">
        <v>23</v>
      </c>
      <c r="CA367" t="s">
        <v>1210</v>
      </c>
      <c r="CB367">
        <v>0</v>
      </c>
      <c r="CF367" t="s">
        <v>1087</v>
      </c>
      <c r="CG367">
        <v>2026</v>
      </c>
      <c r="CH367" t="s">
        <v>138</v>
      </c>
      <c r="CI367" t="s">
        <v>139</v>
      </c>
    </row>
    <row r="368" spans="1:87" x14ac:dyDescent="0.3">
      <c r="A368" t="s">
        <v>115</v>
      </c>
      <c r="B368" t="s">
        <v>116</v>
      </c>
      <c r="C368" t="s">
        <v>117</v>
      </c>
      <c r="D368" t="s">
        <v>118</v>
      </c>
      <c r="E368" t="s">
        <v>140</v>
      </c>
      <c r="F368" t="s">
        <v>1208</v>
      </c>
      <c r="G368">
        <v>13.52</v>
      </c>
      <c r="H368">
        <v>0</v>
      </c>
      <c r="I368" s="14">
        <v>50000</v>
      </c>
      <c r="J368" s="14">
        <v>50000</v>
      </c>
      <c r="Q368" s="14"/>
      <c r="R368" s="14"/>
      <c r="Y368" s="14"/>
      <c r="Z368" s="14"/>
      <c r="AG368" s="14"/>
      <c r="AH368" s="14"/>
      <c r="AI368" t="s">
        <v>1195</v>
      </c>
      <c r="AJ368" t="s">
        <v>1196</v>
      </c>
      <c r="AK368" t="s">
        <v>1197</v>
      </c>
      <c r="AM368" t="s">
        <v>1198</v>
      </c>
      <c r="AN368" t="s">
        <v>1199</v>
      </c>
      <c r="AO368" t="s">
        <v>125</v>
      </c>
      <c r="AP368" t="s">
        <v>187</v>
      </c>
      <c r="AQ368" s="15">
        <v>46111</v>
      </c>
      <c r="AR368" s="15">
        <v>46140</v>
      </c>
      <c r="AS368" t="s">
        <v>145</v>
      </c>
      <c r="AT368">
        <v>2</v>
      </c>
      <c r="AU368">
        <v>17000</v>
      </c>
      <c r="AV368">
        <v>0</v>
      </c>
      <c r="AW368">
        <v>0</v>
      </c>
      <c r="AX368" s="14">
        <v>17000</v>
      </c>
      <c r="AY368" s="14">
        <v>17000</v>
      </c>
      <c r="AZ368" s="14">
        <v>0</v>
      </c>
      <c r="BA368">
        <v>0</v>
      </c>
      <c r="BB368" t="s">
        <v>22</v>
      </c>
      <c r="BC368" t="s">
        <v>128</v>
      </c>
      <c r="BD368" t="s">
        <v>129</v>
      </c>
      <c r="BE368" t="s">
        <v>130</v>
      </c>
      <c r="BG368" t="s">
        <v>1211</v>
      </c>
      <c r="BH368" t="s">
        <v>132</v>
      </c>
      <c r="BJ368">
        <v>4</v>
      </c>
      <c r="BK368" t="s">
        <v>133</v>
      </c>
      <c r="BV368" t="s">
        <v>134</v>
      </c>
      <c r="BW368" s="16">
        <v>46140.395833333343</v>
      </c>
      <c r="BX368" t="s">
        <v>178</v>
      </c>
      <c r="BZ368">
        <v>23</v>
      </c>
      <c r="CA368" t="s">
        <v>1210</v>
      </c>
      <c r="CB368">
        <v>0</v>
      </c>
      <c r="CF368" t="s">
        <v>1087</v>
      </c>
      <c r="CG368">
        <v>2026</v>
      </c>
      <c r="CH368" t="s">
        <v>138</v>
      </c>
      <c r="CI368" t="s">
        <v>139</v>
      </c>
    </row>
    <row r="369" spans="1:87" x14ac:dyDescent="0.3">
      <c r="A369" t="s">
        <v>115</v>
      </c>
      <c r="B369" t="s">
        <v>116</v>
      </c>
      <c r="C369" t="s">
        <v>117</v>
      </c>
      <c r="D369" t="s">
        <v>118</v>
      </c>
      <c r="E369" t="s">
        <v>140</v>
      </c>
      <c r="F369" t="s">
        <v>1208</v>
      </c>
      <c r="G369">
        <v>13.52</v>
      </c>
      <c r="H369">
        <v>0</v>
      </c>
      <c r="I369" s="14">
        <v>50000</v>
      </c>
      <c r="J369" s="14">
        <v>50000</v>
      </c>
      <c r="Q369" s="14"/>
      <c r="R369" s="14"/>
      <c r="Y369" s="14"/>
      <c r="Z369" s="14"/>
      <c r="AG369" s="14"/>
      <c r="AH369" s="14"/>
      <c r="AI369" t="s">
        <v>1195</v>
      </c>
      <c r="AJ369" t="s">
        <v>1196</v>
      </c>
      <c r="AK369" t="s">
        <v>1197</v>
      </c>
      <c r="AM369" t="s">
        <v>1198</v>
      </c>
      <c r="AN369" t="s">
        <v>1199</v>
      </c>
      <c r="AO369" t="s">
        <v>125</v>
      </c>
      <c r="AP369" t="s">
        <v>187</v>
      </c>
      <c r="AQ369" s="15">
        <v>46203</v>
      </c>
      <c r="AR369" s="15">
        <v>46188</v>
      </c>
      <c r="AS369" t="s">
        <v>227</v>
      </c>
      <c r="AT369">
        <v>3</v>
      </c>
      <c r="AU369">
        <v>10000</v>
      </c>
      <c r="AV369">
        <v>0</v>
      </c>
      <c r="AW369">
        <v>0</v>
      </c>
      <c r="AX369" s="14">
        <v>10000</v>
      </c>
      <c r="AY369" s="14">
        <v>10000</v>
      </c>
      <c r="AZ369" s="14">
        <v>0</v>
      </c>
      <c r="BA369">
        <v>0</v>
      </c>
      <c r="BB369" t="s">
        <v>22</v>
      </c>
      <c r="BC369" t="s">
        <v>128</v>
      </c>
      <c r="BD369" t="s">
        <v>129</v>
      </c>
      <c r="BE369" t="s">
        <v>130</v>
      </c>
      <c r="BG369" t="s">
        <v>1212</v>
      </c>
      <c r="BH369" t="s">
        <v>132</v>
      </c>
      <c r="BJ369">
        <v>4</v>
      </c>
      <c r="BK369" t="s">
        <v>133</v>
      </c>
      <c r="BV369" t="s">
        <v>134</v>
      </c>
      <c r="BW369" s="16">
        <v>46140.395833333343</v>
      </c>
      <c r="BX369" t="s">
        <v>178</v>
      </c>
      <c r="BZ369">
        <v>23</v>
      </c>
      <c r="CA369" t="s">
        <v>1213</v>
      </c>
      <c r="CB369">
        <v>0</v>
      </c>
      <c r="CF369" t="s">
        <v>1087</v>
      </c>
      <c r="CG369">
        <v>2026</v>
      </c>
      <c r="CH369" t="s">
        <v>138</v>
      </c>
      <c r="CI369" t="s">
        <v>139</v>
      </c>
    </row>
    <row r="370" spans="1:87" x14ac:dyDescent="0.3">
      <c r="A370" t="s">
        <v>115</v>
      </c>
      <c r="B370" t="s">
        <v>116</v>
      </c>
      <c r="C370" t="s">
        <v>117</v>
      </c>
      <c r="D370" t="s">
        <v>118</v>
      </c>
      <c r="E370" t="s">
        <v>140</v>
      </c>
      <c r="F370" t="s">
        <v>1208</v>
      </c>
      <c r="G370">
        <v>13.52</v>
      </c>
      <c r="H370">
        <v>0</v>
      </c>
      <c r="I370" s="14">
        <v>50000</v>
      </c>
      <c r="J370" s="14">
        <v>50000</v>
      </c>
      <c r="Q370" s="14"/>
      <c r="R370" s="14"/>
      <c r="Y370" s="14"/>
      <c r="Z370" s="14"/>
      <c r="AG370" s="14"/>
      <c r="AH370" s="14"/>
      <c r="AI370" t="s">
        <v>1195</v>
      </c>
      <c r="AJ370" t="s">
        <v>1196</v>
      </c>
      <c r="AK370" t="s">
        <v>1197</v>
      </c>
      <c r="AM370" t="s">
        <v>1198</v>
      </c>
      <c r="AN370" t="s">
        <v>1199</v>
      </c>
      <c r="AO370" t="s">
        <v>125</v>
      </c>
      <c r="AP370" t="s">
        <v>187</v>
      </c>
      <c r="AQ370" s="15">
        <v>46295</v>
      </c>
      <c r="AR370" s="15">
        <v>46188</v>
      </c>
      <c r="AS370" t="s">
        <v>227</v>
      </c>
      <c r="AT370">
        <v>4</v>
      </c>
      <c r="AU370">
        <v>10000</v>
      </c>
      <c r="AV370">
        <v>0</v>
      </c>
      <c r="AW370">
        <v>0</v>
      </c>
      <c r="AX370" s="14">
        <v>10000</v>
      </c>
      <c r="AY370" s="14">
        <v>5010.2</v>
      </c>
      <c r="AZ370" s="14">
        <v>4989.8</v>
      </c>
      <c r="BA370">
        <v>0</v>
      </c>
      <c r="BB370" t="s">
        <v>22</v>
      </c>
      <c r="BC370" t="s">
        <v>128</v>
      </c>
      <c r="BD370" t="s">
        <v>129</v>
      </c>
      <c r="BE370" t="s">
        <v>130</v>
      </c>
      <c r="BG370" t="s">
        <v>1212</v>
      </c>
      <c r="BH370" t="s">
        <v>132</v>
      </c>
      <c r="BJ370">
        <v>4</v>
      </c>
      <c r="BK370" t="s">
        <v>1214</v>
      </c>
      <c r="BV370" t="s">
        <v>134</v>
      </c>
      <c r="BW370" s="16">
        <v>46140.395833333343</v>
      </c>
      <c r="BX370" t="s">
        <v>178</v>
      </c>
      <c r="BZ370">
        <v>23</v>
      </c>
      <c r="CA370" t="s">
        <v>1213</v>
      </c>
      <c r="CB370">
        <v>0</v>
      </c>
      <c r="CF370" t="s">
        <v>1087</v>
      </c>
      <c r="CG370">
        <v>2026</v>
      </c>
      <c r="CH370" t="s">
        <v>138</v>
      </c>
      <c r="CI370" t="s">
        <v>139</v>
      </c>
    </row>
    <row r="371" spans="1:87" x14ac:dyDescent="0.3">
      <c r="A371" t="s">
        <v>115</v>
      </c>
      <c r="B371" t="s">
        <v>116</v>
      </c>
      <c r="C371" t="s">
        <v>117</v>
      </c>
      <c r="D371" t="s">
        <v>118</v>
      </c>
      <c r="E371" t="s">
        <v>140</v>
      </c>
      <c r="F371" t="s">
        <v>1208</v>
      </c>
      <c r="G371">
        <v>13.52</v>
      </c>
      <c r="H371">
        <v>0</v>
      </c>
      <c r="I371" s="14">
        <v>50000</v>
      </c>
      <c r="J371" s="14">
        <v>50000</v>
      </c>
      <c r="Q371" s="14"/>
      <c r="R371" s="14"/>
      <c r="Y371" s="14"/>
      <c r="Z371" s="14"/>
      <c r="AG371" s="14"/>
      <c r="AH371" s="14"/>
      <c r="AI371" t="s">
        <v>1195</v>
      </c>
      <c r="AJ371" t="s">
        <v>1196</v>
      </c>
      <c r="AK371" t="s">
        <v>1197</v>
      </c>
      <c r="AM371" t="s">
        <v>1198</v>
      </c>
      <c r="AN371" t="s">
        <v>1199</v>
      </c>
      <c r="AO371" t="s">
        <v>125</v>
      </c>
      <c r="AP371" t="s">
        <v>187</v>
      </c>
      <c r="AQ371" s="15">
        <v>46386</v>
      </c>
      <c r="AR371" s="15"/>
      <c r="AS371" t="s">
        <v>227</v>
      </c>
      <c r="AT371">
        <v>5</v>
      </c>
      <c r="AU371">
        <v>10000</v>
      </c>
      <c r="AV371">
        <v>0</v>
      </c>
      <c r="AW371">
        <v>0</v>
      </c>
      <c r="AX371" s="14">
        <v>10000</v>
      </c>
      <c r="AY371" s="14">
        <v>0</v>
      </c>
      <c r="AZ371" s="14">
        <v>10000</v>
      </c>
      <c r="BB371" t="s">
        <v>22</v>
      </c>
      <c r="BH371" t="s">
        <v>132</v>
      </c>
      <c r="BK371" t="s">
        <v>1100</v>
      </c>
      <c r="BV371" t="s">
        <v>132</v>
      </c>
      <c r="BW371" s="16">
        <v>46140.395833333343</v>
      </c>
      <c r="BX371" t="s">
        <v>178</v>
      </c>
      <c r="BZ371">
        <v>23</v>
      </c>
      <c r="CB371">
        <v>0</v>
      </c>
      <c r="CF371" t="s">
        <v>1087</v>
      </c>
      <c r="CG371">
        <v>2026</v>
      </c>
      <c r="CH371" t="s">
        <v>138</v>
      </c>
      <c r="CI371" t="s">
        <v>139</v>
      </c>
    </row>
    <row r="372" spans="1:87" x14ac:dyDescent="0.3">
      <c r="A372" t="s">
        <v>165</v>
      </c>
      <c r="B372" t="s">
        <v>116</v>
      </c>
      <c r="C372" t="s">
        <v>117</v>
      </c>
      <c r="D372" t="s">
        <v>118</v>
      </c>
      <c r="E372" t="s">
        <v>14</v>
      </c>
      <c r="F372" t="s">
        <v>571</v>
      </c>
      <c r="G372">
        <v>70</v>
      </c>
      <c r="H372">
        <v>0</v>
      </c>
      <c r="I372" s="14">
        <v>531100</v>
      </c>
      <c r="J372" s="14">
        <v>493000</v>
      </c>
      <c r="Q372" s="14"/>
      <c r="R372" s="14"/>
      <c r="Y372" s="14"/>
      <c r="Z372" s="14"/>
      <c r="AG372" s="14"/>
      <c r="AH372" s="14"/>
      <c r="AI372" t="s">
        <v>1215</v>
      </c>
      <c r="AJ372" t="s">
        <v>1216</v>
      </c>
      <c r="AK372" t="s">
        <v>1217</v>
      </c>
      <c r="AL372">
        <v>0</v>
      </c>
      <c r="AM372" t="s">
        <v>1218</v>
      </c>
      <c r="AN372" t="s">
        <v>1219</v>
      </c>
      <c r="AO372" t="s">
        <v>125</v>
      </c>
      <c r="AP372" t="s">
        <v>1220</v>
      </c>
      <c r="AQ372" s="15">
        <v>46139</v>
      </c>
      <c r="AR372" s="15">
        <v>46139</v>
      </c>
      <c r="AS372" t="s">
        <v>127</v>
      </c>
      <c r="AT372">
        <v>1</v>
      </c>
      <c r="AU372">
        <v>3000</v>
      </c>
      <c r="AV372">
        <v>0</v>
      </c>
      <c r="AW372">
        <v>0</v>
      </c>
      <c r="AX372" s="14">
        <v>3000</v>
      </c>
      <c r="AY372" s="14">
        <v>3000</v>
      </c>
      <c r="AZ372" s="14">
        <v>0</v>
      </c>
      <c r="BA372">
        <v>0</v>
      </c>
      <c r="BB372" t="s">
        <v>24</v>
      </c>
      <c r="BC372" t="s">
        <v>175</v>
      </c>
      <c r="BD372" t="s">
        <v>176</v>
      </c>
      <c r="BE372" t="s">
        <v>287</v>
      </c>
      <c r="BG372" t="s">
        <v>1221</v>
      </c>
      <c r="BH372" t="s">
        <v>134</v>
      </c>
      <c r="BJ372">
        <v>4</v>
      </c>
      <c r="BK372" t="s">
        <v>133</v>
      </c>
      <c r="BV372" t="s">
        <v>134</v>
      </c>
      <c r="BW372" s="16">
        <v>46142.415972222218</v>
      </c>
      <c r="BX372" t="s">
        <v>178</v>
      </c>
      <c r="BZ372">
        <v>19</v>
      </c>
      <c r="CA372" t="s">
        <v>1222</v>
      </c>
      <c r="CB372">
        <v>0</v>
      </c>
      <c r="CF372" t="s">
        <v>1087</v>
      </c>
      <c r="CG372">
        <v>2026</v>
      </c>
      <c r="CH372" t="s">
        <v>138</v>
      </c>
      <c r="CI372" t="s">
        <v>139</v>
      </c>
    </row>
    <row r="373" spans="1:87" x14ac:dyDescent="0.3">
      <c r="A373" t="s">
        <v>165</v>
      </c>
      <c r="B373" t="s">
        <v>116</v>
      </c>
      <c r="C373" t="s">
        <v>117</v>
      </c>
      <c r="D373" t="s">
        <v>118</v>
      </c>
      <c r="E373" t="s">
        <v>14</v>
      </c>
      <c r="F373" t="s">
        <v>571</v>
      </c>
      <c r="G373">
        <v>70</v>
      </c>
      <c r="H373">
        <v>0</v>
      </c>
      <c r="I373" s="14">
        <v>531100</v>
      </c>
      <c r="J373" s="14">
        <v>493000</v>
      </c>
      <c r="Q373" s="14"/>
      <c r="R373" s="14"/>
      <c r="Y373" s="14"/>
      <c r="Z373" s="14"/>
      <c r="AG373" s="14"/>
      <c r="AH373" s="14"/>
      <c r="AI373" t="s">
        <v>1215</v>
      </c>
      <c r="AJ373" t="s">
        <v>1216</v>
      </c>
      <c r="AK373" t="s">
        <v>1217</v>
      </c>
      <c r="AL373">
        <v>0</v>
      </c>
      <c r="AM373" t="s">
        <v>1218</v>
      </c>
      <c r="AN373" t="s">
        <v>1219</v>
      </c>
      <c r="AO373" t="s">
        <v>125</v>
      </c>
      <c r="AP373" t="s">
        <v>1220</v>
      </c>
      <c r="AQ373" s="15">
        <v>46142</v>
      </c>
      <c r="AR373" s="15">
        <v>46142</v>
      </c>
      <c r="AS373" t="s">
        <v>145</v>
      </c>
      <c r="AT373">
        <v>1</v>
      </c>
      <c r="AU373">
        <v>30000</v>
      </c>
      <c r="AV373">
        <v>0</v>
      </c>
      <c r="AW373">
        <v>0</v>
      </c>
      <c r="AX373" s="14">
        <v>30000</v>
      </c>
      <c r="AY373" s="14">
        <v>30000</v>
      </c>
      <c r="AZ373" s="14">
        <v>0</v>
      </c>
      <c r="BA373">
        <v>0</v>
      </c>
      <c r="BB373" t="s">
        <v>24</v>
      </c>
      <c r="BC373" t="s">
        <v>175</v>
      </c>
      <c r="BD373" t="s">
        <v>176</v>
      </c>
      <c r="BE373" t="s">
        <v>130</v>
      </c>
      <c r="BG373" t="s">
        <v>1223</v>
      </c>
      <c r="BH373" t="s">
        <v>134</v>
      </c>
      <c r="BJ373">
        <v>4</v>
      </c>
      <c r="BK373" t="s">
        <v>133</v>
      </c>
      <c r="BV373" t="s">
        <v>134</v>
      </c>
      <c r="BW373" s="16">
        <v>46142.415972222218</v>
      </c>
      <c r="BX373" t="s">
        <v>178</v>
      </c>
      <c r="BZ373">
        <v>19</v>
      </c>
      <c r="CA373" t="s">
        <v>1224</v>
      </c>
      <c r="CB373">
        <v>0</v>
      </c>
      <c r="CF373" t="s">
        <v>1087</v>
      </c>
      <c r="CG373">
        <v>2026</v>
      </c>
      <c r="CH373" t="s">
        <v>138</v>
      </c>
      <c r="CI373" t="s">
        <v>139</v>
      </c>
    </row>
    <row r="374" spans="1:87" x14ac:dyDescent="0.3">
      <c r="A374" t="s">
        <v>165</v>
      </c>
      <c r="B374" t="s">
        <v>116</v>
      </c>
      <c r="C374" t="s">
        <v>117</v>
      </c>
      <c r="D374" t="s">
        <v>118</v>
      </c>
      <c r="E374" t="s">
        <v>14</v>
      </c>
      <c r="F374" t="s">
        <v>571</v>
      </c>
      <c r="G374">
        <v>70</v>
      </c>
      <c r="H374">
        <v>0</v>
      </c>
      <c r="I374" s="14">
        <v>531100</v>
      </c>
      <c r="J374" s="14">
        <v>493000</v>
      </c>
      <c r="Q374" s="14"/>
      <c r="R374" s="14"/>
      <c r="Y374" s="14"/>
      <c r="Z374" s="14"/>
      <c r="AG374" s="14"/>
      <c r="AH374" s="14"/>
      <c r="AI374" t="s">
        <v>1215</v>
      </c>
      <c r="AJ374" t="s">
        <v>1216</v>
      </c>
      <c r="AK374" t="s">
        <v>1217</v>
      </c>
      <c r="AL374">
        <v>0</v>
      </c>
      <c r="AM374" t="s">
        <v>1218</v>
      </c>
      <c r="AN374" t="s">
        <v>1219</v>
      </c>
      <c r="AO374" t="s">
        <v>125</v>
      </c>
      <c r="AP374" t="s">
        <v>1220</v>
      </c>
      <c r="AQ374" s="15">
        <v>46144</v>
      </c>
      <c r="AR374" s="15">
        <v>46144</v>
      </c>
      <c r="AS374" t="s">
        <v>145</v>
      </c>
      <c r="AT374">
        <v>2</v>
      </c>
      <c r="AU374">
        <v>40000</v>
      </c>
      <c r="AV374">
        <v>0</v>
      </c>
      <c r="AW374">
        <v>0</v>
      </c>
      <c r="AX374" s="14">
        <v>40000</v>
      </c>
      <c r="AY374" s="14">
        <v>40000</v>
      </c>
      <c r="AZ374" s="14">
        <v>0</v>
      </c>
      <c r="BA374">
        <v>0</v>
      </c>
      <c r="BB374" t="s">
        <v>24</v>
      </c>
      <c r="BC374" t="s">
        <v>175</v>
      </c>
      <c r="BD374" t="s">
        <v>176</v>
      </c>
      <c r="BE374" t="s">
        <v>130</v>
      </c>
      <c r="BG374" t="s">
        <v>1225</v>
      </c>
      <c r="BH374" t="s">
        <v>134</v>
      </c>
      <c r="BJ374">
        <v>4</v>
      </c>
      <c r="BK374" t="s">
        <v>133</v>
      </c>
      <c r="BV374" t="s">
        <v>134</v>
      </c>
      <c r="BW374" s="16">
        <v>46142.415972222218</v>
      </c>
      <c r="BX374" t="s">
        <v>178</v>
      </c>
      <c r="BZ374">
        <v>19</v>
      </c>
      <c r="CA374" t="s">
        <v>1226</v>
      </c>
      <c r="CB374">
        <v>0</v>
      </c>
      <c r="CF374" t="s">
        <v>1087</v>
      </c>
      <c r="CG374">
        <v>2026</v>
      </c>
      <c r="CH374" t="s">
        <v>138</v>
      </c>
      <c r="CI374" t="s">
        <v>139</v>
      </c>
    </row>
    <row r="375" spans="1:87" x14ac:dyDescent="0.3">
      <c r="A375" t="s">
        <v>165</v>
      </c>
      <c r="B375" t="s">
        <v>116</v>
      </c>
      <c r="C375" t="s">
        <v>117</v>
      </c>
      <c r="D375" t="s">
        <v>118</v>
      </c>
      <c r="E375" t="s">
        <v>14</v>
      </c>
      <c r="F375" t="s">
        <v>571</v>
      </c>
      <c r="G375">
        <v>70</v>
      </c>
      <c r="H375">
        <v>0</v>
      </c>
      <c r="I375" s="14">
        <v>531100</v>
      </c>
      <c r="J375" s="14">
        <v>493000</v>
      </c>
      <c r="Q375" s="14"/>
      <c r="R375" s="14"/>
      <c r="Y375" s="14"/>
      <c r="Z375" s="14"/>
      <c r="AG375" s="14"/>
      <c r="AH375" s="14"/>
      <c r="AI375" t="s">
        <v>1215</v>
      </c>
      <c r="AJ375" t="s">
        <v>1216</v>
      </c>
      <c r="AK375" t="s">
        <v>1217</v>
      </c>
      <c r="AL375">
        <v>0</v>
      </c>
      <c r="AM375" t="s">
        <v>1218</v>
      </c>
      <c r="AN375" t="s">
        <v>1219</v>
      </c>
      <c r="AO375" t="s">
        <v>125</v>
      </c>
      <c r="AP375" t="s">
        <v>1220</v>
      </c>
      <c r="AQ375" s="15">
        <v>46157</v>
      </c>
      <c r="AR375" s="15">
        <v>46148</v>
      </c>
      <c r="AS375" t="s">
        <v>145</v>
      </c>
      <c r="AT375">
        <v>3</v>
      </c>
      <c r="AU375">
        <v>53700</v>
      </c>
      <c r="AV375">
        <v>0</v>
      </c>
      <c r="AW375">
        <v>0</v>
      </c>
      <c r="AX375" s="14">
        <v>53700</v>
      </c>
      <c r="AY375" s="14">
        <v>53700</v>
      </c>
      <c r="AZ375" s="14">
        <v>0</v>
      </c>
      <c r="BA375">
        <v>0</v>
      </c>
      <c r="BB375" t="s">
        <v>24</v>
      </c>
      <c r="BC375" t="s">
        <v>175</v>
      </c>
      <c r="BD375" t="s">
        <v>176</v>
      </c>
      <c r="BE375" t="s">
        <v>130</v>
      </c>
      <c r="BG375" t="s">
        <v>1227</v>
      </c>
      <c r="BH375" t="s">
        <v>134</v>
      </c>
      <c r="BJ375">
        <v>4</v>
      </c>
      <c r="BK375" t="s">
        <v>133</v>
      </c>
      <c r="BV375" t="s">
        <v>134</v>
      </c>
      <c r="BW375" s="16">
        <v>46142.415972222218</v>
      </c>
      <c r="BX375" t="s">
        <v>178</v>
      </c>
      <c r="BZ375">
        <v>19</v>
      </c>
      <c r="CA375" t="s">
        <v>1228</v>
      </c>
      <c r="CB375">
        <v>0</v>
      </c>
      <c r="CF375" t="s">
        <v>1087</v>
      </c>
      <c r="CG375">
        <v>2026</v>
      </c>
      <c r="CH375" t="s">
        <v>138</v>
      </c>
      <c r="CI375" t="s">
        <v>139</v>
      </c>
    </row>
    <row r="376" spans="1:87" x14ac:dyDescent="0.3">
      <c r="A376" t="s">
        <v>165</v>
      </c>
      <c r="B376" t="s">
        <v>116</v>
      </c>
      <c r="C376" t="s">
        <v>117</v>
      </c>
      <c r="D376" t="s">
        <v>118</v>
      </c>
      <c r="E376" t="s">
        <v>14</v>
      </c>
      <c r="F376" t="s">
        <v>571</v>
      </c>
      <c r="G376">
        <v>70</v>
      </c>
      <c r="H376">
        <v>0</v>
      </c>
      <c r="I376" s="14">
        <v>531100</v>
      </c>
      <c r="J376" s="14">
        <v>493000</v>
      </c>
      <c r="Q376" s="14"/>
      <c r="R376" s="14"/>
      <c r="Y376" s="14"/>
      <c r="Z376" s="14"/>
      <c r="AG376" s="14"/>
      <c r="AH376" s="14"/>
      <c r="AI376" t="s">
        <v>1215</v>
      </c>
      <c r="AJ376" t="s">
        <v>1216</v>
      </c>
      <c r="AK376" t="s">
        <v>1217</v>
      </c>
      <c r="AL376">
        <v>0</v>
      </c>
      <c r="AM376" t="s">
        <v>1218</v>
      </c>
      <c r="AN376" t="s">
        <v>1219</v>
      </c>
      <c r="AO376" t="s">
        <v>125</v>
      </c>
      <c r="AP376" t="s">
        <v>1220</v>
      </c>
      <c r="AQ376" s="15">
        <v>46233</v>
      </c>
      <c r="AR376" s="15">
        <v>46154</v>
      </c>
      <c r="AS376" t="s">
        <v>145</v>
      </c>
      <c r="AT376">
        <v>4</v>
      </c>
      <c r="AU376">
        <v>53700</v>
      </c>
      <c r="AV376">
        <v>0</v>
      </c>
      <c r="AW376">
        <v>0</v>
      </c>
      <c r="AX376" s="14">
        <v>53700</v>
      </c>
      <c r="AY376" s="14">
        <v>53700</v>
      </c>
      <c r="AZ376" s="14">
        <v>0</v>
      </c>
      <c r="BA376">
        <v>0</v>
      </c>
      <c r="BB376" t="s">
        <v>24</v>
      </c>
      <c r="BC376" t="s">
        <v>175</v>
      </c>
      <c r="BD376" t="s">
        <v>176</v>
      </c>
      <c r="BE376" t="s">
        <v>130</v>
      </c>
      <c r="BG376" t="s">
        <v>1229</v>
      </c>
      <c r="BH376" t="s">
        <v>134</v>
      </c>
      <c r="BJ376">
        <v>4</v>
      </c>
      <c r="BK376" t="s">
        <v>133</v>
      </c>
      <c r="BV376" t="s">
        <v>134</v>
      </c>
      <c r="BW376" s="16">
        <v>46142.415972222218</v>
      </c>
      <c r="BX376" t="s">
        <v>178</v>
      </c>
      <c r="BZ376">
        <v>19</v>
      </c>
      <c r="CA376" t="s">
        <v>1230</v>
      </c>
      <c r="CB376">
        <v>0</v>
      </c>
      <c r="CF376" t="s">
        <v>1087</v>
      </c>
      <c r="CG376">
        <v>2026</v>
      </c>
      <c r="CH376" t="s">
        <v>138</v>
      </c>
      <c r="CI376" t="s">
        <v>139</v>
      </c>
    </row>
    <row r="377" spans="1:87" x14ac:dyDescent="0.3">
      <c r="A377" t="s">
        <v>165</v>
      </c>
      <c r="B377" t="s">
        <v>116</v>
      </c>
      <c r="C377" t="s">
        <v>117</v>
      </c>
      <c r="D377" t="s">
        <v>118</v>
      </c>
      <c r="E377" t="s">
        <v>14</v>
      </c>
      <c r="F377" t="s">
        <v>571</v>
      </c>
      <c r="G377">
        <v>70</v>
      </c>
      <c r="H377">
        <v>0</v>
      </c>
      <c r="I377" s="14">
        <v>531100</v>
      </c>
      <c r="J377" s="14">
        <v>493000</v>
      </c>
      <c r="Q377" s="14"/>
      <c r="R377" s="14"/>
      <c r="Y377" s="14"/>
      <c r="Z377" s="14"/>
      <c r="AG377" s="14"/>
      <c r="AH377" s="14"/>
      <c r="AI377" t="s">
        <v>1215</v>
      </c>
      <c r="AJ377" t="s">
        <v>1216</v>
      </c>
      <c r="AK377" t="s">
        <v>1217</v>
      </c>
      <c r="AL377">
        <v>0</v>
      </c>
      <c r="AM377" t="s">
        <v>1218</v>
      </c>
      <c r="AN377" t="s">
        <v>1219</v>
      </c>
      <c r="AO377" t="s">
        <v>125</v>
      </c>
      <c r="AP377" t="s">
        <v>1220</v>
      </c>
      <c r="AQ377" s="15">
        <v>46264</v>
      </c>
      <c r="AR377" s="15"/>
      <c r="AS377" t="s">
        <v>1055</v>
      </c>
      <c r="AT377">
        <v>5</v>
      </c>
      <c r="AU377">
        <v>16800</v>
      </c>
      <c r="AV377">
        <v>0</v>
      </c>
      <c r="AW377">
        <v>0</v>
      </c>
      <c r="AX377" s="14">
        <v>16800</v>
      </c>
      <c r="AY377" s="14">
        <v>0</v>
      </c>
      <c r="AZ377" s="14">
        <v>16800</v>
      </c>
      <c r="BB377" t="s">
        <v>24</v>
      </c>
      <c r="BH377" t="s">
        <v>132</v>
      </c>
      <c r="BK377" t="s">
        <v>550</v>
      </c>
      <c r="BV377" t="s">
        <v>132</v>
      </c>
      <c r="BW377" s="16">
        <v>46142.415972222218</v>
      </c>
      <c r="BX377" t="s">
        <v>178</v>
      </c>
      <c r="BZ377">
        <v>19</v>
      </c>
      <c r="CB377">
        <v>0</v>
      </c>
      <c r="CF377" t="s">
        <v>1087</v>
      </c>
      <c r="CG377">
        <v>2026</v>
      </c>
      <c r="CH377" t="s">
        <v>138</v>
      </c>
      <c r="CI377" t="s">
        <v>139</v>
      </c>
    </row>
    <row r="378" spans="1:87" x14ac:dyDescent="0.3">
      <c r="A378" t="s">
        <v>165</v>
      </c>
      <c r="B378" t="s">
        <v>116</v>
      </c>
      <c r="C378" t="s">
        <v>117</v>
      </c>
      <c r="D378" t="s">
        <v>118</v>
      </c>
      <c r="E378" t="s">
        <v>14</v>
      </c>
      <c r="F378" t="s">
        <v>571</v>
      </c>
      <c r="G378">
        <v>70</v>
      </c>
      <c r="H378">
        <v>0</v>
      </c>
      <c r="I378" s="14">
        <v>531100</v>
      </c>
      <c r="J378" s="14">
        <v>493000</v>
      </c>
      <c r="Q378" s="14"/>
      <c r="R378" s="14"/>
      <c r="Y378" s="14"/>
      <c r="Z378" s="14"/>
      <c r="AG378" s="14"/>
      <c r="AH378" s="14"/>
      <c r="AI378" t="s">
        <v>1215</v>
      </c>
      <c r="AJ378" t="s">
        <v>1216</v>
      </c>
      <c r="AK378" t="s">
        <v>1217</v>
      </c>
      <c r="AL378">
        <v>0</v>
      </c>
      <c r="AM378" t="s">
        <v>1218</v>
      </c>
      <c r="AN378" t="s">
        <v>1219</v>
      </c>
      <c r="AO378" t="s">
        <v>125</v>
      </c>
      <c r="AP378" t="s">
        <v>1220</v>
      </c>
      <c r="AQ378" s="15">
        <v>46356</v>
      </c>
      <c r="AR378" s="15"/>
      <c r="AS378" t="s">
        <v>227</v>
      </c>
      <c r="AT378">
        <v>1</v>
      </c>
      <c r="AU378">
        <v>295800</v>
      </c>
      <c r="AV378">
        <v>0</v>
      </c>
      <c r="AW378">
        <v>0</v>
      </c>
      <c r="AX378" s="14">
        <v>295800</v>
      </c>
      <c r="AY378" s="14">
        <v>0</v>
      </c>
      <c r="AZ378" s="14">
        <v>295800</v>
      </c>
      <c r="BB378" t="s">
        <v>24</v>
      </c>
      <c r="BH378" t="s">
        <v>132</v>
      </c>
      <c r="BK378" t="s">
        <v>1100</v>
      </c>
      <c r="BV378" t="s">
        <v>132</v>
      </c>
      <c r="BW378" s="16">
        <v>46142.415972222218</v>
      </c>
      <c r="BX378" t="s">
        <v>178</v>
      </c>
      <c r="BZ378">
        <v>19</v>
      </c>
      <c r="CB378">
        <v>0</v>
      </c>
      <c r="CF378" t="s">
        <v>1087</v>
      </c>
      <c r="CG378">
        <v>2026</v>
      </c>
      <c r="CH378" t="s">
        <v>138</v>
      </c>
      <c r="CI378" t="s">
        <v>139</v>
      </c>
    </row>
    <row r="379" spans="1:87" x14ac:dyDescent="0.3">
      <c r="A379" t="s">
        <v>165</v>
      </c>
      <c r="B379" t="s">
        <v>116</v>
      </c>
      <c r="C379" t="s">
        <v>117</v>
      </c>
      <c r="D379" t="s">
        <v>118</v>
      </c>
      <c r="E379" t="s">
        <v>14</v>
      </c>
      <c r="F379" t="s">
        <v>1231</v>
      </c>
      <c r="G379">
        <v>70</v>
      </c>
      <c r="H379">
        <v>0</v>
      </c>
      <c r="I379" s="14">
        <v>508500</v>
      </c>
      <c r="J379" s="14">
        <v>455500</v>
      </c>
      <c r="Q379" s="14"/>
      <c r="R379" s="14"/>
      <c r="Y379" s="14"/>
      <c r="Z379" s="14"/>
      <c r="AG379" s="14"/>
      <c r="AH379" s="14"/>
      <c r="AI379" t="s">
        <v>1232</v>
      </c>
      <c r="AJ379" t="s">
        <v>1233</v>
      </c>
      <c r="AK379" t="s">
        <v>1234</v>
      </c>
      <c r="AL379">
        <v>0</v>
      </c>
      <c r="AM379" t="s">
        <v>1235</v>
      </c>
      <c r="AN379" t="s">
        <v>1236</v>
      </c>
      <c r="AO379" t="s">
        <v>125</v>
      </c>
      <c r="AP379" t="s">
        <v>297</v>
      </c>
      <c r="AQ379" s="15">
        <v>46066</v>
      </c>
      <c r="AR379" s="15">
        <v>46066</v>
      </c>
      <c r="AS379" t="s">
        <v>127</v>
      </c>
      <c r="AT379">
        <v>1</v>
      </c>
      <c r="AU379">
        <v>5000</v>
      </c>
      <c r="AV379">
        <v>0</v>
      </c>
      <c r="AW379">
        <v>0</v>
      </c>
      <c r="AX379" s="14">
        <v>5000</v>
      </c>
      <c r="AY379" s="14">
        <v>5000</v>
      </c>
      <c r="AZ379" s="14">
        <v>0</v>
      </c>
      <c r="BA379">
        <v>0</v>
      </c>
      <c r="BB379" t="s">
        <v>24</v>
      </c>
      <c r="BC379" t="s">
        <v>175</v>
      </c>
      <c r="BD379" t="s">
        <v>176</v>
      </c>
      <c r="BE379" t="s">
        <v>222</v>
      </c>
      <c r="BG379" t="s">
        <v>1237</v>
      </c>
      <c r="BH379" t="s">
        <v>132</v>
      </c>
      <c r="BJ379">
        <v>4</v>
      </c>
      <c r="BK379" t="s">
        <v>133</v>
      </c>
      <c r="BV379" t="s">
        <v>134</v>
      </c>
      <c r="BW379" s="16">
        <v>46101.439583333333</v>
      </c>
      <c r="BX379" t="s">
        <v>143</v>
      </c>
      <c r="BZ379">
        <v>13</v>
      </c>
      <c r="CA379" t="s">
        <v>1238</v>
      </c>
      <c r="CB379">
        <v>0</v>
      </c>
      <c r="CF379" t="s">
        <v>1087</v>
      </c>
      <c r="CG379">
        <v>2026</v>
      </c>
      <c r="CH379" t="s">
        <v>138</v>
      </c>
      <c r="CI379" t="s">
        <v>139</v>
      </c>
    </row>
    <row r="380" spans="1:87" x14ac:dyDescent="0.3">
      <c r="A380" t="s">
        <v>165</v>
      </c>
      <c r="B380" t="s">
        <v>116</v>
      </c>
      <c r="C380" t="s">
        <v>117</v>
      </c>
      <c r="D380" t="s">
        <v>118</v>
      </c>
      <c r="E380" t="s">
        <v>14</v>
      </c>
      <c r="F380" t="s">
        <v>1231</v>
      </c>
      <c r="G380">
        <v>70</v>
      </c>
      <c r="H380">
        <v>0</v>
      </c>
      <c r="I380" s="14">
        <v>508500</v>
      </c>
      <c r="J380" s="14">
        <v>455500</v>
      </c>
      <c r="Q380" s="14"/>
      <c r="R380" s="14"/>
      <c r="Y380" s="14"/>
      <c r="Z380" s="14"/>
      <c r="AG380" s="14"/>
      <c r="AH380" s="14"/>
      <c r="AI380" t="s">
        <v>1232</v>
      </c>
      <c r="AJ380" t="s">
        <v>1233</v>
      </c>
      <c r="AK380" t="s">
        <v>1234</v>
      </c>
      <c r="AL380">
        <v>0</v>
      </c>
      <c r="AM380" t="s">
        <v>1235</v>
      </c>
      <c r="AN380" t="s">
        <v>1236</v>
      </c>
      <c r="AO380" t="s">
        <v>125</v>
      </c>
      <c r="AP380" t="s">
        <v>297</v>
      </c>
      <c r="AQ380" s="15">
        <v>46101</v>
      </c>
      <c r="AR380" s="15">
        <v>46101</v>
      </c>
      <c r="AS380" t="s">
        <v>145</v>
      </c>
      <c r="AT380">
        <v>1</v>
      </c>
      <c r="AU380">
        <v>8888</v>
      </c>
      <c r="AV380">
        <v>0</v>
      </c>
      <c r="AW380">
        <v>0</v>
      </c>
      <c r="AX380" s="14">
        <v>8888</v>
      </c>
      <c r="AY380" s="14">
        <v>8888</v>
      </c>
      <c r="AZ380" s="14">
        <v>0</v>
      </c>
      <c r="BA380">
        <v>0</v>
      </c>
      <c r="BB380" t="s">
        <v>24</v>
      </c>
      <c r="BC380" t="s">
        <v>175</v>
      </c>
      <c r="BD380" t="s">
        <v>176</v>
      </c>
      <c r="BE380" t="s">
        <v>130</v>
      </c>
      <c r="BG380" t="s">
        <v>1239</v>
      </c>
      <c r="BH380" t="s">
        <v>132</v>
      </c>
      <c r="BJ380">
        <v>4</v>
      </c>
      <c r="BK380" t="s">
        <v>133</v>
      </c>
      <c r="BV380" t="s">
        <v>134</v>
      </c>
      <c r="BW380" s="16">
        <v>46101.439583333333</v>
      </c>
      <c r="BX380" t="s">
        <v>143</v>
      </c>
      <c r="BZ380">
        <v>13</v>
      </c>
      <c r="CA380" t="s">
        <v>1240</v>
      </c>
      <c r="CB380">
        <v>0</v>
      </c>
      <c r="CF380" t="s">
        <v>1087</v>
      </c>
      <c r="CG380">
        <v>2026</v>
      </c>
      <c r="CH380" t="s">
        <v>138</v>
      </c>
      <c r="CI380" t="s">
        <v>139</v>
      </c>
    </row>
    <row r="381" spans="1:87" x14ac:dyDescent="0.3">
      <c r="A381" t="s">
        <v>165</v>
      </c>
      <c r="B381" t="s">
        <v>116</v>
      </c>
      <c r="C381" t="s">
        <v>117</v>
      </c>
      <c r="D381" t="s">
        <v>118</v>
      </c>
      <c r="E381" t="s">
        <v>14</v>
      </c>
      <c r="F381" t="s">
        <v>1231</v>
      </c>
      <c r="G381">
        <v>70</v>
      </c>
      <c r="H381">
        <v>0</v>
      </c>
      <c r="I381" s="14">
        <v>508500</v>
      </c>
      <c r="J381" s="14">
        <v>455500</v>
      </c>
      <c r="Q381" s="14"/>
      <c r="R381" s="14"/>
      <c r="Y381" s="14"/>
      <c r="Z381" s="14"/>
      <c r="AG381" s="14"/>
      <c r="AH381" s="14"/>
      <c r="AI381" t="s">
        <v>1232</v>
      </c>
      <c r="AJ381" t="s">
        <v>1233</v>
      </c>
      <c r="AK381" t="s">
        <v>1234</v>
      </c>
      <c r="AL381">
        <v>0</v>
      </c>
      <c r="AM381" t="s">
        <v>1235</v>
      </c>
      <c r="AN381" t="s">
        <v>1236</v>
      </c>
      <c r="AO381" t="s">
        <v>125</v>
      </c>
      <c r="AP381" t="s">
        <v>297</v>
      </c>
      <c r="AQ381" s="15">
        <v>46142</v>
      </c>
      <c r="AR381" s="15">
        <v>46139</v>
      </c>
      <c r="AS381" t="s">
        <v>145</v>
      </c>
      <c r="AT381">
        <v>2</v>
      </c>
      <c r="AU381">
        <v>8888</v>
      </c>
      <c r="AV381">
        <v>0</v>
      </c>
      <c r="AW381">
        <v>0</v>
      </c>
      <c r="AX381" s="14">
        <v>8888</v>
      </c>
      <c r="AY381" s="14">
        <v>8888</v>
      </c>
      <c r="AZ381" s="14">
        <v>0</v>
      </c>
      <c r="BA381">
        <v>0</v>
      </c>
      <c r="BB381" t="s">
        <v>24</v>
      </c>
      <c r="BC381" t="s">
        <v>175</v>
      </c>
      <c r="BD381" t="s">
        <v>176</v>
      </c>
      <c r="BE381" t="s">
        <v>130</v>
      </c>
      <c r="BG381" t="s">
        <v>1241</v>
      </c>
      <c r="BH381" t="s">
        <v>132</v>
      </c>
      <c r="BJ381">
        <v>4</v>
      </c>
      <c r="BK381" t="s">
        <v>133</v>
      </c>
      <c r="BV381" t="s">
        <v>134</v>
      </c>
      <c r="BW381" s="16">
        <v>46101.439583333333</v>
      </c>
      <c r="BX381" t="s">
        <v>143</v>
      </c>
      <c r="BZ381">
        <v>13</v>
      </c>
      <c r="CA381" t="s">
        <v>1240</v>
      </c>
      <c r="CB381">
        <v>0</v>
      </c>
      <c r="CF381" t="s">
        <v>1087</v>
      </c>
      <c r="CG381">
        <v>2026</v>
      </c>
      <c r="CH381" t="s">
        <v>138</v>
      </c>
      <c r="CI381" t="s">
        <v>139</v>
      </c>
    </row>
    <row r="382" spans="1:87" x14ac:dyDescent="0.3">
      <c r="A382" t="s">
        <v>165</v>
      </c>
      <c r="B382" t="s">
        <v>116</v>
      </c>
      <c r="C382" t="s">
        <v>117</v>
      </c>
      <c r="D382" t="s">
        <v>118</v>
      </c>
      <c r="E382" t="s">
        <v>14</v>
      </c>
      <c r="F382" t="s">
        <v>1231</v>
      </c>
      <c r="G382">
        <v>70</v>
      </c>
      <c r="H382">
        <v>0</v>
      </c>
      <c r="I382" s="14">
        <v>508500</v>
      </c>
      <c r="J382" s="14">
        <v>455500</v>
      </c>
      <c r="Q382" s="14"/>
      <c r="R382" s="14"/>
      <c r="Y382" s="14"/>
      <c r="Z382" s="14"/>
      <c r="AG382" s="14"/>
      <c r="AH382" s="14"/>
      <c r="AI382" t="s">
        <v>1232</v>
      </c>
      <c r="AJ382" t="s">
        <v>1233</v>
      </c>
      <c r="AK382" t="s">
        <v>1234</v>
      </c>
      <c r="AL382">
        <v>0</v>
      </c>
      <c r="AM382" t="s">
        <v>1235</v>
      </c>
      <c r="AN382" t="s">
        <v>1236</v>
      </c>
      <c r="AO382" t="s">
        <v>125</v>
      </c>
      <c r="AP382" t="s">
        <v>297</v>
      </c>
      <c r="AQ382" s="15">
        <v>46295</v>
      </c>
      <c r="AR382" s="15"/>
      <c r="AS382" t="s">
        <v>1055</v>
      </c>
      <c r="AT382">
        <v>3</v>
      </c>
      <c r="AU382">
        <v>22774</v>
      </c>
      <c r="AV382">
        <v>0</v>
      </c>
      <c r="AW382">
        <v>0</v>
      </c>
      <c r="AX382" s="14">
        <v>22774</v>
      </c>
      <c r="AY382" s="14">
        <v>0</v>
      </c>
      <c r="AZ382" s="14">
        <v>22774</v>
      </c>
      <c r="BB382" t="s">
        <v>24</v>
      </c>
      <c r="BH382" t="s">
        <v>132</v>
      </c>
      <c r="BK382" t="s">
        <v>1100</v>
      </c>
      <c r="BV382" t="s">
        <v>132</v>
      </c>
      <c r="BW382" s="16">
        <v>46101.439583333333</v>
      </c>
      <c r="BX382" t="s">
        <v>143</v>
      </c>
      <c r="BZ382">
        <v>13</v>
      </c>
      <c r="CB382">
        <v>0</v>
      </c>
      <c r="CF382" t="s">
        <v>1087</v>
      </c>
      <c r="CG382">
        <v>2026</v>
      </c>
      <c r="CH382" t="s">
        <v>138</v>
      </c>
      <c r="CI382" t="s">
        <v>139</v>
      </c>
    </row>
    <row r="383" spans="1:87" x14ac:dyDescent="0.3">
      <c r="A383" t="s">
        <v>165</v>
      </c>
      <c r="B383" t="s">
        <v>116</v>
      </c>
      <c r="C383" t="s">
        <v>117</v>
      </c>
      <c r="D383" t="s">
        <v>118</v>
      </c>
      <c r="E383" t="s">
        <v>14</v>
      </c>
      <c r="F383" t="s">
        <v>1231</v>
      </c>
      <c r="G383">
        <v>70</v>
      </c>
      <c r="H383">
        <v>0</v>
      </c>
      <c r="I383" s="14">
        <v>508500</v>
      </c>
      <c r="J383" s="14">
        <v>455500</v>
      </c>
      <c r="Q383" s="14"/>
      <c r="R383" s="14"/>
      <c r="Y383" s="14"/>
      <c r="Z383" s="14"/>
      <c r="AG383" s="14"/>
      <c r="AH383" s="14"/>
      <c r="AI383" t="s">
        <v>1232</v>
      </c>
      <c r="AJ383" t="s">
        <v>1233</v>
      </c>
      <c r="AK383" t="s">
        <v>1234</v>
      </c>
      <c r="AL383">
        <v>0</v>
      </c>
      <c r="AM383" t="s">
        <v>1235</v>
      </c>
      <c r="AN383" t="s">
        <v>1236</v>
      </c>
      <c r="AO383" t="s">
        <v>125</v>
      </c>
      <c r="AP383" t="s">
        <v>297</v>
      </c>
      <c r="AQ383" s="15">
        <v>46356</v>
      </c>
      <c r="AR383" s="15"/>
      <c r="AS383" t="s">
        <v>227</v>
      </c>
      <c r="AT383">
        <v>1</v>
      </c>
      <c r="AU383">
        <v>409950</v>
      </c>
      <c r="AV383">
        <v>0</v>
      </c>
      <c r="AW383">
        <v>0</v>
      </c>
      <c r="AX383" s="14">
        <v>409950</v>
      </c>
      <c r="AY383" s="14">
        <v>0</v>
      </c>
      <c r="AZ383" s="14">
        <v>409950</v>
      </c>
      <c r="BB383" t="s">
        <v>24</v>
      </c>
      <c r="BH383" t="s">
        <v>132</v>
      </c>
      <c r="BK383" t="s">
        <v>1100</v>
      </c>
      <c r="BV383" t="s">
        <v>132</v>
      </c>
      <c r="BW383" s="16">
        <v>46101.439583333333</v>
      </c>
      <c r="BX383" t="s">
        <v>143</v>
      </c>
      <c r="BZ383">
        <v>13</v>
      </c>
      <c r="CB383">
        <v>0</v>
      </c>
      <c r="CF383" t="s">
        <v>1087</v>
      </c>
      <c r="CG383">
        <v>2026</v>
      </c>
      <c r="CH383" t="s">
        <v>138</v>
      </c>
      <c r="CI383" t="s">
        <v>139</v>
      </c>
    </row>
    <row r="384" spans="1:87" x14ac:dyDescent="0.3">
      <c r="A384" t="s">
        <v>115</v>
      </c>
      <c r="B384" t="s">
        <v>116</v>
      </c>
      <c r="C384" t="s">
        <v>117</v>
      </c>
      <c r="D384" t="s">
        <v>118</v>
      </c>
      <c r="E384" t="s">
        <v>140</v>
      </c>
      <c r="F384" t="s">
        <v>630</v>
      </c>
      <c r="G384">
        <v>12.5</v>
      </c>
      <c r="H384">
        <v>0</v>
      </c>
      <c r="I384" s="14">
        <v>47500</v>
      </c>
      <c r="J384" s="14">
        <v>47500</v>
      </c>
      <c r="Q384" s="14"/>
      <c r="R384" s="14"/>
      <c r="Y384" s="14"/>
      <c r="Z384" s="14"/>
      <c r="AG384" s="14"/>
      <c r="AH384" s="14"/>
      <c r="AI384" t="s">
        <v>191</v>
      </c>
      <c r="AJ384" t="s">
        <v>192</v>
      </c>
      <c r="AK384" t="s">
        <v>193</v>
      </c>
      <c r="AL384">
        <v>0</v>
      </c>
      <c r="AM384" t="s">
        <v>194</v>
      </c>
      <c r="AN384" t="s">
        <v>195</v>
      </c>
      <c r="AO384" t="s">
        <v>125</v>
      </c>
      <c r="AP384" t="s">
        <v>196</v>
      </c>
      <c r="AQ384" s="15">
        <v>46023</v>
      </c>
      <c r="AR384" s="15">
        <v>46024</v>
      </c>
      <c r="AS384" t="s">
        <v>227</v>
      </c>
      <c r="AT384">
        <v>2</v>
      </c>
      <c r="AU384">
        <v>7000</v>
      </c>
      <c r="AV384">
        <v>0</v>
      </c>
      <c r="AW384">
        <v>0</v>
      </c>
      <c r="AX384" s="14">
        <v>7000</v>
      </c>
      <c r="AY384" s="14">
        <v>7000</v>
      </c>
      <c r="AZ384" s="14">
        <v>0</v>
      </c>
      <c r="BA384">
        <v>0</v>
      </c>
      <c r="BB384" t="s">
        <v>22</v>
      </c>
      <c r="BC384" t="s">
        <v>128</v>
      </c>
      <c r="BD384" t="s">
        <v>129</v>
      </c>
      <c r="BE384" t="s">
        <v>130</v>
      </c>
      <c r="BG384" t="s">
        <v>1242</v>
      </c>
      <c r="BH384" t="s">
        <v>132</v>
      </c>
      <c r="BJ384">
        <v>4</v>
      </c>
      <c r="BK384" t="s">
        <v>133</v>
      </c>
      <c r="BV384" t="s">
        <v>134</v>
      </c>
      <c r="BW384" s="16">
        <v>45903.689583333333</v>
      </c>
      <c r="BX384" t="s">
        <v>178</v>
      </c>
      <c r="BZ384">
        <v>53</v>
      </c>
      <c r="CA384" t="s">
        <v>1243</v>
      </c>
      <c r="CB384">
        <v>0</v>
      </c>
      <c r="CF384" t="s">
        <v>1087</v>
      </c>
      <c r="CG384">
        <v>2026</v>
      </c>
      <c r="CH384" t="s">
        <v>138</v>
      </c>
      <c r="CI384" t="s">
        <v>139</v>
      </c>
    </row>
    <row r="385" spans="1:87" x14ac:dyDescent="0.3">
      <c r="A385" t="s">
        <v>115</v>
      </c>
      <c r="B385" t="s">
        <v>116</v>
      </c>
      <c r="C385" t="s">
        <v>117</v>
      </c>
      <c r="D385" t="s">
        <v>118</v>
      </c>
      <c r="E385" t="s">
        <v>140</v>
      </c>
      <c r="F385" t="s">
        <v>630</v>
      </c>
      <c r="G385">
        <v>12.5</v>
      </c>
      <c r="H385">
        <v>0</v>
      </c>
      <c r="I385" s="14">
        <v>47500</v>
      </c>
      <c r="J385" s="14">
        <v>47500</v>
      </c>
      <c r="Q385" s="14"/>
      <c r="R385" s="14"/>
      <c r="Y385" s="14"/>
      <c r="Z385" s="14"/>
      <c r="AG385" s="14"/>
      <c r="AH385" s="14"/>
      <c r="AI385" t="s">
        <v>191</v>
      </c>
      <c r="AJ385" t="s">
        <v>192</v>
      </c>
      <c r="AK385" t="s">
        <v>193</v>
      </c>
      <c r="AL385">
        <v>0</v>
      </c>
      <c r="AM385" t="s">
        <v>194</v>
      </c>
      <c r="AN385" t="s">
        <v>195</v>
      </c>
      <c r="AO385" t="s">
        <v>125</v>
      </c>
      <c r="AP385" t="s">
        <v>196</v>
      </c>
      <c r="AQ385" s="15">
        <v>46112</v>
      </c>
      <c r="AR385" s="15">
        <v>46112</v>
      </c>
      <c r="AS385" t="s">
        <v>227</v>
      </c>
      <c r="AT385">
        <v>3</v>
      </c>
      <c r="AU385">
        <v>22500</v>
      </c>
      <c r="AV385">
        <v>0</v>
      </c>
      <c r="AW385">
        <v>0</v>
      </c>
      <c r="AX385" s="14">
        <v>22500</v>
      </c>
      <c r="AY385" s="14">
        <v>22500</v>
      </c>
      <c r="AZ385" s="14">
        <v>0</v>
      </c>
      <c r="BA385">
        <v>0</v>
      </c>
      <c r="BB385" t="s">
        <v>22</v>
      </c>
      <c r="BC385" t="s">
        <v>128</v>
      </c>
      <c r="BD385" t="s">
        <v>129</v>
      </c>
      <c r="BE385" t="s">
        <v>130</v>
      </c>
      <c r="BG385" t="s">
        <v>1244</v>
      </c>
      <c r="BH385" t="s">
        <v>132</v>
      </c>
      <c r="BJ385">
        <v>4</v>
      </c>
      <c r="BK385" t="s">
        <v>133</v>
      </c>
      <c r="BV385" t="s">
        <v>134</v>
      </c>
      <c r="BW385" s="16">
        <v>45903.689583333333</v>
      </c>
      <c r="BX385" t="s">
        <v>178</v>
      </c>
      <c r="BZ385">
        <v>53</v>
      </c>
      <c r="CA385" t="s">
        <v>1245</v>
      </c>
      <c r="CB385">
        <v>0</v>
      </c>
      <c r="CF385" t="s">
        <v>1087</v>
      </c>
      <c r="CG385">
        <v>2026</v>
      </c>
      <c r="CH385" t="s">
        <v>138</v>
      </c>
      <c r="CI385" t="s">
        <v>139</v>
      </c>
    </row>
    <row r="386" spans="1:87" x14ac:dyDescent="0.3">
      <c r="A386" t="s">
        <v>115</v>
      </c>
      <c r="B386" t="s">
        <v>116</v>
      </c>
      <c r="C386" t="s">
        <v>117</v>
      </c>
      <c r="D386" t="s">
        <v>118</v>
      </c>
      <c r="E386" t="s">
        <v>140</v>
      </c>
      <c r="F386" t="s">
        <v>636</v>
      </c>
      <c r="G386">
        <v>12.86</v>
      </c>
      <c r="H386">
        <v>3</v>
      </c>
      <c r="I386" s="14">
        <v>57800</v>
      </c>
      <c r="J386" s="14">
        <v>57800</v>
      </c>
      <c r="Q386" s="14"/>
      <c r="R386" s="14"/>
      <c r="Y386" s="14"/>
      <c r="Z386" s="14"/>
      <c r="AG386" s="14"/>
      <c r="AH386" s="14"/>
      <c r="AI386" t="s">
        <v>200</v>
      </c>
      <c r="AJ386" t="s">
        <v>201</v>
      </c>
      <c r="AK386" t="s">
        <v>202</v>
      </c>
      <c r="AL386">
        <v>955600933</v>
      </c>
      <c r="AM386" t="s">
        <v>203</v>
      </c>
      <c r="AN386" t="s">
        <v>204</v>
      </c>
      <c r="AO386" t="s">
        <v>125</v>
      </c>
      <c r="AP386" t="s">
        <v>205</v>
      </c>
      <c r="AQ386" s="15">
        <v>46083</v>
      </c>
      <c r="AR386" s="15">
        <v>46083</v>
      </c>
      <c r="AS386" t="s">
        <v>227</v>
      </c>
      <c r="AT386">
        <v>1</v>
      </c>
      <c r="AU386">
        <v>10000</v>
      </c>
      <c r="AV386">
        <v>0</v>
      </c>
      <c r="AW386">
        <v>0</v>
      </c>
      <c r="AX386" s="14">
        <v>10000</v>
      </c>
      <c r="AY386" s="14">
        <v>10000</v>
      </c>
      <c r="AZ386" s="14">
        <v>0</v>
      </c>
      <c r="BA386">
        <v>0</v>
      </c>
      <c r="BB386" t="s">
        <v>22</v>
      </c>
      <c r="BC386" t="s">
        <v>128</v>
      </c>
      <c r="BD386" t="s">
        <v>129</v>
      </c>
      <c r="BE386" t="s">
        <v>130</v>
      </c>
      <c r="BG386" t="s">
        <v>1246</v>
      </c>
      <c r="BH386" t="s">
        <v>132</v>
      </c>
      <c r="BJ386">
        <v>4</v>
      </c>
      <c r="BK386" t="s">
        <v>133</v>
      </c>
      <c r="BV386" t="s">
        <v>134</v>
      </c>
      <c r="BW386" s="16">
        <v>46083.425694444442</v>
      </c>
      <c r="BX386" t="s">
        <v>143</v>
      </c>
      <c r="BZ386">
        <v>61</v>
      </c>
      <c r="CA386" t="s">
        <v>1247</v>
      </c>
      <c r="CB386">
        <v>0</v>
      </c>
      <c r="CF386" t="s">
        <v>1087</v>
      </c>
      <c r="CG386">
        <v>2026</v>
      </c>
      <c r="CH386" t="s">
        <v>138</v>
      </c>
      <c r="CI386" t="s">
        <v>139</v>
      </c>
    </row>
    <row r="387" spans="1:87" x14ac:dyDescent="0.3">
      <c r="A387" t="s">
        <v>115</v>
      </c>
      <c r="B387" t="s">
        <v>116</v>
      </c>
      <c r="C387" t="s">
        <v>117</v>
      </c>
      <c r="D387" t="s">
        <v>118</v>
      </c>
      <c r="E387" t="s">
        <v>140</v>
      </c>
      <c r="F387" t="s">
        <v>636</v>
      </c>
      <c r="G387">
        <v>12.86</v>
      </c>
      <c r="H387">
        <v>3</v>
      </c>
      <c r="I387" s="14">
        <v>57800</v>
      </c>
      <c r="J387" s="14">
        <v>57800</v>
      </c>
      <c r="Q387" s="14"/>
      <c r="R387" s="14"/>
      <c r="Y387" s="14"/>
      <c r="Z387" s="14"/>
      <c r="AG387" s="14"/>
      <c r="AH387" s="14"/>
      <c r="AI387" t="s">
        <v>200</v>
      </c>
      <c r="AJ387" t="s">
        <v>201</v>
      </c>
      <c r="AK387" t="s">
        <v>202</v>
      </c>
      <c r="AL387">
        <v>955600933</v>
      </c>
      <c r="AM387" t="s">
        <v>203</v>
      </c>
      <c r="AN387" t="s">
        <v>204</v>
      </c>
      <c r="AO387" t="s">
        <v>125</v>
      </c>
      <c r="AP387" t="s">
        <v>205</v>
      </c>
      <c r="AQ387" s="15">
        <v>46233</v>
      </c>
      <c r="AR387" s="15"/>
      <c r="AS387" t="s">
        <v>227</v>
      </c>
      <c r="AT387">
        <v>2</v>
      </c>
      <c r="AU387">
        <v>18900</v>
      </c>
      <c r="AV387">
        <v>0</v>
      </c>
      <c r="AW387">
        <v>0</v>
      </c>
      <c r="AX387" s="14">
        <v>18900</v>
      </c>
      <c r="AY387" s="14">
        <v>0</v>
      </c>
      <c r="AZ387" s="14">
        <v>18900</v>
      </c>
      <c r="BB387" t="s">
        <v>22</v>
      </c>
      <c r="BH387" t="s">
        <v>132</v>
      </c>
      <c r="BK387" t="s">
        <v>550</v>
      </c>
      <c r="BV387" t="s">
        <v>132</v>
      </c>
      <c r="BW387" s="16">
        <v>46083.425694444442</v>
      </c>
      <c r="BX387" t="s">
        <v>143</v>
      </c>
      <c r="BZ387">
        <v>61</v>
      </c>
      <c r="CB387">
        <v>0</v>
      </c>
      <c r="CF387" t="s">
        <v>1087</v>
      </c>
      <c r="CG387">
        <v>2026</v>
      </c>
      <c r="CH387" t="s">
        <v>138</v>
      </c>
      <c r="CI387" t="s">
        <v>139</v>
      </c>
    </row>
    <row r="388" spans="1:87" x14ac:dyDescent="0.3">
      <c r="A388" t="s">
        <v>115</v>
      </c>
      <c r="B388" t="s">
        <v>116</v>
      </c>
      <c r="C388" t="s">
        <v>117</v>
      </c>
      <c r="D388" t="s">
        <v>118</v>
      </c>
      <c r="E388" t="s">
        <v>140</v>
      </c>
      <c r="F388" t="s">
        <v>636</v>
      </c>
      <c r="G388">
        <v>12.86</v>
      </c>
      <c r="H388">
        <v>3</v>
      </c>
      <c r="I388" s="14">
        <v>57800</v>
      </c>
      <c r="J388" s="14">
        <v>57800</v>
      </c>
      <c r="Q388" s="14"/>
      <c r="R388" s="14"/>
      <c r="Y388" s="14"/>
      <c r="Z388" s="14"/>
      <c r="AG388" s="14"/>
      <c r="AH388" s="14"/>
      <c r="AI388" t="s">
        <v>200</v>
      </c>
      <c r="AJ388" t="s">
        <v>201</v>
      </c>
      <c r="AK388" t="s">
        <v>202</v>
      </c>
      <c r="AL388">
        <v>955600933</v>
      </c>
      <c r="AM388" t="s">
        <v>203</v>
      </c>
      <c r="AN388" t="s">
        <v>204</v>
      </c>
      <c r="AO388" t="s">
        <v>125</v>
      </c>
      <c r="AP388" t="s">
        <v>205</v>
      </c>
      <c r="AQ388" s="15">
        <v>46295</v>
      </c>
      <c r="AR388" s="15"/>
      <c r="AS388" t="s">
        <v>227</v>
      </c>
      <c r="AT388">
        <v>3</v>
      </c>
      <c r="AU388">
        <v>18900</v>
      </c>
      <c r="AV388">
        <v>0</v>
      </c>
      <c r="AW388">
        <v>0</v>
      </c>
      <c r="AX388" s="14">
        <v>18900</v>
      </c>
      <c r="AY388" s="14">
        <v>0</v>
      </c>
      <c r="AZ388" s="14">
        <v>18900</v>
      </c>
      <c r="BB388" t="s">
        <v>22</v>
      </c>
      <c r="BH388" t="s">
        <v>132</v>
      </c>
      <c r="BK388" t="s">
        <v>1100</v>
      </c>
      <c r="BV388" t="s">
        <v>132</v>
      </c>
      <c r="BW388" s="16">
        <v>46083.425694444442</v>
      </c>
      <c r="BX388" t="s">
        <v>143</v>
      </c>
      <c r="BZ388">
        <v>61</v>
      </c>
      <c r="CB388">
        <v>0</v>
      </c>
      <c r="CF388" t="s">
        <v>1087</v>
      </c>
      <c r="CG388">
        <v>2026</v>
      </c>
      <c r="CH388" t="s">
        <v>138</v>
      </c>
      <c r="CI388" t="s">
        <v>139</v>
      </c>
    </row>
    <row r="389" spans="1:87" x14ac:dyDescent="0.3">
      <c r="A389" t="s">
        <v>165</v>
      </c>
      <c r="B389" t="s">
        <v>116</v>
      </c>
      <c r="C389" t="s">
        <v>117</v>
      </c>
      <c r="D389" t="s">
        <v>118</v>
      </c>
      <c r="E389" t="s">
        <v>14</v>
      </c>
      <c r="F389" t="s">
        <v>993</v>
      </c>
      <c r="G389">
        <v>68</v>
      </c>
      <c r="H389">
        <v>0</v>
      </c>
      <c r="I389" s="14">
        <v>504700</v>
      </c>
      <c r="J389" s="14">
        <v>470000</v>
      </c>
      <c r="K389" t="s">
        <v>117</v>
      </c>
      <c r="L389" t="s">
        <v>118</v>
      </c>
      <c r="M389" t="s">
        <v>140</v>
      </c>
      <c r="N389" t="s">
        <v>1248</v>
      </c>
      <c r="O389">
        <v>12.5</v>
      </c>
      <c r="P389">
        <v>1.77</v>
      </c>
      <c r="Q389" s="14">
        <v>51500</v>
      </c>
      <c r="R389" s="14">
        <v>51500</v>
      </c>
      <c r="Y389" s="14"/>
      <c r="Z389" s="14"/>
      <c r="AG389" s="14"/>
      <c r="AH389" s="14"/>
      <c r="AI389" t="s">
        <v>1249</v>
      </c>
      <c r="AJ389" t="s">
        <v>1250</v>
      </c>
      <c r="AK389" t="s">
        <v>1251</v>
      </c>
      <c r="AL389">
        <v>0</v>
      </c>
      <c r="AM389" t="s">
        <v>1252</v>
      </c>
      <c r="AN389" t="s">
        <v>1253</v>
      </c>
      <c r="AO389" t="s">
        <v>125</v>
      </c>
      <c r="AP389" t="s">
        <v>758</v>
      </c>
      <c r="AQ389" s="15">
        <v>46033</v>
      </c>
      <c r="AR389" s="15">
        <v>46033</v>
      </c>
      <c r="AS389" t="s">
        <v>127</v>
      </c>
      <c r="AT389">
        <v>1</v>
      </c>
      <c r="AU389">
        <v>3000</v>
      </c>
      <c r="AV389">
        <v>0</v>
      </c>
      <c r="AW389">
        <v>0</v>
      </c>
      <c r="AX389" s="14">
        <v>3000</v>
      </c>
      <c r="AY389" s="14">
        <v>3000</v>
      </c>
      <c r="AZ389" s="14">
        <v>0</v>
      </c>
      <c r="BA389">
        <v>0</v>
      </c>
      <c r="BB389" t="s">
        <v>23</v>
      </c>
      <c r="BC389" t="s">
        <v>175</v>
      </c>
      <c r="BD389" t="s">
        <v>176</v>
      </c>
      <c r="BE389" t="s">
        <v>130</v>
      </c>
      <c r="BG389" t="s">
        <v>1254</v>
      </c>
      <c r="BH389" t="s">
        <v>132</v>
      </c>
      <c r="BJ389">
        <v>4</v>
      </c>
      <c r="BK389" t="s">
        <v>133</v>
      </c>
      <c r="BV389" t="s">
        <v>134</v>
      </c>
      <c r="BW389" s="16">
        <v>46049.398611111108</v>
      </c>
      <c r="BX389" t="s">
        <v>143</v>
      </c>
      <c r="BZ389">
        <v>31</v>
      </c>
      <c r="CA389" t="s">
        <v>1255</v>
      </c>
      <c r="CB389">
        <v>0</v>
      </c>
      <c r="CF389" t="s">
        <v>1087</v>
      </c>
      <c r="CG389">
        <v>2026</v>
      </c>
      <c r="CH389" t="s">
        <v>138</v>
      </c>
      <c r="CI389" t="s">
        <v>139</v>
      </c>
    </row>
    <row r="390" spans="1:87" x14ac:dyDescent="0.3">
      <c r="A390" t="s">
        <v>165</v>
      </c>
      <c r="B390" t="s">
        <v>116</v>
      </c>
      <c r="C390" t="s">
        <v>117</v>
      </c>
      <c r="D390" t="s">
        <v>118</v>
      </c>
      <c r="E390" t="s">
        <v>14</v>
      </c>
      <c r="F390" t="s">
        <v>993</v>
      </c>
      <c r="G390">
        <v>68</v>
      </c>
      <c r="H390">
        <v>0</v>
      </c>
      <c r="I390" s="14">
        <v>504700</v>
      </c>
      <c r="J390" s="14">
        <v>470000</v>
      </c>
      <c r="K390" t="s">
        <v>117</v>
      </c>
      <c r="L390" t="s">
        <v>118</v>
      </c>
      <c r="M390" t="s">
        <v>140</v>
      </c>
      <c r="N390" t="s">
        <v>1248</v>
      </c>
      <c r="O390">
        <v>12.5</v>
      </c>
      <c r="P390">
        <v>1.77</v>
      </c>
      <c r="Q390" s="14">
        <v>51500</v>
      </c>
      <c r="R390" s="14">
        <v>51500</v>
      </c>
      <c r="Y390" s="14"/>
      <c r="Z390" s="14"/>
      <c r="AG390" s="14"/>
      <c r="AH390" s="14"/>
      <c r="AI390" t="s">
        <v>1249</v>
      </c>
      <c r="AJ390" t="s">
        <v>1250</v>
      </c>
      <c r="AK390" t="s">
        <v>1251</v>
      </c>
      <c r="AL390">
        <v>0</v>
      </c>
      <c r="AM390" t="s">
        <v>1252</v>
      </c>
      <c r="AN390" t="s">
        <v>1253</v>
      </c>
      <c r="AO390" t="s">
        <v>125</v>
      </c>
      <c r="AP390" t="s">
        <v>758</v>
      </c>
      <c r="AQ390" s="15">
        <v>46049</v>
      </c>
      <c r="AR390" s="15">
        <v>46049</v>
      </c>
      <c r="AS390" t="s">
        <v>145</v>
      </c>
      <c r="AT390">
        <v>1</v>
      </c>
      <c r="AU390">
        <v>5500</v>
      </c>
      <c r="AV390">
        <v>0</v>
      </c>
      <c r="AW390">
        <v>0</v>
      </c>
      <c r="AX390" s="14">
        <v>5500</v>
      </c>
      <c r="AY390" s="14">
        <v>5500</v>
      </c>
      <c r="AZ390" s="14">
        <v>0</v>
      </c>
      <c r="BA390">
        <v>0</v>
      </c>
      <c r="BB390" t="s">
        <v>23</v>
      </c>
      <c r="BC390" t="s">
        <v>175</v>
      </c>
      <c r="BD390" t="s">
        <v>176</v>
      </c>
      <c r="BE390" t="s">
        <v>130</v>
      </c>
      <c r="BG390" t="s">
        <v>1256</v>
      </c>
      <c r="BH390" t="s">
        <v>132</v>
      </c>
      <c r="BJ390">
        <v>4</v>
      </c>
      <c r="BK390" t="s">
        <v>133</v>
      </c>
      <c r="BV390" t="s">
        <v>134</v>
      </c>
      <c r="BW390" s="16">
        <v>46049.398611111108</v>
      </c>
      <c r="BX390" t="s">
        <v>143</v>
      </c>
      <c r="BZ390">
        <v>31</v>
      </c>
      <c r="CA390" t="s">
        <v>1257</v>
      </c>
      <c r="CB390">
        <v>0</v>
      </c>
      <c r="CF390" t="s">
        <v>1087</v>
      </c>
      <c r="CG390">
        <v>2026</v>
      </c>
      <c r="CH390" t="s">
        <v>138</v>
      </c>
      <c r="CI390" t="s">
        <v>139</v>
      </c>
    </row>
    <row r="391" spans="1:87" x14ac:dyDescent="0.3">
      <c r="A391" t="s">
        <v>165</v>
      </c>
      <c r="B391" t="s">
        <v>116</v>
      </c>
      <c r="C391" t="s">
        <v>117</v>
      </c>
      <c r="D391" t="s">
        <v>118</v>
      </c>
      <c r="E391" t="s">
        <v>14</v>
      </c>
      <c r="F391" t="s">
        <v>993</v>
      </c>
      <c r="G391">
        <v>68</v>
      </c>
      <c r="H391">
        <v>0</v>
      </c>
      <c r="I391" s="14">
        <v>504700</v>
      </c>
      <c r="J391" s="14">
        <v>470000</v>
      </c>
      <c r="K391" t="s">
        <v>117</v>
      </c>
      <c r="L391" t="s">
        <v>118</v>
      </c>
      <c r="M391" t="s">
        <v>140</v>
      </c>
      <c r="N391" t="s">
        <v>1248</v>
      </c>
      <c r="O391">
        <v>12.5</v>
      </c>
      <c r="P391">
        <v>1.77</v>
      </c>
      <c r="Q391" s="14">
        <v>51500</v>
      </c>
      <c r="R391" s="14">
        <v>51500</v>
      </c>
      <c r="Y391" s="14"/>
      <c r="Z391" s="14"/>
      <c r="AG391" s="14"/>
      <c r="AH391" s="14"/>
      <c r="AI391" t="s">
        <v>1249</v>
      </c>
      <c r="AJ391" t="s">
        <v>1250</v>
      </c>
      <c r="AK391" t="s">
        <v>1251</v>
      </c>
      <c r="AL391">
        <v>0</v>
      </c>
      <c r="AM391" t="s">
        <v>1252</v>
      </c>
      <c r="AN391" t="s">
        <v>1253</v>
      </c>
      <c r="AO391" t="s">
        <v>125</v>
      </c>
      <c r="AP391" t="s">
        <v>758</v>
      </c>
      <c r="AQ391" s="15">
        <v>46049</v>
      </c>
      <c r="AR391" s="15">
        <v>46049</v>
      </c>
      <c r="AS391" t="s">
        <v>145</v>
      </c>
      <c r="AT391">
        <v>2</v>
      </c>
      <c r="AU391">
        <v>30000</v>
      </c>
      <c r="AV391">
        <v>0</v>
      </c>
      <c r="AW391">
        <v>0</v>
      </c>
      <c r="AX391" s="14">
        <v>30000</v>
      </c>
      <c r="AY391" s="14">
        <v>30000</v>
      </c>
      <c r="AZ391" s="14">
        <v>0</v>
      </c>
      <c r="BA391">
        <v>0</v>
      </c>
      <c r="BB391" t="s">
        <v>23</v>
      </c>
      <c r="BC391" t="s">
        <v>175</v>
      </c>
      <c r="BD391" t="s">
        <v>176</v>
      </c>
      <c r="BE391" t="s">
        <v>130</v>
      </c>
      <c r="BG391" t="s">
        <v>1258</v>
      </c>
      <c r="BH391" t="s">
        <v>132</v>
      </c>
      <c r="BJ391">
        <v>4</v>
      </c>
      <c r="BK391" t="s">
        <v>133</v>
      </c>
      <c r="BV391" t="s">
        <v>134</v>
      </c>
      <c r="BW391" s="16">
        <v>46049.398611111108</v>
      </c>
      <c r="BX391" t="s">
        <v>143</v>
      </c>
      <c r="BZ391">
        <v>31</v>
      </c>
      <c r="CA391" t="s">
        <v>1259</v>
      </c>
      <c r="CB391">
        <v>0</v>
      </c>
      <c r="CF391" t="s">
        <v>1087</v>
      </c>
      <c r="CG391">
        <v>2026</v>
      </c>
      <c r="CH391" t="s">
        <v>138</v>
      </c>
      <c r="CI391" t="s">
        <v>139</v>
      </c>
    </row>
    <row r="392" spans="1:87" x14ac:dyDescent="0.3">
      <c r="A392" t="s">
        <v>165</v>
      </c>
      <c r="B392" t="s">
        <v>116</v>
      </c>
      <c r="C392" t="s">
        <v>117</v>
      </c>
      <c r="D392" t="s">
        <v>118</v>
      </c>
      <c r="E392" t="s">
        <v>14</v>
      </c>
      <c r="F392" t="s">
        <v>993</v>
      </c>
      <c r="G392">
        <v>68</v>
      </c>
      <c r="H392">
        <v>0</v>
      </c>
      <c r="I392" s="14">
        <v>504700</v>
      </c>
      <c r="J392" s="14">
        <v>470000</v>
      </c>
      <c r="K392" t="s">
        <v>117</v>
      </c>
      <c r="L392" t="s">
        <v>118</v>
      </c>
      <c r="M392" t="s">
        <v>140</v>
      </c>
      <c r="N392" t="s">
        <v>1248</v>
      </c>
      <c r="O392">
        <v>12.5</v>
      </c>
      <c r="P392">
        <v>1.77</v>
      </c>
      <c r="Q392" s="14">
        <v>51500</v>
      </c>
      <c r="R392" s="14">
        <v>51500</v>
      </c>
      <c r="Y392" s="14"/>
      <c r="Z392" s="14"/>
      <c r="AG392" s="14"/>
      <c r="AH392" s="14"/>
      <c r="AI392" t="s">
        <v>1249</v>
      </c>
      <c r="AJ392" t="s">
        <v>1250</v>
      </c>
      <c r="AK392" t="s">
        <v>1251</v>
      </c>
      <c r="AL392">
        <v>0</v>
      </c>
      <c r="AM392" t="s">
        <v>1252</v>
      </c>
      <c r="AN392" t="s">
        <v>1253</v>
      </c>
      <c r="AO392" t="s">
        <v>125</v>
      </c>
      <c r="AP392" t="s">
        <v>758</v>
      </c>
      <c r="AQ392" s="15">
        <v>46050</v>
      </c>
      <c r="AR392" s="15">
        <v>46050</v>
      </c>
      <c r="AS392" t="s">
        <v>145</v>
      </c>
      <c r="AT392">
        <v>3</v>
      </c>
      <c r="AU392">
        <v>30000</v>
      </c>
      <c r="AV392">
        <v>0</v>
      </c>
      <c r="AW392">
        <v>0</v>
      </c>
      <c r="AX392" s="14">
        <v>30000</v>
      </c>
      <c r="AY392" s="14">
        <v>30000</v>
      </c>
      <c r="AZ392" s="14">
        <v>0</v>
      </c>
      <c r="BA392">
        <v>0</v>
      </c>
      <c r="BB392" t="s">
        <v>23</v>
      </c>
      <c r="BC392" t="s">
        <v>175</v>
      </c>
      <c r="BD392" t="s">
        <v>176</v>
      </c>
      <c r="BE392" t="s">
        <v>130</v>
      </c>
      <c r="BG392" t="s">
        <v>1260</v>
      </c>
      <c r="BH392" t="s">
        <v>132</v>
      </c>
      <c r="BJ392">
        <v>4</v>
      </c>
      <c r="BK392" t="s">
        <v>133</v>
      </c>
      <c r="BV392" t="s">
        <v>134</v>
      </c>
      <c r="BW392" s="16">
        <v>46049.398611111108</v>
      </c>
      <c r="BX392" t="s">
        <v>143</v>
      </c>
      <c r="BZ392">
        <v>31</v>
      </c>
      <c r="CA392" t="s">
        <v>1261</v>
      </c>
      <c r="CB392">
        <v>0</v>
      </c>
      <c r="CF392" t="s">
        <v>1087</v>
      </c>
      <c r="CG392">
        <v>2026</v>
      </c>
      <c r="CH392" t="s">
        <v>138</v>
      </c>
      <c r="CI392" t="s">
        <v>139</v>
      </c>
    </row>
    <row r="393" spans="1:87" x14ac:dyDescent="0.3">
      <c r="A393" t="s">
        <v>165</v>
      </c>
      <c r="B393" t="s">
        <v>116</v>
      </c>
      <c r="C393" t="s">
        <v>117</v>
      </c>
      <c r="D393" t="s">
        <v>118</v>
      </c>
      <c r="E393" t="s">
        <v>14</v>
      </c>
      <c r="F393" t="s">
        <v>993</v>
      </c>
      <c r="G393">
        <v>68</v>
      </c>
      <c r="H393">
        <v>0</v>
      </c>
      <c r="I393" s="14">
        <v>504700</v>
      </c>
      <c r="J393" s="14">
        <v>470000</v>
      </c>
      <c r="K393" t="s">
        <v>117</v>
      </c>
      <c r="L393" t="s">
        <v>118</v>
      </c>
      <c r="M393" t="s">
        <v>140</v>
      </c>
      <c r="N393" t="s">
        <v>1248</v>
      </c>
      <c r="O393">
        <v>12.5</v>
      </c>
      <c r="P393">
        <v>1.77</v>
      </c>
      <c r="Q393" s="14">
        <v>51500</v>
      </c>
      <c r="R393" s="14">
        <v>51500</v>
      </c>
      <c r="Y393" s="14"/>
      <c r="Z393" s="14"/>
      <c r="AG393" s="14"/>
      <c r="AH393" s="14"/>
      <c r="AI393" t="s">
        <v>1249</v>
      </c>
      <c r="AJ393" t="s">
        <v>1250</v>
      </c>
      <c r="AK393" t="s">
        <v>1251</v>
      </c>
      <c r="AL393">
        <v>0</v>
      </c>
      <c r="AM393" t="s">
        <v>1252</v>
      </c>
      <c r="AN393" t="s">
        <v>1253</v>
      </c>
      <c r="AO393" t="s">
        <v>125</v>
      </c>
      <c r="AP393" t="s">
        <v>758</v>
      </c>
      <c r="AQ393" s="15">
        <v>46051</v>
      </c>
      <c r="AR393" s="15">
        <v>46051</v>
      </c>
      <c r="AS393" t="s">
        <v>145</v>
      </c>
      <c r="AT393">
        <v>4</v>
      </c>
      <c r="AU393">
        <v>2000</v>
      </c>
      <c r="AV393">
        <v>0</v>
      </c>
      <c r="AW393">
        <v>0</v>
      </c>
      <c r="AX393" s="14">
        <v>2000</v>
      </c>
      <c r="AY393" s="14">
        <v>2000</v>
      </c>
      <c r="AZ393" s="14">
        <v>0</v>
      </c>
      <c r="BA393">
        <v>0</v>
      </c>
      <c r="BB393" t="s">
        <v>23</v>
      </c>
      <c r="BC393" t="s">
        <v>175</v>
      </c>
      <c r="BD393" t="s">
        <v>176</v>
      </c>
      <c r="BE393" t="s">
        <v>130</v>
      </c>
      <c r="BH393" t="s">
        <v>132</v>
      </c>
      <c r="BJ393">
        <v>4</v>
      </c>
      <c r="BK393" t="s">
        <v>133</v>
      </c>
      <c r="BV393" t="s">
        <v>134</v>
      </c>
      <c r="BW393" s="16">
        <v>46049.398611111108</v>
      </c>
      <c r="BX393" t="s">
        <v>143</v>
      </c>
      <c r="BZ393">
        <v>31</v>
      </c>
      <c r="CA393" t="s">
        <v>1262</v>
      </c>
      <c r="CB393">
        <v>0</v>
      </c>
      <c r="CF393" t="s">
        <v>1087</v>
      </c>
      <c r="CG393">
        <v>2026</v>
      </c>
      <c r="CH393" t="s">
        <v>138</v>
      </c>
      <c r="CI393" t="s">
        <v>139</v>
      </c>
    </row>
    <row r="394" spans="1:87" x14ac:dyDescent="0.3">
      <c r="A394" t="s">
        <v>165</v>
      </c>
      <c r="B394" t="s">
        <v>116</v>
      </c>
      <c r="C394" t="s">
        <v>117</v>
      </c>
      <c r="D394" t="s">
        <v>118</v>
      </c>
      <c r="E394" t="s">
        <v>14</v>
      </c>
      <c r="F394" t="s">
        <v>993</v>
      </c>
      <c r="G394">
        <v>68</v>
      </c>
      <c r="H394">
        <v>0</v>
      </c>
      <c r="I394" s="14">
        <v>504700</v>
      </c>
      <c r="J394" s="14">
        <v>470000</v>
      </c>
      <c r="K394" t="s">
        <v>117</v>
      </c>
      <c r="L394" t="s">
        <v>118</v>
      </c>
      <c r="M394" t="s">
        <v>140</v>
      </c>
      <c r="N394" t="s">
        <v>1248</v>
      </c>
      <c r="O394">
        <v>12.5</v>
      </c>
      <c r="P394">
        <v>1.77</v>
      </c>
      <c r="Q394" s="14">
        <v>51500</v>
      </c>
      <c r="R394" s="14">
        <v>51500</v>
      </c>
      <c r="Y394" s="14"/>
      <c r="Z394" s="14"/>
      <c r="AG394" s="14"/>
      <c r="AH394" s="14"/>
      <c r="AI394" t="s">
        <v>1249</v>
      </c>
      <c r="AJ394" t="s">
        <v>1250</v>
      </c>
      <c r="AK394" t="s">
        <v>1251</v>
      </c>
      <c r="AL394">
        <v>0</v>
      </c>
      <c r="AM394" t="s">
        <v>1252</v>
      </c>
      <c r="AN394" t="s">
        <v>1253</v>
      </c>
      <c r="AO394" t="s">
        <v>125</v>
      </c>
      <c r="AP394" t="s">
        <v>758</v>
      </c>
      <c r="AQ394" s="15">
        <v>46059</v>
      </c>
      <c r="AR394" s="15">
        <v>46059</v>
      </c>
      <c r="AS394" t="s">
        <v>145</v>
      </c>
      <c r="AT394">
        <v>5</v>
      </c>
      <c r="AU394">
        <v>10000</v>
      </c>
      <c r="AV394">
        <v>0</v>
      </c>
      <c r="AW394">
        <v>0</v>
      </c>
      <c r="AX394" s="14">
        <v>10000</v>
      </c>
      <c r="AY394" s="14">
        <v>10000</v>
      </c>
      <c r="AZ394" s="14">
        <v>0</v>
      </c>
      <c r="BA394">
        <v>0</v>
      </c>
      <c r="BB394" t="s">
        <v>23</v>
      </c>
      <c r="BC394" t="s">
        <v>175</v>
      </c>
      <c r="BD394" t="s">
        <v>176</v>
      </c>
      <c r="BE394" t="s">
        <v>130</v>
      </c>
      <c r="BG394" t="s">
        <v>1263</v>
      </c>
      <c r="BH394" t="s">
        <v>132</v>
      </c>
      <c r="BJ394">
        <v>4</v>
      </c>
      <c r="BK394" t="s">
        <v>133</v>
      </c>
      <c r="BV394" t="s">
        <v>134</v>
      </c>
      <c r="BW394" s="16">
        <v>46049.398611111108</v>
      </c>
      <c r="BX394" t="s">
        <v>143</v>
      </c>
      <c r="BZ394">
        <v>31</v>
      </c>
      <c r="CA394" t="s">
        <v>1264</v>
      </c>
      <c r="CB394">
        <v>0</v>
      </c>
      <c r="CF394" t="s">
        <v>1087</v>
      </c>
      <c r="CG394">
        <v>2026</v>
      </c>
      <c r="CH394" t="s">
        <v>138</v>
      </c>
      <c r="CI394" t="s">
        <v>139</v>
      </c>
    </row>
    <row r="395" spans="1:87" x14ac:dyDescent="0.3">
      <c r="A395" t="s">
        <v>165</v>
      </c>
      <c r="B395" t="s">
        <v>116</v>
      </c>
      <c r="C395" t="s">
        <v>117</v>
      </c>
      <c r="D395" t="s">
        <v>118</v>
      </c>
      <c r="E395" t="s">
        <v>14</v>
      </c>
      <c r="F395" t="s">
        <v>993</v>
      </c>
      <c r="G395">
        <v>68</v>
      </c>
      <c r="H395">
        <v>0</v>
      </c>
      <c r="I395" s="14">
        <v>504700</v>
      </c>
      <c r="J395" s="14">
        <v>470000</v>
      </c>
      <c r="K395" t="s">
        <v>117</v>
      </c>
      <c r="L395" t="s">
        <v>118</v>
      </c>
      <c r="M395" t="s">
        <v>140</v>
      </c>
      <c r="N395" t="s">
        <v>1248</v>
      </c>
      <c r="O395">
        <v>12.5</v>
      </c>
      <c r="P395">
        <v>1.77</v>
      </c>
      <c r="Q395" s="14">
        <v>51500</v>
      </c>
      <c r="R395" s="14">
        <v>51500</v>
      </c>
      <c r="Y395" s="14"/>
      <c r="Z395" s="14"/>
      <c r="AG395" s="14"/>
      <c r="AH395" s="14"/>
      <c r="AI395" t="s">
        <v>1249</v>
      </c>
      <c r="AJ395" t="s">
        <v>1250</v>
      </c>
      <c r="AK395" t="s">
        <v>1251</v>
      </c>
      <c r="AL395">
        <v>0</v>
      </c>
      <c r="AM395" t="s">
        <v>1252</v>
      </c>
      <c r="AN395" t="s">
        <v>1253</v>
      </c>
      <c r="AO395" t="s">
        <v>125</v>
      </c>
      <c r="AP395" t="s">
        <v>758</v>
      </c>
      <c r="AQ395" s="15">
        <v>46234</v>
      </c>
      <c r="AR395" s="15">
        <v>46234</v>
      </c>
      <c r="AS395" t="s">
        <v>145</v>
      </c>
      <c r="AT395">
        <v>6</v>
      </c>
      <c r="AU395">
        <v>10000</v>
      </c>
      <c r="AV395">
        <v>0</v>
      </c>
      <c r="AW395">
        <v>0</v>
      </c>
      <c r="AX395" s="14">
        <v>10000</v>
      </c>
      <c r="AY395" s="14">
        <v>10000</v>
      </c>
      <c r="AZ395" s="14">
        <v>0</v>
      </c>
      <c r="BA395">
        <v>0</v>
      </c>
      <c r="BB395" t="s">
        <v>23</v>
      </c>
      <c r="BC395" t="s">
        <v>175</v>
      </c>
      <c r="BD395" t="s">
        <v>176</v>
      </c>
      <c r="BE395" t="s">
        <v>130</v>
      </c>
      <c r="BG395" t="s">
        <v>1265</v>
      </c>
      <c r="BH395" t="s">
        <v>132</v>
      </c>
      <c r="BJ395">
        <v>4</v>
      </c>
      <c r="BK395" t="s">
        <v>133</v>
      </c>
      <c r="BV395" t="s">
        <v>134</v>
      </c>
      <c r="BW395" s="16">
        <v>46049.398611111108</v>
      </c>
      <c r="BX395" t="s">
        <v>143</v>
      </c>
      <c r="BZ395">
        <v>31</v>
      </c>
      <c r="CA395" t="s">
        <v>1266</v>
      </c>
      <c r="CB395">
        <v>0</v>
      </c>
      <c r="CF395" t="s">
        <v>1087</v>
      </c>
      <c r="CG395">
        <v>2026</v>
      </c>
      <c r="CH395" t="s">
        <v>138</v>
      </c>
      <c r="CI395" t="s">
        <v>139</v>
      </c>
    </row>
    <row r="396" spans="1:87" x14ac:dyDescent="0.3">
      <c r="A396" t="s">
        <v>165</v>
      </c>
      <c r="B396" t="s">
        <v>116</v>
      </c>
      <c r="C396" t="s">
        <v>117</v>
      </c>
      <c r="D396" t="s">
        <v>118</v>
      </c>
      <c r="E396" t="s">
        <v>14</v>
      </c>
      <c r="F396" t="s">
        <v>993</v>
      </c>
      <c r="G396">
        <v>68</v>
      </c>
      <c r="H396">
        <v>0</v>
      </c>
      <c r="I396" s="14">
        <v>504700</v>
      </c>
      <c r="J396" s="14">
        <v>470000</v>
      </c>
      <c r="K396" t="s">
        <v>117</v>
      </c>
      <c r="L396" t="s">
        <v>118</v>
      </c>
      <c r="M396" t="s">
        <v>140</v>
      </c>
      <c r="N396" t="s">
        <v>1248</v>
      </c>
      <c r="O396">
        <v>12.5</v>
      </c>
      <c r="P396">
        <v>1.77</v>
      </c>
      <c r="Q396" s="14">
        <v>51500</v>
      </c>
      <c r="R396" s="14">
        <v>51500</v>
      </c>
      <c r="Y396" s="14"/>
      <c r="Z396" s="14"/>
      <c r="AG396" s="14"/>
      <c r="AH396" s="14"/>
      <c r="AI396" t="s">
        <v>1249</v>
      </c>
      <c r="AJ396" t="s">
        <v>1250</v>
      </c>
      <c r="AK396" t="s">
        <v>1251</v>
      </c>
      <c r="AL396">
        <v>0</v>
      </c>
      <c r="AM396" t="s">
        <v>1252</v>
      </c>
      <c r="AN396" t="s">
        <v>1253</v>
      </c>
      <c r="AO396" t="s">
        <v>125</v>
      </c>
      <c r="AP396" t="s">
        <v>758</v>
      </c>
      <c r="AQ396" s="15">
        <v>46112</v>
      </c>
      <c r="AR396" s="15"/>
      <c r="AS396" t="s">
        <v>227</v>
      </c>
      <c r="AT396">
        <v>1</v>
      </c>
      <c r="AU396">
        <v>107750</v>
      </c>
      <c r="AV396">
        <v>0</v>
      </c>
      <c r="AW396">
        <v>0</v>
      </c>
      <c r="AX396" s="14">
        <v>107750</v>
      </c>
      <c r="AY396" s="14">
        <v>0</v>
      </c>
      <c r="AZ396" s="14">
        <v>107750</v>
      </c>
      <c r="BB396" t="s">
        <v>23</v>
      </c>
      <c r="BH396" t="s">
        <v>132</v>
      </c>
      <c r="BK396" t="s">
        <v>550</v>
      </c>
      <c r="BV396" t="s">
        <v>132</v>
      </c>
      <c r="BW396" s="16">
        <v>46049.398611111108</v>
      </c>
      <c r="BX396" t="s">
        <v>143</v>
      </c>
      <c r="BZ396">
        <v>31</v>
      </c>
      <c r="CB396">
        <v>0</v>
      </c>
      <c r="CF396" t="s">
        <v>1087</v>
      </c>
      <c r="CG396">
        <v>2026</v>
      </c>
      <c r="CH396" t="s">
        <v>138</v>
      </c>
      <c r="CI396" t="s">
        <v>139</v>
      </c>
    </row>
    <row r="397" spans="1:87" x14ac:dyDescent="0.3">
      <c r="A397" t="s">
        <v>165</v>
      </c>
      <c r="B397" t="s">
        <v>116</v>
      </c>
      <c r="C397" t="s">
        <v>117</v>
      </c>
      <c r="D397" t="s">
        <v>118</v>
      </c>
      <c r="E397" t="s">
        <v>14</v>
      </c>
      <c r="F397" t="s">
        <v>993</v>
      </c>
      <c r="G397">
        <v>68</v>
      </c>
      <c r="H397">
        <v>0</v>
      </c>
      <c r="I397" s="14">
        <v>504700</v>
      </c>
      <c r="J397" s="14">
        <v>470000</v>
      </c>
      <c r="K397" t="s">
        <v>117</v>
      </c>
      <c r="L397" t="s">
        <v>118</v>
      </c>
      <c r="M397" t="s">
        <v>140</v>
      </c>
      <c r="N397" t="s">
        <v>1248</v>
      </c>
      <c r="O397">
        <v>12.5</v>
      </c>
      <c r="P397">
        <v>1.77</v>
      </c>
      <c r="Q397" s="14">
        <v>51500</v>
      </c>
      <c r="R397" s="14">
        <v>51500</v>
      </c>
      <c r="Y397" s="14"/>
      <c r="Z397" s="14"/>
      <c r="AG397" s="14"/>
      <c r="AH397" s="14"/>
      <c r="AI397" t="s">
        <v>1249</v>
      </c>
      <c r="AJ397" t="s">
        <v>1250</v>
      </c>
      <c r="AK397" t="s">
        <v>1251</v>
      </c>
      <c r="AL397">
        <v>0</v>
      </c>
      <c r="AM397" t="s">
        <v>1252</v>
      </c>
      <c r="AN397" t="s">
        <v>1253</v>
      </c>
      <c r="AO397" t="s">
        <v>125</v>
      </c>
      <c r="AP397" t="s">
        <v>758</v>
      </c>
      <c r="AQ397" s="15">
        <v>46387</v>
      </c>
      <c r="AR397" s="15"/>
      <c r="AS397" t="s">
        <v>227</v>
      </c>
      <c r="AT397">
        <v>2</v>
      </c>
      <c r="AU397">
        <v>107750</v>
      </c>
      <c r="AV397">
        <v>0</v>
      </c>
      <c r="AW397">
        <v>0</v>
      </c>
      <c r="AX397" s="14">
        <v>107750</v>
      </c>
      <c r="AY397" s="14">
        <v>0</v>
      </c>
      <c r="AZ397" s="14">
        <v>107750</v>
      </c>
      <c r="BB397" t="s">
        <v>23</v>
      </c>
      <c r="BH397" t="s">
        <v>132</v>
      </c>
      <c r="BK397" t="s">
        <v>1100</v>
      </c>
      <c r="BV397" t="s">
        <v>132</v>
      </c>
      <c r="BW397" s="16">
        <v>46049.398611111108</v>
      </c>
      <c r="BX397" t="s">
        <v>143</v>
      </c>
      <c r="BZ397">
        <v>31</v>
      </c>
      <c r="CB397">
        <v>0</v>
      </c>
      <c r="CF397" t="s">
        <v>1087</v>
      </c>
      <c r="CG397">
        <v>2026</v>
      </c>
      <c r="CH397" t="s">
        <v>138</v>
      </c>
      <c r="CI397" t="s">
        <v>139</v>
      </c>
    </row>
    <row r="398" spans="1:87" x14ac:dyDescent="0.3">
      <c r="A398" t="s">
        <v>165</v>
      </c>
      <c r="B398" t="s">
        <v>116</v>
      </c>
      <c r="C398" t="s">
        <v>117</v>
      </c>
      <c r="D398" t="s">
        <v>118</v>
      </c>
      <c r="E398" t="s">
        <v>14</v>
      </c>
      <c r="F398" t="s">
        <v>274</v>
      </c>
      <c r="G398">
        <v>68</v>
      </c>
      <c r="H398">
        <v>0</v>
      </c>
      <c r="I398" s="14">
        <v>504700</v>
      </c>
      <c r="J398" s="14">
        <v>459100</v>
      </c>
      <c r="K398" t="s">
        <v>117</v>
      </c>
      <c r="L398" t="s">
        <v>118</v>
      </c>
      <c r="M398" t="s">
        <v>140</v>
      </c>
      <c r="N398" t="s">
        <v>641</v>
      </c>
      <c r="O398">
        <v>12</v>
      </c>
      <c r="P398">
        <v>0</v>
      </c>
      <c r="Q398" s="14">
        <v>45600</v>
      </c>
      <c r="R398" s="14">
        <v>45600</v>
      </c>
      <c r="Y398" s="14"/>
      <c r="Z398" s="14"/>
      <c r="AG398" s="14"/>
      <c r="AH398" s="14"/>
      <c r="AI398" t="s">
        <v>642</v>
      </c>
      <c r="AJ398" t="s">
        <v>643</v>
      </c>
      <c r="AK398" t="s">
        <v>644</v>
      </c>
      <c r="AL398">
        <v>0</v>
      </c>
      <c r="AM398" t="s">
        <v>645</v>
      </c>
      <c r="AN398" t="s">
        <v>646</v>
      </c>
      <c r="AO398" t="s">
        <v>125</v>
      </c>
      <c r="AP398" t="s">
        <v>297</v>
      </c>
      <c r="AQ398" s="15">
        <v>46172</v>
      </c>
      <c r="AR398" s="15"/>
      <c r="AS398" t="s">
        <v>145</v>
      </c>
      <c r="AT398">
        <v>2</v>
      </c>
      <c r="AU398">
        <v>14000</v>
      </c>
      <c r="AV398">
        <v>0</v>
      </c>
      <c r="AW398">
        <v>0</v>
      </c>
      <c r="AX398" s="14">
        <v>14000</v>
      </c>
      <c r="AY398" s="14">
        <v>0</v>
      </c>
      <c r="AZ398" s="14">
        <v>14000</v>
      </c>
      <c r="BB398" t="s">
        <v>24</v>
      </c>
      <c r="BH398" t="s">
        <v>132</v>
      </c>
      <c r="BK398" t="s">
        <v>550</v>
      </c>
      <c r="BV398" t="s">
        <v>132</v>
      </c>
      <c r="BW398" s="16">
        <v>46017.425694444442</v>
      </c>
      <c r="BX398" t="s">
        <v>143</v>
      </c>
      <c r="BZ398">
        <v>28</v>
      </c>
      <c r="CB398">
        <v>0</v>
      </c>
      <c r="CF398" t="s">
        <v>1087</v>
      </c>
      <c r="CG398">
        <v>2026</v>
      </c>
      <c r="CH398" t="s">
        <v>138</v>
      </c>
      <c r="CI398" t="s">
        <v>139</v>
      </c>
    </row>
    <row r="399" spans="1:87" x14ac:dyDescent="0.3">
      <c r="A399" t="s">
        <v>165</v>
      </c>
      <c r="B399" t="s">
        <v>116</v>
      </c>
      <c r="C399" t="s">
        <v>117</v>
      </c>
      <c r="D399" t="s">
        <v>118</v>
      </c>
      <c r="E399" t="s">
        <v>14</v>
      </c>
      <c r="F399" t="s">
        <v>274</v>
      </c>
      <c r="G399">
        <v>68</v>
      </c>
      <c r="H399">
        <v>0</v>
      </c>
      <c r="I399" s="14">
        <v>504700</v>
      </c>
      <c r="J399" s="14">
        <v>459100</v>
      </c>
      <c r="K399" t="s">
        <v>117</v>
      </c>
      <c r="L399" t="s">
        <v>118</v>
      </c>
      <c r="M399" t="s">
        <v>140</v>
      </c>
      <c r="N399" t="s">
        <v>641</v>
      </c>
      <c r="O399">
        <v>12</v>
      </c>
      <c r="P399">
        <v>0</v>
      </c>
      <c r="Q399" s="14">
        <v>45600</v>
      </c>
      <c r="R399" s="14">
        <v>45600</v>
      </c>
      <c r="Y399" s="14"/>
      <c r="Z399" s="14"/>
      <c r="AG399" s="14"/>
      <c r="AH399" s="14"/>
      <c r="AI399" t="s">
        <v>642</v>
      </c>
      <c r="AJ399" t="s">
        <v>643</v>
      </c>
      <c r="AK399" t="s">
        <v>644</v>
      </c>
      <c r="AL399">
        <v>0</v>
      </c>
      <c r="AM399" t="s">
        <v>645</v>
      </c>
      <c r="AN399" t="s">
        <v>646</v>
      </c>
      <c r="AO399" t="s">
        <v>125</v>
      </c>
      <c r="AP399" t="s">
        <v>297</v>
      </c>
      <c r="AQ399" s="15">
        <v>46172</v>
      </c>
      <c r="AR399" s="15">
        <v>46168</v>
      </c>
      <c r="AS399" t="s">
        <v>145</v>
      </c>
      <c r="AT399">
        <v>3</v>
      </c>
      <c r="AU399">
        <v>0</v>
      </c>
      <c r="AV399">
        <v>0</v>
      </c>
      <c r="AW399">
        <v>0</v>
      </c>
      <c r="AX399" s="14">
        <v>173000</v>
      </c>
      <c r="AY399" s="14">
        <v>148000</v>
      </c>
      <c r="AZ399" s="14">
        <v>0</v>
      </c>
      <c r="BA399">
        <v>0</v>
      </c>
      <c r="BB399" t="s">
        <v>24</v>
      </c>
      <c r="BC399" t="s">
        <v>175</v>
      </c>
      <c r="BD399" t="s">
        <v>176</v>
      </c>
      <c r="BE399" t="s">
        <v>130</v>
      </c>
      <c r="BG399" t="s">
        <v>1267</v>
      </c>
      <c r="BH399" t="s">
        <v>132</v>
      </c>
      <c r="BJ399">
        <v>4</v>
      </c>
      <c r="BK399" t="s">
        <v>133</v>
      </c>
      <c r="BV399" t="s">
        <v>134</v>
      </c>
      <c r="BW399" s="16">
        <v>46017.425694444442</v>
      </c>
      <c r="BX399" t="s">
        <v>143</v>
      </c>
      <c r="BZ399">
        <v>28</v>
      </c>
      <c r="CA399" t="s">
        <v>1268</v>
      </c>
      <c r="CB399">
        <v>0</v>
      </c>
      <c r="CF399" t="s">
        <v>1087</v>
      </c>
      <c r="CG399">
        <v>2026</v>
      </c>
      <c r="CH399" t="s">
        <v>138</v>
      </c>
      <c r="CI399" t="s">
        <v>139</v>
      </c>
    </row>
    <row r="400" spans="1:87" x14ac:dyDescent="0.3">
      <c r="A400" t="s">
        <v>165</v>
      </c>
      <c r="B400" t="s">
        <v>116</v>
      </c>
      <c r="C400" t="s">
        <v>117</v>
      </c>
      <c r="D400" t="s">
        <v>118</v>
      </c>
      <c r="E400" t="s">
        <v>14</v>
      </c>
      <c r="F400" t="s">
        <v>274</v>
      </c>
      <c r="G400">
        <v>68</v>
      </c>
      <c r="H400">
        <v>0</v>
      </c>
      <c r="I400" s="14">
        <v>504700</v>
      </c>
      <c r="J400" s="14">
        <v>459100</v>
      </c>
      <c r="K400" t="s">
        <v>117</v>
      </c>
      <c r="L400" t="s">
        <v>118</v>
      </c>
      <c r="M400" t="s">
        <v>140</v>
      </c>
      <c r="N400" t="s">
        <v>641</v>
      </c>
      <c r="O400">
        <v>12</v>
      </c>
      <c r="P400">
        <v>0</v>
      </c>
      <c r="Q400" s="14">
        <v>45600</v>
      </c>
      <c r="R400" s="14">
        <v>45600</v>
      </c>
      <c r="Y400" s="14"/>
      <c r="Z400" s="14"/>
      <c r="AG400" s="14"/>
      <c r="AH400" s="14"/>
      <c r="AI400" t="s">
        <v>642</v>
      </c>
      <c r="AJ400" t="s">
        <v>643</v>
      </c>
      <c r="AK400" t="s">
        <v>644</v>
      </c>
      <c r="AL400">
        <v>0</v>
      </c>
      <c r="AM400" t="s">
        <v>645</v>
      </c>
      <c r="AN400" t="s">
        <v>646</v>
      </c>
      <c r="AO400" t="s">
        <v>125</v>
      </c>
      <c r="AP400" t="s">
        <v>297</v>
      </c>
      <c r="AQ400" s="15">
        <v>46172</v>
      </c>
      <c r="AR400" s="15">
        <v>46200</v>
      </c>
      <c r="AS400" t="s">
        <v>145</v>
      </c>
      <c r="AT400">
        <v>3</v>
      </c>
      <c r="AU400">
        <v>0</v>
      </c>
      <c r="AV400">
        <v>0</v>
      </c>
      <c r="AW400">
        <v>0</v>
      </c>
      <c r="AX400" s="14">
        <v>0</v>
      </c>
      <c r="AY400" s="14">
        <v>9300</v>
      </c>
      <c r="AZ400" s="14">
        <v>0</v>
      </c>
      <c r="BA400">
        <v>0</v>
      </c>
      <c r="BB400" t="s">
        <v>24</v>
      </c>
      <c r="BC400" t="s">
        <v>175</v>
      </c>
      <c r="BD400" t="s">
        <v>176</v>
      </c>
      <c r="BE400" t="s">
        <v>130</v>
      </c>
      <c r="BG400" t="s">
        <v>1269</v>
      </c>
      <c r="BH400" t="s">
        <v>132</v>
      </c>
      <c r="BJ400">
        <v>4</v>
      </c>
      <c r="BK400" t="s">
        <v>133</v>
      </c>
      <c r="BV400" t="s">
        <v>134</v>
      </c>
      <c r="BW400" s="16">
        <v>46017.425694444442</v>
      </c>
      <c r="BX400" t="s">
        <v>143</v>
      </c>
      <c r="BZ400">
        <v>28</v>
      </c>
      <c r="CA400" t="s">
        <v>1270</v>
      </c>
      <c r="CB400">
        <v>0</v>
      </c>
      <c r="CF400" t="s">
        <v>1087</v>
      </c>
      <c r="CG400">
        <v>2026</v>
      </c>
      <c r="CH400" t="s">
        <v>138</v>
      </c>
      <c r="CI400" t="s">
        <v>139</v>
      </c>
    </row>
    <row r="401" spans="1:87" x14ac:dyDescent="0.3">
      <c r="A401" t="s">
        <v>165</v>
      </c>
      <c r="B401" t="s">
        <v>116</v>
      </c>
      <c r="C401" t="s">
        <v>117</v>
      </c>
      <c r="D401" t="s">
        <v>118</v>
      </c>
      <c r="E401" t="s">
        <v>14</v>
      </c>
      <c r="F401" t="s">
        <v>274</v>
      </c>
      <c r="G401">
        <v>68</v>
      </c>
      <c r="H401">
        <v>0</v>
      </c>
      <c r="I401" s="14">
        <v>504700</v>
      </c>
      <c r="J401" s="14">
        <v>459100</v>
      </c>
      <c r="K401" t="s">
        <v>117</v>
      </c>
      <c r="L401" t="s">
        <v>118</v>
      </c>
      <c r="M401" t="s">
        <v>140</v>
      </c>
      <c r="N401" t="s">
        <v>641</v>
      </c>
      <c r="O401">
        <v>12</v>
      </c>
      <c r="P401">
        <v>0</v>
      </c>
      <c r="Q401" s="14">
        <v>45600</v>
      </c>
      <c r="R401" s="14">
        <v>45600</v>
      </c>
      <c r="Y401" s="14"/>
      <c r="Z401" s="14"/>
      <c r="AG401" s="14"/>
      <c r="AH401" s="14"/>
      <c r="AI401" t="s">
        <v>642</v>
      </c>
      <c r="AJ401" t="s">
        <v>643</v>
      </c>
      <c r="AK401" t="s">
        <v>644</v>
      </c>
      <c r="AL401">
        <v>0</v>
      </c>
      <c r="AM401" t="s">
        <v>645</v>
      </c>
      <c r="AN401" t="s">
        <v>646</v>
      </c>
      <c r="AO401" t="s">
        <v>125</v>
      </c>
      <c r="AP401" t="s">
        <v>297</v>
      </c>
      <c r="AQ401" s="15">
        <v>46172</v>
      </c>
      <c r="AR401" s="15">
        <v>46247</v>
      </c>
      <c r="AS401" t="s">
        <v>145</v>
      </c>
      <c r="AT401">
        <v>3</v>
      </c>
      <c r="AU401">
        <v>0</v>
      </c>
      <c r="AV401">
        <v>0</v>
      </c>
      <c r="AW401">
        <v>0</v>
      </c>
      <c r="AX401" s="14">
        <v>0</v>
      </c>
      <c r="AY401" s="14">
        <v>700</v>
      </c>
      <c r="AZ401" s="14">
        <v>0</v>
      </c>
      <c r="BA401">
        <v>0</v>
      </c>
      <c r="BB401" t="s">
        <v>24</v>
      </c>
      <c r="BC401" t="s">
        <v>175</v>
      </c>
      <c r="BD401" t="s">
        <v>176</v>
      </c>
      <c r="BE401" t="s">
        <v>130</v>
      </c>
      <c r="BG401" t="s">
        <v>1271</v>
      </c>
      <c r="BH401" t="s">
        <v>134</v>
      </c>
      <c r="BJ401">
        <v>4</v>
      </c>
      <c r="BK401" t="s">
        <v>133</v>
      </c>
      <c r="BV401" t="s">
        <v>134</v>
      </c>
      <c r="BW401" s="16">
        <v>46017.425694444442</v>
      </c>
      <c r="BX401" t="s">
        <v>143</v>
      </c>
      <c r="BZ401">
        <v>28</v>
      </c>
      <c r="CA401" t="s">
        <v>1270</v>
      </c>
      <c r="CB401">
        <v>0</v>
      </c>
      <c r="CF401" t="s">
        <v>1087</v>
      </c>
      <c r="CG401">
        <v>2026</v>
      </c>
      <c r="CH401" t="s">
        <v>138</v>
      </c>
      <c r="CI401" t="s">
        <v>139</v>
      </c>
    </row>
    <row r="402" spans="1:87" x14ac:dyDescent="0.3">
      <c r="A402" t="s">
        <v>165</v>
      </c>
      <c r="B402" t="s">
        <v>116</v>
      </c>
      <c r="C402" t="s">
        <v>117</v>
      </c>
      <c r="D402" t="s">
        <v>118</v>
      </c>
      <c r="E402" t="s">
        <v>14</v>
      </c>
      <c r="F402" t="s">
        <v>274</v>
      </c>
      <c r="G402">
        <v>68</v>
      </c>
      <c r="H402">
        <v>0</v>
      </c>
      <c r="I402" s="14">
        <v>504700</v>
      </c>
      <c r="J402" s="14">
        <v>459100</v>
      </c>
      <c r="K402" t="s">
        <v>117</v>
      </c>
      <c r="L402" t="s">
        <v>118</v>
      </c>
      <c r="M402" t="s">
        <v>140</v>
      </c>
      <c r="N402" t="s">
        <v>641</v>
      </c>
      <c r="O402">
        <v>12</v>
      </c>
      <c r="P402">
        <v>0</v>
      </c>
      <c r="Q402" s="14">
        <v>45600</v>
      </c>
      <c r="R402" s="14">
        <v>45600</v>
      </c>
      <c r="Y402" s="14"/>
      <c r="Z402" s="14"/>
      <c r="AG402" s="14"/>
      <c r="AH402" s="14"/>
      <c r="AI402" t="s">
        <v>642</v>
      </c>
      <c r="AJ402" t="s">
        <v>643</v>
      </c>
      <c r="AK402" t="s">
        <v>644</v>
      </c>
      <c r="AL402">
        <v>0</v>
      </c>
      <c r="AM402" t="s">
        <v>645</v>
      </c>
      <c r="AN402" t="s">
        <v>646</v>
      </c>
      <c r="AO402" t="s">
        <v>125</v>
      </c>
      <c r="AP402" t="s">
        <v>297</v>
      </c>
      <c r="AQ402" s="15">
        <v>46172</v>
      </c>
      <c r="AR402" s="15">
        <v>46202</v>
      </c>
      <c r="AS402" t="s">
        <v>145</v>
      </c>
      <c r="AT402">
        <v>3</v>
      </c>
      <c r="AU402">
        <v>0</v>
      </c>
      <c r="AV402">
        <v>0</v>
      </c>
      <c r="AW402">
        <v>0</v>
      </c>
      <c r="AX402" s="14">
        <v>0</v>
      </c>
      <c r="AY402" s="14">
        <v>4900</v>
      </c>
      <c r="AZ402" s="14">
        <v>0</v>
      </c>
      <c r="BA402">
        <v>0</v>
      </c>
      <c r="BB402" t="s">
        <v>24</v>
      </c>
      <c r="BC402" t="s">
        <v>175</v>
      </c>
      <c r="BD402" t="s">
        <v>176</v>
      </c>
      <c r="BE402" t="s">
        <v>130</v>
      </c>
      <c r="BG402" t="s">
        <v>1272</v>
      </c>
      <c r="BH402" t="s">
        <v>132</v>
      </c>
      <c r="BJ402">
        <v>4</v>
      </c>
      <c r="BK402" t="s">
        <v>133</v>
      </c>
      <c r="BV402" t="s">
        <v>134</v>
      </c>
      <c r="BW402" s="16">
        <v>46017.425694444442</v>
      </c>
      <c r="BX402" t="s">
        <v>143</v>
      </c>
      <c r="BZ402">
        <v>28</v>
      </c>
      <c r="CA402" t="s">
        <v>1273</v>
      </c>
      <c r="CB402">
        <v>0</v>
      </c>
      <c r="CF402" t="s">
        <v>1087</v>
      </c>
      <c r="CG402">
        <v>2026</v>
      </c>
      <c r="CH402" t="s">
        <v>138</v>
      </c>
      <c r="CI402" t="s">
        <v>139</v>
      </c>
    </row>
    <row r="403" spans="1:87" x14ac:dyDescent="0.3">
      <c r="A403" t="s">
        <v>165</v>
      </c>
      <c r="B403" t="s">
        <v>116</v>
      </c>
      <c r="C403" t="s">
        <v>117</v>
      </c>
      <c r="D403" t="s">
        <v>118</v>
      </c>
      <c r="E403" t="s">
        <v>14</v>
      </c>
      <c r="F403" t="s">
        <v>274</v>
      </c>
      <c r="G403">
        <v>68</v>
      </c>
      <c r="H403">
        <v>0</v>
      </c>
      <c r="I403" s="14">
        <v>504700</v>
      </c>
      <c r="J403" s="14">
        <v>459100</v>
      </c>
      <c r="K403" t="s">
        <v>117</v>
      </c>
      <c r="L403" t="s">
        <v>118</v>
      </c>
      <c r="M403" t="s">
        <v>140</v>
      </c>
      <c r="N403" t="s">
        <v>641</v>
      </c>
      <c r="O403">
        <v>12</v>
      </c>
      <c r="P403">
        <v>0</v>
      </c>
      <c r="Q403" s="14">
        <v>45600</v>
      </c>
      <c r="R403" s="14">
        <v>45600</v>
      </c>
      <c r="Y403" s="14"/>
      <c r="Z403" s="14"/>
      <c r="AG403" s="14"/>
      <c r="AH403" s="14"/>
      <c r="AI403" t="s">
        <v>642</v>
      </c>
      <c r="AJ403" t="s">
        <v>643</v>
      </c>
      <c r="AK403" t="s">
        <v>644</v>
      </c>
      <c r="AL403">
        <v>0</v>
      </c>
      <c r="AM403" t="s">
        <v>645</v>
      </c>
      <c r="AN403" t="s">
        <v>646</v>
      </c>
      <c r="AO403" t="s">
        <v>125</v>
      </c>
      <c r="AP403" t="s">
        <v>297</v>
      </c>
      <c r="AQ403" s="15">
        <v>46172</v>
      </c>
      <c r="AR403" s="15">
        <v>46201</v>
      </c>
      <c r="AS403" t="s">
        <v>145</v>
      </c>
      <c r="AT403">
        <v>3</v>
      </c>
      <c r="AU403">
        <v>0</v>
      </c>
      <c r="AV403">
        <v>0</v>
      </c>
      <c r="AW403">
        <v>0</v>
      </c>
      <c r="AX403" s="14">
        <v>0</v>
      </c>
      <c r="AY403" s="14">
        <v>10000</v>
      </c>
      <c r="AZ403" s="14">
        <v>0</v>
      </c>
      <c r="BA403">
        <v>0</v>
      </c>
      <c r="BB403" t="s">
        <v>24</v>
      </c>
      <c r="BC403" t="s">
        <v>175</v>
      </c>
      <c r="BD403" t="s">
        <v>176</v>
      </c>
      <c r="BE403" t="s">
        <v>130</v>
      </c>
      <c r="BG403" t="s">
        <v>1274</v>
      </c>
      <c r="BH403" t="s">
        <v>132</v>
      </c>
      <c r="BJ403">
        <v>4</v>
      </c>
      <c r="BK403" t="s">
        <v>133</v>
      </c>
      <c r="BV403" t="s">
        <v>134</v>
      </c>
      <c r="BW403" s="16">
        <v>46017.425694444442</v>
      </c>
      <c r="BX403" t="s">
        <v>143</v>
      </c>
      <c r="BZ403">
        <v>28</v>
      </c>
      <c r="CA403" t="s">
        <v>1275</v>
      </c>
      <c r="CB403">
        <v>0</v>
      </c>
      <c r="CF403" t="s">
        <v>1087</v>
      </c>
      <c r="CG403">
        <v>2026</v>
      </c>
      <c r="CH403" t="s">
        <v>138</v>
      </c>
      <c r="CI403" t="s">
        <v>139</v>
      </c>
    </row>
    <row r="404" spans="1:87" x14ac:dyDescent="0.3">
      <c r="A404" t="s">
        <v>165</v>
      </c>
      <c r="B404" t="s">
        <v>116</v>
      </c>
      <c r="C404" t="s">
        <v>117</v>
      </c>
      <c r="D404" t="s">
        <v>118</v>
      </c>
      <c r="E404" t="s">
        <v>14</v>
      </c>
      <c r="F404" t="s">
        <v>274</v>
      </c>
      <c r="G404">
        <v>68</v>
      </c>
      <c r="H404">
        <v>0</v>
      </c>
      <c r="I404" s="14">
        <v>504700</v>
      </c>
      <c r="J404" s="14">
        <v>459100</v>
      </c>
      <c r="K404" t="s">
        <v>117</v>
      </c>
      <c r="L404" t="s">
        <v>118</v>
      </c>
      <c r="M404" t="s">
        <v>140</v>
      </c>
      <c r="N404" t="s">
        <v>641</v>
      </c>
      <c r="O404">
        <v>12</v>
      </c>
      <c r="P404">
        <v>0</v>
      </c>
      <c r="Q404" s="14">
        <v>45600</v>
      </c>
      <c r="R404" s="14">
        <v>45600</v>
      </c>
      <c r="Y404" s="14"/>
      <c r="Z404" s="14"/>
      <c r="AG404" s="14"/>
      <c r="AH404" s="14"/>
      <c r="AI404" t="s">
        <v>642</v>
      </c>
      <c r="AJ404" t="s">
        <v>643</v>
      </c>
      <c r="AK404" t="s">
        <v>644</v>
      </c>
      <c r="AL404">
        <v>0</v>
      </c>
      <c r="AM404" t="s">
        <v>645</v>
      </c>
      <c r="AN404" t="s">
        <v>646</v>
      </c>
      <c r="AO404" t="s">
        <v>125</v>
      </c>
      <c r="AP404" t="s">
        <v>297</v>
      </c>
      <c r="AQ404" s="15">
        <v>46172</v>
      </c>
      <c r="AR404" s="15">
        <v>46202</v>
      </c>
      <c r="AS404" t="s">
        <v>145</v>
      </c>
      <c r="AT404">
        <v>3</v>
      </c>
      <c r="AU404">
        <v>173000</v>
      </c>
      <c r="AV404">
        <v>0</v>
      </c>
      <c r="AW404">
        <v>0</v>
      </c>
      <c r="AX404" s="14">
        <v>0</v>
      </c>
      <c r="AY404" s="14">
        <v>100</v>
      </c>
      <c r="AZ404" s="14">
        <v>0</v>
      </c>
      <c r="BA404">
        <v>0</v>
      </c>
      <c r="BB404" t="s">
        <v>24</v>
      </c>
      <c r="BC404" t="s">
        <v>175</v>
      </c>
      <c r="BD404" t="s">
        <v>176</v>
      </c>
      <c r="BE404" t="s">
        <v>130</v>
      </c>
      <c r="BG404" t="s">
        <v>1276</v>
      </c>
      <c r="BH404" t="s">
        <v>132</v>
      </c>
      <c r="BJ404">
        <v>4</v>
      </c>
      <c r="BK404" t="s">
        <v>133</v>
      </c>
      <c r="BV404" t="s">
        <v>134</v>
      </c>
      <c r="BW404" s="16">
        <v>46017.425694444442</v>
      </c>
      <c r="BX404" t="s">
        <v>143</v>
      </c>
      <c r="BZ404">
        <v>28</v>
      </c>
      <c r="CA404" t="s">
        <v>1277</v>
      </c>
      <c r="CB404">
        <v>0</v>
      </c>
      <c r="CF404" t="s">
        <v>1087</v>
      </c>
      <c r="CG404">
        <v>2026</v>
      </c>
      <c r="CH404" t="s">
        <v>138</v>
      </c>
      <c r="CI404" t="s">
        <v>139</v>
      </c>
    </row>
    <row r="405" spans="1:87" x14ac:dyDescent="0.3">
      <c r="A405" t="s">
        <v>165</v>
      </c>
      <c r="B405" t="s">
        <v>116</v>
      </c>
      <c r="C405" t="s">
        <v>117</v>
      </c>
      <c r="D405" t="s">
        <v>118</v>
      </c>
      <c r="E405" t="s">
        <v>14</v>
      </c>
      <c r="F405" t="s">
        <v>274</v>
      </c>
      <c r="G405">
        <v>68</v>
      </c>
      <c r="H405">
        <v>0</v>
      </c>
      <c r="I405" s="14">
        <v>504700</v>
      </c>
      <c r="J405" s="14">
        <v>459100</v>
      </c>
      <c r="K405" t="s">
        <v>117</v>
      </c>
      <c r="L405" t="s">
        <v>118</v>
      </c>
      <c r="M405" t="s">
        <v>140</v>
      </c>
      <c r="N405" t="s">
        <v>641</v>
      </c>
      <c r="O405">
        <v>12</v>
      </c>
      <c r="P405">
        <v>0</v>
      </c>
      <c r="Q405" s="14">
        <v>45600</v>
      </c>
      <c r="R405" s="14">
        <v>45600</v>
      </c>
      <c r="Y405" s="14"/>
      <c r="Z405" s="14"/>
      <c r="AG405" s="14"/>
      <c r="AH405" s="14"/>
      <c r="AI405" t="s">
        <v>642</v>
      </c>
      <c r="AJ405" t="s">
        <v>643</v>
      </c>
      <c r="AK405" t="s">
        <v>644</v>
      </c>
      <c r="AL405">
        <v>0</v>
      </c>
      <c r="AM405" t="s">
        <v>645</v>
      </c>
      <c r="AN405" t="s">
        <v>646</v>
      </c>
      <c r="AO405" t="s">
        <v>125</v>
      </c>
      <c r="AP405" t="s">
        <v>297</v>
      </c>
      <c r="AQ405" s="15">
        <v>46234</v>
      </c>
      <c r="AR405" s="15"/>
      <c r="AS405" t="s">
        <v>227</v>
      </c>
      <c r="AT405">
        <v>1</v>
      </c>
      <c r="AU405">
        <v>304700</v>
      </c>
      <c r="AV405">
        <v>0</v>
      </c>
      <c r="AW405">
        <v>0</v>
      </c>
      <c r="AX405" s="14">
        <v>304700</v>
      </c>
      <c r="AY405" s="14">
        <v>0</v>
      </c>
      <c r="AZ405" s="14">
        <v>304700</v>
      </c>
      <c r="BB405" t="s">
        <v>24</v>
      </c>
      <c r="BH405" t="s">
        <v>132</v>
      </c>
      <c r="BK405" t="s">
        <v>550</v>
      </c>
      <c r="BV405" t="s">
        <v>132</v>
      </c>
      <c r="BW405" s="16">
        <v>46017.425694444442</v>
      </c>
      <c r="BX405" t="s">
        <v>143</v>
      </c>
      <c r="BZ405">
        <v>28</v>
      </c>
      <c r="CB405">
        <v>0</v>
      </c>
      <c r="CF405" t="s">
        <v>1087</v>
      </c>
      <c r="CG405">
        <v>2026</v>
      </c>
      <c r="CH405" t="s">
        <v>138</v>
      </c>
      <c r="CI405" t="s">
        <v>139</v>
      </c>
    </row>
    <row r="406" spans="1:87" x14ac:dyDescent="0.3">
      <c r="A406" t="s">
        <v>426</v>
      </c>
      <c r="B406" t="s">
        <v>116</v>
      </c>
      <c r="C406" t="s">
        <v>117</v>
      </c>
      <c r="D406" t="s">
        <v>118</v>
      </c>
      <c r="E406" t="s">
        <v>14</v>
      </c>
      <c r="F406" t="s">
        <v>651</v>
      </c>
      <c r="G406">
        <v>67</v>
      </c>
      <c r="H406">
        <v>0</v>
      </c>
      <c r="I406" s="14">
        <v>430000</v>
      </c>
      <c r="J406" s="14">
        <v>430000</v>
      </c>
      <c r="Q406" s="14"/>
      <c r="R406" s="14"/>
      <c r="Y406" s="14"/>
      <c r="Z406" s="14"/>
      <c r="AG406" s="14"/>
      <c r="AH406" s="14"/>
      <c r="AI406" t="s">
        <v>652</v>
      </c>
      <c r="AJ406" t="s">
        <v>653</v>
      </c>
      <c r="AK406" t="s">
        <v>654</v>
      </c>
      <c r="AL406">
        <v>0</v>
      </c>
      <c r="AM406" t="s">
        <v>655</v>
      </c>
      <c r="AN406" t="s">
        <v>656</v>
      </c>
      <c r="AO406" t="s">
        <v>125</v>
      </c>
      <c r="AP406" t="s">
        <v>256</v>
      </c>
      <c r="AQ406" s="15">
        <v>46112</v>
      </c>
      <c r="AR406" s="15">
        <v>46107</v>
      </c>
      <c r="AS406" t="s">
        <v>1055</v>
      </c>
      <c r="AT406">
        <v>2</v>
      </c>
      <c r="AU406">
        <v>0</v>
      </c>
      <c r="AV406">
        <v>0</v>
      </c>
      <c r="AW406">
        <v>0</v>
      </c>
      <c r="AX406" s="14">
        <v>43000</v>
      </c>
      <c r="AY406" s="14">
        <v>23200</v>
      </c>
      <c r="AZ406" s="14">
        <v>0</v>
      </c>
      <c r="BA406">
        <v>0</v>
      </c>
      <c r="BB406" t="s">
        <v>23</v>
      </c>
      <c r="BC406" t="s">
        <v>128</v>
      </c>
      <c r="BD406" t="s">
        <v>434</v>
      </c>
      <c r="BE406" t="s">
        <v>130</v>
      </c>
      <c r="BG406" t="s">
        <v>1278</v>
      </c>
      <c r="BH406" t="s">
        <v>132</v>
      </c>
      <c r="BJ406">
        <v>4</v>
      </c>
      <c r="BK406" t="s">
        <v>133</v>
      </c>
      <c r="BV406" t="s">
        <v>134</v>
      </c>
      <c r="BW406" s="16">
        <v>46178.341666666667</v>
      </c>
      <c r="BX406" t="s">
        <v>143</v>
      </c>
      <c r="BZ406">
        <v>8</v>
      </c>
      <c r="CA406" t="s">
        <v>1279</v>
      </c>
      <c r="CB406">
        <v>0</v>
      </c>
      <c r="CF406" t="s">
        <v>1087</v>
      </c>
      <c r="CG406">
        <v>2026</v>
      </c>
      <c r="CH406" t="s">
        <v>138</v>
      </c>
      <c r="CI406" t="s">
        <v>139</v>
      </c>
    </row>
    <row r="407" spans="1:87" x14ac:dyDescent="0.3">
      <c r="A407" t="s">
        <v>426</v>
      </c>
      <c r="B407" t="s">
        <v>116</v>
      </c>
      <c r="C407" t="s">
        <v>117</v>
      </c>
      <c r="D407" t="s">
        <v>118</v>
      </c>
      <c r="E407" t="s">
        <v>14</v>
      </c>
      <c r="F407" t="s">
        <v>651</v>
      </c>
      <c r="G407">
        <v>67</v>
      </c>
      <c r="H407">
        <v>0</v>
      </c>
      <c r="I407" s="14">
        <v>430000</v>
      </c>
      <c r="J407" s="14">
        <v>430000</v>
      </c>
      <c r="Q407" s="14"/>
      <c r="R407" s="14"/>
      <c r="Y407" s="14"/>
      <c r="Z407" s="14"/>
      <c r="AG407" s="14"/>
      <c r="AH407" s="14"/>
      <c r="AI407" t="s">
        <v>652</v>
      </c>
      <c r="AJ407" t="s">
        <v>653</v>
      </c>
      <c r="AK407" t="s">
        <v>654</v>
      </c>
      <c r="AL407">
        <v>0</v>
      </c>
      <c r="AM407" t="s">
        <v>655</v>
      </c>
      <c r="AN407" t="s">
        <v>656</v>
      </c>
      <c r="AO407" t="s">
        <v>125</v>
      </c>
      <c r="AP407" t="s">
        <v>256</v>
      </c>
      <c r="AQ407" s="15">
        <v>46112</v>
      </c>
      <c r="AR407" s="15">
        <v>46107</v>
      </c>
      <c r="AS407" t="s">
        <v>1055</v>
      </c>
      <c r="AT407">
        <v>2</v>
      </c>
      <c r="AU407">
        <v>43000</v>
      </c>
      <c r="AV407">
        <v>0</v>
      </c>
      <c r="AW407">
        <v>0</v>
      </c>
      <c r="AX407" s="14">
        <v>0</v>
      </c>
      <c r="AY407" s="14">
        <v>19800</v>
      </c>
      <c r="AZ407" s="14">
        <v>0</v>
      </c>
      <c r="BA407">
        <v>0</v>
      </c>
      <c r="BB407" t="s">
        <v>23</v>
      </c>
      <c r="BC407" t="s">
        <v>128</v>
      </c>
      <c r="BD407" t="s">
        <v>434</v>
      </c>
      <c r="BE407" t="s">
        <v>130</v>
      </c>
      <c r="BG407" t="s">
        <v>1280</v>
      </c>
      <c r="BH407" t="s">
        <v>132</v>
      </c>
      <c r="BJ407">
        <v>4</v>
      </c>
      <c r="BK407" t="s">
        <v>133</v>
      </c>
      <c r="BV407" t="s">
        <v>134</v>
      </c>
      <c r="BW407" s="16">
        <v>46178.341666666667</v>
      </c>
      <c r="BX407" t="s">
        <v>143</v>
      </c>
      <c r="BZ407">
        <v>8</v>
      </c>
      <c r="CA407" t="s">
        <v>1281</v>
      </c>
      <c r="CB407">
        <v>0</v>
      </c>
      <c r="CF407" t="s">
        <v>1087</v>
      </c>
      <c r="CG407">
        <v>2026</v>
      </c>
      <c r="CH407" t="s">
        <v>138</v>
      </c>
      <c r="CI407" t="s">
        <v>139</v>
      </c>
    </row>
    <row r="408" spans="1:87" x14ac:dyDescent="0.3">
      <c r="A408" t="s">
        <v>426</v>
      </c>
      <c r="B408" t="s">
        <v>116</v>
      </c>
      <c r="C408" t="s">
        <v>117</v>
      </c>
      <c r="D408" t="s">
        <v>118</v>
      </c>
      <c r="E408" t="s">
        <v>14</v>
      </c>
      <c r="F408" t="s">
        <v>651</v>
      </c>
      <c r="G408">
        <v>67</v>
      </c>
      <c r="H408">
        <v>0</v>
      </c>
      <c r="I408" s="14">
        <v>430000</v>
      </c>
      <c r="J408" s="14">
        <v>430000</v>
      </c>
      <c r="Q408" s="14"/>
      <c r="R408" s="14"/>
      <c r="Y408" s="14"/>
      <c r="Z408" s="14"/>
      <c r="AG408" s="14"/>
      <c r="AH408" s="14"/>
      <c r="AI408" t="s">
        <v>652</v>
      </c>
      <c r="AJ408" t="s">
        <v>653</v>
      </c>
      <c r="AK408" t="s">
        <v>654</v>
      </c>
      <c r="AL408">
        <v>0</v>
      </c>
      <c r="AM408" t="s">
        <v>655</v>
      </c>
      <c r="AN408" t="s">
        <v>656</v>
      </c>
      <c r="AO408" t="s">
        <v>125</v>
      </c>
      <c r="AP408" t="s">
        <v>256</v>
      </c>
      <c r="AQ408" s="15">
        <v>46232.388888888891</v>
      </c>
      <c r="AR408" s="15">
        <v>46188</v>
      </c>
      <c r="AS408" t="s">
        <v>227</v>
      </c>
      <c r="AT408">
        <v>1</v>
      </c>
      <c r="AU408">
        <v>344000</v>
      </c>
      <c r="AV408">
        <v>0</v>
      </c>
      <c r="AW408">
        <v>0</v>
      </c>
      <c r="AX408" s="14">
        <v>344000</v>
      </c>
      <c r="AY408" s="14">
        <v>344000</v>
      </c>
      <c r="AZ408" s="14">
        <v>0</v>
      </c>
      <c r="BA408">
        <v>0</v>
      </c>
      <c r="BB408" t="s">
        <v>23</v>
      </c>
      <c r="BC408" t="s">
        <v>128</v>
      </c>
      <c r="BD408" t="s">
        <v>434</v>
      </c>
      <c r="BE408" t="s">
        <v>130</v>
      </c>
      <c r="BH408" t="s">
        <v>132</v>
      </c>
      <c r="BJ408">
        <v>4</v>
      </c>
      <c r="BK408" t="s">
        <v>133</v>
      </c>
      <c r="BV408" t="s">
        <v>134</v>
      </c>
      <c r="BW408" s="16">
        <v>46178.341666666667</v>
      </c>
      <c r="BX408" t="s">
        <v>143</v>
      </c>
      <c r="BZ408">
        <v>8</v>
      </c>
      <c r="CA408" t="s">
        <v>1282</v>
      </c>
      <c r="CB408">
        <v>0</v>
      </c>
      <c r="CF408" t="s">
        <v>1087</v>
      </c>
      <c r="CG408">
        <v>2026</v>
      </c>
      <c r="CH408" t="s">
        <v>138</v>
      </c>
      <c r="CI408" t="s">
        <v>139</v>
      </c>
    </row>
    <row r="409" spans="1:87" x14ac:dyDescent="0.3">
      <c r="A409" t="s">
        <v>426</v>
      </c>
      <c r="B409" t="s">
        <v>116</v>
      </c>
      <c r="C409" t="s">
        <v>117</v>
      </c>
      <c r="D409" t="s">
        <v>118</v>
      </c>
      <c r="E409" t="s">
        <v>140</v>
      </c>
      <c r="F409" t="s">
        <v>661</v>
      </c>
      <c r="G409">
        <v>13.63</v>
      </c>
      <c r="H409">
        <v>0</v>
      </c>
      <c r="I409" s="14">
        <v>48500</v>
      </c>
      <c r="J409" s="14">
        <v>48500</v>
      </c>
      <c r="Q409" s="14"/>
      <c r="R409" s="14"/>
      <c r="Y409" s="14"/>
      <c r="Z409" s="14"/>
      <c r="AG409" s="14"/>
      <c r="AH409" s="14"/>
      <c r="AI409" t="s">
        <v>652</v>
      </c>
      <c r="AJ409" t="s">
        <v>653</v>
      </c>
      <c r="AK409" t="s">
        <v>654</v>
      </c>
      <c r="AL409">
        <v>0</v>
      </c>
      <c r="AM409" t="s">
        <v>655</v>
      </c>
      <c r="AN409" t="s">
        <v>656</v>
      </c>
      <c r="AO409" t="s">
        <v>125</v>
      </c>
      <c r="AP409" t="s">
        <v>256</v>
      </c>
      <c r="AQ409" s="15">
        <v>46053</v>
      </c>
      <c r="AR409" s="15">
        <v>46048</v>
      </c>
      <c r="AS409" t="s">
        <v>227</v>
      </c>
      <c r="AT409">
        <v>4</v>
      </c>
      <c r="AU409">
        <v>1940</v>
      </c>
      <c r="AV409">
        <v>0</v>
      </c>
      <c r="AW409">
        <v>0</v>
      </c>
      <c r="AX409" s="14">
        <v>1940</v>
      </c>
      <c r="AY409" s="14">
        <v>1940</v>
      </c>
      <c r="AZ409" s="14">
        <v>0</v>
      </c>
      <c r="BA409">
        <v>0</v>
      </c>
      <c r="BB409" t="s">
        <v>22</v>
      </c>
      <c r="BC409" t="s">
        <v>128</v>
      </c>
      <c r="BD409" t="s">
        <v>434</v>
      </c>
      <c r="BE409" t="s">
        <v>130</v>
      </c>
      <c r="BG409" t="s">
        <v>665</v>
      </c>
      <c r="BH409" t="s">
        <v>132</v>
      </c>
      <c r="BJ409">
        <v>4</v>
      </c>
      <c r="BK409" t="s">
        <v>133</v>
      </c>
      <c r="BV409" t="s">
        <v>134</v>
      </c>
      <c r="BW409" s="16">
        <v>45932.676388888889</v>
      </c>
      <c r="BX409" t="s">
        <v>143</v>
      </c>
      <c r="BZ409">
        <v>19</v>
      </c>
      <c r="CA409" t="s">
        <v>1283</v>
      </c>
      <c r="CB409">
        <v>0</v>
      </c>
      <c r="CF409" t="s">
        <v>1087</v>
      </c>
      <c r="CG409">
        <v>2026</v>
      </c>
      <c r="CH409" t="s">
        <v>138</v>
      </c>
      <c r="CI409" t="s">
        <v>139</v>
      </c>
    </row>
    <row r="410" spans="1:87" x14ac:dyDescent="0.3">
      <c r="A410" t="s">
        <v>426</v>
      </c>
      <c r="B410" t="s">
        <v>116</v>
      </c>
      <c r="C410" t="s">
        <v>117</v>
      </c>
      <c r="D410" t="s">
        <v>118</v>
      </c>
      <c r="E410" t="s">
        <v>140</v>
      </c>
      <c r="F410" t="s">
        <v>661</v>
      </c>
      <c r="G410">
        <v>13.63</v>
      </c>
      <c r="H410">
        <v>0</v>
      </c>
      <c r="I410" s="14">
        <v>48500</v>
      </c>
      <c r="J410" s="14">
        <v>48500</v>
      </c>
      <c r="Q410" s="14"/>
      <c r="R410" s="14"/>
      <c r="Y410" s="14"/>
      <c r="Z410" s="14"/>
      <c r="AG410" s="14"/>
      <c r="AH410" s="14"/>
      <c r="AI410" t="s">
        <v>652</v>
      </c>
      <c r="AJ410" t="s">
        <v>653</v>
      </c>
      <c r="AK410" t="s">
        <v>654</v>
      </c>
      <c r="AL410">
        <v>0</v>
      </c>
      <c r="AM410" t="s">
        <v>655</v>
      </c>
      <c r="AN410" t="s">
        <v>656</v>
      </c>
      <c r="AO410" t="s">
        <v>125</v>
      </c>
      <c r="AP410" t="s">
        <v>256</v>
      </c>
      <c r="AQ410" s="15">
        <v>46081</v>
      </c>
      <c r="AR410" s="15">
        <v>46078</v>
      </c>
      <c r="AS410" t="s">
        <v>227</v>
      </c>
      <c r="AT410">
        <v>5</v>
      </c>
      <c r="AU410">
        <v>1940</v>
      </c>
      <c r="AV410">
        <v>0</v>
      </c>
      <c r="AW410">
        <v>0</v>
      </c>
      <c r="AX410" s="14">
        <v>1940</v>
      </c>
      <c r="AY410" s="14">
        <v>1940</v>
      </c>
      <c r="AZ410" s="14">
        <v>0</v>
      </c>
      <c r="BA410">
        <v>0</v>
      </c>
      <c r="BB410" t="s">
        <v>22</v>
      </c>
      <c r="BC410" t="s">
        <v>128</v>
      </c>
      <c r="BD410" t="s">
        <v>434</v>
      </c>
      <c r="BE410" t="s">
        <v>130</v>
      </c>
      <c r="BG410" t="s">
        <v>1284</v>
      </c>
      <c r="BH410" t="s">
        <v>132</v>
      </c>
      <c r="BJ410">
        <v>4</v>
      </c>
      <c r="BK410" t="s">
        <v>133</v>
      </c>
      <c r="BV410" t="s">
        <v>134</v>
      </c>
      <c r="BW410" s="16">
        <v>45932.676388888889</v>
      </c>
      <c r="BX410" t="s">
        <v>143</v>
      </c>
      <c r="BZ410">
        <v>19</v>
      </c>
      <c r="CA410" t="s">
        <v>1285</v>
      </c>
      <c r="CB410">
        <v>0</v>
      </c>
      <c r="CF410" t="s">
        <v>1087</v>
      </c>
      <c r="CG410">
        <v>2026</v>
      </c>
      <c r="CH410" t="s">
        <v>138</v>
      </c>
      <c r="CI410" t="s">
        <v>139</v>
      </c>
    </row>
    <row r="411" spans="1:87" x14ac:dyDescent="0.3">
      <c r="A411" t="s">
        <v>426</v>
      </c>
      <c r="B411" t="s">
        <v>116</v>
      </c>
      <c r="C411" t="s">
        <v>117</v>
      </c>
      <c r="D411" t="s">
        <v>118</v>
      </c>
      <c r="E411" t="s">
        <v>140</v>
      </c>
      <c r="F411" t="s">
        <v>661</v>
      </c>
      <c r="G411">
        <v>13.63</v>
      </c>
      <c r="H411">
        <v>0</v>
      </c>
      <c r="I411" s="14">
        <v>48500</v>
      </c>
      <c r="J411" s="14">
        <v>48500</v>
      </c>
      <c r="Q411" s="14"/>
      <c r="R411" s="14"/>
      <c r="Y411" s="14"/>
      <c r="Z411" s="14"/>
      <c r="AG411" s="14"/>
      <c r="AH411" s="14"/>
      <c r="AI411" t="s">
        <v>652</v>
      </c>
      <c r="AJ411" t="s">
        <v>653</v>
      </c>
      <c r="AK411" t="s">
        <v>654</v>
      </c>
      <c r="AL411">
        <v>0</v>
      </c>
      <c r="AM411" t="s">
        <v>655</v>
      </c>
      <c r="AN411" t="s">
        <v>656</v>
      </c>
      <c r="AO411" t="s">
        <v>125</v>
      </c>
      <c r="AP411" t="s">
        <v>256</v>
      </c>
      <c r="AQ411" s="15">
        <v>46112</v>
      </c>
      <c r="AR411" s="15">
        <v>46107</v>
      </c>
      <c r="AS411" t="s">
        <v>227</v>
      </c>
      <c r="AT411">
        <v>6</v>
      </c>
      <c r="AU411">
        <v>1940</v>
      </c>
      <c r="AV411">
        <v>0</v>
      </c>
      <c r="AW411">
        <v>0</v>
      </c>
      <c r="AX411" s="14">
        <v>1940</v>
      </c>
      <c r="AY411" s="14">
        <v>1940</v>
      </c>
      <c r="AZ411" s="14">
        <v>0</v>
      </c>
      <c r="BA411">
        <v>0</v>
      </c>
      <c r="BB411" t="s">
        <v>22</v>
      </c>
      <c r="BC411" t="s">
        <v>128</v>
      </c>
      <c r="BD411" t="s">
        <v>434</v>
      </c>
      <c r="BE411" t="s">
        <v>130</v>
      </c>
      <c r="BG411" t="s">
        <v>1280</v>
      </c>
      <c r="BH411" t="s">
        <v>132</v>
      </c>
      <c r="BJ411">
        <v>4</v>
      </c>
      <c r="BK411" t="s">
        <v>133</v>
      </c>
      <c r="BV411" t="s">
        <v>134</v>
      </c>
      <c r="BW411" s="16">
        <v>45932.676388888889</v>
      </c>
      <c r="BX411" t="s">
        <v>143</v>
      </c>
      <c r="BZ411">
        <v>19</v>
      </c>
      <c r="CA411" t="s">
        <v>1286</v>
      </c>
      <c r="CB411">
        <v>0</v>
      </c>
      <c r="CF411" t="s">
        <v>1087</v>
      </c>
      <c r="CG411">
        <v>2026</v>
      </c>
      <c r="CH411" t="s">
        <v>138</v>
      </c>
      <c r="CI411" t="s">
        <v>139</v>
      </c>
    </row>
    <row r="412" spans="1:87" x14ac:dyDescent="0.3">
      <c r="A412" t="s">
        <v>426</v>
      </c>
      <c r="B412" t="s">
        <v>116</v>
      </c>
      <c r="C412" t="s">
        <v>117</v>
      </c>
      <c r="D412" t="s">
        <v>118</v>
      </c>
      <c r="E412" t="s">
        <v>140</v>
      </c>
      <c r="F412" t="s">
        <v>661</v>
      </c>
      <c r="G412">
        <v>13.63</v>
      </c>
      <c r="H412">
        <v>0</v>
      </c>
      <c r="I412" s="14">
        <v>48500</v>
      </c>
      <c r="J412" s="14">
        <v>48500</v>
      </c>
      <c r="Q412" s="14"/>
      <c r="R412" s="14"/>
      <c r="Y412" s="14"/>
      <c r="Z412" s="14"/>
      <c r="AG412" s="14"/>
      <c r="AH412" s="14"/>
      <c r="AI412" t="s">
        <v>652</v>
      </c>
      <c r="AJ412" t="s">
        <v>653</v>
      </c>
      <c r="AK412" t="s">
        <v>654</v>
      </c>
      <c r="AL412">
        <v>0</v>
      </c>
      <c r="AM412" t="s">
        <v>655</v>
      </c>
      <c r="AN412" t="s">
        <v>656</v>
      </c>
      <c r="AO412" t="s">
        <v>125</v>
      </c>
      <c r="AP412" t="s">
        <v>256</v>
      </c>
      <c r="AQ412" s="15">
        <v>46142</v>
      </c>
      <c r="AR412" s="15">
        <v>46134</v>
      </c>
      <c r="AS412" t="s">
        <v>227</v>
      </c>
      <c r="AT412">
        <v>7</v>
      </c>
      <c r="AU412">
        <v>1940</v>
      </c>
      <c r="AV412">
        <v>0</v>
      </c>
      <c r="AW412">
        <v>0</v>
      </c>
      <c r="AX412" s="14">
        <v>1940</v>
      </c>
      <c r="AY412" s="14">
        <v>1940</v>
      </c>
      <c r="AZ412" s="14">
        <v>0</v>
      </c>
      <c r="BA412">
        <v>0</v>
      </c>
      <c r="BB412" t="s">
        <v>22</v>
      </c>
      <c r="BC412" t="s">
        <v>128</v>
      </c>
      <c r="BD412" t="s">
        <v>434</v>
      </c>
      <c r="BE412" t="s">
        <v>130</v>
      </c>
      <c r="BG412" t="s">
        <v>1287</v>
      </c>
      <c r="BH412" t="s">
        <v>132</v>
      </c>
      <c r="BJ412">
        <v>4</v>
      </c>
      <c r="BK412" t="s">
        <v>133</v>
      </c>
      <c r="BV412" t="s">
        <v>134</v>
      </c>
      <c r="BW412" s="16">
        <v>45932.676388888889</v>
      </c>
      <c r="BX412" t="s">
        <v>143</v>
      </c>
      <c r="BZ412">
        <v>19</v>
      </c>
      <c r="CA412" t="s">
        <v>1288</v>
      </c>
      <c r="CB412">
        <v>0</v>
      </c>
      <c r="CF412" t="s">
        <v>1087</v>
      </c>
      <c r="CG412">
        <v>2026</v>
      </c>
      <c r="CH412" t="s">
        <v>138</v>
      </c>
      <c r="CI412" t="s">
        <v>139</v>
      </c>
    </row>
    <row r="413" spans="1:87" x14ac:dyDescent="0.3">
      <c r="A413" t="s">
        <v>426</v>
      </c>
      <c r="B413" t="s">
        <v>116</v>
      </c>
      <c r="C413" t="s">
        <v>117</v>
      </c>
      <c r="D413" t="s">
        <v>118</v>
      </c>
      <c r="E413" t="s">
        <v>140</v>
      </c>
      <c r="F413" t="s">
        <v>661</v>
      </c>
      <c r="G413">
        <v>13.63</v>
      </c>
      <c r="H413">
        <v>0</v>
      </c>
      <c r="I413" s="14">
        <v>48500</v>
      </c>
      <c r="J413" s="14">
        <v>48500</v>
      </c>
      <c r="Q413" s="14"/>
      <c r="R413" s="14"/>
      <c r="Y413" s="14"/>
      <c r="Z413" s="14"/>
      <c r="AG413" s="14"/>
      <c r="AH413" s="14"/>
      <c r="AI413" t="s">
        <v>652</v>
      </c>
      <c r="AJ413" t="s">
        <v>653</v>
      </c>
      <c r="AK413" t="s">
        <v>654</v>
      </c>
      <c r="AL413">
        <v>0</v>
      </c>
      <c r="AM413" t="s">
        <v>655</v>
      </c>
      <c r="AN413" t="s">
        <v>656</v>
      </c>
      <c r="AO413" t="s">
        <v>125</v>
      </c>
      <c r="AP413" t="s">
        <v>256</v>
      </c>
      <c r="AQ413" s="15">
        <v>46173</v>
      </c>
      <c r="AR413" s="15">
        <v>46167</v>
      </c>
      <c r="AS413" t="s">
        <v>227</v>
      </c>
      <c r="AT413">
        <v>8</v>
      </c>
      <c r="AU413">
        <v>1940</v>
      </c>
      <c r="AV413">
        <v>0</v>
      </c>
      <c r="AW413">
        <v>0</v>
      </c>
      <c r="AX413" s="14">
        <v>1940</v>
      </c>
      <c r="AY413" s="14">
        <v>1940</v>
      </c>
      <c r="AZ413" s="14">
        <v>0</v>
      </c>
      <c r="BA413">
        <v>0</v>
      </c>
      <c r="BB413" t="s">
        <v>22</v>
      </c>
      <c r="BC413" t="s">
        <v>128</v>
      </c>
      <c r="BD413" t="s">
        <v>434</v>
      </c>
      <c r="BE413" t="s">
        <v>130</v>
      </c>
      <c r="BG413" t="s">
        <v>1280</v>
      </c>
      <c r="BH413" t="s">
        <v>132</v>
      </c>
      <c r="BJ413">
        <v>4</v>
      </c>
      <c r="BK413" t="s">
        <v>133</v>
      </c>
      <c r="BV413" t="s">
        <v>134</v>
      </c>
      <c r="BW413" s="16">
        <v>45932.676388888889</v>
      </c>
      <c r="BX413" t="s">
        <v>143</v>
      </c>
      <c r="BZ413">
        <v>19</v>
      </c>
      <c r="CA413" t="s">
        <v>1289</v>
      </c>
      <c r="CB413">
        <v>0</v>
      </c>
      <c r="CF413" t="s">
        <v>1087</v>
      </c>
      <c r="CG413">
        <v>2026</v>
      </c>
      <c r="CH413" t="s">
        <v>138</v>
      </c>
      <c r="CI413" t="s">
        <v>139</v>
      </c>
    </row>
    <row r="414" spans="1:87" x14ac:dyDescent="0.3">
      <c r="A414" t="s">
        <v>426</v>
      </c>
      <c r="B414" t="s">
        <v>116</v>
      </c>
      <c r="C414" t="s">
        <v>117</v>
      </c>
      <c r="D414" t="s">
        <v>118</v>
      </c>
      <c r="E414" t="s">
        <v>140</v>
      </c>
      <c r="F414" t="s">
        <v>661</v>
      </c>
      <c r="G414">
        <v>13.63</v>
      </c>
      <c r="H414">
        <v>0</v>
      </c>
      <c r="I414" s="14">
        <v>48500</v>
      </c>
      <c r="J414" s="14">
        <v>48500</v>
      </c>
      <c r="Q414" s="14"/>
      <c r="R414" s="14"/>
      <c r="Y414" s="14"/>
      <c r="Z414" s="14"/>
      <c r="AG414" s="14"/>
      <c r="AH414" s="14"/>
      <c r="AI414" t="s">
        <v>652</v>
      </c>
      <c r="AJ414" t="s">
        <v>653</v>
      </c>
      <c r="AK414" t="s">
        <v>654</v>
      </c>
      <c r="AL414">
        <v>0</v>
      </c>
      <c r="AM414" t="s">
        <v>655</v>
      </c>
      <c r="AN414" t="s">
        <v>656</v>
      </c>
      <c r="AO414" t="s">
        <v>125</v>
      </c>
      <c r="AP414" t="s">
        <v>256</v>
      </c>
      <c r="AQ414" s="15">
        <v>46203</v>
      </c>
      <c r="AR414" s="15">
        <v>46196</v>
      </c>
      <c r="AS414" t="s">
        <v>227</v>
      </c>
      <c r="AT414">
        <v>9</v>
      </c>
      <c r="AU414">
        <v>1940</v>
      </c>
      <c r="AV414">
        <v>0</v>
      </c>
      <c r="AW414">
        <v>0</v>
      </c>
      <c r="AX414" s="14">
        <v>1940</v>
      </c>
      <c r="AY414" s="14">
        <v>1940</v>
      </c>
      <c r="AZ414" s="14">
        <v>0</v>
      </c>
      <c r="BA414">
        <v>0</v>
      </c>
      <c r="BB414" t="s">
        <v>22</v>
      </c>
      <c r="BC414" t="s">
        <v>128</v>
      </c>
      <c r="BD414" t="s">
        <v>434</v>
      </c>
      <c r="BE414" t="s">
        <v>130</v>
      </c>
      <c r="BG414" t="s">
        <v>1290</v>
      </c>
      <c r="BH414" t="s">
        <v>132</v>
      </c>
      <c r="BJ414">
        <v>4</v>
      </c>
      <c r="BK414" t="s">
        <v>133</v>
      </c>
      <c r="BV414" t="s">
        <v>134</v>
      </c>
      <c r="BW414" s="16">
        <v>45932.676388888889</v>
      </c>
      <c r="BX414" t="s">
        <v>143</v>
      </c>
      <c r="BZ414">
        <v>19</v>
      </c>
      <c r="CA414" t="s">
        <v>1289</v>
      </c>
      <c r="CB414">
        <v>0</v>
      </c>
      <c r="CF414" t="s">
        <v>1087</v>
      </c>
      <c r="CG414">
        <v>2026</v>
      </c>
      <c r="CH414" t="s">
        <v>138</v>
      </c>
      <c r="CI414" t="s">
        <v>139</v>
      </c>
    </row>
    <row r="415" spans="1:87" x14ac:dyDescent="0.3">
      <c r="A415" t="s">
        <v>426</v>
      </c>
      <c r="B415" t="s">
        <v>116</v>
      </c>
      <c r="C415" t="s">
        <v>117</v>
      </c>
      <c r="D415" t="s">
        <v>118</v>
      </c>
      <c r="E415" t="s">
        <v>140</v>
      </c>
      <c r="F415" t="s">
        <v>661</v>
      </c>
      <c r="G415">
        <v>13.63</v>
      </c>
      <c r="H415">
        <v>0</v>
      </c>
      <c r="I415" s="14">
        <v>48500</v>
      </c>
      <c r="J415" s="14">
        <v>48500</v>
      </c>
      <c r="Q415" s="14"/>
      <c r="R415" s="14"/>
      <c r="Y415" s="14"/>
      <c r="Z415" s="14"/>
      <c r="AG415" s="14"/>
      <c r="AH415" s="14"/>
      <c r="AI415" t="s">
        <v>652</v>
      </c>
      <c r="AJ415" t="s">
        <v>653</v>
      </c>
      <c r="AK415" t="s">
        <v>654</v>
      </c>
      <c r="AL415">
        <v>0</v>
      </c>
      <c r="AM415" t="s">
        <v>655</v>
      </c>
      <c r="AN415" t="s">
        <v>656</v>
      </c>
      <c r="AO415" t="s">
        <v>125</v>
      </c>
      <c r="AP415" t="s">
        <v>256</v>
      </c>
      <c r="AQ415" s="15">
        <v>46234</v>
      </c>
      <c r="AR415" s="15">
        <v>46223</v>
      </c>
      <c r="AS415" t="s">
        <v>227</v>
      </c>
      <c r="AT415">
        <v>10</v>
      </c>
      <c r="AU415">
        <v>1940</v>
      </c>
      <c r="AV415">
        <v>0</v>
      </c>
      <c r="AW415">
        <v>0</v>
      </c>
      <c r="AX415" s="14">
        <v>1940</v>
      </c>
      <c r="AY415" s="14">
        <v>1940</v>
      </c>
      <c r="AZ415" s="14">
        <v>0</v>
      </c>
      <c r="BA415">
        <v>0</v>
      </c>
      <c r="BB415" t="s">
        <v>22</v>
      </c>
      <c r="BC415" t="s">
        <v>128</v>
      </c>
      <c r="BD415" t="s">
        <v>434</v>
      </c>
      <c r="BE415" t="s">
        <v>130</v>
      </c>
      <c r="BG415" t="s">
        <v>1291</v>
      </c>
      <c r="BH415" t="s">
        <v>132</v>
      </c>
      <c r="BJ415">
        <v>4</v>
      </c>
      <c r="BK415" t="s">
        <v>133</v>
      </c>
      <c r="BV415" t="s">
        <v>134</v>
      </c>
      <c r="BW415" s="16">
        <v>45932.676388888889</v>
      </c>
      <c r="BX415" t="s">
        <v>143</v>
      </c>
      <c r="BZ415">
        <v>19</v>
      </c>
      <c r="CA415" t="s">
        <v>1292</v>
      </c>
      <c r="CB415">
        <v>0</v>
      </c>
      <c r="CF415" t="s">
        <v>1087</v>
      </c>
      <c r="CG415">
        <v>2026</v>
      </c>
      <c r="CH415" t="s">
        <v>138</v>
      </c>
      <c r="CI415" t="s">
        <v>139</v>
      </c>
    </row>
    <row r="416" spans="1:87" x14ac:dyDescent="0.3">
      <c r="A416" t="s">
        <v>426</v>
      </c>
      <c r="B416" t="s">
        <v>116</v>
      </c>
      <c r="C416" t="s">
        <v>117</v>
      </c>
      <c r="D416" t="s">
        <v>118</v>
      </c>
      <c r="E416" t="s">
        <v>140</v>
      </c>
      <c r="F416" t="s">
        <v>661</v>
      </c>
      <c r="G416">
        <v>13.63</v>
      </c>
      <c r="H416">
        <v>0</v>
      </c>
      <c r="I416" s="14">
        <v>48500</v>
      </c>
      <c r="J416" s="14">
        <v>48500</v>
      </c>
      <c r="Q416" s="14"/>
      <c r="R416" s="14"/>
      <c r="Y416" s="14"/>
      <c r="Z416" s="14"/>
      <c r="AG416" s="14"/>
      <c r="AH416" s="14"/>
      <c r="AI416" t="s">
        <v>652</v>
      </c>
      <c r="AJ416" t="s">
        <v>653</v>
      </c>
      <c r="AK416" t="s">
        <v>654</v>
      </c>
      <c r="AL416">
        <v>0</v>
      </c>
      <c r="AM416" t="s">
        <v>655</v>
      </c>
      <c r="AN416" t="s">
        <v>656</v>
      </c>
      <c r="AO416" t="s">
        <v>125</v>
      </c>
      <c r="AP416" t="s">
        <v>256</v>
      </c>
      <c r="AQ416" s="15">
        <v>46265</v>
      </c>
      <c r="AR416" s="15">
        <v>46254</v>
      </c>
      <c r="AS416" t="s">
        <v>227</v>
      </c>
      <c r="AT416">
        <v>11</v>
      </c>
      <c r="AU416">
        <v>1940</v>
      </c>
      <c r="AV416">
        <v>0</v>
      </c>
      <c r="AW416">
        <v>0</v>
      </c>
      <c r="AX416" s="14">
        <v>1940</v>
      </c>
      <c r="AY416" s="14">
        <v>1940</v>
      </c>
      <c r="AZ416" s="14">
        <v>0</v>
      </c>
      <c r="BA416">
        <v>0</v>
      </c>
      <c r="BB416" t="s">
        <v>22</v>
      </c>
      <c r="BC416" t="s">
        <v>128</v>
      </c>
      <c r="BD416" t="s">
        <v>434</v>
      </c>
      <c r="BE416" t="s">
        <v>130</v>
      </c>
      <c r="BG416" t="s">
        <v>1293</v>
      </c>
      <c r="BH416" t="s">
        <v>132</v>
      </c>
      <c r="BJ416">
        <v>4</v>
      </c>
      <c r="BK416" t="s">
        <v>133</v>
      </c>
      <c r="BV416" t="s">
        <v>134</v>
      </c>
      <c r="BW416" s="16">
        <v>45932.676388888889</v>
      </c>
      <c r="BX416" t="s">
        <v>143</v>
      </c>
      <c r="BZ416">
        <v>19</v>
      </c>
      <c r="CA416" t="s">
        <v>1294</v>
      </c>
      <c r="CB416">
        <v>0</v>
      </c>
      <c r="CF416" t="s">
        <v>1087</v>
      </c>
      <c r="CG416">
        <v>2026</v>
      </c>
      <c r="CH416" t="s">
        <v>138</v>
      </c>
      <c r="CI416" t="s">
        <v>139</v>
      </c>
    </row>
    <row r="417" spans="1:87" x14ac:dyDescent="0.3">
      <c r="A417" t="s">
        <v>426</v>
      </c>
      <c r="B417" t="s">
        <v>116</v>
      </c>
      <c r="C417" t="s">
        <v>117</v>
      </c>
      <c r="D417" t="s">
        <v>118</v>
      </c>
      <c r="E417" t="s">
        <v>140</v>
      </c>
      <c r="F417" t="s">
        <v>661</v>
      </c>
      <c r="G417">
        <v>13.63</v>
      </c>
      <c r="H417">
        <v>0</v>
      </c>
      <c r="I417" s="14">
        <v>48500</v>
      </c>
      <c r="J417" s="14">
        <v>48500</v>
      </c>
      <c r="Q417" s="14"/>
      <c r="R417" s="14"/>
      <c r="Y417" s="14"/>
      <c r="Z417" s="14"/>
      <c r="AG417" s="14"/>
      <c r="AH417" s="14"/>
      <c r="AI417" t="s">
        <v>652</v>
      </c>
      <c r="AJ417" t="s">
        <v>653</v>
      </c>
      <c r="AK417" t="s">
        <v>654</v>
      </c>
      <c r="AL417">
        <v>0</v>
      </c>
      <c r="AM417" t="s">
        <v>655</v>
      </c>
      <c r="AN417" t="s">
        <v>656</v>
      </c>
      <c r="AO417" t="s">
        <v>125</v>
      </c>
      <c r="AP417" t="s">
        <v>256</v>
      </c>
      <c r="AQ417" s="15">
        <v>46295</v>
      </c>
      <c r="AR417" s="15"/>
      <c r="AS417" t="s">
        <v>227</v>
      </c>
      <c r="AT417">
        <v>12</v>
      </c>
      <c r="AU417">
        <v>1940</v>
      </c>
      <c r="AV417">
        <v>0</v>
      </c>
      <c r="AW417">
        <v>0</v>
      </c>
      <c r="AX417" s="14">
        <v>1940</v>
      </c>
      <c r="AY417" s="14">
        <v>0</v>
      </c>
      <c r="AZ417" s="14">
        <v>1940</v>
      </c>
      <c r="BB417" t="s">
        <v>22</v>
      </c>
      <c r="BH417" t="s">
        <v>132</v>
      </c>
      <c r="BK417" t="s">
        <v>1100</v>
      </c>
      <c r="BV417" t="s">
        <v>132</v>
      </c>
      <c r="BW417" s="16">
        <v>45932.676388888889</v>
      </c>
      <c r="BX417" t="s">
        <v>143</v>
      </c>
      <c r="BZ417">
        <v>19</v>
      </c>
      <c r="CB417">
        <v>0</v>
      </c>
      <c r="CF417" t="s">
        <v>1087</v>
      </c>
      <c r="CG417">
        <v>2026</v>
      </c>
      <c r="CH417" t="s">
        <v>138</v>
      </c>
      <c r="CI417" t="s">
        <v>139</v>
      </c>
    </row>
    <row r="418" spans="1:87" x14ac:dyDescent="0.3">
      <c r="A418" t="s">
        <v>426</v>
      </c>
      <c r="B418" t="s">
        <v>116</v>
      </c>
      <c r="C418" t="s">
        <v>117</v>
      </c>
      <c r="D418" t="s">
        <v>118</v>
      </c>
      <c r="E418" t="s">
        <v>140</v>
      </c>
      <c r="F418" t="s">
        <v>661</v>
      </c>
      <c r="G418">
        <v>13.63</v>
      </c>
      <c r="H418">
        <v>0</v>
      </c>
      <c r="I418" s="14">
        <v>48500</v>
      </c>
      <c r="J418" s="14">
        <v>48500</v>
      </c>
      <c r="Q418" s="14"/>
      <c r="R418" s="14"/>
      <c r="Y418" s="14"/>
      <c r="Z418" s="14"/>
      <c r="AG418" s="14"/>
      <c r="AH418" s="14"/>
      <c r="AI418" t="s">
        <v>652</v>
      </c>
      <c r="AJ418" t="s">
        <v>653</v>
      </c>
      <c r="AK418" t="s">
        <v>654</v>
      </c>
      <c r="AL418">
        <v>0</v>
      </c>
      <c r="AM418" t="s">
        <v>655</v>
      </c>
      <c r="AN418" t="s">
        <v>656</v>
      </c>
      <c r="AO418" t="s">
        <v>125</v>
      </c>
      <c r="AP418" t="s">
        <v>256</v>
      </c>
      <c r="AQ418" s="15">
        <v>46326</v>
      </c>
      <c r="AR418" s="15"/>
      <c r="AS418" t="s">
        <v>227</v>
      </c>
      <c r="AT418">
        <v>13</v>
      </c>
      <c r="AU418">
        <v>1940</v>
      </c>
      <c r="AV418">
        <v>0</v>
      </c>
      <c r="AW418">
        <v>0</v>
      </c>
      <c r="AX418" s="14">
        <v>1940</v>
      </c>
      <c r="AY418" s="14">
        <v>0</v>
      </c>
      <c r="AZ418" s="14">
        <v>1940</v>
      </c>
      <c r="BB418" t="s">
        <v>22</v>
      </c>
      <c r="BH418" t="s">
        <v>132</v>
      </c>
      <c r="BK418" t="s">
        <v>1100</v>
      </c>
      <c r="BV418" t="s">
        <v>132</v>
      </c>
      <c r="BW418" s="16">
        <v>45932.676388888889</v>
      </c>
      <c r="BX418" t="s">
        <v>143</v>
      </c>
      <c r="BZ418">
        <v>19</v>
      </c>
      <c r="CB418">
        <v>0</v>
      </c>
      <c r="CF418" t="s">
        <v>1087</v>
      </c>
      <c r="CG418">
        <v>2026</v>
      </c>
      <c r="CH418" t="s">
        <v>138</v>
      </c>
      <c r="CI418" t="s">
        <v>139</v>
      </c>
    </row>
    <row r="419" spans="1:87" x14ac:dyDescent="0.3">
      <c r="A419" t="s">
        <v>426</v>
      </c>
      <c r="B419" t="s">
        <v>116</v>
      </c>
      <c r="C419" t="s">
        <v>117</v>
      </c>
      <c r="D419" t="s">
        <v>118</v>
      </c>
      <c r="E419" t="s">
        <v>140</v>
      </c>
      <c r="F419" t="s">
        <v>661</v>
      </c>
      <c r="G419">
        <v>13.63</v>
      </c>
      <c r="H419">
        <v>0</v>
      </c>
      <c r="I419" s="14">
        <v>48500</v>
      </c>
      <c r="J419" s="14">
        <v>48500</v>
      </c>
      <c r="Q419" s="14"/>
      <c r="R419" s="14"/>
      <c r="Y419" s="14"/>
      <c r="Z419" s="14"/>
      <c r="AG419" s="14"/>
      <c r="AH419" s="14"/>
      <c r="AI419" t="s">
        <v>652</v>
      </c>
      <c r="AJ419" t="s">
        <v>653</v>
      </c>
      <c r="AK419" t="s">
        <v>654</v>
      </c>
      <c r="AL419">
        <v>0</v>
      </c>
      <c r="AM419" t="s">
        <v>655</v>
      </c>
      <c r="AN419" t="s">
        <v>656</v>
      </c>
      <c r="AO419" t="s">
        <v>125</v>
      </c>
      <c r="AP419" t="s">
        <v>256</v>
      </c>
      <c r="AQ419" s="15">
        <v>46356</v>
      </c>
      <c r="AR419" s="15"/>
      <c r="AS419" t="s">
        <v>227</v>
      </c>
      <c r="AT419">
        <v>14</v>
      </c>
      <c r="AU419">
        <v>1940</v>
      </c>
      <c r="AV419">
        <v>0</v>
      </c>
      <c r="AW419">
        <v>0</v>
      </c>
      <c r="AX419" s="14">
        <v>1940</v>
      </c>
      <c r="AY419" s="14">
        <v>0</v>
      </c>
      <c r="AZ419" s="14">
        <v>1940</v>
      </c>
      <c r="BB419" t="s">
        <v>22</v>
      </c>
      <c r="BH419" t="s">
        <v>132</v>
      </c>
      <c r="BK419" t="s">
        <v>1100</v>
      </c>
      <c r="BV419" t="s">
        <v>132</v>
      </c>
      <c r="BW419" s="16">
        <v>45932.676388888889</v>
      </c>
      <c r="BX419" t="s">
        <v>143</v>
      </c>
      <c r="BZ419">
        <v>19</v>
      </c>
      <c r="CB419">
        <v>0</v>
      </c>
      <c r="CF419" t="s">
        <v>1087</v>
      </c>
      <c r="CG419">
        <v>2026</v>
      </c>
      <c r="CH419" t="s">
        <v>138</v>
      </c>
      <c r="CI419" t="s">
        <v>139</v>
      </c>
    </row>
    <row r="420" spans="1:87" x14ac:dyDescent="0.3">
      <c r="A420" t="s">
        <v>426</v>
      </c>
      <c r="B420" t="s">
        <v>116</v>
      </c>
      <c r="C420" t="s">
        <v>117</v>
      </c>
      <c r="D420" t="s">
        <v>118</v>
      </c>
      <c r="E420" t="s">
        <v>140</v>
      </c>
      <c r="F420" t="s">
        <v>661</v>
      </c>
      <c r="G420">
        <v>13.63</v>
      </c>
      <c r="H420">
        <v>0</v>
      </c>
      <c r="I420" s="14">
        <v>48500</v>
      </c>
      <c r="J420" s="14">
        <v>48500</v>
      </c>
      <c r="Q420" s="14"/>
      <c r="R420" s="14"/>
      <c r="Y420" s="14"/>
      <c r="Z420" s="14"/>
      <c r="AG420" s="14"/>
      <c r="AH420" s="14"/>
      <c r="AI420" t="s">
        <v>652</v>
      </c>
      <c r="AJ420" t="s">
        <v>653</v>
      </c>
      <c r="AK420" t="s">
        <v>654</v>
      </c>
      <c r="AL420">
        <v>0</v>
      </c>
      <c r="AM420" t="s">
        <v>655</v>
      </c>
      <c r="AN420" t="s">
        <v>656</v>
      </c>
      <c r="AO420" t="s">
        <v>125</v>
      </c>
      <c r="AP420" t="s">
        <v>256</v>
      </c>
      <c r="AQ420" s="15">
        <v>46387</v>
      </c>
      <c r="AR420" s="15"/>
      <c r="AS420" t="s">
        <v>227</v>
      </c>
      <c r="AT420">
        <v>15</v>
      </c>
      <c r="AU420">
        <v>1940</v>
      </c>
      <c r="AV420">
        <v>0</v>
      </c>
      <c r="AW420">
        <v>0</v>
      </c>
      <c r="AX420" s="14">
        <v>1940</v>
      </c>
      <c r="AY420" s="14">
        <v>0</v>
      </c>
      <c r="AZ420" s="14">
        <v>1940</v>
      </c>
      <c r="BB420" t="s">
        <v>22</v>
      </c>
      <c r="BH420" t="s">
        <v>132</v>
      </c>
      <c r="BK420" t="s">
        <v>1100</v>
      </c>
      <c r="BV420" t="s">
        <v>132</v>
      </c>
      <c r="BW420" s="16">
        <v>45932.676388888889</v>
      </c>
      <c r="BX420" t="s">
        <v>143</v>
      </c>
      <c r="BZ420">
        <v>19</v>
      </c>
      <c r="CB420">
        <v>0</v>
      </c>
      <c r="CF420" t="s">
        <v>1087</v>
      </c>
      <c r="CG420">
        <v>2026</v>
      </c>
      <c r="CH420" t="s">
        <v>138</v>
      </c>
      <c r="CI420" t="s">
        <v>139</v>
      </c>
    </row>
    <row r="421" spans="1:87" x14ac:dyDescent="0.3">
      <c r="A421" t="s">
        <v>165</v>
      </c>
      <c r="B421" t="s">
        <v>116</v>
      </c>
      <c r="C421" t="s">
        <v>117</v>
      </c>
      <c r="D421" t="s">
        <v>118</v>
      </c>
      <c r="E421" t="s">
        <v>14</v>
      </c>
      <c r="F421" t="s">
        <v>1295</v>
      </c>
      <c r="G421">
        <v>72</v>
      </c>
      <c r="H421">
        <v>0</v>
      </c>
      <c r="I421" s="14">
        <v>520100</v>
      </c>
      <c r="J421" s="14">
        <v>467100</v>
      </c>
      <c r="Q421" s="14"/>
      <c r="R421" s="14"/>
      <c r="Y421" s="14"/>
      <c r="Z421" s="14"/>
      <c r="AG421" s="14"/>
      <c r="AH421" s="14"/>
      <c r="AI421" t="s">
        <v>1296</v>
      </c>
      <c r="AJ421" t="s">
        <v>1297</v>
      </c>
      <c r="AK421" t="s">
        <v>1298</v>
      </c>
      <c r="AL421">
        <v>0</v>
      </c>
      <c r="AM421" t="s">
        <v>1299</v>
      </c>
      <c r="AN421" t="s">
        <v>1300</v>
      </c>
      <c r="AO421" t="s">
        <v>125</v>
      </c>
      <c r="AP421" t="s">
        <v>600</v>
      </c>
      <c r="AQ421" s="15">
        <v>46032</v>
      </c>
      <c r="AR421" s="15">
        <v>46032</v>
      </c>
      <c r="AS421" t="s">
        <v>127</v>
      </c>
      <c r="AT421">
        <v>1</v>
      </c>
      <c r="AU421">
        <v>3000</v>
      </c>
      <c r="AV421">
        <v>0</v>
      </c>
      <c r="AW421">
        <v>0</v>
      </c>
      <c r="AX421" s="14">
        <v>3000</v>
      </c>
      <c r="AY421" s="14">
        <v>3000</v>
      </c>
      <c r="AZ421" s="14">
        <v>0</v>
      </c>
      <c r="BA421">
        <v>0</v>
      </c>
      <c r="BB421" t="s">
        <v>22</v>
      </c>
      <c r="BC421" t="s">
        <v>175</v>
      </c>
      <c r="BD421" t="s">
        <v>176</v>
      </c>
      <c r="BE421" t="s">
        <v>287</v>
      </c>
      <c r="BG421" t="s">
        <v>1301</v>
      </c>
      <c r="BH421" t="s">
        <v>132</v>
      </c>
      <c r="BJ421">
        <v>4</v>
      </c>
      <c r="BK421" t="s">
        <v>133</v>
      </c>
      <c r="BV421" t="s">
        <v>134</v>
      </c>
      <c r="BW421" s="16">
        <v>46055.340277777781</v>
      </c>
      <c r="BX421" t="s">
        <v>143</v>
      </c>
      <c r="BZ421">
        <v>14</v>
      </c>
      <c r="CA421" t="s">
        <v>1302</v>
      </c>
      <c r="CB421">
        <v>0</v>
      </c>
      <c r="CF421" t="s">
        <v>1087</v>
      </c>
      <c r="CG421">
        <v>2026</v>
      </c>
      <c r="CH421" t="s">
        <v>138</v>
      </c>
      <c r="CI421" t="s">
        <v>139</v>
      </c>
    </row>
    <row r="422" spans="1:87" x14ac:dyDescent="0.3">
      <c r="A422" t="s">
        <v>165</v>
      </c>
      <c r="B422" t="s">
        <v>116</v>
      </c>
      <c r="C422" t="s">
        <v>117</v>
      </c>
      <c r="D422" t="s">
        <v>118</v>
      </c>
      <c r="E422" t="s">
        <v>14</v>
      </c>
      <c r="F422" t="s">
        <v>1295</v>
      </c>
      <c r="G422">
        <v>72</v>
      </c>
      <c r="H422">
        <v>0</v>
      </c>
      <c r="I422" s="14">
        <v>520100</v>
      </c>
      <c r="J422" s="14">
        <v>467100</v>
      </c>
      <c r="Q422" s="14"/>
      <c r="R422" s="14"/>
      <c r="Y422" s="14"/>
      <c r="Z422" s="14"/>
      <c r="AG422" s="14"/>
      <c r="AH422" s="14"/>
      <c r="AI422" t="s">
        <v>1296</v>
      </c>
      <c r="AJ422" t="s">
        <v>1297</v>
      </c>
      <c r="AK422" t="s">
        <v>1298</v>
      </c>
      <c r="AL422">
        <v>0</v>
      </c>
      <c r="AM422" t="s">
        <v>1299</v>
      </c>
      <c r="AN422" t="s">
        <v>1300</v>
      </c>
      <c r="AO422" t="s">
        <v>125</v>
      </c>
      <c r="AP422" t="s">
        <v>600</v>
      </c>
      <c r="AQ422" s="15">
        <v>46055</v>
      </c>
      <c r="AR422" s="15">
        <v>46055</v>
      </c>
      <c r="AS422" t="s">
        <v>145</v>
      </c>
      <c r="AT422">
        <v>1</v>
      </c>
      <c r="AU422">
        <v>30000</v>
      </c>
      <c r="AV422">
        <v>0</v>
      </c>
      <c r="AW422">
        <v>0</v>
      </c>
      <c r="AX422" s="14">
        <v>30000</v>
      </c>
      <c r="AY422" s="14">
        <v>30000</v>
      </c>
      <c r="AZ422" s="14">
        <v>0</v>
      </c>
      <c r="BA422">
        <v>0</v>
      </c>
      <c r="BB422" t="s">
        <v>22</v>
      </c>
      <c r="BC422" t="s">
        <v>175</v>
      </c>
      <c r="BD422" t="s">
        <v>176</v>
      </c>
      <c r="BE422" t="s">
        <v>130</v>
      </c>
      <c r="BG422" t="s">
        <v>1303</v>
      </c>
      <c r="BH422" t="s">
        <v>132</v>
      </c>
      <c r="BJ422">
        <v>4</v>
      </c>
      <c r="BK422" t="s">
        <v>133</v>
      </c>
      <c r="BV422" t="s">
        <v>134</v>
      </c>
      <c r="BW422" s="16">
        <v>46055.340277777781</v>
      </c>
      <c r="BX422" t="s">
        <v>143</v>
      </c>
      <c r="BZ422">
        <v>14</v>
      </c>
      <c r="CA422" t="s">
        <v>1304</v>
      </c>
      <c r="CB422">
        <v>0</v>
      </c>
      <c r="CF422" t="s">
        <v>1087</v>
      </c>
      <c r="CG422">
        <v>2026</v>
      </c>
      <c r="CH422" t="s">
        <v>138</v>
      </c>
      <c r="CI422" t="s">
        <v>139</v>
      </c>
    </row>
    <row r="423" spans="1:87" x14ac:dyDescent="0.3">
      <c r="A423" t="s">
        <v>165</v>
      </c>
      <c r="B423" t="s">
        <v>116</v>
      </c>
      <c r="C423" t="s">
        <v>117</v>
      </c>
      <c r="D423" t="s">
        <v>118</v>
      </c>
      <c r="E423" t="s">
        <v>14</v>
      </c>
      <c r="F423" t="s">
        <v>1295</v>
      </c>
      <c r="G423">
        <v>72</v>
      </c>
      <c r="H423">
        <v>0</v>
      </c>
      <c r="I423" s="14">
        <v>520100</v>
      </c>
      <c r="J423" s="14">
        <v>467100</v>
      </c>
      <c r="Q423" s="14"/>
      <c r="R423" s="14"/>
      <c r="Y423" s="14"/>
      <c r="Z423" s="14"/>
      <c r="AG423" s="14"/>
      <c r="AH423" s="14"/>
      <c r="AI423" t="s">
        <v>1296</v>
      </c>
      <c r="AJ423" t="s">
        <v>1297</v>
      </c>
      <c r="AK423" t="s">
        <v>1298</v>
      </c>
      <c r="AL423">
        <v>0</v>
      </c>
      <c r="AM423" t="s">
        <v>1299</v>
      </c>
      <c r="AN423" t="s">
        <v>1300</v>
      </c>
      <c r="AO423" t="s">
        <v>125</v>
      </c>
      <c r="AP423" t="s">
        <v>600</v>
      </c>
      <c r="AQ423" s="15">
        <v>46056</v>
      </c>
      <c r="AR423" s="15">
        <v>46056</v>
      </c>
      <c r="AS423" t="s">
        <v>145</v>
      </c>
      <c r="AT423">
        <v>2</v>
      </c>
      <c r="AU423">
        <v>16470</v>
      </c>
      <c r="AV423">
        <v>0</v>
      </c>
      <c r="AW423">
        <v>0</v>
      </c>
      <c r="AX423" s="14">
        <v>16470</v>
      </c>
      <c r="AY423" s="14">
        <v>16470</v>
      </c>
      <c r="AZ423" s="14">
        <v>0</v>
      </c>
      <c r="BA423">
        <v>0</v>
      </c>
      <c r="BB423" t="s">
        <v>22</v>
      </c>
      <c r="BC423" t="s">
        <v>175</v>
      </c>
      <c r="BD423" t="s">
        <v>176</v>
      </c>
      <c r="BE423" t="s">
        <v>130</v>
      </c>
      <c r="BG423" t="s">
        <v>1305</v>
      </c>
      <c r="BH423" t="s">
        <v>132</v>
      </c>
      <c r="BJ423">
        <v>4</v>
      </c>
      <c r="BK423" t="s">
        <v>133</v>
      </c>
      <c r="BV423" t="s">
        <v>134</v>
      </c>
      <c r="BW423" s="16">
        <v>46055.340277777781</v>
      </c>
      <c r="BX423" t="s">
        <v>143</v>
      </c>
      <c r="BZ423">
        <v>14</v>
      </c>
      <c r="CA423" t="s">
        <v>1306</v>
      </c>
      <c r="CB423">
        <v>0</v>
      </c>
      <c r="CF423" t="s">
        <v>1087</v>
      </c>
      <c r="CG423">
        <v>2026</v>
      </c>
      <c r="CH423" t="s">
        <v>138</v>
      </c>
      <c r="CI423" t="s">
        <v>139</v>
      </c>
    </row>
    <row r="424" spans="1:87" x14ac:dyDescent="0.3">
      <c r="A424" t="s">
        <v>165</v>
      </c>
      <c r="B424" t="s">
        <v>116</v>
      </c>
      <c r="C424" t="s">
        <v>117</v>
      </c>
      <c r="D424" t="s">
        <v>118</v>
      </c>
      <c r="E424" t="s">
        <v>14</v>
      </c>
      <c r="F424" t="s">
        <v>1295</v>
      </c>
      <c r="G424">
        <v>72</v>
      </c>
      <c r="H424">
        <v>0</v>
      </c>
      <c r="I424" s="14">
        <v>520100</v>
      </c>
      <c r="J424" s="14">
        <v>467100</v>
      </c>
      <c r="Q424" s="14"/>
      <c r="R424" s="14"/>
      <c r="Y424" s="14"/>
      <c r="Z424" s="14"/>
      <c r="AG424" s="14"/>
      <c r="AH424" s="14"/>
      <c r="AI424" t="s">
        <v>1296</v>
      </c>
      <c r="AJ424" t="s">
        <v>1297</v>
      </c>
      <c r="AK424" t="s">
        <v>1298</v>
      </c>
      <c r="AL424">
        <v>0</v>
      </c>
      <c r="AM424" t="s">
        <v>1299</v>
      </c>
      <c r="AN424" t="s">
        <v>1300</v>
      </c>
      <c r="AO424" t="s">
        <v>125</v>
      </c>
      <c r="AP424" t="s">
        <v>600</v>
      </c>
      <c r="AQ424" s="15">
        <v>46092</v>
      </c>
      <c r="AR424" s="15">
        <v>46092</v>
      </c>
      <c r="AS424" t="s">
        <v>145</v>
      </c>
      <c r="AT424">
        <v>3</v>
      </c>
      <c r="AU424">
        <v>15000</v>
      </c>
      <c r="AV424">
        <v>0</v>
      </c>
      <c r="AW424">
        <v>0</v>
      </c>
      <c r="AX424" s="14">
        <v>15000</v>
      </c>
      <c r="AY424" s="14">
        <v>15000</v>
      </c>
      <c r="AZ424" s="14">
        <v>0</v>
      </c>
      <c r="BA424">
        <v>0</v>
      </c>
      <c r="BB424" t="s">
        <v>22</v>
      </c>
      <c r="BC424" t="s">
        <v>175</v>
      </c>
      <c r="BD424" t="s">
        <v>176</v>
      </c>
      <c r="BE424" t="s">
        <v>130</v>
      </c>
      <c r="BG424" t="s">
        <v>1307</v>
      </c>
      <c r="BH424" t="s">
        <v>132</v>
      </c>
      <c r="BJ424">
        <v>4</v>
      </c>
      <c r="BK424" t="s">
        <v>133</v>
      </c>
      <c r="BV424" t="s">
        <v>134</v>
      </c>
      <c r="BW424" s="16">
        <v>46055.340277777781</v>
      </c>
      <c r="BX424" t="s">
        <v>143</v>
      </c>
      <c r="BZ424">
        <v>14</v>
      </c>
      <c r="CA424" t="s">
        <v>1308</v>
      </c>
      <c r="CB424">
        <v>0</v>
      </c>
      <c r="CF424" t="s">
        <v>1087</v>
      </c>
      <c r="CG424">
        <v>2026</v>
      </c>
      <c r="CH424" t="s">
        <v>138</v>
      </c>
      <c r="CI424" t="s">
        <v>139</v>
      </c>
    </row>
    <row r="425" spans="1:87" x14ac:dyDescent="0.3">
      <c r="A425" t="s">
        <v>165</v>
      </c>
      <c r="B425" t="s">
        <v>116</v>
      </c>
      <c r="C425" t="s">
        <v>117</v>
      </c>
      <c r="D425" t="s">
        <v>118</v>
      </c>
      <c r="E425" t="s">
        <v>14</v>
      </c>
      <c r="F425" t="s">
        <v>1295</v>
      </c>
      <c r="G425">
        <v>72</v>
      </c>
      <c r="H425">
        <v>0</v>
      </c>
      <c r="I425" s="14">
        <v>520100</v>
      </c>
      <c r="J425" s="14">
        <v>467100</v>
      </c>
      <c r="Q425" s="14"/>
      <c r="R425" s="14"/>
      <c r="Y425" s="14"/>
      <c r="Z425" s="14"/>
      <c r="AG425" s="14"/>
      <c r="AH425" s="14"/>
      <c r="AI425" t="s">
        <v>1296</v>
      </c>
      <c r="AJ425" t="s">
        <v>1297</v>
      </c>
      <c r="AK425" t="s">
        <v>1298</v>
      </c>
      <c r="AL425">
        <v>0</v>
      </c>
      <c r="AM425" t="s">
        <v>1299</v>
      </c>
      <c r="AN425" t="s">
        <v>1300</v>
      </c>
      <c r="AO425" t="s">
        <v>125</v>
      </c>
      <c r="AP425" t="s">
        <v>600</v>
      </c>
      <c r="AQ425" s="15">
        <v>46095</v>
      </c>
      <c r="AR425" s="15">
        <v>46095</v>
      </c>
      <c r="AS425" t="s">
        <v>145</v>
      </c>
      <c r="AT425">
        <v>4</v>
      </c>
      <c r="AU425">
        <v>15000</v>
      </c>
      <c r="AV425">
        <v>0</v>
      </c>
      <c r="AW425">
        <v>0</v>
      </c>
      <c r="AX425" s="14">
        <v>15000</v>
      </c>
      <c r="AY425" s="14">
        <v>15000</v>
      </c>
      <c r="AZ425" s="14">
        <v>0</v>
      </c>
      <c r="BA425">
        <v>0</v>
      </c>
      <c r="BB425" t="s">
        <v>22</v>
      </c>
      <c r="BC425" t="s">
        <v>175</v>
      </c>
      <c r="BD425" t="s">
        <v>176</v>
      </c>
      <c r="BE425" t="s">
        <v>130</v>
      </c>
      <c r="BG425" t="s">
        <v>1309</v>
      </c>
      <c r="BH425" t="s">
        <v>132</v>
      </c>
      <c r="BJ425">
        <v>4</v>
      </c>
      <c r="BK425" t="s">
        <v>133</v>
      </c>
      <c r="BV425" t="s">
        <v>134</v>
      </c>
      <c r="BW425" s="16">
        <v>46055.340277777781</v>
      </c>
      <c r="BX425" t="s">
        <v>143</v>
      </c>
      <c r="BZ425">
        <v>14</v>
      </c>
      <c r="CA425" t="s">
        <v>1310</v>
      </c>
      <c r="CB425">
        <v>0</v>
      </c>
      <c r="CF425" t="s">
        <v>1087</v>
      </c>
      <c r="CG425">
        <v>2026</v>
      </c>
      <c r="CH425" t="s">
        <v>138</v>
      </c>
      <c r="CI425" t="s">
        <v>139</v>
      </c>
    </row>
    <row r="426" spans="1:87" x14ac:dyDescent="0.3">
      <c r="A426" t="s">
        <v>165</v>
      </c>
      <c r="B426" t="s">
        <v>116</v>
      </c>
      <c r="C426" t="s">
        <v>117</v>
      </c>
      <c r="D426" t="s">
        <v>118</v>
      </c>
      <c r="E426" t="s">
        <v>14</v>
      </c>
      <c r="F426" t="s">
        <v>1295</v>
      </c>
      <c r="G426">
        <v>72</v>
      </c>
      <c r="H426">
        <v>0</v>
      </c>
      <c r="I426" s="14">
        <v>520100</v>
      </c>
      <c r="J426" s="14">
        <v>467100</v>
      </c>
      <c r="Q426" s="14"/>
      <c r="R426" s="14"/>
      <c r="Y426" s="14"/>
      <c r="Z426" s="14"/>
      <c r="AG426" s="14"/>
      <c r="AH426" s="14"/>
      <c r="AI426" t="s">
        <v>1296</v>
      </c>
      <c r="AJ426" t="s">
        <v>1297</v>
      </c>
      <c r="AK426" t="s">
        <v>1298</v>
      </c>
      <c r="AL426">
        <v>0</v>
      </c>
      <c r="AM426" t="s">
        <v>1299</v>
      </c>
      <c r="AN426" t="s">
        <v>1300</v>
      </c>
      <c r="AO426" t="s">
        <v>125</v>
      </c>
      <c r="AP426" t="s">
        <v>600</v>
      </c>
      <c r="AQ426" s="15">
        <v>46125</v>
      </c>
      <c r="AR426" s="15">
        <v>46125</v>
      </c>
      <c r="AS426" t="s">
        <v>145</v>
      </c>
      <c r="AT426">
        <v>5</v>
      </c>
      <c r="AU426">
        <v>9900</v>
      </c>
      <c r="AV426">
        <v>0</v>
      </c>
      <c r="AW426">
        <v>0</v>
      </c>
      <c r="AX426" s="14">
        <v>9900</v>
      </c>
      <c r="AY426" s="14">
        <v>9900</v>
      </c>
      <c r="AZ426" s="14">
        <v>0</v>
      </c>
      <c r="BA426">
        <v>0</v>
      </c>
      <c r="BB426" t="s">
        <v>22</v>
      </c>
      <c r="BC426" t="s">
        <v>175</v>
      </c>
      <c r="BD426" t="s">
        <v>176</v>
      </c>
      <c r="BE426" t="s">
        <v>130</v>
      </c>
      <c r="BG426" t="s">
        <v>1311</v>
      </c>
      <c r="BH426" t="s">
        <v>132</v>
      </c>
      <c r="BJ426">
        <v>4</v>
      </c>
      <c r="BK426" t="s">
        <v>133</v>
      </c>
      <c r="BV426" t="s">
        <v>134</v>
      </c>
      <c r="BW426" s="16">
        <v>46055.340277777781</v>
      </c>
      <c r="BX426" t="s">
        <v>143</v>
      </c>
      <c r="BZ426">
        <v>14</v>
      </c>
      <c r="CA426" t="s">
        <v>1312</v>
      </c>
      <c r="CB426">
        <v>0</v>
      </c>
      <c r="CF426" t="s">
        <v>1087</v>
      </c>
      <c r="CG426">
        <v>2026</v>
      </c>
      <c r="CH426" t="s">
        <v>138</v>
      </c>
      <c r="CI426" t="s">
        <v>139</v>
      </c>
    </row>
    <row r="427" spans="1:87" x14ac:dyDescent="0.3">
      <c r="A427" t="s">
        <v>165</v>
      </c>
      <c r="B427" t="s">
        <v>116</v>
      </c>
      <c r="C427" t="s">
        <v>117</v>
      </c>
      <c r="D427" t="s">
        <v>118</v>
      </c>
      <c r="E427" t="s">
        <v>14</v>
      </c>
      <c r="F427" t="s">
        <v>1295</v>
      </c>
      <c r="G427">
        <v>72</v>
      </c>
      <c r="H427">
        <v>0</v>
      </c>
      <c r="I427" s="14">
        <v>520100</v>
      </c>
      <c r="J427" s="14">
        <v>467100</v>
      </c>
      <c r="Q427" s="14"/>
      <c r="R427" s="14"/>
      <c r="Y427" s="14"/>
      <c r="Z427" s="14"/>
      <c r="AG427" s="14"/>
      <c r="AH427" s="14"/>
      <c r="AI427" t="s">
        <v>1296</v>
      </c>
      <c r="AJ427" t="s">
        <v>1297</v>
      </c>
      <c r="AK427" t="s">
        <v>1298</v>
      </c>
      <c r="AL427">
        <v>0</v>
      </c>
      <c r="AM427" t="s">
        <v>1299</v>
      </c>
      <c r="AN427" t="s">
        <v>1300</v>
      </c>
      <c r="AO427" t="s">
        <v>125</v>
      </c>
      <c r="AP427" t="s">
        <v>600</v>
      </c>
      <c r="AQ427" s="15">
        <v>46129</v>
      </c>
      <c r="AR427" s="15">
        <v>46129</v>
      </c>
      <c r="AS427" t="s">
        <v>145</v>
      </c>
      <c r="AT427">
        <v>6</v>
      </c>
      <c r="AU427">
        <v>10100</v>
      </c>
      <c r="AV427">
        <v>0</v>
      </c>
      <c r="AW427">
        <v>0</v>
      </c>
      <c r="AX427" s="14">
        <v>10100</v>
      </c>
      <c r="AY427" s="14">
        <v>10100</v>
      </c>
      <c r="AZ427" s="14">
        <v>0</v>
      </c>
      <c r="BA427">
        <v>0</v>
      </c>
      <c r="BB427" t="s">
        <v>22</v>
      </c>
      <c r="BC427" t="s">
        <v>175</v>
      </c>
      <c r="BD427" t="s">
        <v>176</v>
      </c>
      <c r="BE427" t="s">
        <v>130</v>
      </c>
      <c r="BG427" t="s">
        <v>1313</v>
      </c>
      <c r="BH427" t="s">
        <v>132</v>
      </c>
      <c r="BJ427">
        <v>4</v>
      </c>
      <c r="BK427" t="s">
        <v>133</v>
      </c>
      <c r="BV427" t="s">
        <v>134</v>
      </c>
      <c r="BW427" s="16">
        <v>46055.340277777781</v>
      </c>
      <c r="BX427" t="s">
        <v>143</v>
      </c>
      <c r="BZ427">
        <v>14</v>
      </c>
      <c r="CA427" t="s">
        <v>1314</v>
      </c>
      <c r="CB427">
        <v>0</v>
      </c>
      <c r="CF427" t="s">
        <v>1087</v>
      </c>
      <c r="CG427">
        <v>2026</v>
      </c>
      <c r="CH427" t="s">
        <v>138</v>
      </c>
      <c r="CI427" t="s">
        <v>139</v>
      </c>
    </row>
    <row r="428" spans="1:87" x14ac:dyDescent="0.3">
      <c r="A428" t="s">
        <v>165</v>
      </c>
      <c r="B428" t="s">
        <v>116</v>
      </c>
      <c r="C428" t="s">
        <v>117</v>
      </c>
      <c r="D428" t="s">
        <v>118</v>
      </c>
      <c r="E428" t="s">
        <v>14</v>
      </c>
      <c r="F428" t="s">
        <v>1295</v>
      </c>
      <c r="G428">
        <v>72</v>
      </c>
      <c r="H428">
        <v>0</v>
      </c>
      <c r="I428" s="14">
        <v>520100</v>
      </c>
      <c r="J428" s="14">
        <v>467100</v>
      </c>
      <c r="Q428" s="14"/>
      <c r="R428" s="14"/>
      <c r="Y428" s="14"/>
      <c r="Z428" s="14"/>
      <c r="AG428" s="14"/>
      <c r="AH428" s="14"/>
      <c r="AI428" t="s">
        <v>1296</v>
      </c>
      <c r="AJ428" t="s">
        <v>1297</v>
      </c>
      <c r="AK428" t="s">
        <v>1298</v>
      </c>
      <c r="AL428">
        <v>0</v>
      </c>
      <c r="AM428" t="s">
        <v>1299</v>
      </c>
      <c r="AN428" t="s">
        <v>1300</v>
      </c>
      <c r="AO428" t="s">
        <v>125</v>
      </c>
      <c r="AP428" t="s">
        <v>600</v>
      </c>
      <c r="AQ428" s="15">
        <v>46136</v>
      </c>
      <c r="AR428" s="15">
        <v>46136</v>
      </c>
      <c r="AS428" t="s">
        <v>145</v>
      </c>
      <c r="AT428">
        <v>7</v>
      </c>
      <c r="AU428">
        <v>10000</v>
      </c>
      <c r="AV428">
        <v>0</v>
      </c>
      <c r="AW428">
        <v>0</v>
      </c>
      <c r="AX428" s="14">
        <v>10000</v>
      </c>
      <c r="AY428" s="14">
        <v>10000</v>
      </c>
      <c r="AZ428" s="14">
        <v>0</v>
      </c>
      <c r="BA428">
        <v>0</v>
      </c>
      <c r="BB428" t="s">
        <v>22</v>
      </c>
      <c r="BC428" t="s">
        <v>175</v>
      </c>
      <c r="BD428" t="s">
        <v>176</v>
      </c>
      <c r="BE428" t="s">
        <v>130</v>
      </c>
      <c r="BG428" t="s">
        <v>1315</v>
      </c>
      <c r="BH428" t="s">
        <v>132</v>
      </c>
      <c r="BJ428">
        <v>4</v>
      </c>
      <c r="BK428" t="s">
        <v>133</v>
      </c>
      <c r="BV428" t="s">
        <v>134</v>
      </c>
      <c r="BW428" s="16">
        <v>46055.340277777781</v>
      </c>
      <c r="BX428" t="s">
        <v>143</v>
      </c>
      <c r="BZ428">
        <v>14</v>
      </c>
      <c r="CA428" t="s">
        <v>1316</v>
      </c>
      <c r="CB428">
        <v>0</v>
      </c>
      <c r="CF428" t="s">
        <v>1087</v>
      </c>
      <c r="CG428">
        <v>2026</v>
      </c>
      <c r="CH428" t="s">
        <v>138</v>
      </c>
      <c r="CI428" t="s">
        <v>139</v>
      </c>
    </row>
    <row r="429" spans="1:87" x14ac:dyDescent="0.3">
      <c r="A429" t="s">
        <v>165</v>
      </c>
      <c r="B429" t="s">
        <v>116</v>
      </c>
      <c r="C429" t="s">
        <v>117</v>
      </c>
      <c r="D429" t="s">
        <v>118</v>
      </c>
      <c r="E429" t="s">
        <v>14</v>
      </c>
      <c r="F429" t="s">
        <v>1295</v>
      </c>
      <c r="G429">
        <v>72</v>
      </c>
      <c r="H429">
        <v>0</v>
      </c>
      <c r="I429" s="14">
        <v>520100</v>
      </c>
      <c r="J429" s="14">
        <v>467100</v>
      </c>
      <c r="Q429" s="14"/>
      <c r="R429" s="14"/>
      <c r="Y429" s="14"/>
      <c r="Z429" s="14"/>
      <c r="AG429" s="14"/>
      <c r="AH429" s="14"/>
      <c r="AI429" t="s">
        <v>1296</v>
      </c>
      <c r="AJ429" t="s">
        <v>1297</v>
      </c>
      <c r="AK429" t="s">
        <v>1298</v>
      </c>
      <c r="AL429">
        <v>0</v>
      </c>
      <c r="AM429" t="s">
        <v>1299</v>
      </c>
      <c r="AN429" t="s">
        <v>1300</v>
      </c>
      <c r="AO429" t="s">
        <v>125</v>
      </c>
      <c r="AP429" t="s">
        <v>600</v>
      </c>
      <c r="AQ429" s="15">
        <v>46142</v>
      </c>
      <c r="AR429" s="15">
        <v>46149</v>
      </c>
      <c r="AS429" t="s">
        <v>227</v>
      </c>
      <c r="AT429">
        <v>1</v>
      </c>
      <c r="AU429">
        <v>10000</v>
      </c>
      <c r="AV429">
        <v>0</v>
      </c>
      <c r="AW429">
        <v>0</v>
      </c>
      <c r="AX429" s="14">
        <v>10000</v>
      </c>
      <c r="AY429" s="14">
        <v>10000</v>
      </c>
      <c r="AZ429" s="14">
        <v>0</v>
      </c>
      <c r="BA429">
        <v>0</v>
      </c>
      <c r="BB429" t="s">
        <v>22</v>
      </c>
      <c r="BC429" t="s">
        <v>175</v>
      </c>
      <c r="BD429" t="s">
        <v>176</v>
      </c>
      <c r="BE429" t="s">
        <v>130</v>
      </c>
      <c r="BG429" t="s">
        <v>1317</v>
      </c>
      <c r="BH429" t="s">
        <v>132</v>
      </c>
      <c r="BJ429">
        <v>4</v>
      </c>
      <c r="BK429" t="s">
        <v>133</v>
      </c>
      <c r="BV429" t="s">
        <v>134</v>
      </c>
      <c r="BW429" s="16">
        <v>46055.340277777781</v>
      </c>
      <c r="BX429" t="s">
        <v>143</v>
      </c>
      <c r="BZ429">
        <v>14</v>
      </c>
      <c r="CA429" t="s">
        <v>1316</v>
      </c>
      <c r="CB429">
        <v>0</v>
      </c>
      <c r="CF429" t="s">
        <v>1087</v>
      </c>
      <c r="CG429">
        <v>2026</v>
      </c>
      <c r="CH429" t="s">
        <v>138</v>
      </c>
      <c r="CI429" t="s">
        <v>139</v>
      </c>
    </row>
    <row r="430" spans="1:87" x14ac:dyDescent="0.3">
      <c r="A430" t="s">
        <v>165</v>
      </c>
      <c r="B430" t="s">
        <v>116</v>
      </c>
      <c r="C430" t="s">
        <v>117</v>
      </c>
      <c r="D430" t="s">
        <v>118</v>
      </c>
      <c r="E430" t="s">
        <v>14</v>
      </c>
      <c r="F430" t="s">
        <v>1295</v>
      </c>
      <c r="G430">
        <v>72</v>
      </c>
      <c r="H430">
        <v>0</v>
      </c>
      <c r="I430" s="14">
        <v>520100</v>
      </c>
      <c r="J430" s="14">
        <v>467100</v>
      </c>
      <c r="Q430" s="14"/>
      <c r="R430" s="14"/>
      <c r="Y430" s="14"/>
      <c r="Z430" s="14"/>
      <c r="AG430" s="14"/>
      <c r="AH430" s="14"/>
      <c r="AI430" t="s">
        <v>1296</v>
      </c>
      <c r="AJ430" t="s">
        <v>1297</v>
      </c>
      <c r="AK430" t="s">
        <v>1298</v>
      </c>
      <c r="AL430">
        <v>0</v>
      </c>
      <c r="AM430" t="s">
        <v>1299</v>
      </c>
      <c r="AN430" t="s">
        <v>1300</v>
      </c>
      <c r="AO430" t="s">
        <v>125</v>
      </c>
      <c r="AP430" t="s">
        <v>600</v>
      </c>
      <c r="AQ430" s="15">
        <v>46172</v>
      </c>
      <c r="AR430" s="15">
        <v>46182</v>
      </c>
      <c r="AS430" t="s">
        <v>227</v>
      </c>
      <c r="AT430">
        <v>2</v>
      </c>
      <c r="AU430">
        <v>10000</v>
      </c>
      <c r="AV430">
        <v>0</v>
      </c>
      <c r="AW430">
        <v>0</v>
      </c>
      <c r="AX430" s="14">
        <v>10000</v>
      </c>
      <c r="AY430" s="14">
        <v>10000</v>
      </c>
      <c r="AZ430" s="14">
        <v>0</v>
      </c>
      <c r="BA430">
        <v>0</v>
      </c>
      <c r="BB430" t="s">
        <v>22</v>
      </c>
      <c r="BC430" t="s">
        <v>175</v>
      </c>
      <c r="BD430" t="s">
        <v>176</v>
      </c>
      <c r="BE430" t="s">
        <v>130</v>
      </c>
      <c r="BG430" t="s">
        <v>1318</v>
      </c>
      <c r="BH430" t="s">
        <v>132</v>
      </c>
      <c r="BJ430">
        <v>4</v>
      </c>
      <c r="BK430" t="s">
        <v>133</v>
      </c>
      <c r="BV430" t="s">
        <v>134</v>
      </c>
      <c r="BW430" s="16">
        <v>46055.340277777781</v>
      </c>
      <c r="BX430" t="s">
        <v>143</v>
      </c>
      <c r="BZ430">
        <v>14</v>
      </c>
      <c r="CA430" t="s">
        <v>1319</v>
      </c>
      <c r="CB430">
        <v>0</v>
      </c>
      <c r="CF430" t="s">
        <v>1087</v>
      </c>
      <c r="CG430">
        <v>2026</v>
      </c>
      <c r="CH430" t="s">
        <v>138</v>
      </c>
      <c r="CI430" t="s">
        <v>139</v>
      </c>
    </row>
    <row r="431" spans="1:87" x14ac:dyDescent="0.3">
      <c r="A431" t="s">
        <v>165</v>
      </c>
      <c r="B431" t="s">
        <v>116</v>
      </c>
      <c r="C431" t="s">
        <v>117</v>
      </c>
      <c r="D431" t="s">
        <v>118</v>
      </c>
      <c r="E431" t="s">
        <v>14</v>
      </c>
      <c r="F431" t="s">
        <v>1295</v>
      </c>
      <c r="G431">
        <v>72</v>
      </c>
      <c r="H431">
        <v>0</v>
      </c>
      <c r="I431" s="14">
        <v>520100</v>
      </c>
      <c r="J431" s="14">
        <v>467100</v>
      </c>
      <c r="Q431" s="14"/>
      <c r="R431" s="14"/>
      <c r="Y431" s="14"/>
      <c r="Z431" s="14"/>
      <c r="AG431" s="14"/>
      <c r="AH431" s="14"/>
      <c r="AI431" t="s">
        <v>1296</v>
      </c>
      <c r="AJ431" t="s">
        <v>1297</v>
      </c>
      <c r="AK431" t="s">
        <v>1298</v>
      </c>
      <c r="AL431">
        <v>0</v>
      </c>
      <c r="AM431" t="s">
        <v>1299</v>
      </c>
      <c r="AN431" t="s">
        <v>1300</v>
      </c>
      <c r="AO431" t="s">
        <v>125</v>
      </c>
      <c r="AP431" t="s">
        <v>600</v>
      </c>
      <c r="AQ431" s="15">
        <v>46203</v>
      </c>
      <c r="AR431" s="15">
        <v>46223</v>
      </c>
      <c r="AS431" t="s">
        <v>227</v>
      </c>
      <c r="AT431">
        <v>3</v>
      </c>
      <c r="AU431">
        <v>10000</v>
      </c>
      <c r="AV431">
        <v>0</v>
      </c>
      <c r="AW431">
        <v>0</v>
      </c>
      <c r="AX431" s="14">
        <v>10000</v>
      </c>
      <c r="AY431" s="14">
        <v>10000</v>
      </c>
      <c r="AZ431" s="14">
        <v>0</v>
      </c>
      <c r="BA431">
        <v>0</v>
      </c>
      <c r="BB431" t="s">
        <v>22</v>
      </c>
      <c r="BC431" t="s">
        <v>175</v>
      </c>
      <c r="BD431" t="s">
        <v>176</v>
      </c>
      <c r="BE431" t="s">
        <v>130</v>
      </c>
      <c r="BG431" t="s">
        <v>1320</v>
      </c>
      <c r="BH431" t="s">
        <v>132</v>
      </c>
      <c r="BJ431">
        <v>4</v>
      </c>
      <c r="BK431" t="s">
        <v>133</v>
      </c>
      <c r="BV431" t="s">
        <v>134</v>
      </c>
      <c r="BW431" s="16">
        <v>46055.340277777781</v>
      </c>
      <c r="BX431" t="s">
        <v>143</v>
      </c>
      <c r="BZ431">
        <v>14</v>
      </c>
      <c r="CA431" t="s">
        <v>1321</v>
      </c>
      <c r="CB431">
        <v>0</v>
      </c>
      <c r="CF431" t="s">
        <v>1087</v>
      </c>
      <c r="CG431">
        <v>2026</v>
      </c>
      <c r="CH431" t="s">
        <v>138</v>
      </c>
      <c r="CI431" t="s">
        <v>139</v>
      </c>
    </row>
    <row r="432" spans="1:87" x14ac:dyDescent="0.3">
      <c r="A432" t="s">
        <v>165</v>
      </c>
      <c r="B432" t="s">
        <v>116</v>
      </c>
      <c r="C432" t="s">
        <v>117</v>
      </c>
      <c r="D432" t="s">
        <v>118</v>
      </c>
      <c r="E432" t="s">
        <v>14</v>
      </c>
      <c r="F432" t="s">
        <v>1295</v>
      </c>
      <c r="G432">
        <v>72</v>
      </c>
      <c r="H432">
        <v>0</v>
      </c>
      <c r="I432" s="14">
        <v>520100</v>
      </c>
      <c r="J432" s="14">
        <v>467100</v>
      </c>
      <c r="Q432" s="14"/>
      <c r="R432" s="14"/>
      <c r="Y432" s="14"/>
      <c r="Z432" s="14"/>
      <c r="AG432" s="14"/>
      <c r="AH432" s="14"/>
      <c r="AI432" t="s">
        <v>1296</v>
      </c>
      <c r="AJ432" t="s">
        <v>1297</v>
      </c>
      <c r="AK432" t="s">
        <v>1298</v>
      </c>
      <c r="AL432">
        <v>0</v>
      </c>
      <c r="AM432" t="s">
        <v>1299</v>
      </c>
      <c r="AN432" t="s">
        <v>1300</v>
      </c>
      <c r="AO432" t="s">
        <v>125</v>
      </c>
      <c r="AP432" t="s">
        <v>600</v>
      </c>
      <c r="AQ432" s="15">
        <v>46233</v>
      </c>
      <c r="AR432" s="15">
        <v>46252</v>
      </c>
      <c r="AS432" t="s">
        <v>227</v>
      </c>
      <c r="AT432">
        <v>4</v>
      </c>
      <c r="AU432">
        <v>10000</v>
      </c>
      <c r="AV432">
        <v>0</v>
      </c>
      <c r="AW432">
        <v>0</v>
      </c>
      <c r="AX432" s="14">
        <v>10000</v>
      </c>
      <c r="AY432" s="14">
        <v>10000</v>
      </c>
      <c r="AZ432" s="14">
        <v>0</v>
      </c>
      <c r="BA432">
        <v>0</v>
      </c>
      <c r="BB432" t="s">
        <v>22</v>
      </c>
      <c r="BC432" t="s">
        <v>175</v>
      </c>
      <c r="BD432" t="s">
        <v>176</v>
      </c>
      <c r="BE432" t="s">
        <v>130</v>
      </c>
      <c r="BG432" t="s">
        <v>1322</v>
      </c>
      <c r="BH432" t="s">
        <v>132</v>
      </c>
      <c r="BJ432">
        <v>4</v>
      </c>
      <c r="BK432" t="s">
        <v>133</v>
      </c>
      <c r="BV432" t="s">
        <v>134</v>
      </c>
      <c r="BW432" s="16">
        <v>46055.340277777781</v>
      </c>
      <c r="BX432" t="s">
        <v>143</v>
      </c>
      <c r="BZ432">
        <v>14</v>
      </c>
      <c r="CA432" t="s">
        <v>1323</v>
      </c>
      <c r="CB432">
        <v>0</v>
      </c>
      <c r="CF432" t="s">
        <v>1087</v>
      </c>
      <c r="CG432">
        <v>2026</v>
      </c>
      <c r="CH432" t="s">
        <v>138</v>
      </c>
      <c r="CI432" t="s">
        <v>139</v>
      </c>
    </row>
    <row r="433" spans="1:87" x14ac:dyDescent="0.3">
      <c r="A433" t="s">
        <v>165</v>
      </c>
      <c r="B433" t="s">
        <v>116</v>
      </c>
      <c r="C433" t="s">
        <v>117</v>
      </c>
      <c r="D433" t="s">
        <v>118</v>
      </c>
      <c r="E433" t="s">
        <v>14</v>
      </c>
      <c r="F433" t="s">
        <v>1295</v>
      </c>
      <c r="G433">
        <v>72</v>
      </c>
      <c r="H433">
        <v>0</v>
      </c>
      <c r="I433" s="14">
        <v>520100</v>
      </c>
      <c r="J433" s="14">
        <v>467100</v>
      </c>
      <c r="Q433" s="14"/>
      <c r="R433" s="14"/>
      <c r="Y433" s="14"/>
      <c r="Z433" s="14"/>
      <c r="AG433" s="14"/>
      <c r="AH433" s="14"/>
      <c r="AI433" t="s">
        <v>1296</v>
      </c>
      <c r="AJ433" t="s">
        <v>1297</v>
      </c>
      <c r="AK433" t="s">
        <v>1298</v>
      </c>
      <c r="AL433">
        <v>0</v>
      </c>
      <c r="AM433" t="s">
        <v>1299</v>
      </c>
      <c r="AN433" t="s">
        <v>1300</v>
      </c>
      <c r="AO433" t="s">
        <v>125</v>
      </c>
      <c r="AP433" t="s">
        <v>600</v>
      </c>
      <c r="AQ433" s="15">
        <v>46264</v>
      </c>
      <c r="AR433" s="15"/>
      <c r="AS433" t="s">
        <v>227</v>
      </c>
      <c r="AT433">
        <v>5</v>
      </c>
      <c r="AU433">
        <v>10000</v>
      </c>
      <c r="AV433">
        <v>0</v>
      </c>
      <c r="AW433">
        <v>0</v>
      </c>
      <c r="AX433" s="14">
        <v>10000</v>
      </c>
      <c r="AY433" s="14">
        <v>0</v>
      </c>
      <c r="AZ433" s="14">
        <v>10000</v>
      </c>
      <c r="BB433" t="s">
        <v>22</v>
      </c>
      <c r="BH433" t="s">
        <v>132</v>
      </c>
      <c r="BK433" t="s">
        <v>550</v>
      </c>
      <c r="BV433" t="s">
        <v>132</v>
      </c>
      <c r="BW433" s="16">
        <v>46055.340277777781</v>
      </c>
      <c r="BX433" t="s">
        <v>143</v>
      </c>
      <c r="BZ433">
        <v>14</v>
      </c>
      <c r="CB433">
        <v>0</v>
      </c>
      <c r="CF433" t="s">
        <v>1087</v>
      </c>
      <c r="CG433">
        <v>2026</v>
      </c>
      <c r="CH433" t="s">
        <v>138</v>
      </c>
      <c r="CI433" t="s">
        <v>139</v>
      </c>
    </row>
    <row r="434" spans="1:87" x14ac:dyDescent="0.3">
      <c r="A434" t="s">
        <v>165</v>
      </c>
      <c r="B434" t="s">
        <v>116</v>
      </c>
      <c r="C434" t="s">
        <v>117</v>
      </c>
      <c r="D434" t="s">
        <v>118</v>
      </c>
      <c r="E434" t="s">
        <v>14</v>
      </c>
      <c r="F434" t="s">
        <v>1295</v>
      </c>
      <c r="G434">
        <v>72</v>
      </c>
      <c r="H434">
        <v>0</v>
      </c>
      <c r="I434" s="14">
        <v>520100</v>
      </c>
      <c r="J434" s="14">
        <v>467100</v>
      </c>
      <c r="Q434" s="14"/>
      <c r="R434" s="14"/>
      <c r="Y434" s="14"/>
      <c r="Z434" s="14"/>
      <c r="AG434" s="14"/>
      <c r="AH434" s="14"/>
      <c r="AI434" t="s">
        <v>1296</v>
      </c>
      <c r="AJ434" t="s">
        <v>1297</v>
      </c>
      <c r="AK434" t="s">
        <v>1298</v>
      </c>
      <c r="AL434">
        <v>0</v>
      </c>
      <c r="AM434" t="s">
        <v>1299</v>
      </c>
      <c r="AN434" t="s">
        <v>1300</v>
      </c>
      <c r="AO434" t="s">
        <v>125</v>
      </c>
      <c r="AP434" t="s">
        <v>600</v>
      </c>
      <c r="AQ434" s="15">
        <v>46295</v>
      </c>
      <c r="AR434" s="15"/>
      <c r="AS434" t="s">
        <v>227</v>
      </c>
      <c r="AT434">
        <v>6</v>
      </c>
      <c r="AU434">
        <v>10000</v>
      </c>
      <c r="AV434">
        <v>0</v>
      </c>
      <c r="AW434">
        <v>0</v>
      </c>
      <c r="AX434" s="14">
        <v>10000</v>
      </c>
      <c r="AY434" s="14">
        <v>0</v>
      </c>
      <c r="AZ434" s="14">
        <v>10000</v>
      </c>
      <c r="BB434" t="s">
        <v>22</v>
      </c>
      <c r="BH434" t="s">
        <v>132</v>
      </c>
      <c r="BK434" t="s">
        <v>1100</v>
      </c>
      <c r="BV434" t="s">
        <v>132</v>
      </c>
      <c r="BW434" s="16">
        <v>46055.340277777781</v>
      </c>
      <c r="BX434" t="s">
        <v>143</v>
      </c>
      <c r="BZ434">
        <v>14</v>
      </c>
      <c r="CB434">
        <v>0</v>
      </c>
      <c r="CF434" t="s">
        <v>1087</v>
      </c>
      <c r="CG434">
        <v>2026</v>
      </c>
      <c r="CH434" t="s">
        <v>138</v>
      </c>
      <c r="CI434" t="s">
        <v>139</v>
      </c>
    </row>
    <row r="435" spans="1:87" x14ac:dyDescent="0.3">
      <c r="A435" t="s">
        <v>165</v>
      </c>
      <c r="B435" t="s">
        <v>116</v>
      </c>
      <c r="C435" t="s">
        <v>117</v>
      </c>
      <c r="D435" t="s">
        <v>118</v>
      </c>
      <c r="E435" t="s">
        <v>14</v>
      </c>
      <c r="F435" t="s">
        <v>1295</v>
      </c>
      <c r="G435">
        <v>72</v>
      </c>
      <c r="H435">
        <v>0</v>
      </c>
      <c r="I435" s="14">
        <v>520100</v>
      </c>
      <c r="J435" s="14">
        <v>467100</v>
      </c>
      <c r="Q435" s="14"/>
      <c r="R435" s="14"/>
      <c r="Y435" s="14"/>
      <c r="Z435" s="14"/>
      <c r="AG435" s="14"/>
      <c r="AH435" s="14"/>
      <c r="AI435" t="s">
        <v>1296</v>
      </c>
      <c r="AJ435" t="s">
        <v>1297</v>
      </c>
      <c r="AK435" t="s">
        <v>1298</v>
      </c>
      <c r="AL435">
        <v>0</v>
      </c>
      <c r="AM435" t="s">
        <v>1299</v>
      </c>
      <c r="AN435" t="s">
        <v>1300</v>
      </c>
      <c r="AO435" t="s">
        <v>125</v>
      </c>
      <c r="AP435" t="s">
        <v>600</v>
      </c>
      <c r="AQ435" s="15">
        <v>46325</v>
      </c>
      <c r="AR435" s="15"/>
      <c r="AS435" t="s">
        <v>227</v>
      </c>
      <c r="AT435">
        <v>7</v>
      </c>
      <c r="AU435">
        <v>10000</v>
      </c>
      <c r="AV435">
        <v>0</v>
      </c>
      <c r="AW435">
        <v>0</v>
      </c>
      <c r="AX435" s="14">
        <v>10000</v>
      </c>
      <c r="AY435" s="14">
        <v>0</v>
      </c>
      <c r="AZ435" s="14">
        <v>10000</v>
      </c>
      <c r="BB435" t="s">
        <v>22</v>
      </c>
      <c r="BH435" t="s">
        <v>132</v>
      </c>
      <c r="BK435" t="s">
        <v>1100</v>
      </c>
      <c r="BV435" t="s">
        <v>132</v>
      </c>
      <c r="BW435" s="16">
        <v>46055.340277777781</v>
      </c>
      <c r="BX435" t="s">
        <v>143</v>
      </c>
      <c r="BZ435">
        <v>14</v>
      </c>
      <c r="CB435">
        <v>0</v>
      </c>
      <c r="CF435" t="s">
        <v>1087</v>
      </c>
      <c r="CG435">
        <v>2026</v>
      </c>
      <c r="CH435" t="s">
        <v>138</v>
      </c>
      <c r="CI435" t="s">
        <v>139</v>
      </c>
    </row>
    <row r="436" spans="1:87" x14ac:dyDescent="0.3">
      <c r="A436" t="s">
        <v>165</v>
      </c>
      <c r="B436" t="s">
        <v>116</v>
      </c>
      <c r="C436" t="s">
        <v>117</v>
      </c>
      <c r="D436" t="s">
        <v>118</v>
      </c>
      <c r="E436" t="s">
        <v>14</v>
      </c>
      <c r="F436" t="s">
        <v>1295</v>
      </c>
      <c r="G436">
        <v>72</v>
      </c>
      <c r="H436">
        <v>0</v>
      </c>
      <c r="I436" s="14">
        <v>520100</v>
      </c>
      <c r="J436" s="14">
        <v>467100</v>
      </c>
      <c r="Q436" s="14"/>
      <c r="R436" s="14"/>
      <c r="Y436" s="14"/>
      <c r="Z436" s="14"/>
      <c r="AG436" s="14"/>
      <c r="AH436" s="14"/>
      <c r="AI436" t="s">
        <v>1296</v>
      </c>
      <c r="AJ436" t="s">
        <v>1297</v>
      </c>
      <c r="AK436" t="s">
        <v>1298</v>
      </c>
      <c r="AL436">
        <v>0</v>
      </c>
      <c r="AM436" t="s">
        <v>1299</v>
      </c>
      <c r="AN436" t="s">
        <v>1300</v>
      </c>
      <c r="AO436" t="s">
        <v>125</v>
      </c>
      <c r="AP436" t="s">
        <v>600</v>
      </c>
      <c r="AQ436" s="15">
        <v>46356</v>
      </c>
      <c r="AR436" s="15"/>
      <c r="AS436" t="s">
        <v>227</v>
      </c>
      <c r="AT436">
        <v>8</v>
      </c>
      <c r="AU436">
        <v>10000</v>
      </c>
      <c r="AV436">
        <v>0</v>
      </c>
      <c r="AW436">
        <v>0</v>
      </c>
      <c r="AX436" s="14">
        <v>10000</v>
      </c>
      <c r="AY436" s="14">
        <v>0</v>
      </c>
      <c r="AZ436" s="14">
        <v>10000</v>
      </c>
      <c r="BB436" t="s">
        <v>22</v>
      </c>
      <c r="BH436" t="s">
        <v>132</v>
      </c>
      <c r="BK436" t="s">
        <v>1100</v>
      </c>
      <c r="BV436" t="s">
        <v>132</v>
      </c>
      <c r="BW436" s="16">
        <v>46055.340277777781</v>
      </c>
      <c r="BX436" t="s">
        <v>143</v>
      </c>
      <c r="BZ436">
        <v>14</v>
      </c>
      <c r="CB436">
        <v>0</v>
      </c>
      <c r="CF436" t="s">
        <v>1087</v>
      </c>
      <c r="CG436">
        <v>2026</v>
      </c>
      <c r="CH436" t="s">
        <v>138</v>
      </c>
      <c r="CI436" t="s">
        <v>139</v>
      </c>
    </row>
    <row r="437" spans="1:87" x14ac:dyDescent="0.3">
      <c r="A437" t="s">
        <v>165</v>
      </c>
      <c r="B437" t="s">
        <v>116</v>
      </c>
      <c r="C437" t="s">
        <v>117</v>
      </c>
      <c r="D437" t="s">
        <v>118</v>
      </c>
      <c r="E437" t="s">
        <v>14</v>
      </c>
      <c r="F437" t="s">
        <v>1295</v>
      </c>
      <c r="G437">
        <v>72</v>
      </c>
      <c r="H437">
        <v>0</v>
      </c>
      <c r="I437" s="14">
        <v>520100</v>
      </c>
      <c r="J437" s="14">
        <v>467100</v>
      </c>
      <c r="Q437" s="14"/>
      <c r="R437" s="14"/>
      <c r="Y437" s="14"/>
      <c r="Z437" s="14"/>
      <c r="AG437" s="14"/>
      <c r="AH437" s="14"/>
      <c r="AI437" t="s">
        <v>1296</v>
      </c>
      <c r="AJ437" t="s">
        <v>1297</v>
      </c>
      <c r="AK437" t="s">
        <v>1298</v>
      </c>
      <c r="AL437">
        <v>0</v>
      </c>
      <c r="AM437" t="s">
        <v>1299</v>
      </c>
      <c r="AN437" t="s">
        <v>1300</v>
      </c>
      <c r="AO437" t="s">
        <v>125</v>
      </c>
      <c r="AP437" t="s">
        <v>600</v>
      </c>
      <c r="AQ437" s="15">
        <v>46386</v>
      </c>
      <c r="AR437" s="15"/>
      <c r="AS437" t="s">
        <v>227</v>
      </c>
      <c r="AT437">
        <v>9</v>
      </c>
      <c r="AU437">
        <v>10000</v>
      </c>
      <c r="AV437">
        <v>0</v>
      </c>
      <c r="AW437">
        <v>0</v>
      </c>
      <c r="AX437" s="14">
        <v>10000</v>
      </c>
      <c r="AY437" s="14">
        <v>0</v>
      </c>
      <c r="AZ437" s="14">
        <v>10000</v>
      </c>
      <c r="BB437" t="s">
        <v>22</v>
      </c>
      <c r="BH437" t="s">
        <v>132</v>
      </c>
      <c r="BK437" t="s">
        <v>1100</v>
      </c>
      <c r="BV437" t="s">
        <v>132</v>
      </c>
      <c r="BW437" s="16">
        <v>46055.340277777781</v>
      </c>
      <c r="BX437" t="s">
        <v>143</v>
      </c>
      <c r="BZ437">
        <v>14</v>
      </c>
      <c r="CB437">
        <v>0</v>
      </c>
      <c r="CF437" t="s">
        <v>1087</v>
      </c>
      <c r="CG437">
        <v>2026</v>
      </c>
      <c r="CH437" t="s">
        <v>138</v>
      </c>
      <c r="CI437" t="s">
        <v>139</v>
      </c>
    </row>
    <row r="438" spans="1:87" x14ac:dyDescent="0.3">
      <c r="A438" t="s">
        <v>165</v>
      </c>
      <c r="B438" t="s">
        <v>116</v>
      </c>
      <c r="C438" t="s">
        <v>117</v>
      </c>
      <c r="D438" t="s">
        <v>118</v>
      </c>
      <c r="E438" t="s">
        <v>14</v>
      </c>
      <c r="F438" t="s">
        <v>265</v>
      </c>
      <c r="G438">
        <v>70</v>
      </c>
      <c r="H438">
        <v>0</v>
      </c>
      <c r="I438" s="14">
        <v>518500</v>
      </c>
      <c r="J438" s="14">
        <v>469500</v>
      </c>
      <c r="K438" t="s">
        <v>117</v>
      </c>
      <c r="L438" t="s">
        <v>118</v>
      </c>
      <c r="M438" t="s">
        <v>140</v>
      </c>
      <c r="N438" t="s">
        <v>670</v>
      </c>
      <c r="O438">
        <v>12.5</v>
      </c>
      <c r="P438">
        <v>2.75</v>
      </c>
      <c r="Q438" s="14">
        <v>55000</v>
      </c>
      <c r="R438" s="14">
        <v>55000</v>
      </c>
      <c r="Y438" s="14"/>
      <c r="Z438" s="14"/>
      <c r="AG438" s="14"/>
      <c r="AH438" s="14"/>
      <c r="AI438" t="s">
        <v>671</v>
      </c>
      <c r="AJ438" t="s">
        <v>672</v>
      </c>
      <c r="AK438" t="s">
        <v>673</v>
      </c>
      <c r="AL438">
        <v>0</v>
      </c>
      <c r="AM438" t="s">
        <v>674</v>
      </c>
      <c r="AN438" t="s">
        <v>675</v>
      </c>
      <c r="AO438" t="s">
        <v>125</v>
      </c>
      <c r="AP438" t="s">
        <v>339</v>
      </c>
      <c r="AQ438" s="15">
        <v>46157</v>
      </c>
      <c r="AR438" s="15">
        <v>46223</v>
      </c>
      <c r="AS438" t="s">
        <v>145</v>
      </c>
      <c r="AT438">
        <v>2</v>
      </c>
      <c r="AU438">
        <v>50950</v>
      </c>
      <c r="AV438">
        <v>0</v>
      </c>
      <c r="AW438">
        <v>0</v>
      </c>
      <c r="AX438" s="14">
        <v>50950</v>
      </c>
      <c r="AY438" s="14">
        <v>50950</v>
      </c>
      <c r="AZ438" s="14">
        <v>0</v>
      </c>
      <c r="BA438">
        <v>0</v>
      </c>
      <c r="BB438" t="s">
        <v>24</v>
      </c>
      <c r="BC438" t="s">
        <v>175</v>
      </c>
      <c r="BD438" t="s">
        <v>176</v>
      </c>
      <c r="BE438" t="s">
        <v>130</v>
      </c>
      <c r="BG438" t="s">
        <v>1324</v>
      </c>
      <c r="BH438" t="s">
        <v>132</v>
      </c>
      <c r="BJ438">
        <v>4</v>
      </c>
      <c r="BK438" t="s">
        <v>133</v>
      </c>
      <c r="BV438" t="s">
        <v>134</v>
      </c>
      <c r="BW438" s="16">
        <v>45911.393055555563</v>
      </c>
      <c r="BX438" t="s">
        <v>143</v>
      </c>
      <c r="BZ438">
        <v>30</v>
      </c>
      <c r="CA438" t="s">
        <v>1325</v>
      </c>
      <c r="CB438">
        <v>0</v>
      </c>
      <c r="CF438" t="s">
        <v>1087</v>
      </c>
      <c r="CG438">
        <v>2026</v>
      </c>
      <c r="CH438" t="s">
        <v>138</v>
      </c>
      <c r="CI438" t="s">
        <v>139</v>
      </c>
    </row>
    <row r="439" spans="1:87" x14ac:dyDescent="0.3">
      <c r="A439" t="s">
        <v>165</v>
      </c>
      <c r="B439" t="s">
        <v>116</v>
      </c>
      <c r="C439" t="s">
        <v>117</v>
      </c>
      <c r="D439" t="s">
        <v>118</v>
      </c>
      <c r="E439" t="s">
        <v>14</v>
      </c>
      <c r="F439" t="s">
        <v>265</v>
      </c>
      <c r="G439">
        <v>70</v>
      </c>
      <c r="H439">
        <v>0</v>
      </c>
      <c r="I439" s="14">
        <v>518500</v>
      </c>
      <c r="J439" s="14">
        <v>469500</v>
      </c>
      <c r="K439" t="s">
        <v>117</v>
      </c>
      <c r="L439" t="s">
        <v>118</v>
      </c>
      <c r="M439" t="s">
        <v>140</v>
      </c>
      <c r="N439" t="s">
        <v>670</v>
      </c>
      <c r="O439">
        <v>12.5</v>
      </c>
      <c r="P439">
        <v>2.75</v>
      </c>
      <c r="Q439" s="14">
        <v>55000</v>
      </c>
      <c r="R439" s="14">
        <v>55000</v>
      </c>
      <c r="Y439" s="14"/>
      <c r="Z439" s="14"/>
      <c r="AG439" s="14"/>
      <c r="AH439" s="14"/>
      <c r="AI439" t="s">
        <v>671</v>
      </c>
      <c r="AJ439" t="s">
        <v>672</v>
      </c>
      <c r="AK439" t="s">
        <v>673</v>
      </c>
      <c r="AL439">
        <v>0</v>
      </c>
      <c r="AM439" t="s">
        <v>674</v>
      </c>
      <c r="AN439" t="s">
        <v>675</v>
      </c>
      <c r="AO439" t="s">
        <v>125</v>
      </c>
      <c r="AP439" t="s">
        <v>339</v>
      </c>
      <c r="AQ439" s="15">
        <v>46234</v>
      </c>
      <c r="AR439" s="15"/>
      <c r="AS439" t="s">
        <v>227</v>
      </c>
      <c r="AT439">
        <v>1</v>
      </c>
      <c r="AU439">
        <v>419600</v>
      </c>
      <c r="AV439">
        <v>0</v>
      </c>
      <c r="AW439">
        <v>0</v>
      </c>
      <c r="AX439" s="14">
        <v>419600</v>
      </c>
      <c r="AY439" s="14">
        <v>0</v>
      </c>
      <c r="AZ439" s="14">
        <v>419600</v>
      </c>
      <c r="BB439" t="s">
        <v>24</v>
      </c>
      <c r="BH439" t="s">
        <v>132</v>
      </c>
      <c r="BK439" t="s">
        <v>550</v>
      </c>
      <c r="BV439" t="s">
        <v>132</v>
      </c>
      <c r="BW439" s="16">
        <v>45911.393055555563</v>
      </c>
      <c r="BX439" t="s">
        <v>143</v>
      </c>
      <c r="BZ439">
        <v>30</v>
      </c>
      <c r="CB439">
        <v>0</v>
      </c>
      <c r="CF439" t="s">
        <v>1087</v>
      </c>
      <c r="CG439">
        <v>2026</v>
      </c>
      <c r="CH439" t="s">
        <v>138</v>
      </c>
      <c r="CI439" t="s">
        <v>139</v>
      </c>
    </row>
    <row r="440" spans="1:87" x14ac:dyDescent="0.3">
      <c r="A440" t="s">
        <v>115</v>
      </c>
      <c r="B440" t="s">
        <v>116</v>
      </c>
      <c r="C440" t="s">
        <v>117</v>
      </c>
      <c r="D440" t="s">
        <v>118</v>
      </c>
      <c r="E440" t="s">
        <v>14</v>
      </c>
      <c r="F440" t="s">
        <v>680</v>
      </c>
      <c r="G440">
        <v>56</v>
      </c>
      <c r="H440">
        <v>0</v>
      </c>
      <c r="I440" s="14">
        <v>420000</v>
      </c>
      <c r="J440" s="14">
        <v>420000</v>
      </c>
      <c r="Q440" s="14"/>
      <c r="R440" s="14"/>
      <c r="Y440" s="14"/>
      <c r="Z440" s="14"/>
      <c r="AG440" s="14"/>
      <c r="AH440" s="14"/>
      <c r="AI440" t="s">
        <v>681</v>
      </c>
      <c r="AJ440" t="s">
        <v>682</v>
      </c>
      <c r="AK440" t="s">
        <v>683</v>
      </c>
      <c r="AL440">
        <v>958600003</v>
      </c>
      <c r="AM440" t="s">
        <v>684</v>
      </c>
      <c r="AN440" t="s">
        <v>685</v>
      </c>
      <c r="AO440" t="s">
        <v>125</v>
      </c>
      <c r="AP440" t="s">
        <v>152</v>
      </c>
      <c r="AQ440" s="15">
        <v>46053</v>
      </c>
      <c r="AR440" s="15">
        <v>46112</v>
      </c>
      <c r="AS440" t="s">
        <v>227</v>
      </c>
      <c r="AT440">
        <v>1</v>
      </c>
      <c r="AU440">
        <v>372000</v>
      </c>
      <c r="AV440">
        <v>0</v>
      </c>
      <c r="AW440">
        <v>0</v>
      </c>
      <c r="AX440" s="14">
        <v>372000</v>
      </c>
      <c r="AY440" s="14">
        <v>372000</v>
      </c>
      <c r="AZ440" s="14">
        <v>0</v>
      </c>
      <c r="BA440">
        <v>0</v>
      </c>
      <c r="BB440" t="s">
        <v>23</v>
      </c>
      <c r="BC440" t="s">
        <v>128</v>
      </c>
      <c r="BD440" t="s">
        <v>129</v>
      </c>
      <c r="BE440" t="s">
        <v>130</v>
      </c>
      <c r="BG440" t="s">
        <v>779</v>
      </c>
      <c r="BH440" t="s">
        <v>132</v>
      </c>
      <c r="BJ440">
        <v>4</v>
      </c>
      <c r="BK440" t="s">
        <v>133</v>
      </c>
      <c r="BV440" t="s">
        <v>134</v>
      </c>
      <c r="BW440" s="16">
        <v>45832.519444444442</v>
      </c>
      <c r="BX440" t="s">
        <v>178</v>
      </c>
      <c r="BZ440">
        <v>45</v>
      </c>
      <c r="CA440" t="s">
        <v>694</v>
      </c>
      <c r="CB440">
        <v>0</v>
      </c>
      <c r="CF440" t="s">
        <v>1087</v>
      </c>
      <c r="CG440">
        <v>2026</v>
      </c>
      <c r="CH440" t="s">
        <v>138</v>
      </c>
      <c r="CI440" t="s">
        <v>139</v>
      </c>
    </row>
    <row r="441" spans="1:87" x14ac:dyDescent="0.3">
      <c r="A441" t="s">
        <v>115</v>
      </c>
      <c r="B441" t="s">
        <v>116</v>
      </c>
      <c r="C441" t="s">
        <v>117</v>
      </c>
      <c r="D441" t="s">
        <v>118</v>
      </c>
      <c r="E441" t="s">
        <v>140</v>
      </c>
      <c r="F441" t="s">
        <v>695</v>
      </c>
      <c r="G441">
        <v>12.5</v>
      </c>
      <c r="H441">
        <v>3.8</v>
      </c>
      <c r="I441" s="14">
        <v>60400</v>
      </c>
      <c r="J441" s="14">
        <v>60400</v>
      </c>
      <c r="Q441" s="14"/>
      <c r="R441" s="14"/>
      <c r="Y441" s="14"/>
      <c r="Z441" s="14"/>
      <c r="AG441" s="14"/>
      <c r="AH441" s="14"/>
      <c r="AI441" t="s">
        <v>696</v>
      </c>
      <c r="AJ441" t="s">
        <v>682</v>
      </c>
      <c r="AK441" t="s">
        <v>683</v>
      </c>
      <c r="AL441">
        <v>0</v>
      </c>
      <c r="AM441" t="s">
        <v>684</v>
      </c>
      <c r="AN441" t="s">
        <v>697</v>
      </c>
      <c r="AO441" t="s">
        <v>125</v>
      </c>
      <c r="AP441" t="s">
        <v>152</v>
      </c>
      <c r="AQ441" s="15">
        <v>46031</v>
      </c>
      <c r="AR441" s="15">
        <v>46031</v>
      </c>
      <c r="AS441" t="s">
        <v>145</v>
      </c>
      <c r="AT441">
        <v>1</v>
      </c>
      <c r="AU441">
        <v>4000</v>
      </c>
      <c r="AV441">
        <v>0</v>
      </c>
      <c r="AW441">
        <v>0</v>
      </c>
      <c r="AX441" s="14">
        <v>4000</v>
      </c>
      <c r="AY441" s="14">
        <v>4000</v>
      </c>
      <c r="AZ441" s="14">
        <v>0</v>
      </c>
      <c r="BA441">
        <v>0</v>
      </c>
      <c r="BB441" t="s">
        <v>22</v>
      </c>
      <c r="BC441" t="s">
        <v>128</v>
      </c>
      <c r="BD441" t="s">
        <v>415</v>
      </c>
      <c r="BE441" t="s">
        <v>130</v>
      </c>
      <c r="BG441" t="s">
        <v>1326</v>
      </c>
      <c r="BH441" t="s">
        <v>132</v>
      </c>
      <c r="BI441" t="s">
        <v>873</v>
      </c>
      <c r="BJ441">
        <v>4</v>
      </c>
      <c r="BK441" t="s">
        <v>133</v>
      </c>
      <c r="BV441" t="s">
        <v>134</v>
      </c>
      <c r="BW441" s="16">
        <v>46031.56527777778</v>
      </c>
      <c r="BX441" t="s">
        <v>178</v>
      </c>
      <c r="BZ441">
        <v>63</v>
      </c>
      <c r="CA441" t="s">
        <v>1327</v>
      </c>
      <c r="CB441">
        <v>0</v>
      </c>
      <c r="CF441" t="s">
        <v>1087</v>
      </c>
      <c r="CG441">
        <v>2026</v>
      </c>
      <c r="CH441" t="s">
        <v>138</v>
      </c>
      <c r="CI441" t="s">
        <v>139</v>
      </c>
    </row>
    <row r="442" spans="1:87" x14ac:dyDescent="0.3">
      <c r="A442" t="s">
        <v>115</v>
      </c>
      <c r="B442" t="s">
        <v>116</v>
      </c>
      <c r="C442" t="s">
        <v>117</v>
      </c>
      <c r="D442" t="s">
        <v>118</v>
      </c>
      <c r="E442" t="s">
        <v>140</v>
      </c>
      <c r="F442" t="s">
        <v>695</v>
      </c>
      <c r="G442">
        <v>12.5</v>
      </c>
      <c r="H442">
        <v>3.8</v>
      </c>
      <c r="I442" s="14">
        <v>60400</v>
      </c>
      <c r="J442" s="14">
        <v>60400</v>
      </c>
      <c r="Q442" s="14"/>
      <c r="R442" s="14"/>
      <c r="Y442" s="14"/>
      <c r="Z442" s="14"/>
      <c r="AG442" s="14"/>
      <c r="AH442" s="14"/>
      <c r="AI442" t="s">
        <v>696</v>
      </c>
      <c r="AJ442" t="s">
        <v>682</v>
      </c>
      <c r="AK442" t="s">
        <v>683</v>
      </c>
      <c r="AL442">
        <v>0</v>
      </c>
      <c r="AM442" t="s">
        <v>684</v>
      </c>
      <c r="AN442" t="s">
        <v>697</v>
      </c>
      <c r="AO442" t="s">
        <v>125</v>
      </c>
      <c r="AP442" t="s">
        <v>152</v>
      </c>
      <c r="AQ442" s="15">
        <v>46233</v>
      </c>
      <c r="AR442" s="15">
        <v>46258</v>
      </c>
      <c r="AS442" t="s">
        <v>227</v>
      </c>
      <c r="AT442">
        <v>1</v>
      </c>
      <c r="AU442">
        <v>11400</v>
      </c>
      <c r="AV442">
        <v>0</v>
      </c>
      <c r="AW442">
        <v>0</v>
      </c>
      <c r="AX442" s="14">
        <v>11400</v>
      </c>
      <c r="AY442" s="14">
        <v>11400</v>
      </c>
      <c r="AZ442" s="14">
        <v>0</v>
      </c>
      <c r="BA442">
        <v>0</v>
      </c>
      <c r="BB442" t="s">
        <v>22</v>
      </c>
      <c r="BC442" t="s">
        <v>128</v>
      </c>
      <c r="BD442" t="s">
        <v>129</v>
      </c>
      <c r="BE442" t="s">
        <v>130</v>
      </c>
      <c r="BG442" t="s">
        <v>1328</v>
      </c>
      <c r="BH442" t="s">
        <v>132</v>
      </c>
      <c r="BJ442">
        <v>4</v>
      </c>
      <c r="BK442" t="s">
        <v>133</v>
      </c>
      <c r="BV442" t="s">
        <v>134</v>
      </c>
      <c r="BW442" s="16">
        <v>46031.56527777778</v>
      </c>
      <c r="BX442" t="s">
        <v>178</v>
      </c>
      <c r="BZ442">
        <v>63</v>
      </c>
      <c r="CA442" t="s">
        <v>1329</v>
      </c>
      <c r="CB442">
        <v>0</v>
      </c>
      <c r="CF442" t="s">
        <v>1087</v>
      </c>
      <c r="CG442">
        <v>2026</v>
      </c>
      <c r="CH442" t="s">
        <v>138</v>
      </c>
      <c r="CI442" t="s">
        <v>139</v>
      </c>
    </row>
    <row r="443" spans="1:87" x14ac:dyDescent="0.3">
      <c r="A443" t="s">
        <v>115</v>
      </c>
      <c r="B443" t="s">
        <v>116</v>
      </c>
      <c r="C443" t="s">
        <v>117</v>
      </c>
      <c r="D443" t="s">
        <v>118</v>
      </c>
      <c r="E443" t="s">
        <v>140</v>
      </c>
      <c r="F443" t="s">
        <v>695</v>
      </c>
      <c r="G443">
        <v>12.5</v>
      </c>
      <c r="H443">
        <v>3.8</v>
      </c>
      <c r="I443" s="14">
        <v>60400</v>
      </c>
      <c r="J443" s="14">
        <v>60400</v>
      </c>
      <c r="Q443" s="14"/>
      <c r="R443" s="14"/>
      <c r="Y443" s="14"/>
      <c r="Z443" s="14"/>
      <c r="AG443" s="14"/>
      <c r="AH443" s="14"/>
      <c r="AI443" t="s">
        <v>696</v>
      </c>
      <c r="AJ443" t="s">
        <v>682</v>
      </c>
      <c r="AK443" t="s">
        <v>683</v>
      </c>
      <c r="AL443">
        <v>0</v>
      </c>
      <c r="AM443" t="s">
        <v>684</v>
      </c>
      <c r="AN443" t="s">
        <v>697</v>
      </c>
      <c r="AO443" t="s">
        <v>125</v>
      </c>
      <c r="AP443" t="s">
        <v>152</v>
      </c>
      <c r="AQ443" s="15">
        <v>46295</v>
      </c>
      <c r="AR443" s="15"/>
      <c r="AS443" t="s">
        <v>227</v>
      </c>
      <c r="AT443">
        <v>2</v>
      </c>
      <c r="AU443">
        <v>20000</v>
      </c>
      <c r="AV443">
        <v>0</v>
      </c>
      <c r="AW443">
        <v>0</v>
      </c>
      <c r="AX443" s="14">
        <v>20000</v>
      </c>
      <c r="AY443" s="14">
        <v>0</v>
      </c>
      <c r="AZ443" s="14">
        <v>20000</v>
      </c>
      <c r="BB443" t="s">
        <v>22</v>
      </c>
      <c r="BH443" t="s">
        <v>132</v>
      </c>
      <c r="BK443" t="s">
        <v>1100</v>
      </c>
      <c r="BV443" t="s">
        <v>132</v>
      </c>
      <c r="BW443" s="16">
        <v>46031.56527777778</v>
      </c>
      <c r="BX443" t="s">
        <v>178</v>
      </c>
      <c r="BZ443">
        <v>63</v>
      </c>
      <c r="CB443">
        <v>0</v>
      </c>
      <c r="CF443" t="s">
        <v>1087</v>
      </c>
      <c r="CG443">
        <v>2026</v>
      </c>
      <c r="CH443" t="s">
        <v>138</v>
      </c>
      <c r="CI443" t="s">
        <v>139</v>
      </c>
    </row>
    <row r="444" spans="1:87" x14ac:dyDescent="0.3">
      <c r="A444" t="s">
        <v>115</v>
      </c>
      <c r="B444" t="s">
        <v>116</v>
      </c>
      <c r="C444" t="s">
        <v>117</v>
      </c>
      <c r="D444" t="s">
        <v>118</v>
      </c>
      <c r="E444" t="s">
        <v>140</v>
      </c>
      <c r="F444" t="s">
        <v>695</v>
      </c>
      <c r="G444">
        <v>12.5</v>
      </c>
      <c r="H444">
        <v>3.8</v>
      </c>
      <c r="I444" s="14">
        <v>60400</v>
      </c>
      <c r="J444" s="14">
        <v>60400</v>
      </c>
      <c r="Q444" s="14"/>
      <c r="R444" s="14"/>
      <c r="Y444" s="14"/>
      <c r="Z444" s="14"/>
      <c r="AG444" s="14"/>
      <c r="AH444" s="14"/>
      <c r="AI444" t="s">
        <v>696</v>
      </c>
      <c r="AJ444" t="s">
        <v>682</v>
      </c>
      <c r="AK444" t="s">
        <v>683</v>
      </c>
      <c r="AL444">
        <v>0</v>
      </c>
      <c r="AM444" t="s">
        <v>684</v>
      </c>
      <c r="AN444" t="s">
        <v>697</v>
      </c>
      <c r="AO444" t="s">
        <v>125</v>
      </c>
      <c r="AP444" t="s">
        <v>152</v>
      </c>
      <c r="AQ444" s="15">
        <v>46325</v>
      </c>
      <c r="AR444" s="15"/>
      <c r="AS444" t="s">
        <v>227</v>
      </c>
      <c r="AT444">
        <v>3</v>
      </c>
      <c r="AU444">
        <v>20000</v>
      </c>
      <c r="AV444">
        <v>0</v>
      </c>
      <c r="AW444">
        <v>0</v>
      </c>
      <c r="AX444" s="14">
        <v>20000</v>
      </c>
      <c r="AY444" s="14">
        <v>0</v>
      </c>
      <c r="AZ444" s="14">
        <v>20000</v>
      </c>
      <c r="BB444" t="s">
        <v>22</v>
      </c>
      <c r="BH444" t="s">
        <v>132</v>
      </c>
      <c r="BK444" t="s">
        <v>1100</v>
      </c>
      <c r="BV444" t="s">
        <v>132</v>
      </c>
      <c r="BW444" s="16">
        <v>46031.56527777778</v>
      </c>
      <c r="BX444" t="s">
        <v>178</v>
      </c>
      <c r="BZ444">
        <v>63</v>
      </c>
      <c r="CB444">
        <v>0</v>
      </c>
      <c r="CF444" t="s">
        <v>1087</v>
      </c>
      <c r="CG444">
        <v>2026</v>
      </c>
      <c r="CH444" t="s">
        <v>138</v>
      </c>
      <c r="CI444" t="s">
        <v>139</v>
      </c>
    </row>
    <row r="445" spans="1:87" x14ac:dyDescent="0.3">
      <c r="A445" t="s">
        <v>115</v>
      </c>
      <c r="B445" t="s">
        <v>116</v>
      </c>
      <c r="C445" t="s">
        <v>117</v>
      </c>
      <c r="D445" t="s">
        <v>118</v>
      </c>
      <c r="E445" t="s">
        <v>14</v>
      </c>
      <c r="F445" t="s">
        <v>215</v>
      </c>
      <c r="G445">
        <v>88.27</v>
      </c>
      <c r="H445">
        <v>0</v>
      </c>
      <c r="I445" s="14">
        <v>654000</v>
      </c>
      <c r="J445" s="14">
        <v>654000</v>
      </c>
      <c r="K445" t="s">
        <v>117</v>
      </c>
      <c r="L445" t="s">
        <v>118</v>
      </c>
      <c r="M445" t="s">
        <v>140</v>
      </c>
      <c r="N445" t="s">
        <v>216</v>
      </c>
      <c r="O445">
        <v>13</v>
      </c>
      <c r="P445">
        <v>3.89</v>
      </c>
      <c r="Q445" s="14">
        <v>56300</v>
      </c>
      <c r="R445" s="14">
        <v>56300</v>
      </c>
      <c r="Y445" s="14"/>
      <c r="Z445" s="14"/>
      <c r="AG445" s="14"/>
      <c r="AH445" s="14"/>
      <c r="AI445" t="s">
        <v>217</v>
      </c>
      <c r="AJ445" t="s">
        <v>218</v>
      </c>
      <c r="AK445" t="s">
        <v>219</v>
      </c>
      <c r="AM445" t="s">
        <v>220</v>
      </c>
      <c r="AN445" t="s">
        <v>221</v>
      </c>
      <c r="AO445" t="s">
        <v>125</v>
      </c>
      <c r="AP445" t="s">
        <v>205</v>
      </c>
      <c r="AQ445" s="15">
        <v>46264.756944444453</v>
      </c>
      <c r="AR445" s="15">
        <v>45831</v>
      </c>
      <c r="AS445" t="s">
        <v>227</v>
      </c>
      <c r="AT445">
        <v>5</v>
      </c>
      <c r="AU445">
        <v>106545</v>
      </c>
      <c r="AV445">
        <v>0</v>
      </c>
      <c r="AW445">
        <v>0</v>
      </c>
      <c r="AX445" s="14">
        <v>106545</v>
      </c>
      <c r="AY445" s="14">
        <v>35515</v>
      </c>
      <c r="AZ445" s="14">
        <v>0</v>
      </c>
      <c r="BA445">
        <v>0</v>
      </c>
      <c r="BB445" t="s">
        <v>22</v>
      </c>
      <c r="BC445" t="s">
        <v>128</v>
      </c>
      <c r="BD445" t="s">
        <v>129</v>
      </c>
      <c r="BE445" t="s">
        <v>130</v>
      </c>
      <c r="BG445" t="s">
        <v>1330</v>
      </c>
      <c r="BH445" t="s">
        <v>132</v>
      </c>
      <c r="BJ445">
        <v>4</v>
      </c>
      <c r="BK445" t="s">
        <v>133</v>
      </c>
      <c r="BV445" t="s">
        <v>134</v>
      </c>
      <c r="BW445" s="16">
        <v>45539.380555555559</v>
      </c>
      <c r="BX445" t="s">
        <v>178</v>
      </c>
      <c r="BZ445">
        <v>24</v>
      </c>
      <c r="CA445" t="s">
        <v>1331</v>
      </c>
      <c r="CB445">
        <v>0</v>
      </c>
      <c r="CF445" t="s">
        <v>1087</v>
      </c>
      <c r="CG445">
        <v>2026</v>
      </c>
      <c r="CH445" t="s">
        <v>138</v>
      </c>
      <c r="CI445" t="s">
        <v>139</v>
      </c>
    </row>
    <row r="446" spans="1:87" x14ac:dyDescent="0.3">
      <c r="A446" t="s">
        <v>115</v>
      </c>
      <c r="B446" t="s">
        <v>116</v>
      </c>
      <c r="C446" t="s">
        <v>117</v>
      </c>
      <c r="D446" t="s">
        <v>118</v>
      </c>
      <c r="E446" t="s">
        <v>14</v>
      </c>
      <c r="F446" t="s">
        <v>215</v>
      </c>
      <c r="G446">
        <v>88.27</v>
      </c>
      <c r="H446">
        <v>0</v>
      </c>
      <c r="I446" s="14">
        <v>654000</v>
      </c>
      <c r="J446" s="14">
        <v>654000</v>
      </c>
      <c r="K446" t="s">
        <v>117</v>
      </c>
      <c r="L446" t="s">
        <v>118</v>
      </c>
      <c r="M446" t="s">
        <v>140</v>
      </c>
      <c r="N446" t="s">
        <v>216</v>
      </c>
      <c r="O446">
        <v>13</v>
      </c>
      <c r="P446">
        <v>3.89</v>
      </c>
      <c r="Q446" s="14">
        <v>56300</v>
      </c>
      <c r="R446" s="14">
        <v>56300</v>
      </c>
      <c r="Y446" s="14"/>
      <c r="Z446" s="14"/>
      <c r="AG446" s="14"/>
      <c r="AH446" s="14"/>
      <c r="AI446" t="s">
        <v>217</v>
      </c>
      <c r="AJ446" t="s">
        <v>218</v>
      </c>
      <c r="AK446" t="s">
        <v>219</v>
      </c>
      <c r="AM446" t="s">
        <v>220</v>
      </c>
      <c r="AN446" t="s">
        <v>221</v>
      </c>
      <c r="AO446" t="s">
        <v>125</v>
      </c>
      <c r="AP446" t="s">
        <v>205</v>
      </c>
      <c r="AQ446" s="15">
        <v>46264.756944444453</v>
      </c>
      <c r="AR446" s="15">
        <v>45858</v>
      </c>
      <c r="AS446" t="s">
        <v>227</v>
      </c>
      <c r="AT446">
        <v>5</v>
      </c>
      <c r="AU446">
        <v>0</v>
      </c>
      <c r="AV446">
        <v>0</v>
      </c>
      <c r="AW446">
        <v>0</v>
      </c>
      <c r="AX446" s="14">
        <v>0</v>
      </c>
      <c r="AY446" s="14">
        <v>35515</v>
      </c>
      <c r="AZ446" s="14">
        <v>0</v>
      </c>
      <c r="BA446">
        <v>0</v>
      </c>
      <c r="BB446" t="s">
        <v>22</v>
      </c>
      <c r="BC446" t="s">
        <v>128</v>
      </c>
      <c r="BD446" t="s">
        <v>129</v>
      </c>
      <c r="BE446" t="s">
        <v>130</v>
      </c>
      <c r="BG446" t="s">
        <v>1332</v>
      </c>
      <c r="BH446" t="s">
        <v>132</v>
      </c>
      <c r="BJ446">
        <v>4</v>
      </c>
      <c r="BK446" t="s">
        <v>133</v>
      </c>
      <c r="BV446" t="s">
        <v>134</v>
      </c>
      <c r="BW446" s="16">
        <v>45539.380555555559</v>
      </c>
      <c r="BX446" t="s">
        <v>178</v>
      </c>
      <c r="BZ446">
        <v>24</v>
      </c>
      <c r="CA446" t="s">
        <v>1333</v>
      </c>
      <c r="CB446">
        <v>0</v>
      </c>
      <c r="CF446" t="s">
        <v>1087</v>
      </c>
      <c r="CG446">
        <v>2026</v>
      </c>
      <c r="CH446" t="s">
        <v>138</v>
      </c>
      <c r="CI446" t="s">
        <v>139</v>
      </c>
    </row>
    <row r="447" spans="1:87" x14ac:dyDescent="0.3">
      <c r="A447" t="s">
        <v>115</v>
      </c>
      <c r="B447" t="s">
        <v>116</v>
      </c>
      <c r="C447" t="s">
        <v>117</v>
      </c>
      <c r="D447" t="s">
        <v>118</v>
      </c>
      <c r="E447" t="s">
        <v>14</v>
      </c>
      <c r="F447" t="s">
        <v>215</v>
      </c>
      <c r="G447">
        <v>88.27</v>
      </c>
      <c r="H447">
        <v>0</v>
      </c>
      <c r="I447" s="14">
        <v>654000</v>
      </c>
      <c r="J447" s="14">
        <v>654000</v>
      </c>
      <c r="K447" t="s">
        <v>117</v>
      </c>
      <c r="L447" t="s">
        <v>118</v>
      </c>
      <c r="M447" t="s">
        <v>140</v>
      </c>
      <c r="N447" t="s">
        <v>216</v>
      </c>
      <c r="O447">
        <v>13</v>
      </c>
      <c r="P447">
        <v>3.89</v>
      </c>
      <c r="Q447" s="14">
        <v>56300</v>
      </c>
      <c r="R447" s="14">
        <v>56300</v>
      </c>
      <c r="Y447" s="14"/>
      <c r="Z447" s="14"/>
      <c r="AG447" s="14"/>
      <c r="AH447" s="14"/>
      <c r="AI447" t="s">
        <v>217</v>
      </c>
      <c r="AJ447" t="s">
        <v>218</v>
      </c>
      <c r="AK447" t="s">
        <v>219</v>
      </c>
      <c r="AM447" t="s">
        <v>220</v>
      </c>
      <c r="AN447" t="s">
        <v>221</v>
      </c>
      <c r="AO447" t="s">
        <v>125</v>
      </c>
      <c r="AP447" t="s">
        <v>205</v>
      </c>
      <c r="AQ447" s="15">
        <v>46264.756944444453</v>
      </c>
      <c r="AR447" s="15">
        <v>45894</v>
      </c>
      <c r="AS447" t="s">
        <v>227</v>
      </c>
      <c r="AT447">
        <v>5</v>
      </c>
      <c r="AU447">
        <v>0</v>
      </c>
      <c r="AV447">
        <v>0</v>
      </c>
      <c r="AW447">
        <v>0</v>
      </c>
      <c r="AX447" s="14">
        <v>0</v>
      </c>
      <c r="AY447" s="14">
        <v>35515</v>
      </c>
      <c r="AZ447" s="14">
        <v>0</v>
      </c>
      <c r="BA447">
        <v>0</v>
      </c>
      <c r="BB447" t="s">
        <v>22</v>
      </c>
      <c r="BC447" t="s">
        <v>128</v>
      </c>
      <c r="BD447" t="s">
        <v>129</v>
      </c>
      <c r="BE447" t="s">
        <v>130</v>
      </c>
      <c r="BG447" t="s">
        <v>1334</v>
      </c>
      <c r="BH447" t="s">
        <v>132</v>
      </c>
      <c r="BJ447">
        <v>4</v>
      </c>
      <c r="BK447" t="s">
        <v>133</v>
      </c>
      <c r="BV447" t="s">
        <v>134</v>
      </c>
      <c r="BW447" s="16">
        <v>45539.380555555559</v>
      </c>
      <c r="BX447" t="s">
        <v>178</v>
      </c>
      <c r="BZ447">
        <v>24</v>
      </c>
      <c r="CA447" t="s">
        <v>1335</v>
      </c>
      <c r="CB447">
        <v>0</v>
      </c>
      <c r="CF447" t="s">
        <v>1087</v>
      </c>
      <c r="CG447">
        <v>2026</v>
      </c>
      <c r="CH447" t="s">
        <v>138</v>
      </c>
      <c r="CI447" t="s">
        <v>139</v>
      </c>
    </row>
    <row r="448" spans="1:87" x14ac:dyDescent="0.3">
      <c r="A448" t="s">
        <v>115</v>
      </c>
      <c r="B448" t="s">
        <v>116</v>
      </c>
      <c r="C448" t="s">
        <v>117</v>
      </c>
      <c r="D448" t="s">
        <v>118</v>
      </c>
      <c r="E448" t="s">
        <v>140</v>
      </c>
      <c r="F448" t="s">
        <v>1336</v>
      </c>
      <c r="G448">
        <v>15.4</v>
      </c>
      <c r="H448">
        <v>2.2599999999999998</v>
      </c>
      <c r="I448" s="14">
        <v>57300</v>
      </c>
      <c r="J448" s="14">
        <v>57300</v>
      </c>
      <c r="Q448" s="14"/>
      <c r="R448" s="14"/>
      <c r="Y448" s="14"/>
      <c r="Z448" s="14"/>
      <c r="AG448" s="14"/>
      <c r="AH448" s="14"/>
      <c r="AI448" t="s">
        <v>232</v>
      </c>
      <c r="AJ448" t="s">
        <v>233</v>
      </c>
      <c r="AK448" t="s">
        <v>234</v>
      </c>
      <c r="AL448">
        <v>966422784</v>
      </c>
      <c r="AM448" t="s">
        <v>235</v>
      </c>
      <c r="AN448" t="s">
        <v>236</v>
      </c>
      <c r="AO448" t="s">
        <v>125</v>
      </c>
      <c r="AP448" t="s">
        <v>152</v>
      </c>
      <c r="AQ448" s="15">
        <v>46041</v>
      </c>
      <c r="AR448" s="15">
        <v>46041</v>
      </c>
      <c r="AS448" t="s">
        <v>127</v>
      </c>
      <c r="AT448">
        <v>1</v>
      </c>
      <c r="AU448">
        <v>3000</v>
      </c>
      <c r="AV448">
        <v>0</v>
      </c>
      <c r="AW448">
        <v>0</v>
      </c>
      <c r="AX448" s="14">
        <v>3000</v>
      </c>
      <c r="AY448" s="14">
        <v>3000</v>
      </c>
      <c r="AZ448" s="14">
        <v>0</v>
      </c>
      <c r="BA448">
        <v>0</v>
      </c>
      <c r="BB448" t="s">
        <v>22</v>
      </c>
      <c r="BC448" t="s">
        <v>128</v>
      </c>
      <c r="BD448" t="s">
        <v>129</v>
      </c>
      <c r="BE448" t="s">
        <v>130</v>
      </c>
      <c r="BG448" t="s">
        <v>1337</v>
      </c>
      <c r="BH448" t="s">
        <v>132</v>
      </c>
      <c r="BJ448">
        <v>4</v>
      </c>
      <c r="BK448" t="s">
        <v>133</v>
      </c>
      <c r="BV448" t="s">
        <v>134</v>
      </c>
      <c r="BW448" s="16">
        <v>46041.447222222218</v>
      </c>
      <c r="BX448" t="s">
        <v>143</v>
      </c>
      <c r="BZ448">
        <v>64</v>
      </c>
      <c r="CA448" t="s">
        <v>1338</v>
      </c>
      <c r="CB448">
        <v>0</v>
      </c>
      <c r="CF448" t="s">
        <v>1087</v>
      </c>
      <c r="CG448">
        <v>2026</v>
      </c>
      <c r="CH448" t="s">
        <v>138</v>
      </c>
      <c r="CI448" t="s">
        <v>139</v>
      </c>
    </row>
    <row r="449" spans="1:87" x14ac:dyDescent="0.3">
      <c r="A449" t="s">
        <v>115</v>
      </c>
      <c r="B449" t="s">
        <v>116</v>
      </c>
      <c r="C449" t="s">
        <v>117</v>
      </c>
      <c r="D449" t="s">
        <v>118</v>
      </c>
      <c r="E449" t="s">
        <v>140</v>
      </c>
      <c r="F449" t="s">
        <v>1336</v>
      </c>
      <c r="G449">
        <v>15.4</v>
      </c>
      <c r="H449">
        <v>2.2599999999999998</v>
      </c>
      <c r="I449" s="14">
        <v>57300</v>
      </c>
      <c r="J449" s="14">
        <v>57300</v>
      </c>
      <c r="Q449" s="14"/>
      <c r="R449" s="14"/>
      <c r="Y449" s="14"/>
      <c r="Z449" s="14"/>
      <c r="AG449" s="14"/>
      <c r="AH449" s="14"/>
      <c r="AI449" t="s">
        <v>232</v>
      </c>
      <c r="AJ449" t="s">
        <v>233</v>
      </c>
      <c r="AK449" t="s">
        <v>234</v>
      </c>
      <c r="AL449">
        <v>966422784</v>
      </c>
      <c r="AM449" t="s">
        <v>235</v>
      </c>
      <c r="AN449" t="s">
        <v>236</v>
      </c>
      <c r="AO449" t="s">
        <v>125</v>
      </c>
      <c r="AP449" t="s">
        <v>152</v>
      </c>
      <c r="AQ449" s="15">
        <v>46041</v>
      </c>
      <c r="AR449" s="15">
        <v>46041</v>
      </c>
      <c r="AS449" t="s">
        <v>145</v>
      </c>
      <c r="AT449">
        <v>1</v>
      </c>
      <c r="AU449">
        <v>7000</v>
      </c>
      <c r="AV449">
        <v>0</v>
      </c>
      <c r="AW449">
        <v>0</v>
      </c>
      <c r="AX449" s="14">
        <v>7000</v>
      </c>
      <c r="AY449" s="14">
        <v>7000</v>
      </c>
      <c r="AZ449" s="14">
        <v>0</v>
      </c>
      <c r="BA449">
        <v>0</v>
      </c>
      <c r="BB449" t="s">
        <v>22</v>
      </c>
      <c r="BC449" t="s">
        <v>128</v>
      </c>
      <c r="BD449" t="s">
        <v>129</v>
      </c>
      <c r="BE449" t="s">
        <v>130</v>
      </c>
      <c r="BG449" t="s">
        <v>1339</v>
      </c>
      <c r="BH449" t="s">
        <v>132</v>
      </c>
      <c r="BJ449">
        <v>4</v>
      </c>
      <c r="BK449" t="s">
        <v>133</v>
      </c>
      <c r="BV449" t="s">
        <v>134</v>
      </c>
      <c r="BW449" s="16">
        <v>46041.447222222218</v>
      </c>
      <c r="BX449" t="s">
        <v>143</v>
      </c>
      <c r="BZ449">
        <v>64</v>
      </c>
      <c r="CA449" t="s">
        <v>1340</v>
      </c>
      <c r="CB449">
        <v>0</v>
      </c>
      <c r="CF449" t="s">
        <v>1087</v>
      </c>
      <c r="CG449">
        <v>2026</v>
      </c>
      <c r="CH449" t="s">
        <v>138</v>
      </c>
      <c r="CI449" t="s">
        <v>139</v>
      </c>
    </row>
    <row r="450" spans="1:87" x14ac:dyDescent="0.3">
      <c r="A450" t="s">
        <v>115</v>
      </c>
      <c r="B450" t="s">
        <v>116</v>
      </c>
      <c r="C450" t="s">
        <v>117</v>
      </c>
      <c r="D450" t="s">
        <v>118</v>
      </c>
      <c r="E450" t="s">
        <v>140</v>
      </c>
      <c r="F450" t="s">
        <v>1336</v>
      </c>
      <c r="G450">
        <v>15.4</v>
      </c>
      <c r="H450">
        <v>2.2599999999999998</v>
      </c>
      <c r="I450" s="14">
        <v>57300</v>
      </c>
      <c r="J450" s="14">
        <v>57300</v>
      </c>
      <c r="Q450" s="14"/>
      <c r="R450" s="14"/>
      <c r="Y450" s="14"/>
      <c r="Z450" s="14"/>
      <c r="AG450" s="14"/>
      <c r="AH450" s="14"/>
      <c r="AI450" t="s">
        <v>232</v>
      </c>
      <c r="AJ450" t="s">
        <v>233</v>
      </c>
      <c r="AK450" t="s">
        <v>234</v>
      </c>
      <c r="AL450">
        <v>966422784</v>
      </c>
      <c r="AM450" t="s">
        <v>235</v>
      </c>
      <c r="AN450" t="s">
        <v>236</v>
      </c>
      <c r="AO450" t="s">
        <v>125</v>
      </c>
      <c r="AP450" t="s">
        <v>152</v>
      </c>
      <c r="AQ450" s="15">
        <v>46079</v>
      </c>
      <c r="AR450" s="15">
        <v>46079</v>
      </c>
      <c r="AS450" t="s">
        <v>227</v>
      </c>
      <c r="AT450">
        <v>1</v>
      </c>
      <c r="AU450">
        <v>25000</v>
      </c>
      <c r="AV450">
        <v>0</v>
      </c>
      <c r="AW450">
        <v>0</v>
      </c>
      <c r="AX450" s="14">
        <v>25000</v>
      </c>
      <c r="AY450" s="14">
        <v>25000</v>
      </c>
      <c r="AZ450" s="14">
        <v>0</v>
      </c>
      <c r="BA450">
        <v>0</v>
      </c>
      <c r="BB450" t="s">
        <v>22</v>
      </c>
      <c r="BC450" t="s">
        <v>128</v>
      </c>
      <c r="BD450" t="s">
        <v>129</v>
      </c>
      <c r="BE450" t="s">
        <v>130</v>
      </c>
      <c r="BG450" t="s">
        <v>1341</v>
      </c>
      <c r="BH450" t="s">
        <v>132</v>
      </c>
      <c r="BJ450">
        <v>4</v>
      </c>
      <c r="BK450" t="s">
        <v>133</v>
      </c>
      <c r="BV450" t="s">
        <v>134</v>
      </c>
      <c r="BW450" s="16">
        <v>46041.447222222218</v>
      </c>
      <c r="BX450" t="s">
        <v>143</v>
      </c>
      <c r="BZ450">
        <v>64</v>
      </c>
      <c r="CA450" t="s">
        <v>1342</v>
      </c>
      <c r="CB450">
        <v>0</v>
      </c>
      <c r="CF450" t="s">
        <v>1087</v>
      </c>
      <c r="CG450">
        <v>2026</v>
      </c>
      <c r="CH450" t="s">
        <v>138</v>
      </c>
      <c r="CI450" t="s">
        <v>139</v>
      </c>
    </row>
    <row r="451" spans="1:87" x14ac:dyDescent="0.3">
      <c r="A451" t="s">
        <v>115</v>
      </c>
      <c r="B451" t="s">
        <v>116</v>
      </c>
      <c r="C451" t="s">
        <v>117</v>
      </c>
      <c r="D451" t="s">
        <v>118</v>
      </c>
      <c r="E451" t="s">
        <v>140</v>
      </c>
      <c r="F451" t="s">
        <v>1336</v>
      </c>
      <c r="G451">
        <v>15.4</v>
      </c>
      <c r="H451">
        <v>2.2599999999999998</v>
      </c>
      <c r="I451" s="14">
        <v>57300</v>
      </c>
      <c r="J451" s="14">
        <v>57300</v>
      </c>
      <c r="Q451" s="14"/>
      <c r="R451" s="14"/>
      <c r="Y451" s="14"/>
      <c r="Z451" s="14"/>
      <c r="AG451" s="14"/>
      <c r="AH451" s="14"/>
      <c r="AI451" t="s">
        <v>232</v>
      </c>
      <c r="AJ451" t="s">
        <v>233</v>
      </c>
      <c r="AK451" t="s">
        <v>234</v>
      </c>
      <c r="AL451">
        <v>966422784</v>
      </c>
      <c r="AM451" t="s">
        <v>235</v>
      </c>
      <c r="AN451" t="s">
        <v>236</v>
      </c>
      <c r="AO451" t="s">
        <v>125</v>
      </c>
      <c r="AP451" t="s">
        <v>152</v>
      </c>
      <c r="AQ451" s="15">
        <v>46080</v>
      </c>
      <c r="AR451" s="15">
        <v>46202</v>
      </c>
      <c r="AS451" t="s">
        <v>227</v>
      </c>
      <c r="AT451">
        <v>2</v>
      </c>
      <c r="AU451">
        <v>22300</v>
      </c>
      <c r="AV451">
        <v>0</v>
      </c>
      <c r="AW451">
        <v>0</v>
      </c>
      <c r="AX451" s="14">
        <v>22300</v>
      </c>
      <c r="AY451" s="14">
        <v>22300</v>
      </c>
      <c r="AZ451" s="14">
        <v>0</v>
      </c>
      <c r="BA451">
        <v>0</v>
      </c>
      <c r="BB451" t="s">
        <v>22</v>
      </c>
      <c r="BC451" t="s">
        <v>128</v>
      </c>
      <c r="BD451" t="s">
        <v>129</v>
      </c>
      <c r="BE451" t="s">
        <v>130</v>
      </c>
      <c r="BG451" t="s">
        <v>1343</v>
      </c>
      <c r="BH451" t="s">
        <v>132</v>
      </c>
      <c r="BJ451">
        <v>4</v>
      </c>
      <c r="BK451" t="s">
        <v>133</v>
      </c>
      <c r="BV451" t="s">
        <v>134</v>
      </c>
      <c r="BW451" s="16">
        <v>46041.447222222218</v>
      </c>
      <c r="BX451" t="s">
        <v>143</v>
      </c>
      <c r="BZ451">
        <v>64</v>
      </c>
      <c r="CA451" t="s">
        <v>1342</v>
      </c>
      <c r="CB451">
        <v>0</v>
      </c>
      <c r="CF451" t="s">
        <v>1087</v>
      </c>
      <c r="CG451">
        <v>2026</v>
      </c>
      <c r="CH451" t="s">
        <v>138</v>
      </c>
      <c r="CI451" t="s">
        <v>139</v>
      </c>
    </row>
    <row r="452" spans="1:87" x14ac:dyDescent="0.3">
      <c r="A452" t="s">
        <v>165</v>
      </c>
      <c r="B452" t="s">
        <v>116</v>
      </c>
      <c r="C452" t="s">
        <v>117</v>
      </c>
      <c r="D452" t="s">
        <v>118</v>
      </c>
      <c r="E452" t="s">
        <v>14</v>
      </c>
      <c r="F452" t="s">
        <v>1344</v>
      </c>
      <c r="G452">
        <v>57</v>
      </c>
      <c r="H452">
        <v>0</v>
      </c>
      <c r="I452" s="14">
        <v>430000</v>
      </c>
      <c r="J452" s="14">
        <v>400000</v>
      </c>
      <c r="K452" t="s">
        <v>117</v>
      </c>
      <c r="L452" t="s">
        <v>118</v>
      </c>
      <c r="M452" t="s">
        <v>140</v>
      </c>
      <c r="N452" t="s">
        <v>1345</v>
      </c>
      <c r="O452">
        <v>12.5</v>
      </c>
      <c r="P452">
        <v>2.4500000000000002</v>
      </c>
      <c r="Q452" s="14">
        <v>48500</v>
      </c>
      <c r="R452" s="14">
        <v>48500</v>
      </c>
      <c r="Y452" s="14"/>
      <c r="Z452" s="14"/>
      <c r="AG452" s="14"/>
      <c r="AH452" s="14"/>
      <c r="AI452" t="s">
        <v>1346</v>
      </c>
      <c r="AJ452" t="s">
        <v>1347</v>
      </c>
      <c r="AK452" t="s">
        <v>1348</v>
      </c>
      <c r="AL452">
        <v>0</v>
      </c>
      <c r="AM452" t="s">
        <v>1349</v>
      </c>
      <c r="AN452" t="s">
        <v>1350</v>
      </c>
      <c r="AO452" t="s">
        <v>125</v>
      </c>
      <c r="AP452" t="s">
        <v>205</v>
      </c>
      <c r="AQ452" s="15">
        <v>46096</v>
      </c>
      <c r="AR452" s="15">
        <v>46096</v>
      </c>
      <c r="AS452" t="s">
        <v>127</v>
      </c>
      <c r="AT452">
        <v>1</v>
      </c>
      <c r="AU452">
        <v>3000</v>
      </c>
      <c r="AV452">
        <v>0</v>
      </c>
      <c r="AW452">
        <v>0</v>
      </c>
      <c r="AX452" s="14">
        <v>3000</v>
      </c>
      <c r="AY452" s="14">
        <v>3000</v>
      </c>
      <c r="AZ452" s="14">
        <v>0</v>
      </c>
      <c r="BA452">
        <v>0</v>
      </c>
      <c r="BB452" t="s">
        <v>24</v>
      </c>
      <c r="BC452" t="s">
        <v>175</v>
      </c>
      <c r="BD452" t="s">
        <v>176</v>
      </c>
      <c r="BE452" t="s">
        <v>130</v>
      </c>
      <c r="BG452" t="s">
        <v>1351</v>
      </c>
      <c r="BH452" t="s">
        <v>132</v>
      </c>
      <c r="BJ452">
        <v>4</v>
      </c>
      <c r="BK452" t="s">
        <v>133</v>
      </c>
      <c r="BV452" t="s">
        <v>132</v>
      </c>
      <c r="BW452" s="16">
        <v>46111.424305555563</v>
      </c>
      <c r="BX452" t="s">
        <v>143</v>
      </c>
      <c r="BZ452">
        <v>27</v>
      </c>
      <c r="CA452" t="s">
        <v>1352</v>
      </c>
      <c r="CB452">
        <v>0</v>
      </c>
      <c r="CF452" t="s">
        <v>1087</v>
      </c>
      <c r="CG452">
        <v>2026</v>
      </c>
      <c r="CH452" t="s">
        <v>138</v>
      </c>
      <c r="CI452" t="s">
        <v>139</v>
      </c>
    </row>
    <row r="453" spans="1:87" x14ac:dyDescent="0.3">
      <c r="A453" t="s">
        <v>165</v>
      </c>
      <c r="B453" t="s">
        <v>116</v>
      </c>
      <c r="C453" t="s">
        <v>117</v>
      </c>
      <c r="D453" t="s">
        <v>118</v>
      </c>
      <c r="E453" t="s">
        <v>14</v>
      </c>
      <c r="F453" t="s">
        <v>1344</v>
      </c>
      <c r="G453">
        <v>57</v>
      </c>
      <c r="H453">
        <v>0</v>
      </c>
      <c r="I453" s="14">
        <v>430000</v>
      </c>
      <c r="J453" s="14">
        <v>400000</v>
      </c>
      <c r="K453" t="s">
        <v>117</v>
      </c>
      <c r="L453" t="s">
        <v>118</v>
      </c>
      <c r="M453" t="s">
        <v>140</v>
      </c>
      <c r="N453" t="s">
        <v>1345</v>
      </c>
      <c r="O453">
        <v>12.5</v>
      </c>
      <c r="P453">
        <v>2.4500000000000002</v>
      </c>
      <c r="Q453" s="14">
        <v>48500</v>
      </c>
      <c r="R453" s="14">
        <v>48500</v>
      </c>
      <c r="Y453" s="14"/>
      <c r="Z453" s="14"/>
      <c r="AG453" s="14"/>
      <c r="AH453" s="14"/>
      <c r="AI453" t="s">
        <v>1346</v>
      </c>
      <c r="AJ453" t="s">
        <v>1347</v>
      </c>
      <c r="AK453" t="s">
        <v>1348</v>
      </c>
      <c r="AL453">
        <v>0</v>
      </c>
      <c r="AM453" t="s">
        <v>1349</v>
      </c>
      <c r="AN453" t="s">
        <v>1350</v>
      </c>
      <c r="AO453" t="s">
        <v>125</v>
      </c>
      <c r="AP453" t="s">
        <v>205</v>
      </c>
      <c r="AQ453" s="15">
        <v>46112</v>
      </c>
      <c r="AR453" s="15">
        <v>46111</v>
      </c>
      <c r="AS453" t="s">
        <v>145</v>
      </c>
      <c r="AT453">
        <v>1</v>
      </c>
      <c r="AU453">
        <v>20000</v>
      </c>
      <c r="AV453">
        <v>0</v>
      </c>
      <c r="AW453">
        <v>0</v>
      </c>
      <c r="AX453" s="14">
        <v>20000</v>
      </c>
      <c r="AY453" s="14">
        <v>20000</v>
      </c>
      <c r="AZ453" s="14">
        <v>0</v>
      </c>
      <c r="BA453">
        <v>0</v>
      </c>
      <c r="BB453" t="s">
        <v>24</v>
      </c>
      <c r="BC453" t="s">
        <v>175</v>
      </c>
      <c r="BD453" t="s">
        <v>176</v>
      </c>
      <c r="BE453" t="s">
        <v>130</v>
      </c>
      <c r="BG453" t="s">
        <v>1353</v>
      </c>
      <c r="BH453" t="s">
        <v>132</v>
      </c>
      <c r="BJ453">
        <v>4</v>
      </c>
      <c r="BK453" t="s">
        <v>133</v>
      </c>
      <c r="BV453" t="s">
        <v>134</v>
      </c>
      <c r="BW453" s="16">
        <v>46111.424305555563</v>
      </c>
      <c r="BX453" t="s">
        <v>143</v>
      </c>
      <c r="BZ453">
        <v>27</v>
      </c>
      <c r="CA453" t="s">
        <v>1354</v>
      </c>
      <c r="CB453">
        <v>0</v>
      </c>
      <c r="CF453" t="s">
        <v>1087</v>
      </c>
      <c r="CG453">
        <v>2026</v>
      </c>
      <c r="CH453" t="s">
        <v>138</v>
      </c>
      <c r="CI453" t="s">
        <v>139</v>
      </c>
    </row>
    <row r="454" spans="1:87" x14ac:dyDescent="0.3">
      <c r="A454" t="s">
        <v>165</v>
      </c>
      <c r="B454" t="s">
        <v>116</v>
      </c>
      <c r="C454" t="s">
        <v>117</v>
      </c>
      <c r="D454" t="s">
        <v>118</v>
      </c>
      <c r="E454" t="s">
        <v>14</v>
      </c>
      <c r="F454" t="s">
        <v>1344</v>
      </c>
      <c r="G454">
        <v>57</v>
      </c>
      <c r="H454">
        <v>0</v>
      </c>
      <c r="I454" s="14">
        <v>430000</v>
      </c>
      <c r="J454" s="14">
        <v>400000</v>
      </c>
      <c r="K454" t="s">
        <v>117</v>
      </c>
      <c r="L454" t="s">
        <v>118</v>
      </c>
      <c r="M454" t="s">
        <v>140</v>
      </c>
      <c r="N454" t="s">
        <v>1345</v>
      </c>
      <c r="O454">
        <v>12.5</v>
      </c>
      <c r="P454">
        <v>2.4500000000000002</v>
      </c>
      <c r="Q454" s="14">
        <v>48500</v>
      </c>
      <c r="R454" s="14">
        <v>48500</v>
      </c>
      <c r="Y454" s="14"/>
      <c r="Z454" s="14"/>
      <c r="AG454" s="14"/>
      <c r="AH454" s="14"/>
      <c r="AI454" t="s">
        <v>1346</v>
      </c>
      <c r="AJ454" t="s">
        <v>1347</v>
      </c>
      <c r="AK454" t="s">
        <v>1348</v>
      </c>
      <c r="AL454">
        <v>0</v>
      </c>
      <c r="AM454" t="s">
        <v>1349</v>
      </c>
      <c r="AN454" t="s">
        <v>1350</v>
      </c>
      <c r="AO454" t="s">
        <v>125</v>
      </c>
      <c r="AP454" t="s">
        <v>205</v>
      </c>
      <c r="AQ454" s="15">
        <v>46142</v>
      </c>
      <c r="AR454" s="15">
        <v>46142</v>
      </c>
      <c r="AS454" t="s">
        <v>145</v>
      </c>
      <c r="AT454">
        <v>2</v>
      </c>
      <c r="AU454">
        <v>10000</v>
      </c>
      <c r="AV454">
        <v>0</v>
      </c>
      <c r="AW454">
        <v>0</v>
      </c>
      <c r="AX454" s="14">
        <v>10000</v>
      </c>
      <c r="AY454" s="14">
        <v>10000</v>
      </c>
      <c r="AZ454" s="14">
        <v>0</v>
      </c>
      <c r="BA454">
        <v>0</v>
      </c>
      <c r="BB454" t="s">
        <v>24</v>
      </c>
      <c r="BC454" t="s">
        <v>175</v>
      </c>
      <c r="BD454" t="s">
        <v>176</v>
      </c>
      <c r="BE454" t="s">
        <v>130</v>
      </c>
      <c r="BG454" t="s">
        <v>1355</v>
      </c>
      <c r="BH454" t="s">
        <v>132</v>
      </c>
      <c r="BJ454">
        <v>4</v>
      </c>
      <c r="BK454" t="s">
        <v>133</v>
      </c>
      <c r="BV454" t="s">
        <v>134</v>
      </c>
      <c r="BW454" s="16">
        <v>46111.424305555563</v>
      </c>
      <c r="BX454" t="s">
        <v>143</v>
      </c>
      <c r="BZ454">
        <v>27</v>
      </c>
      <c r="CA454" t="s">
        <v>1356</v>
      </c>
      <c r="CB454">
        <v>0</v>
      </c>
      <c r="CF454" t="s">
        <v>1087</v>
      </c>
      <c r="CG454">
        <v>2026</v>
      </c>
      <c r="CH454" t="s">
        <v>138</v>
      </c>
      <c r="CI454" t="s">
        <v>139</v>
      </c>
    </row>
    <row r="455" spans="1:87" x14ac:dyDescent="0.3">
      <c r="A455" t="s">
        <v>165</v>
      </c>
      <c r="B455" t="s">
        <v>116</v>
      </c>
      <c r="C455" t="s">
        <v>117</v>
      </c>
      <c r="D455" t="s">
        <v>118</v>
      </c>
      <c r="E455" t="s">
        <v>14</v>
      </c>
      <c r="F455" t="s">
        <v>1344</v>
      </c>
      <c r="G455">
        <v>57</v>
      </c>
      <c r="H455">
        <v>0</v>
      </c>
      <c r="I455" s="14">
        <v>430000</v>
      </c>
      <c r="J455" s="14">
        <v>400000</v>
      </c>
      <c r="K455" t="s">
        <v>117</v>
      </c>
      <c r="L455" t="s">
        <v>118</v>
      </c>
      <c r="M455" t="s">
        <v>140</v>
      </c>
      <c r="N455" t="s">
        <v>1345</v>
      </c>
      <c r="O455">
        <v>12.5</v>
      </c>
      <c r="P455">
        <v>2.4500000000000002</v>
      </c>
      <c r="Q455" s="14">
        <v>48500</v>
      </c>
      <c r="R455" s="14">
        <v>48500</v>
      </c>
      <c r="Y455" s="14"/>
      <c r="Z455" s="14"/>
      <c r="AG455" s="14"/>
      <c r="AH455" s="14"/>
      <c r="AI455" t="s">
        <v>1346</v>
      </c>
      <c r="AJ455" t="s">
        <v>1347</v>
      </c>
      <c r="AK455" t="s">
        <v>1348</v>
      </c>
      <c r="AL455">
        <v>0</v>
      </c>
      <c r="AM455" t="s">
        <v>1349</v>
      </c>
      <c r="AN455" t="s">
        <v>1350</v>
      </c>
      <c r="AO455" t="s">
        <v>125</v>
      </c>
      <c r="AP455" t="s">
        <v>205</v>
      </c>
      <c r="AQ455" s="15">
        <v>46265</v>
      </c>
      <c r="AR455" s="15"/>
      <c r="AS455" t="s">
        <v>145</v>
      </c>
      <c r="AT455">
        <v>3</v>
      </c>
      <c r="AU455">
        <v>17000</v>
      </c>
      <c r="AV455">
        <v>0</v>
      </c>
      <c r="AW455">
        <v>0</v>
      </c>
      <c r="AX455" s="14">
        <v>17000</v>
      </c>
      <c r="AY455" s="14">
        <v>0</v>
      </c>
      <c r="AZ455" s="14">
        <v>17000</v>
      </c>
      <c r="BB455" t="s">
        <v>24</v>
      </c>
      <c r="BH455" t="s">
        <v>132</v>
      </c>
      <c r="BK455" t="s">
        <v>550</v>
      </c>
      <c r="BV455" t="s">
        <v>132</v>
      </c>
      <c r="BW455" s="16">
        <v>46111.424305555563</v>
      </c>
      <c r="BX455" t="s">
        <v>143</v>
      </c>
      <c r="BZ455">
        <v>27</v>
      </c>
      <c r="CB455">
        <v>0</v>
      </c>
      <c r="CF455" t="s">
        <v>1087</v>
      </c>
      <c r="CG455">
        <v>2026</v>
      </c>
      <c r="CH455" t="s">
        <v>138</v>
      </c>
      <c r="CI455" t="s">
        <v>139</v>
      </c>
    </row>
    <row r="456" spans="1:87" x14ac:dyDescent="0.3">
      <c r="A456" t="s">
        <v>165</v>
      </c>
      <c r="B456" t="s">
        <v>116</v>
      </c>
      <c r="C456" t="s">
        <v>117</v>
      </c>
      <c r="D456" t="s">
        <v>118</v>
      </c>
      <c r="E456" t="s">
        <v>14</v>
      </c>
      <c r="F456" t="s">
        <v>1344</v>
      </c>
      <c r="G456">
        <v>57</v>
      </c>
      <c r="H456">
        <v>0</v>
      </c>
      <c r="I456" s="14">
        <v>430000</v>
      </c>
      <c r="J456" s="14">
        <v>400000</v>
      </c>
      <c r="K456" t="s">
        <v>117</v>
      </c>
      <c r="L456" t="s">
        <v>118</v>
      </c>
      <c r="M456" t="s">
        <v>140</v>
      </c>
      <c r="N456" t="s">
        <v>1345</v>
      </c>
      <c r="O456">
        <v>12.5</v>
      </c>
      <c r="P456">
        <v>2.4500000000000002</v>
      </c>
      <c r="Q456" s="14">
        <v>48500</v>
      </c>
      <c r="R456" s="14">
        <v>48500</v>
      </c>
      <c r="Y456" s="14"/>
      <c r="Z456" s="14"/>
      <c r="AG456" s="14"/>
      <c r="AH456" s="14"/>
      <c r="AI456" t="s">
        <v>1346</v>
      </c>
      <c r="AJ456" t="s">
        <v>1347</v>
      </c>
      <c r="AK456" t="s">
        <v>1348</v>
      </c>
      <c r="AL456">
        <v>0</v>
      </c>
      <c r="AM456" t="s">
        <v>1349</v>
      </c>
      <c r="AN456" t="s">
        <v>1350</v>
      </c>
      <c r="AO456" t="s">
        <v>125</v>
      </c>
      <c r="AP456" t="s">
        <v>205</v>
      </c>
      <c r="AQ456" s="15">
        <v>46386</v>
      </c>
      <c r="AR456" s="15"/>
      <c r="AS456" t="s">
        <v>145</v>
      </c>
      <c r="AT456">
        <v>4</v>
      </c>
      <c r="AU456">
        <v>5000</v>
      </c>
      <c r="AV456">
        <v>0</v>
      </c>
      <c r="AW456">
        <v>0</v>
      </c>
      <c r="AX456" s="14">
        <v>5000</v>
      </c>
      <c r="AY456" s="14">
        <v>0</v>
      </c>
      <c r="AZ456" s="14">
        <v>5000</v>
      </c>
      <c r="BB456" t="s">
        <v>24</v>
      </c>
      <c r="BH456" t="s">
        <v>132</v>
      </c>
      <c r="BK456" t="s">
        <v>1100</v>
      </c>
      <c r="BV456" t="s">
        <v>132</v>
      </c>
      <c r="BW456" s="16">
        <v>46111.424305555563</v>
      </c>
      <c r="BX456" t="s">
        <v>143</v>
      </c>
      <c r="BZ456">
        <v>27</v>
      </c>
      <c r="CB456">
        <v>0</v>
      </c>
      <c r="CF456" t="s">
        <v>1087</v>
      </c>
      <c r="CG456">
        <v>2026</v>
      </c>
      <c r="CH456" t="s">
        <v>138</v>
      </c>
      <c r="CI456" t="s">
        <v>139</v>
      </c>
    </row>
    <row r="457" spans="1:87" x14ac:dyDescent="0.3">
      <c r="A457" t="s">
        <v>165</v>
      </c>
      <c r="B457" t="s">
        <v>116</v>
      </c>
      <c r="C457" t="s">
        <v>117</v>
      </c>
      <c r="D457" t="s">
        <v>118</v>
      </c>
      <c r="E457" t="s">
        <v>14</v>
      </c>
      <c r="F457" t="s">
        <v>1344</v>
      </c>
      <c r="G457">
        <v>57</v>
      </c>
      <c r="H457">
        <v>0</v>
      </c>
      <c r="I457" s="14">
        <v>430000</v>
      </c>
      <c r="J457" s="14">
        <v>400000</v>
      </c>
      <c r="K457" t="s">
        <v>117</v>
      </c>
      <c r="L457" t="s">
        <v>118</v>
      </c>
      <c r="M457" t="s">
        <v>140</v>
      </c>
      <c r="N457" t="s">
        <v>1345</v>
      </c>
      <c r="O457">
        <v>12.5</v>
      </c>
      <c r="P457">
        <v>2.4500000000000002</v>
      </c>
      <c r="Q457" s="14">
        <v>48500</v>
      </c>
      <c r="R457" s="14">
        <v>48500</v>
      </c>
      <c r="Y457" s="14"/>
      <c r="Z457" s="14"/>
      <c r="AG457" s="14"/>
      <c r="AH457" s="14"/>
      <c r="AI457" t="s">
        <v>1346</v>
      </c>
      <c r="AJ457" t="s">
        <v>1347</v>
      </c>
      <c r="AK457" t="s">
        <v>1348</v>
      </c>
      <c r="AL457">
        <v>0</v>
      </c>
      <c r="AM457" t="s">
        <v>1349</v>
      </c>
      <c r="AN457" t="s">
        <v>1350</v>
      </c>
      <c r="AO457" t="s">
        <v>125</v>
      </c>
      <c r="AP457" t="s">
        <v>205</v>
      </c>
      <c r="AQ457" s="15">
        <v>46280</v>
      </c>
      <c r="AR457" s="15"/>
      <c r="AS457" t="s">
        <v>227</v>
      </c>
      <c r="AT457">
        <v>1</v>
      </c>
      <c r="AU457">
        <v>98375</v>
      </c>
      <c r="AV457">
        <v>0</v>
      </c>
      <c r="AW457">
        <v>0</v>
      </c>
      <c r="AX457" s="14">
        <v>98375</v>
      </c>
      <c r="AY457" s="14">
        <v>0</v>
      </c>
      <c r="AZ457" s="14">
        <v>98375</v>
      </c>
      <c r="BB457" t="s">
        <v>24</v>
      </c>
      <c r="BH457" t="s">
        <v>132</v>
      </c>
      <c r="BK457" t="s">
        <v>1100</v>
      </c>
      <c r="BV457" t="s">
        <v>132</v>
      </c>
      <c r="BW457" s="16">
        <v>46111.424305555563</v>
      </c>
      <c r="BX457" t="s">
        <v>143</v>
      </c>
      <c r="BZ457">
        <v>27</v>
      </c>
      <c r="CB457">
        <v>0</v>
      </c>
      <c r="CF457" t="s">
        <v>1087</v>
      </c>
      <c r="CG457">
        <v>2026</v>
      </c>
      <c r="CH457" t="s">
        <v>138</v>
      </c>
      <c r="CI457" t="s">
        <v>139</v>
      </c>
    </row>
    <row r="458" spans="1:87" x14ac:dyDescent="0.3">
      <c r="A458" t="s">
        <v>426</v>
      </c>
      <c r="B458" t="s">
        <v>116</v>
      </c>
      <c r="C458" t="s">
        <v>117</v>
      </c>
      <c r="D458" t="s">
        <v>118</v>
      </c>
      <c r="E458" t="s">
        <v>14</v>
      </c>
      <c r="F458" t="s">
        <v>707</v>
      </c>
      <c r="G458">
        <v>67</v>
      </c>
      <c r="H458">
        <v>0</v>
      </c>
      <c r="I458" s="14">
        <v>438000</v>
      </c>
      <c r="J458" s="14">
        <v>438000</v>
      </c>
      <c r="K458" t="s">
        <v>117</v>
      </c>
      <c r="L458" t="s">
        <v>118</v>
      </c>
      <c r="M458" t="s">
        <v>140</v>
      </c>
      <c r="N458" t="s">
        <v>708</v>
      </c>
      <c r="O458">
        <v>14.5</v>
      </c>
      <c r="P458">
        <v>0</v>
      </c>
      <c r="Q458" s="14">
        <v>43000</v>
      </c>
      <c r="R458" s="14">
        <v>43000</v>
      </c>
      <c r="Y458" s="14"/>
      <c r="Z458" s="14"/>
      <c r="AG458" s="14"/>
      <c r="AH458" s="14"/>
      <c r="AI458" t="s">
        <v>709</v>
      </c>
      <c r="AJ458" t="s">
        <v>710</v>
      </c>
      <c r="AK458" t="s">
        <v>711</v>
      </c>
      <c r="AL458">
        <v>0</v>
      </c>
      <c r="AM458" t="s">
        <v>712</v>
      </c>
      <c r="AN458" t="s">
        <v>713</v>
      </c>
      <c r="AO458" t="s">
        <v>125</v>
      </c>
      <c r="AP458" t="s">
        <v>339</v>
      </c>
      <c r="AQ458" s="15">
        <v>46203</v>
      </c>
      <c r="AR458" s="15">
        <v>46230</v>
      </c>
      <c r="AS458" t="s">
        <v>227</v>
      </c>
      <c r="AT458">
        <v>1</v>
      </c>
      <c r="AU458">
        <v>331000</v>
      </c>
      <c r="AV458">
        <v>0</v>
      </c>
      <c r="AW458">
        <v>0</v>
      </c>
      <c r="AX458" s="14">
        <v>331000</v>
      </c>
      <c r="AY458" s="14">
        <v>331000</v>
      </c>
      <c r="AZ458" s="14">
        <v>0</v>
      </c>
      <c r="BA458">
        <v>0</v>
      </c>
      <c r="BB458" t="s">
        <v>23</v>
      </c>
      <c r="BC458" t="s">
        <v>128</v>
      </c>
      <c r="BD458" t="s">
        <v>434</v>
      </c>
      <c r="BE458" t="s">
        <v>130</v>
      </c>
      <c r="BH458" t="s">
        <v>132</v>
      </c>
      <c r="BJ458">
        <v>4</v>
      </c>
      <c r="BK458" t="s">
        <v>133</v>
      </c>
      <c r="BV458" t="s">
        <v>134</v>
      </c>
      <c r="BW458" s="16">
        <v>46178.338888888888</v>
      </c>
      <c r="BX458" t="s">
        <v>143</v>
      </c>
      <c r="BZ458">
        <v>6</v>
      </c>
      <c r="CA458" t="s">
        <v>1357</v>
      </c>
      <c r="CB458">
        <v>0</v>
      </c>
      <c r="CF458" t="s">
        <v>1087</v>
      </c>
      <c r="CG458">
        <v>2026</v>
      </c>
      <c r="CH458" t="s">
        <v>138</v>
      </c>
      <c r="CI458" t="s">
        <v>139</v>
      </c>
    </row>
    <row r="459" spans="1:87" x14ac:dyDescent="0.3">
      <c r="A459" t="s">
        <v>115</v>
      </c>
      <c r="B459" t="s">
        <v>116</v>
      </c>
      <c r="C459" t="s">
        <v>117</v>
      </c>
      <c r="D459" t="s">
        <v>118</v>
      </c>
      <c r="E459" t="s">
        <v>14</v>
      </c>
      <c r="F459" t="s">
        <v>707</v>
      </c>
      <c r="G459">
        <v>60.93</v>
      </c>
      <c r="H459">
        <v>0</v>
      </c>
      <c r="I459" s="14">
        <v>480000</v>
      </c>
      <c r="J459" s="14">
        <v>428700</v>
      </c>
      <c r="K459" t="s">
        <v>117</v>
      </c>
      <c r="L459" t="s">
        <v>118</v>
      </c>
      <c r="M459" t="s">
        <v>140</v>
      </c>
      <c r="N459" t="s">
        <v>1358</v>
      </c>
      <c r="O459">
        <v>12.86</v>
      </c>
      <c r="P459">
        <v>3</v>
      </c>
      <c r="Q459" s="14">
        <v>57800</v>
      </c>
      <c r="R459" s="14">
        <v>57800</v>
      </c>
      <c r="Y459" s="14"/>
      <c r="Z459" s="14"/>
      <c r="AG459" s="14"/>
      <c r="AH459" s="14"/>
      <c r="AI459" t="s">
        <v>1359</v>
      </c>
      <c r="AJ459" t="s">
        <v>1360</v>
      </c>
      <c r="AK459" t="s">
        <v>1361</v>
      </c>
      <c r="AL459">
        <v>993079451</v>
      </c>
      <c r="AM459" t="s">
        <v>1362</v>
      </c>
      <c r="AN459" t="s">
        <v>1363</v>
      </c>
      <c r="AO459" t="s">
        <v>125</v>
      </c>
      <c r="AP459" t="s">
        <v>1220</v>
      </c>
      <c r="AQ459" s="15">
        <v>46171</v>
      </c>
      <c r="AR459" s="15">
        <v>46171</v>
      </c>
      <c r="AS459" t="s">
        <v>127</v>
      </c>
      <c r="AT459">
        <v>1</v>
      </c>
      <c r="AU459">
        <v>3000</v>
      </c>
      <c r="AV459">
        <v>0</v>
      </c>
      <c r="AW459">
        <v>0</v>
      </c>
      <c r="AX459" s="14">
        <v>3000</v>
      </c>
      <c r="AY459" s="14">
        <v>3000</v>
      </c>
      <c r="AZ459" s="14">
        <v>0</v>
      </c>
      <c r="BA459">
        <v>0</v>
      </c>
      <c r="BB459" t="s">
        <v>23</v>
      </c>
      <c r="BC459" t="s">
        <v>128</v>
      </c>
      <c r="BD459" t="s">
        <v>129</v>
      </c>
      <c r="BE459" t="s">
        <v>130</v>
      </c>
      <c r="BG459" t="s">
        <v>1364</v>
      </c>
      <c r="BH459" t="s">
        <v>132</v>
      </c>
      <c r="BJ459">
        <v>4</v>
      </c>
      <c r="BK459" t="s">
        <v>133</v>
      </c>
      <c r="BV459" t="s">
        <v>134</v>
      </c>
      <c r="BW459" s="16">
        <v>46191.65902777778</v>
      </c>
      <c r="BX459" t="s">
        <v>143</v>
      </c>
      <c r="BZ459">
        <v>52</v>
      </c>
      <c r="CA459" t="s">
        <v>1365</v>
      </c>
      <c r="CB459">
        <v>0</v>
      </c>
      <c r="CF459" t="s">
        <v>1087</v>
      </c>
      <c r="CG459">
        <v>2026</v>
      </c>
      <c r="CH459" t="s">
        <v>138</v>
      </c>
      <c r="CI459" t="s">
        <v>139</v>
      </c>
    </row>
    <row r="460" spans="1:87" x14ac:dyDescent="0.3">
      <c r="A460" t="s">
        <v>115</v>
      </c>
      <c r="B460" t="s">
        <v>116</v>
      </c>
      <c r="C460" t="s">
        <v>117</v>
      </c>
      <c r="D460" t="s">
        <v>118</v>
      </c>
      <c r="E460" t="s">
        <v>14</v>
      </c>
      <c r="F460" t="s">
        <v>707</v>
      </c>
      <c r="G460">
        <v>60.93</v>
      </c>
      <c r="H460">
        <v>0</v>
      </c>
      <c r="I460" s="14">
        <v>480000</v>
      </c>
      <c r="J460" s="14">
        <v>428700</v>
      </c>
      <c r="K460" t="s">
        <v>117</v>
      </c>
      <c r="L460" t="s">
        <v>118</v>
      </c>
      <c r="M460" t="s">
        <v>140</v>
      </c>
      <c r="N460" t="s">
        <v>1358</v>
      </c>
      <c r="O460">
        <v>12.86</v>
      </c>
      <c r="P460">
        <v>3</v>
      </c>
      <c r="Q460" s="14">
        <v>57800</v>
      </c>
      <c r="R460" s="14">
        <v>57800</v>
      </c>
      <c r="Y460" s="14"/>
      <c r="Z460" s="14"/>
      <c r="AG460" s="14"/>
      <c r="AH460" s="14"/>
      <c r="AI460" t="s">
        <v>1359</v>
      </c>
      <c r="AJ460" t="s">
        <v>1360</v>
      </c>
      <c r="AK460" t="s">
        <v>1361</v>
      </c>
      <c r="AL460">
        <v>993079451</v>
      </c>
      <c r="AM460" t="s">
        <v>1362</v>
      </c>
      <c r="AN460" t="s">
        <v>1363</v>
      </c>
      <c r="AO460" t="s">
        <v>125</v>
      </c>
      <c r="AP460" t="s">
        <v>1220</v>
      </c>
      <c r="AQ460" s="15">
        <v>46191</v>
      </c>
      <c r="AR460" s="15">
        <v>46191</v>
      </c>
      <c r="AS460" t="s">
        <v>145</v>
      </c>
      <c r="AT460">
        <v>1</v>
      </c>
      <c r="AU460">
        <v>30000</v>
      </c>
      <c r="AV460">
        <v>0</v>
      </c>
      <c r="AW460">
        <v>0</v>
      </c>
      <c r="AX460" s="14">
        <v>30000</v>
      </c>
      <c r="AY460" s="14">
        <v>30000</v>
      </c>
      <c r="AZ460" s="14">
        <v>0</v>
      </c>
      <c r="BA460">
        <v>0</v>
      </c>
      <c r="BB460" t="s">
        <v>23</v>
      </c>
      <c r="BC460" t="s">
        <v>128</v>
      </c>
      <c r="BD460" t="s">
        <v>129</v>
      </c>
      <c r="BE460" t="s">
        <v>130</v>
      </c>
      <c r="BF460" t="s">
        <v>1360</v>
      </c>
      <c r="BG460" t="s">
        <v>1366</v>
      </c>
      <c r="BH460" t="s">
        <v>132</v>
      </c>
      <c r="BI460" t="s">
        <v>154</v>
      </c>
      <c r="BJ460">
        <v>4</v>
      </c>
      <c r="BK460" t="s">
        <v>133</v>
      </c>
      <c r="BV460" t="s">
        <v>134</v>
      </c>
      <c r="BW460" s="16">
        <v>46191.65902777778</v>
      </c>
      <c r="BX460" t="s">
        <v>143</v>
      </c>
      <c r="BZ460">
        <v>52</v>
      </c>
      <c r="CA460" t="s">
        <v>1367</v>
      </c>
      <c r="CB460">
        <v>0</v>
      </c>
      <c r="CF460" t="s">
        <v>1087</v>
      </c>
      <c r="CG460">
        <v>2026</v>
      </c>
      <c r="CH460" t="s">
        <v>138</v>
      </c>
      <c r="CI460" t="s">
        <v>139</v>
      </c>
    </row>
    <row r="461" spans="1:87" x14ac:dyDescent="0.3">
      <c r="A461" t="s">
        <v>115</v>
      </c>
      <c r="B461" t="s">
        <v>116</v>
      </c>
      <c r="C461" t="s">
        <v>117</v>
      </c>
      <c r="D461" t="s">
        <v>118</v>
      </c>
      <c r="E461" t="s">
        <v>14</v>
      </c>
      <c r="F461" t="s">
        <v>707</v>
      </c>
      <c r="G461">
        <v>60.93</v>
      </c>
      <c r="H461">
        <v>0</v>
      </c>
      <c r="I461" s="14">
        <v>480000</v>
      </c>
      <c r="J461" s="14">
        <v>428700</v>
      </c>
      <c r="K461" t="s">
        <v>117</v>
      </c>
      <c r="L461" t="s">
        <v>118</v>
      </c>
      <c r="M461" t="s">
        <v>140</v>
      </c>
      <c r="N461" t="s">
        <v>1358</v>
      </c>
      <c r="O461">
        <v>12.86</v>
      </c>
      <c r="P461">
        <v>3</v>
      </c>
      <c r="Q461" s="14">
        <v>57800</v>
      </c>
      <c r="R461" s="14">
        <v>57800</v>
      </c>
      <c r="Y461" s="14"/>
      <c r="Z461" s="14"/>
      <c r="AG461" s="14"/>
      <c r="AH461" s="14"/>
      <c r="AI461" t="s">
        <v>1359</v>
      </c>
      <c r="AJ461" t="s">
        <v>1360</v>
      </c>
      <c r="AK461" t="s">
        <v>1361</v>
      </c>
      <c r="AL461">
        <v>993079451</v>
      </c>
      <c r="AM461" t="s">
        <v>1362</v>
      </c>
      <c r="AN461" t="s">
        <v>1363</v>
      </c>
      <c r="AO461" t="s">
        <v>125</v>
      </c>
      <c r="AP461" t="s">
        <v>1220</v>
      </c>
      <c r="AQ461" s="15">
        <v>46191</v>
      </c>
      <c r="AR461" s="15">
        <v>46191</v>
      </c>
      <c r="AS461" t="s">
        <v>145</v>
      </c>
      <c r="AT461">
        <v>2</v>
      </c>
      <c r="AU461">
        <v>15650</v>
      </c>
      <c r="AV461">
        <v>0</v>
      </c>
      <c r="AW461">
        <v>0</v>
      </c>
      <c r="AX461" s="14">
        <v>15650</v>
      </c>
      <c r="AY461" s="14">
        <v>15650</v>
      </c>
      <c r="AZ461" s="14">
        <v>0</v>
      </c>
      <c r="BA461">
        <v>0</v>
      </c>
      <c r="BB461" t="s">
        <v>23</v>
      </c>
      <c r="BC461" t="s">
        <v>128</v>
      </c>
      <c r="BD461" t="s">
        <v>129</v>
      </c>
      <c r="BE461" t="s">
        <v>130</v>
      </c>
      <c r="BF461" t="s">
        <v>1360</v>
      </c>
      <c r="BG461" t="s">
        <v>1368</v>
      </c>
      <c r="BH461" t="s">
        <v>132</v>
      </c>
      <c r="BI461" t="s">
        <v>154</v>
      </c>
      <c r="BJ461">
        <v>4</v>
      </c>
      <c r="BK461" t="s">
        <v>133</v>
      </c>
      <c r="BV461" t="s">
        <v>134</v>
      </c>
      <c r="BW461" s="16">
        <v>46191.65902777778</v>
      </c>
      <c r="BX461" t="s">
        <v>143</v>
      </c>
      <c r="BZ461">
        <v>52</v>
      </c>
      <c r="CA461" t="s">
        <v>1369</v>
      </c>
      <c r="CB461">
        <v>0</v>
      </c>
      <c r="CF461" t="s">
        <v>1087</v>
      </c>
      <c r="CG461">
        <v>2026</v>
      </c>
      <c r="CH461" t="s">
        <v>138</v>
      </c>
      <c r="CI461" t="s">
        <v>139</v>
      </c>
    </row>
    <row r="462" spans="1:87" x14ac:dyDescent="0.3">
      <c r="A462" t="s">
        <v>115</v>
      </c>
      <c r="B462" t="s">
        <v>116</v>
      </c>
      <c r="C462" t="s">
        <v>117</v>
      </c>
      <c r="D462" t="s">
        <v>118</v>
      </c>
      <c r="E462" t="s">
        <v>14</v>
      </c>
      <c r="F462" t="s">
        <v>707</v>
      </c>
      <c r="G462">
        <v>60.93</v>
      </c>
      <c r="H462">
        <v>0</v>
      </c>
      <c r="I462" s="14">
        <v>480000</v>
      </c>
      <c r="J462" s="14">
        <v>428700</v>
      </c>
      <c r="K462" t="s">
        <v>117</v>
      </c>
      <c r="L462" t="s">
        <v>118</v>
      </c>
      <c r="M462" t="s">
        <v>140</v>
      </c>
      <c r="N462" t="s">
        <v>1358</v>
      </c>
      <c r="O462">
        <v>12.86</v>
      </c>
      <c r="P462">
        <v>3</v>
      </c>
      <c r="Q462" s="14">
        <v>57800</v>
      </c>
      <c r="R462" s="14">
        <v>57800</v>
      </c>
      <c r="Y462" s="14"/>
      <c r="Z462" s="14"/>
      <c r="AG462" s="14"/>
      <c r="AH462" s="14"/>
      <c r="AI462" t="s">
        <v>1359</v>
      </c>
      <c r="AJ462" t="s">
        <v>1360</v>
      </c>
      <c r="AK462" t="s">
        <v>1361</v>
      </c>
      <c r="AL462">
        <v>993079451</v>
      </c>
      <c r="AM462" t="s">
        <v>1362</v>
      </c>
      <c r="AN462" t="s">
        <v>1363</v>
      </c>
      <c r="AO462" t="s">
        <v>125</v>
      </c>
      <c r="AP462" t="s">
        <v>1220</v>
      </c>
      <c r="AQ462" s="15">
        <v>46218</v>
      </c>
      <c r="AR462" s="15"/>
      <c r="AS462" t="s">
        <v>145</v>
      </c>
      <c r="AT462">
        <v>3</v>
      </c>
      <c r="AU462">
        <v>99850</v>
      </c>
      <c r="AV462">
        <v>0</v>
      </c>
      <c r="AW462">
        <v>0</v>
      </c>
      <c r="AX462" s="14">
        <v>99850</v>
      </c>
      <c r="AY462" s="14">
        <v>0</v>
      </c>
      <c r="AZ462" s="14">
        <v>99850</v>
      </c>
      <c r="BB462" t="s">
        <v>23</v>
      </c>
      <c r="BH462" t="s">
        <v>132</v>
      </c>
      <c r="BK462" t="s">
        <v>550</v>
      </c>
      <c r="BV462" t="s">
        <v>132</v>
      </c>
      <c r="BW462" s="16">
        <v>46191.65902777778</v>
      </c>
      <c r="BX462" t="s">
        <v>143</v>
      </c>
      <c r="BZ462">
        <v>52</v>
      </c>
      <c r="CB462">
        <v>0</v>
      </c>
      <c r="CF462" t="s">
        <v>1087</v>
      </c>
      <c r="CG462">
        <v>2026</v>
      </c>
      <c r="CH462" t="s">
        <v>138</v>
      </c>
      <c r="CI462" t="s">
        <v>139</v>
      </c>
    </row>
    <row r="463" spans="1:87" x14ac:dyDescent="0.3">
      <c r="A463" t="s">
        <v>115</v>
      </c>
      <c r="B463" t="s">
        <v>116</v>
      </c>
      <c r="C463" t="s">
        <v>117</v>
      </c>
      <c r="D463" t="s">
        <v>118</v>
      </c>
      <c r="E463" t="s">
        <v>14</v>
      </c>
      <c r="F463" t="s">
        <v>707</v>
      </c>
      <c r="G463">
        <v>60.93</v>
      </c>
      <c r="H463">
        <v>0</v>
      </c>
      <c r="I463" s="14">
        <v>480000</v>
      </c>
      <c r="J463" s="14">
        <v>428700</v>
      </c>
      <c r="K463" t="s">
        <v>117</v>
      </c>
      <c r="L463" t="s">
        <v>118</v>
      </c>
      <c r="M463" t="s">
        <v>140</v>
      </c>
      <c r="N463" t="s">
        <v>1358</v>
      </c>
      <c r="O463">
        <v>12.86</v>
      </c>
      <c r="P463">
        <v>3</v>
      </c>
      <c r="Q463" s="14">
        <v>57800</v>
      </c>
      <c r="R463" s="14">
        <v>57800</v>
      </c>
      <c r="Y463" s="14"/>
      <c r="Z463" s="14"/>
      <c r="AG463" s="14"/>
      <c r="AH463" s="14"/>
      <c r="AI463" t="s">
        <v>1359</v>
      </c>
      <c r="AJ463" t="s">
        <v>1360</v>
      </c>
      <c r="AK463" t="s">
        <v>1361</v>
      </c>
      <c r="AL463">
        <v>993079451</v>
      </c>
      <c r="AM463" t="s">
        <v>1362</v>
      </c>
      <c r="AN463" t="s">
        <v>1363</v>
      </c>
      <c r="AO463" t="s">
        <v>125</v>
      </c>
      <c r="AP463" t="s">
        <v>1220</v>
      </c>
      <c r="AQ463" s="15">
        <v>46254.446527777778</v>
      </c>
      <c r="AR463" s="15"/>
      <c r="AS463" t="s">
        <v>227</v>
      </c>
      <c r="AT463">
        <v>1</v>
      </c>
      <c r="AU463">
        <v>338000</v>
      </c>
      <c r="AV463">
        <v>0</v>
      </c>
      <c r="AW463">
        <v>0</v>
      </c>
      <c r="AX463" s="14">
        <v>338000</v>
      </c>
      <c r="AY463" s="14">
        <v>0</v>
      </c>
      <c r="AZ463" s="14">
        <v>338000</v>
      </c>
      <c r="BB463" t="s">
        <v>23</v>
      </c>
      <c r="BH463" t="s">
        <v>132</v>
      </c>
      <c r="BK463" t="s">
        <v>550</v>
      </c>
      <c r="BV463" t="s">
        <v>132</v>
      </c>
      <c r="BW463" s="16">
        <v>46191.65902777778</v>
      </c>
      <c r="BX463" t="s">
        <v>143</v>
      </c>
      <c r="BZ463">
        <v>52</v>
      </c>
      <c r="CB463">
        <v>0</v>
      </c>
      <c r="CF463" t="s">
        <v>1087</v>
      </c>
      <c r="CG463">
        <v>2026</v>
      </c>
      <c r="CH463" t="s">
        <v>138</v>
      </c>
      <c r="CI463" t="s">
        <v>139</v>
      </c>
    </row>
    <row r="464" spans="1:87" x14ac:dyDescent="0.3">
      <c r="A464" t="s">
        <v>115</v>
      </c>
      <c r="B464" t="s">
        <v>116</v>
      </c>
      <c r="C464" t="s">
        <v>117</v>
      </c>
      <c r="D464" t="s">
        <v>118</v>
      </c>
      <c r="E464" t="s">
        <v>14</v>
      </c>
      <c r="F464" t="s">
        <v>720</v>
      </c>
      <c r="G464">
        <v>84</v>
      </c>
      <c r="H464">
        <v>0</v>
      </c>
      <c r="I464" s="14">
        <v>630000</v>
      </c>
      <c r="J464" s="14">
        <v>630000</v>
      </c>
      <c r="Q464" s="14"/>
      <c r="R464" s="14"/>
      <c r="Y464" s="14"/>
      <c r="Z464" s="14"/>
      <c r="AG464" s="14"/>
      <c r="AH464" s="14"/>
      <c r="AI464" t="s">
        <v>721</v>
      </c>
      <c r="AJ464" t="s">
        <v>722</v>
      </c>
      <c r="AK464" t="s">
        <v>723</v>
      </c>
      <c r="AL464">
        <v>0</v>
      </c>
      <c r="AM464" t="s">
        <v>724</v>
      </c>
      <c r="AN464" t="s">
        <v>725</v>
      </c>
      <c r="AO464" t="s">
        <v>125</v>
      </c>
      <c r="AP464" t="s">
        <v>152</v>
      </c>
      <c r="AQ464" s="15">
        <v>46185</v>
      </c>
      <c r="AR464" s="15">
        <v>46017</v>
      </c>
      <c r="AS464" t="s">
        <v>227</v>
      </c>
      <c r="AT464">
        <v>5</v>
      </c>
      <c r="AU464">
        <v>0</v>
      </c>
      <c r="AV464">
        <v>0</v>
      </c>
      <c r="AW464">
        <v>0</v>
      </c>
      <c r="AX464" s="14">
        <v>73333.33</v>
      </c>
      <c r="AY464" s="14">
        <v>11666.68</v>
      </c>
      <c r="AZ464" s="14">
        <v>0</v>
      </c>
      <c r="BA464">
        <v>0</v>
      </c>
      <c r="BB464" t="s">
        <v>22</v>
      </c>
      <c r="BC464" t="s">
        <v>128</v>
      </c>
      <c r="BD464" t="s">
        <v>129</v>
      </c>
      <c r="BE464" t="s">
        <v>130</v>
      </c>
      <c r="BG464" t="s">
        <v>736</v>
      </c>
      <c r="BH464" t="s">
        <v>132</v>
      </c>
      <c r="BJ464">
        <v>4</v>
      </c>
      <c r="BK464" t="s">
        <v>133</v>
      </c>
      <c r="BV464" t="s">
        <v>134</v>
      </c>
      <c r="BW464" s="16">
        <v>45773.613888888889</v>
      </c>
      <c r="BX464" t="s">
        <v>135</v>
      </c>
      <c r="BZ464">
        <v>35</v>
      </c>
      <c r="CA464" t="s">
        <v>737</v>
      </c>
      <c r="CB464">
        <v>0</v>
      </c>
      <c r="CF464" t="s">
        <v>1087</v>
      </c>
      <c r="CG464">
        <v>2026</v>
      </c>
      <c r="CH464" t="s">
        <v>138</v>
      </c>
      <c r="CI464" t="s">
        <v>139</v>
      </c>
    </row>
    <row r="465" spans="1:87" x14ac:dyDescent="0.3">
      <c r="A465" t="s">
        <v>115</v>
      </c>
      <c r="B465" t="s">
        <v>116</v>
      </c>
      <c r="C465" t="s">
        <v>117</v>
      </c>
      <c r="D465" t="s">
        <v>118</v>
      </c>
      <c r="E465" t="s">
        <v>14</v>
      </c>
      <c r="F465" t="s">
        <v>720</v>
      </c>
      <c r="G465">
        <v>84</v>
      </c>
      <c r="H465">
        <v>0</v>
      </c>
      <c r="I465" s="14">
        <v>630000</v>
      </c>
      <c r="J465" s="14">
        <v>630000</v>
      </c>
      <c r="Q465" s="14"/>
      <c r="R465" s="14"/>
      <c r="Y465" s="14"/>
      <c r="Z465" s="14"/>
      <c r="AG465" s="14"/>
      <c r="AH465" s="14"/>
      <c r="AI465" t="s">
        <v>721</v>
      </c>
      <c r="AJ465" t="s">
        <v>722</v>
      </c>
      <c r="AK465" t="s">
        <v>723</v>
      </c>
      <c r="AL465">
        <v>0</v>
      </c>
      <c r="AM465" t="s">
        <v>724</v>
      </c>
      <c r="AN465" t="s">
        <v>725</v>
      </c>
      <c r="AO465" t="s">
        <v>125</v>
      </c>
      <c r="AP465" t="s">
        <v>152</v>
      </c>
      <c r="AQ465" s="15">
        <v>46185</v>
      </c>
      <c r="AR465" s="15">
        <v>46185</v>
      </c>
      <c r="AS465" t="s">
        <v>227</v>
      </c>
      <c r="AT465">
        <v>5</v>
      </c>
      <c r="AU465">
        <v>0</v>
      </c>
      <c r="AV465">
        <v>0</v>
      </c>
      <c r="AW465">
        <v>0</v>
      </c>
      <c r="AX465" s="14">
        <v>0</v>
      </c>
      <c r="AY465" s="14">
        <v>50000</v>
      </c>
      <c r="AZ465" s="14">
        <v>0</v>
      </c>
      <c r="BA465">
        <v>0</v>
      </c>
      <c r="BB465" t="s">
        <v>22</v>
      </c>
      <c r="BC465" t="s">
        <v>128</v>
      </c>
      <c r="BD465" t="s">
        <v>129</v>
      </c>
      <c r="BE465" t="s">
        <v>130</v>
      </c>
      <c r="BG465" t="s">
        <v>1370</v>
      </c>
      <c r="BH465" t="s">
        <v>132</v>
      </c>
      <c r="BJ465">
        <v>4</v>
      </c>
      <c r="BK465" t="s">
        <v>133</v>
      </c>
      <c r="BV465" t="s">
        <v>134</v>
      </c>
      <c r="BW465" s="16">
        <v>45773.613888888889</v>
      </c>
      <c r="BX465" t="s">
        <v>135</v>
      </c>
      <c r="BZ465">
        <v>35</v>
      </c>
      <c r="CA465" t="s">
        <v>737</v>
      </c>
      <c r="CB465">
        <v>0</v>
      </c>
      <c r="CF465" t="s">
        <v>1087</v>
      </c>
      <c r="CG465">
        <v>2026</v>
      </c>
      <c r="CH465" t="s">
        <v>138</v>
      </c>
      <c r="CI465" t="s">
        <v>139</v>
      </c>
    </row>
    <row r="466" spans="1:87" x14ac:dyDescent="0.3">
      <c r="A466" t="s">
        <v>115</v>
      </c>
      <c r="B466" t="s">
        <v>116</v>
      </c>
      <c r="C466" t="s">
        <v>117</v>
      </c>
      <c r="D466" t="s">
        <v>118</v>
      </c>
      <c r="E466" t="s">
        <v>14</v>
      </c>
      <c r="F466" t="s">
        <v>720</v>
      </c>
      <c r="G466">
        <v>84</v>
      </c>
      <c r="H466">
        <v>0</v>
      </c>
      <c r="I466" s="14">
        <v>630000</v>
      </c>
      <c r="J466" s="14">
        <v>630000</v>
      </c>
      <c r="Q466" s="14"/>
      <c r="R466" s="14"/>
      <c r="Y466" s="14"/>
      <c r="Z466" s="14"/>
      <c r="AG466" s="14"/>
      <c r="AH466" s="14"/>
      <c r="AI466" t="s">
        <v>721</v>
      </c>
      <c r="AJ466" t="s">
        <v>722</v>
      </c>
      <c r="AK466" t="s">
        <v>723</v>
      </c>
      <c r="AL466">
        <v>0</v>
      </c>
      <c r="AM466" t="s">
        <v>724</v>
      </c>
      <c r="AN466" t="s">
        <v>725</v>
      </c>
      <c r="AO466" t="s">
        <v>125</v>
      </c>
      <c r="AP466" t="s">
        <v>152</v>
      </c>
      <c r="AQ466" s="15">
        <v>46185</v>
      </c>
      <c r="AR466" s="15">
        <v>46197</v>
      </c>
      <c r="AS466" t="s">
        <v>227</v>
      </c>
      <c r="AT466">
        <v>5</v>
      </c>
      <c r="AU466">
        <v>73333.33</v>
      </c>
      <c r="AV466">
        <v>0</v>
      </c>
      <c r="AW466">
        <v>0</v>
      </c>
      <c r="AX466" s="14">
        <v>0</v>
      </c>
      <c r="AY466" s="14">
        <v>11666.65</v>
      </c>
      <c r="AZ466" s="14">
        <v>0</v>
      </c>
      <c r="BA466">
        <v>0</v>
      </c>
      <c r="BB466" t="s">
        <v>22</v>
      </c>
      <c r="BC466" t="s">
        <v>128</v>
      </c>
      <c r="BD466" t="s">
        <v>129</v>
      </c>
      <c r="BE466" t="s">
        <v>130</v>
      </c>
      <c r="BG466" t="s">
        <v>1371</v>
      </c>
      <c r="BH466" t="s">
        <v>132</v>
      </c>
      <c r="BJ466">
        <v>4</v>
      </c>
      <c r="BK466" t="s">
        <v>133</v>
      </c>
      <c r="BV466" t="s">
        <v>134</v>
      </c>
      <c r="BW466" s="16">
        <v>45773.613888888889</v>
      </c>
      <c r="BX466" t="s">
        <v>135</v>
      </c>
      <c r="BZ466">
        <v>35</v>
      </c>
      <c r="CA466" t="s">
        <v>1372</v>
      </c>
      <c r="CB466">
        <v>0</v>
      </c>
      <c r="CF466" t="s">
        <v>1087</v>
      </c>
      <c r="CG466">
        <v>2026</v>
      </c>
      <c r="CH466" t="s">
        <v>138</v>
      </c>
      <c r="CI466" t="s">
        <v>139</v>
      </c>
    </row>
    <row r="467" spans="1:87" x14ac:dyDescent="0.3">
      <c r="A467" t="s">
        <v>115</v>
      </c>
      <c r="B467" t="s">
        <v>116</v>
      </c>
      <c r="C467" t="s">
        <v>117</v>
      </c>
      <c r="D467" t="s">
        <v>118</v>
      </c>
      <c r="E467" t="s">
        <v>14</v>
      </c>
      <c r="F467" t="s">
        <v>720</v>
      </c>
      <c r="G467">
        <v>84</v>
      </c>
      <c r="H467">
        <v>0</v>
      </c>
      <c r="I467" s="14">
        <v>630000</v>
      </c>
      <c r="J467" s="14">
        <v>630000</v>
      </c>
      <c r="Q467" s="14"/>
      <c r="R467" s="14"/>
      <c r="Y467" s="14"/>
      <c r="Z467" s="14"/>
      <c r="AG467" s="14"/>
      <c r="AH467" s="14"/>
      <c r="AI467" t="s">
        <v>721</v>
      </c>
      <c r="AJ467" t="s">
        <v>722</v>
      </c>
      <c r="AK467" t="s">
        <v>723</v>
      </c>
      <c r="AL467">
        <v>0</v>
      </c>
      <c r="AM467" t="s">
        <v>724</v>
      </c>
      <c r="AN467" t="s">
        <v>725</v>
      </c>
      <c r="AO467" t="s">
        <v>125</v>
      </c>
      <c r="AP467" t="s">
        <v>152</v>
      </c>
      <c r="AQ467" s="15">
        <v>46197</v>
      </c>
      <c r="AR467" s="15">
        <v>46197</v>
      </c>
      <c r="AS467" t="s">
        <v>227</v>
      </c>
      <c r="AT467">
        <v>6</v>
      </c>
      <c r="AU467">
        <v>73333.350000000006</v>
      </c>
      <c r="AV467">
        <v>0</v>
      </c>
      <c r="AW467">
        <v>0</v>
      </c>
      <c r="AX467" s="14">
        <v>73333.350000000006</v>
      </c>
      <c r="AY467" s="14">
        <v>73333.350000000006</v>
      </c>
      <c r="AZ467" s="14">
        <v>0</v>
      </c>
      <c r="BA467">
        <v>0</v>
      </c>
      <c r="BB467" t="s">
        <v>22</v>
      </c>
      <c r="BC467" t="s">
        <v>128</v>
      </c>
      <c r="BD467" t="s">
        <v>129</v>
      </c>
      <c r="BE467" t="s">
        <v>130</v>
      </c>
      <c r="BG467" t="s">
        <v>1371</v>
      </c>
      <c r="BH467" t="s">
        <v>132</v>
      </c>
      <c r="BJ467">
        <v>4</v>
      </c>
      <c r="BK467" t="s">
        <v>133</v>
      </c>
      <c r="BV467" t="s">
        <v>134</v>
      </c>
      <c r="BW467" s="16">
        <v>45773.613888888889</v>
      </c>
      <c r="BX467" t="s">
        <v>135</v>
      </c>
      <c r="BZ467">
        <v>35</v>
      </c>
      <c r="CA467" t="s">
        <v>1372</v>
      </c>
      <c r="CB467">
        <v>0</v>
      </c>
      <c r="CF467" t="s">
        <v>1087</v>
      </c>
      <c r="CG467">
        <v>2026</v>
      </c>
      <c r="CH467" t="s">
        <v>138</v>
      </c>
      <c r="CI467" t="s">
        <v>139</v>
      </c>
    </row>
    <row r="468" spans="1:87" x14ac:dyDescent="0.3">
      <c r="A468" t="s">
        <v>115</v>
      </c>
      <c r="B468" t="s">
        <v>116</v>
      </c>
      <c r="C468" t="s">
        <v>117</v>
      </c>
      <c r="D468" t="s">
        <v>118</v>
      </c>
      <c r="E468" t="s">
        <v>140</v>
      </c>
      <c r="F468" t="s">
        <v>738</v>
      </c>
      <c r="G468">
        <v>13.27</v>
      </c>
      <c r="H468">
        <v>0</v>
      </c>
      <c r="I468" s="14">
        <v>50500</v>
      </c>
      <c r="J468" s="14">
        <v>50500</v>
      </c>
      <c r="Q468" s="14"/>
      <c r="R468" s="14"/>
      <c r="Y468" s="14"/>
      <c r="Z468" s="14"/>
      <c r="AG468" s="14"/>
      <c r="AH468" s="14"/>
      <c r="AI468" t="s">
        <v>721</v>
      </c>
      <c r="AJ468" t="s">
        <v>722</v>
      </c>
      <c r="AK468" t="s">
        <v>723</v>
      </c>
      <c r="AL468">
        <v>0</v>
      </c>
      <c r="AM468" t="s">
        <v>724</v>
      </c>
      <c r="AN468" t="s">
        <v>725</v>
      </c>
      <c r="AO468" t="s">
        <v>125</v>
      </c>
      <c r="AP468" t="s">
        <v>152</v>
      </c>
      <c r="AQ468" s="15">
        <v>46225</v>
      </c>
      <c r="AR468" s="15">
        <v>46225</v>
      </c>
      <c r="AS468" t="s">
        <v>227</v>
      </c>
      <c r="AT468">
        <v>1</v>
      </c>
      <c r="AU468">
        <v>10000</v>
      </c>
      <c r="AV468">
        <v>0</v>
      </c>
      <c r="AW468">
        <v>0</v>
      </c>
      <c r="AX468" s="14">
        <v>10000</v>
      </c>
      <c r="AY468" s="14">
        <v>10000</v>
      </c>
      <c r="AZ468" s="14">
        <v>0</v>
      </c>
      <c r="BA468">
        <v>0</v>
      </c>
      <c r="BB468" t="s">
        <v>22</v>
      </c>
      <c r="BC468" t="s">
        <v>128</v>
      </c>
      <c r="BD468" t="s">
        <v>129</v>
      </c>
      <c r="BE468" t="s">
        <v>130</v>
      </c>
      <c r="BG468" t="s">
        <v>1373</v>
      </c>
      <c r="BH468" t="s">
        <v>132</v>
      </c>
      <c r="BJ468">
        <v>4</v>
      </c>
      <c r="BK468" t="s">
        <v>133</v>
      </c>
      <c r="BV468" t="s">
        <v>134</v>
      </c>
      <c r="BW468" s="16">
        <v>46218.655555555553</v>
      </c>
      <c r="BX468" t="s">
        <v>178</v>
      </c>
      <c r="BZ468">
        <v>58</v>
      </c>
      <c r="CA468" t="s">
        <v>1374</v>
      </c>
      <c r="CB468">
        <v>0</v>
      </c>
      <c r="CF468" t="s">
        <v>1087</v>
      </c>
      <c r="CG468">
        <v>2026</v>
      </c>
      <c r="CH468" t="s">
        <v>138</v>
      </c>
      <c r="CI468" t="s">
        <v>139</v>
      </c>
    </row>
    <row r="469" spans="1:87" x14ac:dyDescent="0.3">
      <c r="A469" t="s">
        <v>115</v>
      </c>
      <c r="B469" t="s">
        <v>116</v>
      </c>
      <c r="C469" t="s">
        <v>117</v>
      </c>
      <c r="D469" t="s">
        <v>118</v>
      </c>
      <c r="E469" t="s">
        <v>140</v>
      </c>
      <c r="F469" t="s">
        <v>738</v>
      </c>
      <c r="G469">
        <v>13.27</v>
      </c>
      <c r="H469">
        <v>0</v>
      </c>
      <c r="I469" s="14">
        <v>50500</v>
      </c>
      <c r="J469" s="14">
        <v>50500</v>
      </c>
      <c r="Q469" s="14"/>
      <c r="R469" s="14"/>
      <c r="Y469" s="14"/>
      <c r="Z469" s="14"/>
      <c r="AG469" s="14"/>
      <c r="AH469" s="14"/>
      <c r="AI469" t="s">
        <v>721</v>
      </c>
      <c r="AJ469" t="s">
        <v>722</v>
      </c>
      <c r="AK469" t="s">
        <v>723</v>
      </c>
      <c r="AL469">
        <v>0</v>
      </c>
      <c r="AM469" t="s">
        <v>724</v>
      </c>
      <c r="AN469" t="s">
        <v>725</v>
      </c>
      <c r="AO469" t="s">
        <v>125</v>
      </c>
      <c r="AP469" t="s">
        <v>152</v>
      </c>
      <c r="AQ469" s="15">
        <v>46244</v>
      </c>
      <c r="AR469" s="15">
        <v>46244</v>
      </c>
      <c r="AS469" t="s">
        <v>227</v>
      </c>
      <c r="AT469">
        <v>2</v>
      </c>
      <c r="AU469">
        <v>16500</v>
      </c>
      <c r="AV469">
        <v>0</v>
      </c>
      <c r="AW469">
        <v>0</v>
      </c>
      <c r="AX469" s="14">
        <v>16500</v>
      </c>
      <c r="AY469" s="14">
        <v>16500</v>
      </c>
      <c r="AZ469" s="14">
        <v>0</v>
      </c>
      <c r="BA469">
        <v>0</v>
      </c>
      <c r="BB469" t="s">
        <v>22</v>
      </c>
      <c r="BC469" t="s">
        <v>128</v>
      </c>
      <c r="BD469" t="s">
        <v>415</v>
      </c>
      <c r="BE469" t="s">
        <v>130</v>
      </c>
      <c r="BG469" t="s">
        <v>1375</v>
      </c>
      <c r="BH469" t="s">
        <v>132</v>
      </c>
      <c r="BJ469">
        <v>4</v>
      </c>
      <c r="BK469" t="s">
        <v>133</v>
      </c>
      <c r="BV469" t="s">
        <v>134</v>
      </c>
      <c r="BW469" s="16">
        <v>46218.655555555553</v>
      </c>
      <c r="BX469" t="s">
        <v>178</v>
      </c>
      <c r="BZ469">
        <v>58</v>
      </c>
      <c r="CA469" t="s">
        <v>1376</v>
      </c>
      <c r="CB469">
        <v>0</v>
      </c>
      <c r="CF469" t="s">
        <v>1087</v>
      </c>
      <c r="CG469">
        <v>2026</v>
      </c>
      <c r="CH469" t="s">
        <v>138</v>
      </c>
      <c r="CI469" t="s">
        <v>139</v>
      </c>
    </row>
    <row r="470" spans="1:87" x14ac:dyDescent="0.3">
      <c r="A470" t="s">
        <v>115</v>
      </c>
      <c r="B470" t="s">
        <v>116</v>
      </c>
      <c r="C470" t="s">
        <v>117</v>
      </c>
      <c r="D470" t="s">
        <v>118</v>
      </c>
      <c r="E470" t="s">
        <v>140</v>
      </c>
      <c r="F470" t="s">
        <v>738</v>
      </c>
      <c r="G470">
        <v>13.27</v>
      </c>
      <c r="H470">
        <v>0</v>
      </c>
      <c r="I470" s="14">
        <v>50500</v>
      </c>
      <c r="J470" s="14">
        <v>50500</v>
      </c>
      <c r="Q470" s="14"/>
      <c r="R470" s="14"/>
      <c r="Y470" s="14"/>
      <c r="Z470" s="14"/>
      <c r="AG470" s="14"/>
      <c r="AH470" s="14"/>
      <c r="AI470" t="s">
        <v>721</v>
      </c>
      <c r="AJ470" t="s">
        <v>722</v>
      </c>
      <c r="AK470" t="s">
        <v>723</v>
      </c>
      <c r="AL470">
        <v>0</v>
      </c>
      <c r="AM470" t="s">
        <v>724</v>
      </c>
      <c r="AN470" t="s">
        <v>725</v>
      </c>
      <c r="AO470" t="s">
        <v>125</v>
      </c>
      <c r="AP470" t="s">
        <v>152</v>
      </c>
      <c r="AQ470" s="15">
        <v>46265</v>
      </c>
      <c r="AR470" s="15"/>
      <c r="AS470" t="s">
        <v>227</v>
      </c>
      <c r="AT470">
        <v>3</v>
      </c>
      <c r="AU470">
        <v>16000</v>
      </c>
      <c r="AV470">
        <v>0</v>
      </c>
      <c r="AW470">
        <v>0</v>
      </c>
      <c r="AX470" s="14">
        <v>16000</v>
      </c>
      <c r="AY470" s="14">
        <v>0</v>
      </c>
      <c r="AZ470" s="14">
        <v>16000</v>
      </c>
      <c r="BB470" t="s">
        <v>22</v>
      </c>
      <c r="BH470" t="s">
        <v>132</v>
      </c>
      <c r="BK470" t="s">
        <v>550</v>
      </c>
      <c r="BV470" t="s">
        <v>132</v>
      </c>
      <c r="BW470" s="16">
        <v>46218.655555555553</v>
      </c>
      <c r="BX470" t="s">
        <v>178</v>
      </c>
      <c r="BZ470">
        <v>58</v>
      </c>
      <c r="CB470">
        <v>0</v>
      </c>
      <c r="CF470" t="s">
        <v>1087</v>
      </c>
      <c r="CG470">
        <v>2026</v>
      </c>
      <c r="CH470" t="s">
        <v>138</v>
      </c>
      <c r="CI470" t="s">
        <v>139</v>
      </c>
    </row>
    <row r="471" spans="1:87" x14ac:dyDescent="0.3">
      <c r="A471" t="s">
        <v>165</v>
      </c>
      <c r="B471" t="s">
        <v>116</v>
      </c>
      <c r="C471" t="s">
        <v>117</v>
      </c>
      <c r="D471" t="s">
        <v>118</v>
      </c>
      <c r="E471" t="s">
        <v>14</v>
      </c>
      <c r="F471" t="s">
        <v>743</v>
      </c>
      <c r="G471">
        <v>72</v>
      </c>
      <c r="H471">
        <v>0</v>
      </c>
      <c r="I471" s="14">
        <v>532100</v>
      </c>
      <c r="J471" s="14">
        <v>485300</v>
      </c>
      <c r="K471" t="s">
        <v>117</v>
      </c>
      <c r="L471" t="s">
        <v>118</v>
      </c>
      <c r="M471" t="s">
        <v>140</v>
      </c>
      <c r="N471" t="s">
        <v>744</v>
      </c>
      <c r="O471">
        <v>12.5</v>
      </c>
      <c r="P471">
        <v>0</v>
      </c>
      <c r="Q471" s="14">
        <v>46800</v>
      </c>
      <c r="R471" s="14">
        <v>46800</v>
      </c>
      <c r="Y471" s="14"/>
      <c r="Z471" s="14"/>
      <c r="AG471" s="14"/>
      <c r="AH471" s="14"/>
      <c r="AI471" t="s">
        <v>745</v>
      </c>
      <c r="AJ471" t="s">
        <v>746</v>
      </c>
      <c r="AK471" t="s">
        <v>747</v>
      </c>
      <c r="AL471">
        <v>0</v>
      </c>
      <c r="AM471" t="s">
        <v>748</v>
      </c>
      <c r="AN471" t="s">
        <v>749</v>
      </c>
      <c r="AO471" t="s">
        <v>125</v>
      </c>
      <c r="AP471" t="s">
        <v>750</v>
      </c>
      <c r="AQ471" s="15">
        <v>46039</v>
      </c>
      <c r="AR471" s="15">
        <v>46039</v>
      </c>
      <c r="AS471" t="s">
        <v>145</v>
      </c>
      <c r="AT471">
        <v>1</v>
      </c>
      <c r="AU471">
        <v>30000</v>
      </c>
      <c r="AV471">
        <v>0</v>
      </c>
      <c r="AW471">
        <v>0</v>
      </c>
      <c r="AX471" s="14">
        <v>30000</v>
      </c>
      <c r="AY471" s="14">
        <v>30000</v>
      </c>
      <c r="AZ471" s="14">
        <v>0</v>
      </c>
      <c r="BA471">
        <v>0</v>
      </c>
      <c r="BB471" t="s">
        <v>23</v>
      </c>
      <c r="BC471" t="s">
        <v>175</v>
      </c>
      <c r="BD471" t="s">
        <v>176</v>
      </c>
      <c r="BE471" t="s">
        <v>130</v>
      </c>
      <c r="BG471" t="s">
        <v>1377</v>
      </c>
      <c r="BH471" t="s">
        <v>132</v>
      </c>
      <c r="BJ471">
        <v>4</v>
      </c>
      <c r="BK471" t="s">
        <v>133</v>
      </c>
      <c r="BV471" t="s">
        <v>134</v>
      </c>
      <c r="BW471" s="16">
        <v>46039.419444444437</v>
      </c>
      <c r="BX471" t="s">
        <v>178</v>
      </c>
      <c r="BZ471">
        <v>17</v>
      </c>
      <c r="CA471" t="s">
        <v>1378</v>
      </c>
      <c r="CB471">
        <v>0</v>
      </c>
      <c r="CF471" t="s">
        <v>1087</v>
      </c>
      <c r="CG471">
        <v>2026</v>
      </c>
      <c r="CH471" t="s">
        <v>138</v>
      </c>
      <c r="CI471" t="s">
        <v>139</v>
      </c>
    </row>
    <row r="472" spans="1:87" x14ac:dyDescent="0.3">
      <c r="A472" t="s">
        <v>165</v>
      </c>
      <c r="B472" t="s">
        <v>116</v>
      </c>
      <c r="C472" t="s">
        <v>117</v>
      </c>
      <c r="D472" t="s">
        <v>118</v>
      </c>
      <c r="E472" t="s">
        <v>14</v>
      </c>
      <c r="F472" t="s">
        <v>743</v>
      </c>
      <c r="G472">
        <v>72</v>
      </c>
      <c r="H472">
        <v>0</v>
      </c>
      <c r="I472" s="14">
        <v>532100</v>
      </c>
      <c r="J472" s="14">
        <v>485300</v>
      </c>
      <c r="K472" t="s">
        <v>117</v>
      </c>
      <c r="L472" t="s">
        <v>118</v>
      </c>
      <c r="M472" t="s">
        <v>140</v>
      </c>
      <c r="N472" t="s">
        <v>744</v>
      </c>
      <c r="O472">
        <v>12.5</v>
      </c>
      <c r="P472">
        <v>0</v>
      </c>
      <c r="Q472" s="14">
        <v>46800</v>
      </c>
      <c r="R472" s="14">
        <v>46800</v>
      </c>
      <c r="Y472" s="14"/>
      <c r="Z472" s="14"/>
      <c r="AG472" s="14"/>
      <c r="AH472" s="14"/>
      <c r="AI472" t="s">
        <v>745</v>
      </c>
      <c r="AJ472" t="s">
        <v>746</v>
      </c>
      <c r="AK472" t="s">
        <v>747</v>
      </c>
      <c r="AL472">
        <v>0</v>
      </c>
      <c r="AM472" t="s">
        <v>748</v>
      </c>
      <c r="AN472" t="s">
        <v>749</v>
      </c>
      <c r="AO472" t="s">
        <v>125</v>
      </c>
      <c r="AP472" t="s">
        <v>750</v>
      </c>
      <c r="AQ472" s="15">
        <v>46039</v>
      </c>
      <c r="AR472" s="15">
        <v>46039</v>
      </c>
      <c r="AS472" t="s">
        <v>145</v>
      </c>
      <c r="AT472">
        <v>2</v>
      </c>
      <c r="AU472">
        <v>20210</v>
      </c>
      <c r="AV472">
        <v>0</v>
      </c>
      <c r="AW472">
        <v>0</v>
      </c>
      <c r="AX472" s="14">
        <v>20210</v>
      </c>
      <c r="AY472" s="14">
        <v>20210</v>
      </c>
      <c r="AZ472" s="14">
        <v>0</v>
      </c>
      <c r="BA472">
        <v>0</v>
      </c>
      <c r="BB472" t="s">
        <v>23</v>
      </c>
      <c r="BC472" t="s">
        <v>175</v>
      </c>
      <c r="BD472" t="s">
        <v>176</v>
      </c>
      <c r="BE472" t="s">
        <v>130</v>
      </c>
      <c r="BG472" t="s">
        <v>1379</v>
      </c>
      <c r="BH472" t="s">
        <v>132</v>
      </c>
      <c r="BJ472">
        <v>4</v>
      </c>
      <c r="BK472" t="s">
        <v>133</v>
      </c>
      <c r="BV472" t="s">
        <v>134</v>
      </c>
      <c r="BW472" s="16">
        <v>46039.419444444437</v>
      </c>
      <c r="BX472" t="s">
        <v>178</v>
      </c>
      <c r="BZ472">
        <v>17</v>
      </c>
      <c r="CA472" t="s">
        <v>1380</v>
      </c>
      <c r="CB472">
        <v>0</v>
      </c>
      <c r="CF472" t="s">
        <v>1087</v>
      </c>
      <c r="CG472">
        <v>2026</v>
      </c>
      <c r="CH472" t="s">
        <v>138</v>
      </c>
      <c r="CI472" t="s">
        <v>139</v>
      </c>
    </row>
    <row r="473" spans="1:87" x14ac:dyDescent="0.3">
      <c r="A473" t="s">
        <v>165</v>
      </c>
      <c r="B473" t="s">
        <v>116</v>
      </c>
      <c r="C473" t="s">
        <v>117</v>
      </c>
      <c r="D473" t="s">
        <v>118</v>
      </c>
      <c r="E473" t="s">
        <v>14</v>
      </c>
      <c r="F473" t="s">
        <v>743</v>
      </c>
      <c r="G473">
        <v>72</v>
      </c>
      <c r="H473">
        <v>0</v>
      </c>
      <c r="I473" s="14">
        <v>532100</v>
      </c>
      <c r="J473" s="14">
        <v>485300</v>
      </c>
      <c r="K473" t="s">
        <v>117</v>
      </c>
      <c r="L473" t="s">
        <v>118</v>
      </c>
      <c r="M473" t="s">
        <v>140</v>
      </c>
      <c r="N473" t="s">
        <v>744</v>
      </c>
      <c r="O473">
        <v>12.5</v>
      </c>
      <c r="P473">
        <v>0</v>
      </c>
      <c r="Q473" s="14">
        <v>46800</v>
      </c>
      <c r="R473" s="14">
        <v>46800</v>
      </c>
      <c r="Y473" s="14"/>
      <c r="Z473" s="14"/>
      <c r="AG473" s="14"/>
      <c r="AH473" s="14"/>
      <c r="AI473" t="s">
        <v>745</v>
      </c>
      <c r="AJ473" t="s">
        <v>746</v>
      </c>
      <c r="AK473" t="s">
        <v>747</v>
      </c>
      <c r="AL473">
        <v>0</v>
      </c>
      <c r="AM473" t="s">
        <v>748</v>
      </c>
      <c r="AN473" t="s">
        <v>749</v>
      </c>
      <c r="AO473" t="s">
        <v>125</v>
      </c>
      <c r="AP473" t="s">
        <v>750</v>
      </c>
      <c r="AQ473" s="15">
        <v>46046</v>
      </c>
      <c r="AR473" s="15">
        <v>46046</v>
      </c>
      <c r="AS473" t="s">
        <v>145</v>
      </c>
      <c r="AT473">
        <v>3</v>
      </c>
      <c r="AU473">
        <v>90</v>
      </c>
      <c r="AV473">
        <v>0</v>
      </c>
      <c r="AW473">
        <v>0</v>
      </c>
      <c r="AX473" s="14">
        <v>90</v>
      </c>
      <c r="AY473" s="14">
        <v>90</v>
      </c>
      <c r="AZ473" s="14">
        <v>0</v>
      </c>
      <c r="BA473">
        <v>0</v>
      </c>
      <c r="BB473" t="s">
        <v>23</v>
      </c>
      <c r="BC473" t="s">
        <v>175</v>
      </c>
      <c r="BD473" t="s">
        <v>176</v>
      </c>
      <c r="BE473" t="s">
        <v>130</v>
      </c>
      <c r="BG473" t="s">
        <v>1381</v>
      </c>
      <c r="BH473" t="s">
        <v>132</v>
      </c>
      <c r="BJ473">
        <v>4</v>
      </c>
      <c r="BK473" t="s">
        <v>133</v>
      </c>
      <c r="BV473" t="s">
        <v>134</v>
      </c>
      <c r="BW473" s="16">
        <v>46039.419444444437</v>
      </c>
      <c r="BX473" t="s">
        <v>178</v>
      </c>
      <c r="BZ473">
        <v>17</v>
      </c>
      <c r="CA473" t="s">
        <v>1382</v>
      </c>
      <c r="CB473">
        <v>0</v>
      </c>
      <c r="CF473" t="s">
        <v>1087</v>
      </c>
      <c r="CG473">
        <v>2026</v>
      </c>
      <c r="CH473" t="s">
        <v>138</v>
      </c>
      <c r="CI473" t="s">
        <v>139</v>
      </c>
    </row>
    <row r="474" spans="1:87" x14ac:dyDescent="0.3">
      <c r="A474" t="s">
        <v>165</v>
      </c>
      <c r="B474" t="s">
        <v>116</v>
      </c>
      <c r="C474" t="s">
        <v>117</v>
      </c>
      <c r="D474" t="s">
        <v>118</v>
      </c>
      <c r="E474" t="s">
        <v>14</v>
      </c>
      <c r="F474" t="s">
        <v>743</v>
      </c>
      <c r="G474">
        <v>72</v>
      </c>
      <c r="H474">
        <v>0</v>
      </c>
      <c r="I474" s="14">
        <v>532100</v>
      </c>
      <c r="J474" s="14">
        <v>485300</v>
      </c>
      <c r="K474" t="s">
        <v>117</v>
      </c>
      <c r="L474" t="s">
        <v>118</v>
      </c>
      <c r="M474" t="s">
        <v>140</v>
      </c>
      <c r="N474" t="s">
        <v>744</v>
      </c>
      <c r="O474">
        <v>12.5</v>
      </c>
      <c r="P474">
        <v>0</v>
      </c>
      <c r="Q474" s="14">
        <v>46800</v>
      </c>
      <c r="R474" s="14">
        <v>46800</v>
      </c>
      <c r="Y474" s="14"/>
      <c r="Z474" s="14"/>
      <c r="AG474" s="14"/>
      <c r="AH474" s="14"/>
      <c r="AI474" t="s">
        <v>745</v>
      </c>
      <c r="AJ474" t="s">
        <v>746</v>
      </c>
      <c r="AK474" t="s">
        <v>747</v>
      </c>
      <c r="AL474">
        <v>0</v>
      </c>
      <c r="AM474" t="s">
        <v>748</v>
      </c>
      <c r="AN474" t="s">
        <v>749</v>
      </c>
      <c r="AO474" t="s">
        <v>125</v>
      </c>
      <c r="AP474" t="s">
        <v>750</v>
      </c>
      <c r="AQ474" s="15">
        <v>46324.711805555547</v>
      </c>
      <c r="AR474" s="15"/>
      <c r="AS474" t="s">
        <v>227</v>
      </c>
      <c r="AT474">
        <v>1</v>
      </c>
      <c r="AU474">
        <v>478800</v>
      </c>
      <c r="AV474">
        <v>0</v>
      </c>
      <c r="AW474">
        <v>0</v>
      </c>
      <c r="AX474" s="14">
        <v>478800</v>
      </c>
      <c r="AY474" s="14">
        <v>0</v>
      </c>
      <c r="AZ474" s="14">
        <v>478800</v>
      </c>
      <c r="BB474" t="s">
        <v>23</v>
      </c>
      <c r="BH474" t="s">
        <v>132</v>
      </c>
      <c r="BK474" t="s">
        <v>1100</v>
      </c>
      <c r="BV474" t="s">
        <v>132</v>
      </c>
      <c r="BW474" s="16">
        <v>46039.419444444437</v>
      </c>
      <c r="BX474" t="s">
        <v>178</v>
      </c>
      <c r="BZ474">
        <v>17</v>
      </c>
      <c r="CB474">
        <v>0</v>
      </c>
      <c r="CF474" t="s">
        <v>1087</v>
      </c>
      <c r="CG474">
        <v>2026</v>
      </c>
      <c r="CH474" t="s">
        <v>138</v>
      </c>
      <c r="CI474" t="s">
        <v>139</v>
      </c>
    </row>
    <row r="475" spans="1:87" x14ac:dyDescent="0.3">
      <c r="A475" t="s">
        <v>115</v>
      </c>
      <c r="B475" t="s">
        <v>116</v>
      </c>
      <c r="C475" t="s">
        <v>117</v>
      </c>
      <c r="D475" t="s">
        <v>118</v>
      </c>
      <c r="E475" t="s">
        <v>14</v>
      </c>
      <c r="F475" t="s">
        <v>1383</v>
      </c>
      <c r="G475">
        <v>56</v>
      </c>
      <c r="H475">
        <v>0</v>
      </c>
      <c r="I475" s="14">
        <v>457000</v>
      </c>
      <c r="J475" s="14">
        <v>457000</v>
      </c>
      <c r="Q475" s="14"/>
      <c r="R475" s="14"/>
      <c r="Y475" s="14"/>
      <c r="Z475" s="14"/>
      <c r="AG475" s="14"/>
      <c r="AH475" s="14"/>
      <c r="AI475" t="s">
        <v>1384</v>
      </c>
      <c r="AJ475" t="s">
        <v>1385</v>
      </c>
      <c r="AK475" t="s">
        <v>1386</v>
      </c>
      <c r="AL475">
        <v>990889063</v>
      </c>
      <c r="AM475" t="s">
        <v>1387</v>
      </c>
      <c r="AN475" t="s">
        <v>1388</v>
      </c>
      <c r="AO475" t="s">
        <v>125</v>
      </c>
      <c r="AP475" t="s">
        <v>1389</v>
      </c>
      <c r="AQ475" s="15">
        <v>46085</v>
      </c>
      <c r="AR475" s="15">
        <v>46085</v>
      </c>
      <c r="AS475" t="s">
        <v>127</v>
      </c>
      <c r="AT475">
        <v>1</v>
      </c>
      <c r="AU475">
        <v>3000</v>
      </c>
      <c r="AV475">
        <v>0</v>
      </c>
      <c r="AW475">
        <v>0</v>
      </c>
      <c r="AX475" s="14">
        <v>3000</v>
      </c>
      <c r="AY475" s="14">
        <v>3000</v>
      </c>
      <c r="AZ475" s="14">
        <v>0</v>
      </c>
      <c r="BA475">
        <v>0</v>
      </c>
      <c r="BB475" t="s">
        <v>23</v>
      </c>
      <c r="BC475" t="s">
        <v>128</v>
      </c>
      <c r="BD475" t="s">
        <v>129</v>
      </c>
      <c r="BE475" t="s">
        <v>222</v>
      </c>
      <c r="BF475" t="s">
        <v>1385</v>
      </c>
      <c r="BG475" t="s">
        <v>1390</v>
      </c>
      <c r="BH475" t="s">
        <v>132</v>
      </c>
      <c r="BI475" t="s">
        <v>154</v>
      </c>
      <c r="BJ475">
        <v>4</v>
      </c>
      <c r="BK475" t="s">
        <v>133</v>
      </c>
      <c r="BV475" t="s">
        <v>134</v>
      </c>
      <c r="BW475" s="16">
        <v>46134.400694444441</v>
      </c>
      <c r="BX475" t="s">
        <v>135</v>
      </c>
      <c r="BZ475">
        <v>43</v>
      </c>
      <c r="CA475" t="s">
        <v>1391</v>
      </c>
      <c r="CB475">
        <v>0</v>
      </c>
      <c r="CF475" t="s">
        <v>1087</v>
      </c>
      <c r="CG475">
        <v>2026</v>
      </c>
      <c r="CH475" t="s">
        <v>138</v>
      </c>
      <c r="CI475" t="s">
        <v>139</v>
      </c>
    </row>
    <row r="476" spans="1:87" x14ac:dyDescent="0.3">
      <c r="A476" t="s">
        <v>115</v>
      </c>
      <c r="B476" t="s">
        <v>116</v>
      </c>
      <c r="C476" t="s">
        <v>117</v>
      </c>
      <c r="D476" t="s">
        <v>118</v>
      </c>
      <c r="E476" t="s">
        <v>14</v>
      </c>
      <c r="F476" t="s">
        <v>1383</v>
      </c>
      <c r="G476">
        <v>56</v>
      </c>
      <c r="H476">
        <v>0</v>
      </c>
      <c r="I476" s="14">
        <v>457000</v>
      </c>
      <c r="J476" s="14">
        <v>457000</v>
      </c>
      <c r="Q476" s="14"/>
      <c r="R476" s="14"/>
      <c r="Y476" s="14"/>
      <c r="Z476" s="14"/>
      <c r="AG476" s="14"/>
      <c r="AH476" s="14"/>
      <c r="AI476" t="s">
        <v>1384</v>
      </c>
      <c r="AJ476" t="s">
        <v>1385</v>
      </c>
      <c r="AK476" t="s">
        <v>1386</v>
      </c>
      <c r="AL476">
        <v>990889063</v>
      </c>
      <c r="AM476" t="s">
        <v>1387</v>
      </c>
      <c r="AN476" t="s">
        <v>1388</v>
      </c>
      <c r="AO476" t="s">
        <v>125</v>
      </c>
      <c r="AP476" t="s">
        <v>1389</v>
      </c>
      <c r="AQ476" s="15">
        <v>46134</v>
      </c>
      <c r="AR476" s="15">
        <v>46134</v>
      </c>
      <c r="AS476" t="s">
        <v>145</v>
      </c>
      <c r="AT476">
        <v>1</v>
      </c>
      <c r="AU476">
        <v>21350</v>
      </c>
      <c r="AV476">
        <v>0</v>
      </c>
      <c r="AW476">
        <v>0</v>
      </c>
      <c r="AX476" s="14">
        <v>21350</v>
      </c>
      <c r="AY476" s="14">
        <v>21350</v>
      </c>
      <c r="AZ476" s="14">
        <v>0</v>
      </c>
      <c r="BA476">
        <v>0</v>
      </c>
      <c r="BB476" t="s">
        <v>23</v>
      </c>
      <c r="BC476" t="s">
        <v>128</v>
      </c>
      <c r="BD476" t="s">
        <v>129</v>
      </c>
      <c r="BE476" t="s">
        <v>130</v>
      </c>
      <c r="BF476" t="s">
        <v>1385</v>
      </c>
      <c r="BG476" t="s">
        <v>1392</v>
      </c>
      <c r="BH476" t="s">
        <v>132</v>
      </c>
      <c r="BI476" t="s">
        <v>154</v>
      </c>
      <c r="BJ476">
        <v>4</v>
      </c>
      <c r="BK476" t="s">
        <v>133</v>
      </c>
      <c r="BV476" t="s">
        <v>134</v>
      </c>
      <c r="BW476" s="16">
        <v>46134.400694444441</v>
      </c>
      <c r="BX476" t="s">
        <v>135</v>
      </c>
      <c r="BZ476">
        <v>43</v>
      </c>
      <c r="CA476" t="s">
        <v>1393</v>
      </c>
      <c r="CB476">
        <v>0</v>
      </c>
      <c r="CF476" t="s">
        <v>1087</v>
      </c>
      <c r="CG476">
        <v>2026</v>
      </c>
      <c r="CH476" t="s">
        <v>138</v>
      </c>
      <c r="CI476" t="s">
        <v>139</v>
      </c>
    </row>
    <row r="477" spans="1:87" x14ac:dyDescent="0.3">
      <c r="A477" t="s">
        <v>115</v>
      </c>
      <c r="B477" t="s">
        <v>116</v>
      </c>
      <c r="C477" t="s">
        <v>117</v>
      </c>
      <c r="D477" t="s">
        <v>118</v>
      </c>
      <c r="E477" t="s">
        <v>14</v>
      </c>
      <c r="F477" t="s">
        <v>1383</v>
      </c>
      <c r="G477">
        <v>56</v>
      </c>
      <c r="H477">
        <v>0</v>
      </c>
      <c r="I477" s="14">
        <v>457000</v>
      </c>
      <c r="J477" s="14">
        <v>457000</v>
      </c>
      <c r="Q477" s="14"/>
      <c r="R477" s="14"/>
      <c r="Y477" s="14"/>
      <c r="Z477" s="14"/>
      <c r="AG477" s="14"/>
      <c r="AH477" s="14"/>
      <c r="AI477" t="s">
        <v>1384</v>
      </c>
      <c r="AJ477" t="s">
        <v>1385</v>
      </c>
      <c r="AK477" t="s">
        <v>1386</v>
      </c>
      <c r="AL477">
        <v>990889063</v>
      </c>
      <c r="AM477" t="s">
        <v>1387</v>
      </c>
      <c r="AN477" t="s">
        <v>1388</v>
      </c>
      <c r="AO477" t="s">
        <v>125</v>
      </c>
      <c r="AP477" t="s">
        <v>1389</v>
      </c>
      <c r="AQ477" s="15">
        <v>46137</v>
      </c>
      <c r="AR477" s="15">
        <v>46137</v>
      </c>
      <c r="AS477" t="s">
        <v>145</v>
      </c>
      <c r="AT477">
        <v>2</v>
      </c>
      <c r="AU477">
        <v>21350</v>
      </c>
      <c r="AV477">
        <v>0</v>
      </c>
      <c r="AW477">
        <v>0</v>
      </c>
      <c r="AX477" s="14">
        <v>21350</v>
      </c>
      <c r="AY477" s="14">
        <v>21350</v>
      </c>
      <c r="AZ477" s="14">
        <v>0</v>
      </c>
      <c r="BA477">
        <v>0</v>
      </c>
      <c r="BB477" t="s">
        <v>23</v>
      </c>
      <c r="BC477" t="s">
        <v>128</v>
      </c>
      <c r="BD477" t="s">
        <v>129</v>
      </c>
      <c r="BE477" t="s">
        <v>130</v>
      </c>
      <c r="BF477" t="s">
        <v>1385</v>
      </c>
      <c r="BG477" t="s">
        <v>1394</v>
      </c>
      <c r="BH477" t="s">
        <v>132</v>
      </c>
      <c r="BI477" t="s">
        <v>154</v>
      </c>
      <c r="BJ477">
        <v>4</v>
      </c>
      <c r="BK477" t="s">
        <v>133</v>
      </c>
      <c r="BV477" t="s">
        <v>134</v>
      </c>
      <c r="BW477" s="16">
        <v>46134.400694444441</v>
      </c>
      <c r="BX477" t="s">
        <v>135</v>
      </c>
      <c r="BZ477">
        <v>43</v>
      </c>
      <c r="CA477" t="s">
        <v>1395</v>
      </c>
      <c r="CB477">
        <v>0</v>
      </c>
      <c r="CF477" t="s">
        <v>1087</v>
      </c>
      <c r="CG477">
        <v>2026</v>
      </c>
      <c r="CH477" t="s">
        <v>138</v>
      </c>
      <c r="CI477" t="s">
        <v>139</v>
      </c>
    </row>
    <row r="478" spans="1:87" x14ac:dyDescent="0.3">
      <c r="A478" t="s">
        <v>115</v>
      </c>
      <c r="B478" t="s">
        <v>116</v>
      </c>
      <c r="C478" t="s">
        <v>117</v>
      </c>
      <c r="D478" t="s">
        <v>118</v>
      </c>
      <c r="E478" t="s">
        <v>14</v>
      </c>
      <c r="F478" t="s">
        <v>1383</v>
      </c>
      <c r="G478">
        <v>56</v>
      </c>
      <c r="H478">
        <v>0</v>
      </c>
      <c r="I478" s="14">
        <v>457000</v>
      </c>
      <c r="J478" s="14">
        <v>457000</v>
      </c>
      <c r="Q478" s="14"/>
      <c r="R478" s="14"/>
      <c r="Y478" s="14"/>
      <c r="Z478" s="14"/>
      <c r="AG478" s="14"/>
      <c r="AH478" s="14"/>
      <c r="AI478" t="s">
        <v>1384</v>
      </c>
      <c r="AJ478" t="s">
        <v>1385</v>
      </c>
      <c r="AK478" t="s">
        <v>1386</v>
      </c>
      <c r="AL478">
        <v>990889063</v>
      </c>
      <c r="AM478" t="s">
        <v>1387</v>
      </c>
      <c r="AN478" t="s">
        <v>1388</v>
      </c>
      <c r="AO478" t="s">
        <v>125</v>
      </c>
      <c r="AP478" t="s">
        <v>1389</v>
      </c>
      <c r="AQ478" s="15">
        <v>46203</v>
      </c>
      <c r="AR478" s="15">
        <v>46171</v>
      </c>
      <c r="AS478" t="s">
        <v>227</v>
      </c>
      <c r="AT478">
        <v>1</v>
      </c>
      <c r="AU478">
        <v>411300</v>
      </c>
      <c r="AV478">
        <v>0</v>
      </c>
      <c r="AW478">
        <v>0</v>
      </c>
      <c r="AX478" s="14">
        <v>411300</v>
      </c>
      <c r="AY478" s="14">
        <v>411300</v>
      </c>
      <c r="AZ478" s="14">
        <v>0</v>
      </c>
      <c r="BA478">
        <v>0</v>
      </c>
      <c r="BB478" t="s">
        <v>23</v>
      </c>
      <c r="BC478" t="s">
        <v>128</v>
      </c>
      <c r="BD478" t="s">
        <v>129</v>
      </c>
      <c r="BE478" t="s">
        <v>130</v>
      </c>
      <c r="BG478" t="s">
        <v>1396</v>
      </c>
      <c r="BH478" t="s">
        <v>132</v>
      </c>
      <c r="BJ478">
        <v>4</v>
      </c>
      <c r="BK478" t="s">
        <v>133</v>
      </c>
      <c r="BV478" t="s">
        <v>134</v>
      </c>
      <c r="BW478" s="16">
        <v>46134.400694444441</v>
      </c>
      <c r="BX478" t="s">
        <v>135</v>
      </c>
      <c r="BZ478">
        <v>43</v>
      </c>
      <c r="CA478" t="s">
        <v>1397</v>
      </c>
      <c r="CB478">
        <v>0</v>
      </c>
      <c r="CF478" t="s">
        <v>1087</v>
      </c>
      <c r="CG478">
        <v>2026</v>
      </c>
      <c r="CH478" t="s">
        <v>138</v>
      </c>
      <c r="CI478" t="s">
        <v>139</v>
      </c>
    </row>
    <row r="479" spans="1:87" x14ac:dyDescent="0.3">
      <c r="A479" t="s">
        <v>426</v>
      </c>
      <c r="B479" t="s">
        <v>116</v>
      </c>
      <c r="C479" t="s">
        <v>117</v>
      </c>
      <c r="D479" t="s">
        <v>118</v>
      </c>
      <c r="E479" t="s">
        <v>14</v>
      </c>
      <c r="F479" t="s">
        <v>323</v>
      </c>
      <c r="G479">
        <v>78</v>
      </c>
      <c r="H479">
        <v>0</v>
      </c>
      <c r="I479" s="14">
        <v>561000</v>
      </c>
      <c r="J479" s="14">
        <v>561000</v>
      </c>
      <c r="Q479" s="14"/>
      <c r="R479" s="14"/>
      <c r="Y479" s="14"/>
      <c r="Z479" s="14"/>
      <c r="AG479" s="14"/>
      <c r="AH479" s="14"/>
      <c r="AI479" t="s">
        <v>1398</v>
      </c>
      <c r="AJ479" t="s">
        <v>1399</v>
      </c>
      <c r="AK479" t="s">
        <v>1400</v>
      </c>
      <c r="AL479">
        <v>0</v>
      </c>
      <c r="AM479" t="s">
        <v>1401</v>
      </c>
      <c r="AN479" t="s">
        <v>1402</v>
      </c>
      <c r="AO479" t="s">
        <v>125</v>
      </c>
      <c r="AP479" t="s">
        <v>196</v>
      </c>
      <c r="AQ479" s="15">
        <v>46039</v>
      </c>
      <c r="AR479" s="15">
        <v>46039</v>
      </c>
      <c r="AS479" t="s">
        <v>127</v>
      </c>
      <c r="AT479">
        <v>1</v>
      </c>
      <c r="AU479">
        <v>3000</v>
      </c>
      <c r="AV479">
        <v>0</v>
      </c>
      <c r="AW479">
        <v>0</v>
      </c>
      <c r="AX479" s="14">
        <v>3000</v>
      </c>
      <c r="AY479" s="14">
        <v>3000</v>
      </c>
      <c r="AZ479" s="14">
        <v>0</v>
      </c>
      <c r="BA479">
        <v>0</v>
      </c>
      <c r="BB479" t="s">
        <v>24</v>
      </c>
      <c r="BC479" t="s">
        <v>128</v>
      </c>
      <c r="BD479" t="s">
        <v>434</v>
      </c>
      <c r="BE479" t="s">
        <v>130</v>
      </c>
      <c r="BG479" t="s">
        <v>1403</v>
      </c>
      <c r="BH479" t="s">
        <v>132</v>
      </c>
      <c r="BJ479">
        <v>4</v>
      </c>
      <c r="BK479" t="s">
        <v>133</v>
      </c>
      <c r="BV479" t="s">
        <v>134</v>
      </c>
      <c r="BW479" s="16">
        <v>46178.348611111112</v>
      </c>
      <c r="BX479" t="s">
        <v>143</v>
      </c>
      <c r="BZ479">
        <v>13</v>
      </c>
      <c r="CA479" t="s">
        <v>1404</v>
      </c>
      <c r="CB479">
        <v>0</v>
      </c>
      <c r="CF479" t="s">
        <v>1087</v>
      </c>
      <c r="CG479">
        <v>2026</v>
      </c>
      <c r="CH479" t="s">
        <v>138</v>
      </c>
      <c r="CI479" t="s">
        <v>139</v>
      </c>
    </row>
    <row r="480" spans="1:87" x14ac:dyDescent="0.3">
      <c r="A480" t="s">
        <v>426</v>
      </c>
      <c r="B480" t="s">
        <v>116</v>
      </c>
      <c r="C480" t="s">
        <v>117</v>
      </c>
      <c r="D480" t="s">
        <v>118</v>
      </c>
      <c r="E480" t="s">
        <v>14</v>
      </c>
      <c r="F480" t="s">
        <v>323</v>
      </c>
      <c r="G480">
        <v>78</v>
      </c>
      <c r="H480">
        <v>0</v>
      </c>
      <c r="I480" s="14">
        <v>561000</v>
      </c>
      <c r="J480" s="14">
        <v>561000</v>
      </c>
      <c r="Q480" s="14"/>
      <c r="R480" s="14"/>
      <c r="Y480" s="14"/>
      <c r="Z480" s="14"/>
      <c r="AG480" s="14"/>
      <c r="AH480" s="14"/>
      <c r="AI480" t="s">
        <v>1398</v>
      </c>
      <c r="AJ480" t="s">
        <v>1399</v>
      </c>
      <c r="AK480" t="s">
        <v>1400</v>
      </c>
      <c r="AL480">
        <v>0</v>
      </c>
      <c r="AM480" t="s">
        <v>1401</v>
      </c>
      <c r="AN480" t="s">
        <v>1402</v>
      </c>
      <c r="AO480" t="s">
        <v>125</v>
      </c>
      <c r="AP480" t="s">
        <v>196</v>
      </c>
      <c r="AQ480" s="15">
        <v>46051</v>
      </c>
      <c r="AR480" s="15">
        <v>46051</v>
      </c>
      <c r="AS480" t="s">
        <v>145</v>
      </c>
      <c r="AT480">
        <v>1</v>
      </c>
      <c r="AU480">
        <v>18900</v>
      </c>
      <c r="AV480">
        <v>0</v>
      </c>
      <c r="AW480">
        <v>0</v>
      </c>
      <c r="AX480" s="14">
        <v>18900</v>
      </c>
      <c r="AY480" s="14">
        <v>18900</v>
      </c>
      <c r="AZ480" s="14">
        <v>0</v>
      </c>
      <c r="BA480">
        <v>0</v>
      </c>
      <c r="BB480" t="s">
        <v>24</v>
      </c>
      <c r="BC480" t="s">
        <v>128</v>
      </c>
      <c r="BD480" t="s">
        <v>434</v>
      </c>
      <c r="BE480" t="s">
        <v>130</v>
      </c>
      <c r="BG480" t="s">
        <v>1405</v>
      </c>
      <c r="BH480" t="s">
        <v>132</v>
      </c>
      <c r="BJ480">
        <v>4</v>
      </c>
      <c r="BK480" t="s">
        <v>133</v>
      </c>
      <c r="BV480" t="s">
        <v>134</v>
      </c>
      <c r="BW480" s="16">
        <v>46178.348611111112</v>
      </c>
      <c r="BX480" t="s">
        <v>143</v>
      </c>
      <c r="BZ480">
        <v>13</v>
      </c>
      <c r="CA480" t="s">
        <v>1406</v>
      </c>
      <c r="CB480">
        <v>0</v>
      </c>
      <c r="CF480" t="s">
        <v>1087</v>
      </c>
      <c r="CG480">
        <v>2026</v>
      </c>
      <c r="CH480" t="s">
        <v>138</v>
      </c>
      <c r="CI480" t="s">
        <v>139</v>
      </c>
    </row>
    <row r="481" spans="1:87" x14ac:dyDescent="0.3">
      <c r="A481" t="s">
        <v>426</v>
      </c>
      <c r="B481" t="s">
        <v>116</v>
      </c>
      <c r="C481" t="s">
        <v>117</v>
      </c>
      <c r="D481" t="s">
        <v>118</v>
      </c>
      <c r="E481" t="s">
        <v>14</v>
      </c>
      <c r="F481" t="s">
        <v>323</v>
      </c>
      <c r="G481">
        <v>78</v>
      </c>
      <c r="H481">
        <v>0</v>
      </c>
      <c r="I481" s="14">
        <v>561000</v>
      </c>
      <c r="J481" s="14">
        <v>561000</v>
      </c>
      <c r="Q481" s="14"/>
      <c r="R481" s="14"/>
      <c r="Y481" s="14"/>
      <c r="Z481" s="14"/>
      <c r="AG481" s="14"/>
      <c r="AH481" s="14"/>
      <c r="AI481" t="s">
        <v>1398</v>
      </c>
      <c r="AJ481" t="s">
        <v>1399</v>
      </c>
      <c r="AK481" t="s">
        <v>1400</v>
      </c>
      <c r="AL481">
        <v>0</v>
      </c>
      <c r="AM481" t="s">
        <v>1401</v>
      </c>
      <c r="AN481" t="s">
        <v>1402</v>
      </c>
      <c r="AO481" t="s">
        <v>125</v>
      </c>
      <c r="AP481" t="s">
        <v>196</v>
      </c>
      <c r="AQ481" s="15">
        <v>46234</v>
      </c>
      <c r="AR481" s="15"/>
      <c r="AS481" t="s">
        <v>1055</v>
      </c>
      <c r="AT481">
        <v>2</v>
      </c>
      <c r="AU481">
        <v>34200</v>
      </c>
      <c r="AV481">
        <v>0</v>
      </c>
      <c r="AW481">
        <v>0</v>
      </c>
      <c r="AX481" s="14">
        <v>34200</v>
      </c>
      <c r="AY481" s="14">
        <v>0</v>
      </c>
      <c r="AZ481" s="14">
        <v>34200</v>
      </c>
      <c r="BB481" t="s">
        <v>24</v>
      </c>
      <c r="BH481" t="s">
        <v>132</v>
      </c>
      <c r="BK481" t="s">
        <v>550</v>
      </c>
      <c r="BV481" t="s">
        <v>132</v>
      </c>
      <c r="BW481" s="16">
        <v>46178.348611111112</v>
      </c>
      <c r="BX481" t="s">
        <v>143</v>
      </c>
      <c r="BZ481">
        <v>13</v>
      </c>
      <c r="CB481">
        <v>0</v>
      </c>
      <c r="CF481" t="s">
        <v>1087</v>
      </c>
      <c r="CG481">
        <v>2026</v>
      </c>
      <c r="CH481" t="s">
        <v>138</v>
      </c>
      <c r="CI481" t="s">
        <v>139</v>
      </c>
    </row>
    <row r="482" spans="1:87" x14ac:dyDescent="0.3">
      <c r="A482" t="s">
        <v>426</v>
      </c>
      <c r="B482" t="s">
        <v>116</v>
      </c>
      <c r="C482" t="s">
        <v>117</v>
      </c>
      <c r="D482" t="s">
        <v>118</v>
      </c>
      <c r="E482" t="s">
        <v>14</v>
      </c>
      <c r="F482" t="s">
        <v>323</v>
      </c>
      <c r="G482">
        <v>78</v>
      </c>
      <c r="H482">
        <v>0</v>
      </c>
      <c r="I482" s="14">
        <v>561000</v>
      </c>
      <c r="J482" s="14">
        <v>561000</v>
      </c>
      <c r="Q482" s="14"/>
      <c r="R482" s="14"/>
      <c r="Y482" s="14"/>
      <c r="Z482" s="14"/>
      <c r="AG482" s="14"/>
      <c r="AH482" s="14"/>
      <c r="AI482" t="s">
        <v>1398</v>
      </c>
      <c r="AJ482" t="s">
        <v>1399</v>
      </c>
      <c r="AK482" t="s">
        <v>1400</v>
      </c>
      <c r="AL482">
        <v>0</v>
      </c>
      <c r="AM482" t="s">
        <v>1401</v>
      </c>
      <c r="AN482" t="s">
        <v>1402</v>
      </c>
      <c r="AO482" t="s">
        <v>125</v>
      </c>
      <c r="AP482" t="s">
        <v>196</v>
      </c>
      <c r="AQ482" s="15">
        <v>46295</v>
      </c>
      <c r="AR482" s="15"/>
      <c r="AS482" t="s">
        <v>227</v>
      </c>
      <c r="AT482">
        <v>1</v>
      </c>
      <c r="AU482">
        <v>504900</v>
      </c>
      <c r="AV482">
        <v>0</v>
      </c>
      <c r="AW482">
        <v>0</v>
      </c>
      <c r="AX482" s="14">
        <v>504900</v>
      </c>
      <c r="AY482" s="14">
        <v>0</v>
      </c>
      <c r="AZ482" s="14">
        <v>504900</v>
      </c>
      <c r="BB482" t="s">
        <v>24</v>
      </c>
      <c r="BH482" t="s">
        <v>132</v>
      </c>
      <c r="BK482" t="s">
        <v>1100</v>
      </c>
      <c r="BV482" t="s">
        <v>132</v>
      </c>
      <c r="BW482" s="16">
        <v>46178.348611111112</v>
      </c>
      <c r="BX482" t="s">
        <v>143</v>
      </c>
      <c r="BZ482">
        <v>13</v>
      </c>
      <c r="CB482">
        <v>0</v>
      </c>
      <c r="CF482" t="s">
        <v>1087</v>
      </c>
      <c r="CG482">
        <v>2026</v>
      </c>
      <c r="CH482" t="s">
        <v>138</v>
      </c>
      <c r="CI482" t="s">
        <v>139</v>
      </c>
    </row>
    <row r="483" spans="1:87" x14ac:dyDescent="0.3">
      <c r="A483" t="s">
        <v>426</v>
      </c>
      <c r="B483" t="s">
        <v>116</v>
      </c>
      <c r="C483" t="s">
        <v>117</v>
      </c>
      <c r="D483" t="s">
        <v>118</v>
      </c>
      <c r="E483" t="s">
        <v>14</v>
      </c>
      <c r="F483" t="s">
        <v>743</v>
      </c>
      <c r="G483">
        <v>61</v>
      </c>
      <c r="H483">
        <v>0</v>
      </c>
      <c r="I483" s="14">
        <v>442000</v>
      </c>
      <c r="J483" s="14">
        <v>415000</v>
      </c>
      <c r="Q483" s="14"/>
      <c r="R483" s="14"/>
      <c r="Y483" s="14"/>
      <c r="Z483" s="14"/>
      <c r="AG483" s="14"/>
      <c r="AH483" s="14"/>
      <c r="AI483" t="s">
        <v>1407</v>
      </c>
      <c r="AJ483" t="s">
        <v>1408</v>
      </c>
      <c r="AK483" t="s">
        <v>1409</v>
      </c>
      <c r="AL483">
        <v>959158450</v>
      </c>
      <c r="AM483" t="s">
        <v>1410</v>
      </c>
      <c r="AN483" t="s">
        <v>1411</v>
      </c>
      <c r="AO483" t="s">
        <v>125</v>
      </c>
      <c r="AP483" t="s">
        <v>758</v>
      </c>
      <c r="AQ483" s="15">
        <v>46159</v>
      </c>
      <c r="AR483" s="15">
        <v>46159</v>
      </c>
      <c r="AS483" t="s">
        <v>127</v>
      </c>
      <c r="AT483">
        <v>1</v>
      </c>
      <c r="AU483">
        <v>3000</v>
      </c>
      <c r="AV483">
        <v>0</v>
      </c>
      <c r="AW483">
        <v>0</v>
      </c>
      <c r="AX483" s="14">
        <v>3000</v>
      </c>
      <c r="AY483" s="14">
        <v>3000</v>
      </c>
      <c r="AZ483" s="14">
        <v>0</v>
      </c>
      <c r="BA483">
        <v>0</v>
      </c>
      <c r="BB483" t="s">
        <v>23</v>
      </c>
      <c r="BC483" t="s">
        <v>128</v>
      </c>
      <c r="BD483" t="s">
        <v>434</v>
      </c>
      <c r="BE483" t="s">
        <v>222</v>
      </c>
      <c r="BG483" t="s">
        <v>1412</v>
      </c>
      <c r="BH483" t="s">
        <v>134</v>
      </c>
      <c r="BJ483">
        <v>4</v>
      </c>
      <c r="BK483" t="s">
        <v>133</v>
      </c>
      <c r="BV483" t="s">
        <v>134</v>
      </c>
      <c r="BW483" s="16">
        <v>46168.401388888888</v>
      </c>
      <c r="BX483" t="s">
        <v>1413</v>
      </c>
      <c r="BZ483">
        <v>16</v>
      </c>
      <c r="CA483" t="s">
        <v>1414</v>
      </c>
      <c r="CB483">
        <v>0</v>
      </c>
      <c r="CF483" t="s">
        <v>1087</v>
      </c>
      <c r="CG483">
        <v>2026</v>
      </c>
      <c r="CH483" t="s">
        <v>138</v>
      </c>
      <c r="CI483" t="s">
        <v>139</v>
      </c>
    </row>
    <row r="484" spans="1:87" x14ac:dyDescent="0.3">
      <c r="A484" t="s">
        <v>426</v>
      </c>
      <c r="B484" t="s">
        <v>116</v>
      </c>
      <c r="C484" t="s">
        <v>117</v>
      </c>
      <c r="D484" t="s">
        <v>118</v>
      </c>
      <c r="E484" t="s">
        <v>14</v>
      </c>
      <c r="F484" t="s">
        <v>743</v>
      </c>
      <c r="G484">
        <v>61</v>
      </c>
      <c r="H484">
        <v>0</v>
      </c>
      <c r="I484" s="14">
        <v>442000</v>
      </c>
      <c r="J484" s="14">
        <v>415000</v>
      </c>
      <c r="Q484" s="14"/>
      <c r="R484" s="14"/>
      <c r="Y484" s="14"/>
      <c r="Z484" s="14"/>
      <c r="AG484" s="14"/>
      <c r="AH484" s="14"/>
      <c r="AI484" t="s">
        <v>1407</v>
      </c>
      <c r="AJ484" t="s">
        <v>1408</v>
      </c>
      <c r="AK484" t="s">
        <v>1409</v>
      </c>
      <c r="AL484">
        <v>959158450</v>
      </c>
      <c r="AM484" t="s">
        <v>1410</v>
      </c>
      <c r="AN484" t="s">
        <v>1411</v>
      </c>
      <c r="AO484" t="s">
        <v>125</v>
      </c>
      <c r="AP484" t="s">
        <v>758</v>
      </c>
      <c r="AQ484" s="15">
        <v>46171</v>
      </c>
      <c r="AR484" s="15">
        <v>46168</v>
      </c>
      <c r="AS484" t="s">
        <v>145</v>
      </c>
      <c r="AT484">
        <v>1</v>
      </c>
      <c r="AU484">
        <v>30000</v>
      </c>
      <c r="AV484">
        <v>0</v>
      </c>
      <c r="AW484">
        <v>0</v>
      </c>
      <c r="AX484" s="14">
        <v>30000</v>
      </c>
      <c r="AY484" s="14">
        <v>30000</v>
      </c>
      <c r="AZ484" s="14">
        <v>0</v>
      </c>
      <c r="BA484">
        <v>0</v>
      </c>
      <c r="BB484" t="s">
        <v>23</v>
      </c>
      <c r="BC484" t="s">
        <v>128</v>
      </c>
      <c r="BD484" t="s">
        <v>434</v>
      </c>
      <c r="BE484" t="s">
        <v>130</v>
      </c>
      <c r="BG484" t="s">
        <v>1415</v>
      </c>
      <c r="BH484" t="s">
        <v>134</v>
      </c>
      <c r="BJ484">
        <v>4</v>
      </c>
      <c r="BK484" t="s">
        <v>133</v>
      </c>
      <c r="BV484" t="s">
        <v>134</v>
      </c>
      <c r="BW484" s="16">
        <v>46168.401388888888</v>
      </c>
      <c r="BX484" t="s">
        <v>1413</v>
      </c>
      <c r="BZ484">
        <v>16</v>
      </c>
      <c r="CA484" t="s">
        <v>1416</v>
      </c>
      <c r="CB484">
        <v>0</v>
      </c>
      <c r="CF484" t="s">
        <v>1087</v>
      </c>
      <c r="CG484">
        <v>2026</v>
      </c>
      <c r="CH484" t="s">
        <v>138</v>
      </c>
      <c r="CI484" t="s">
        <v>139</v>
      </c>
    </row>
    <row r="485" spans="1:87" x14ac:dyDescent="0.3">
      <c r="A485" t="s">
        <v>426</v>
      </c>
      <c r="B485" t="s">
        <v>116</v>
      </c>
      <c r="C485" t="s">
        <v>117</v>
      </c>
      <c r="D485" t="s">
        <v>118</v>
      </c>
      <c r="E485" t="s">
        <v>14</v>
      </c>
      <c r="F485" t="s">
        <v>743</v>
      </c>
      <c r="G485">
        <v>61</v>
      </c>
      <c r="H485">
        <v>0</v>
      </c>
      <c r="I485" s="14">
        <v>442000</v>
      </c>
      <c r="J485" s="14">
        <v>415000</v>
      </c>
      <c r="Q485" s="14"/>
      <c r="R485" s="14"/>
      <c r="Y485" s="14"/>
      <c r="Z485" s="14"/>
      <c r="AG485" s="14"/>
      <c r="AH485" s="14"/>
      <c r="AI485" t="s">
        <v>1407</v>
      </c>
      <c r="AJ485" t="s">
        <v>1408</v>
      </c>
      <c r="AK485" t="s">
        <v>1409</v>
      </c>
      <c r="AL485">
        <v>959158450</v>
      </c>
      <c r="AM485" t="s">
        <v>1410</v>
      </c>
      <c r="AN485" t="s">
        <v>1411</v>
      </c>
      <c r="AO485" t="s">
        <v>125</v>
      </c>
      <c r="AP485" t="s">
        <v>758</v>
      </c>
      <c r="AQ485" s="15">
        <v>46171</v>
      </c>
      <c r="AR485" s="15">
        <v>46168</v>
      </c>
      <c r="AS485" t="s">
        <v>145</v>
      </c>
      <c r="AT485">
        <v>2</v>
      </c>
      <c r="AU485">
        <v>30000</v>
      </c>
      <c r="AV485">
        <v>0</v>
      </c>
      <c r="AW485">
        <v>0</v>
      </c>
      <c r="AX485" s="14">
        <v>30000</v>
      </c>
      <c r="AY485" s="14">
        <v>30000</v>
      </c>
      <c r="AZ485" s="14">
        <v>0</v>
      </c>
      <c r="BA485">
        <v>0</v>
      </c>
      <c r="BB485" t="s">
        <v>23</v>
      </c>
      <c r="BC485" t="s">
        <v>128</v>
      </c>
      <c r="BD485" t="s">
        <v>434</v>
      </c>
      <c r="BE485" t="s">
        <v>130</v>
      </c>
      <c r="BG485" t="s">
        <v>1417</v>
      </c>
      <c r="BH485" t="s">
        <v>134</v>
      </c>
      <c r="BI485" t="s">
        <v>873</v>
      </c>
      <c r="BJ485">
        <v>4</v>
      </c>
      <c r="BK485" t="s">
        <v>133</v>
      </c>
      <c r="BV485" t="s">
        <v>134</v>
      </c>
      <c r="BW485" s="16">
        <v>46168.401388888888</v>
      </c>
      <c r="BX485" t="s">
        <v>1413</v>
      </c>
      <c r="BZ485">
        <v>16</v>
      </c>
      <c r="CA485" t="s">
        <v>1418</v>
      </c>
      <c r="CB485">
        <v>0</v>
      </c>
      <c r="CF485" t="s">
        <v>1087</v>
      </c>
      <c r="CG485">
        <v>2026</v>
      </c>
      <c r="CH485" t="s">
        <v>138</v>
      </c>
      <c r="CI485" t="s">
        <v>139</v>
      </c>
    </row>
    <row r="486" spans="1:87" x14ac:dyDescent="0.3">
      <c r="A486" t="s">
        <v>426</v>
      </c>
      <c r="B486" t="s">
        <v>116</v>
      </c>
      <c r="C486" t="s">
        <v>117</v>
      </c>
      <c r="D486" t="s">
        <v>118</v>
      </c>
      <c r="E486" t="s">
        <v>14</v>
      </c>
      <c r="F486" t="s">
        <v>743</v>
      </c>
      <c r="G486">
        <v>61</v>
      </c>
      <c r="H486">
        <v>0</v>
      </c>
      <c r="I486" s="14">
        <v>442000</v>
      </c>
      <c r="J486" s="14">
        <v>415000</v>
      </c>
      <c r="Q486" s="14"/>
      <c r="R486" s="14"/>
      <c r="Y486" s="14"/>
      <c r="Z486" s="14"/>
      <c r="AG486" s="14"/>
      <c r="AH486" s="14"/>
      <c r="AI486" t="s">
        <v>1407</v>
      </c>
      <c r="AJ486" t="s">
        <v>1408</v>
      </c>
      <c r="AK486" t="s">
        <v>1409</v>
      </c>
      <c r="AL486">
        <v>959158450</v>
      </c>
      <c r="AM486" t="s">
        <v>1410</v>
      </c>
      <c r="AN486" t="s">
        <v>1411</v>
      </c>
      <c r="AO486" t="s">
        <v>125</v>
      </c>
      <c r="AP486" t="s">
        <v>758</v>
      </c>
      <c r="AQ486" s="15">
        <v>46171</v>
      </c>
      <c r="AR486" s="15">
        <v>46168</v>
      </c>
      <c r="AS486" t="s">
        <v>145</v>
      </c>
      <c r="AT486">
        <v>3</v>
      </c>
      <c r="AU486">
        <v>20000</v>
      </c>
      <c r="AV486">
        <v>0</v>
      </c>
      <c r="AW486">
        <v>0</v>
      </c>
      <c r="AX486" s="14">
        <v>20000</v>
      </c>
      <c r="AY486" s="14">
        <v>20000</v>
      </c>
      <c r="AZ486" s="14">
        <v>0</v>
      </c>
      <c r="BA486">
        <v>0</v>
      </c>
      <c r="BB486" t="s">
        <v>23</v>
      </c>
      <c r="BC486" t="s">
        <v>128</v>
      </c>
      <c r="BD486" t="s">
        <v>434</v>
      </c>
      <c r="BE486" t="s">
        <v>130</v>
      </c>
      <c r="BG486" t="s">
        <v>1415</v>
      </c>
      <c r="BH486" t="s">
        <v>134</v>
      </c>
      <c r="BJ486">
        <v>4</v>
      </c>
      <c r="BK486" t="s">
        <v>133</v>
      </c>
      <c r="BV486" t="s">
        <v>134</v>
      </c>
      <c r="BW486" s="16">
        <v>46168.401388888888</v>
      </c>
      <c r="BX486" t="s">
        <v>1413</v>
      </c>
      <c r="BZ486">
        <v>16</v>
      </c>
      <c r="CA486" t="s">
        <v>1419</v>
      </c>
      <c r="CB486">
        <v>0</v>
      </c>
      <c r="CF486" t="s">
        <v>1087</v>
      </c>
      <c r="CG486">
        <v>2026</v>
      </c>
      <c r="CH486" t="s">
        <v>138</v>
      </c>
      <c r="CI486" t="s">
        <v>139</v>
      </c>
    </row>
    <row r="487" spans="1:87" x14ac:dyDescent="0.3">
      <c r="A487" t="s">
        <v>426</v>
      </c>
      <c r="B487" t="s">
        <v>116</v>
      </c>
      <c r="C487" t="s">
        <v>117</v>
      </c>
      <c r="D487" t="s">
        <v>118</v>
      </c>
      <c r="E487" t="s">
        <v>14</v>
      </c>
      <c r="F487" t="s">
        <v>743</v>
      </c>
      <c r="G487">
        <v>61</v>
      </c>
      <c r="H487">
        <v>0</v>
      </c>
      <c r="I487" s="14">
        <v>442000</v>
      </c>
      <c r="J487" s="14">
        <v>415000</v>
      </c>
      <c r="Q487" s="14"/>
      <c r="R487" s="14"/>
      <c r="Y487" s="14"/>
      <c r="Z487" s="14"/>
      <c r="AG487" s="14"/>
      <c r="AH487" s="14"/>
      <c r="AI487" t="s">
        <v>1407</v>
      </c>
      <c r="AJ487" t="s">
        <v>1408</v>
      </c>
      <c r="AK487" t="s">
        <v>1409</v>
      </c>
      <c r="AL487">
        <v>959158450</v>
      </c>
      <c r="AM487" t="s">
        <v>1410</v>
      </c>
      <c r="AN487" t="s">
        <v>1411</v>
      </c>
      <c r="AO487" t="s">
        <v>125</v>
      </c>
      <c r="AP487" t="s">
        <v>758</v>
      </c>
      <c r="AQ487" s="15">
        <v>46199</v>
      </c>
      <c r="AR487" s="15">
        <v>46195</v>
      </c>
      <c r="AS487" t="s">
        <v>145</v>
      </c>
      <c r="AT487">
        <v>4</v>
      </c>
      <c r="AU487">
        <v>24000</v>
      </c>
      <c r="AV487">
        <v>0</v>
      </c>
      <c r="AW487">
        <v>0</v>
      </c>
      <c r="AX487" s="14">
        <v>24000</v>
      </c>
      <c r="AY487" s="14">
        <v>24000</v>
      </c>
      <c r="AZ487" s="14">
        <v>0</v>
      </c>
      <c r="BA487">
        <v>0</v>
      </c>
      <c r="BB487" t="s">
        <v>23</v>
      </c>
      <c r="BC487" t="s">
        <v>128</v>
      </c>
      <c r="BD487" t="s">
        <v>434</v>
      </c>
      <c r="BE487" t="s">
        <v>130</v>
      </c>
      <c r="BG487" t="s">
        <v>1420</v>
      </c>
      <c r="BH487" t="s">
        <v>134</v>
      </c>
      <c r="BJ487">
        <v>4</v>
      </c>
      <c r="BK487" t="s">
        <v>133</v>
      </c>
      <c r="BV487" t="s">
        <v>134</v>
      </c>
      <c r="BW487" s="16">
        <v>46168.401388888888</v>
      </c>
      <c r="BX487" t="s">
        <v>1413</v>
      </c>
      <c r="BZ487">
        <v>16</v>
      </c>
      <c r="CA487" t="s">
        <v>1421</v>
      </c>
      <c r="CB487">
        <v>0</v>
      </c>
      <c r="CF487" t="s">
        <v>1087</v>
      </c>
      <c r="CG487">
        <v>2026</v>
      </c>
      <c r="CH487" t="s">
        <v>138</v>
      </c>
      <c r="CI487" t="s">
        <v>139</v>
      </c>
    </row>
    <row r="488" spans="1:87" x14ac:dyDescent="0.3">
      <c r="A488" t="s">
        <v>426</v>
      </c>
      <c r="B488" t="s">
        <v>116</v>
      </c>
      <c r="C488" t="s">
        <v>117</v>
      </c>
      <c r="D488" t="s">
        <v>118</v>
      </c>
      <c r="E488" t="s">
        <v>14</v>
      </c>
      <c r="F488" t="s">
        <v>743</v>
      </c>
      <c r="G488">
        <v>61</v>
      </c>
      <c r="H488">
        <v>0</v>
      </c>
      <c r="I488" s="14">
        <v>442000</v>
      </c>
      <c r="J488" s="14">
        <v>415000</v>
      </c>
      <c r="Q488" s="14"/>
      <c r="R488" s="14"/>
      <c r="Y488" s="14"/>
      <c r="Z488" s="14"/>
      <c r="AG488" s="14"/>
      <c r="AH488" s="14"/>
      <c r="AI488" t="s">
        <v>1407</v>
      </c>
      <c r="AJ488" t="s">
        <v>1408</v>
      </c>
      <c r="AK488" t="s">
        <v>1409</v>
      </c>
      <c r="AL488">
        <v>959158450</v>
      </c>
      <c r="AM488" t="s">
        <v>1410</v>
      </c>
      <c r="AN488" t="s">
        <v>1411</v>
      </c>
      <c r="AO488" t="s">
        <v>125</v>
      </c>
      <c r="AP488" t="s">
        <v>758</v>
      </c>
      <c r="AQ488" s="15">
        <v>46199</v>
      </c>
      <c r="AR488" s="15">
        <v>46195</v>
      </c>
      <c r="AS488" t="s">
        <v>145</v>
      </c>
      <c r="AT488">
        <v>5</v>
      </c>
      <c r="AU488">
        <v>17500</v>
      </c>
      <c r="AV488">
        <v>0</v>
      </c>
      <c r="AW488">
        <v>0</v>
      </c>
      <c r="AX488" s="14">
        <v>17500</v>
      </c>
      <c r="AY488" s="14">
        <v>17500</v>
      </c>
      <c r="AZ488" s="14">
        <v>0</v>
      </c>
      <c r="BA488">
        <v>0</v>
      </c>
      <c r="BB488" t="s">
        <v>23</v>
      </c>
      <c r="BC488" t="s">
        <v>128</v>
      </c>
      <c r="BD488" t="s">
        <v>434</v>
      </c>
      <c r="BE488" t="s">
        <v>130</v>
      </c>
      <c r="BG488" t="s">
        <v>1422</v>
      </c>
      <c r="BH488" t="s">
        <v>134</v>
      </c>
      <c r="BJ488">
        <v>4</v>
      </c>
      <c r="BK488" t="s">
        <v>133</v>
      </c>
      <c r="BV488" t="s">
        <v>134</v>
      </c>
      <c r="BW488" s="16">
        <v>46168.401388888888</v>
      </c>
      <c r="BX488" t="s">
        <v>1413</v>
      </c>
      <c r="BZ488">
        <v>16</v>
      </c>
      <c r="CA488" t="s">
        <v>1423</v>
      </c>
      <c r="CB488">
        <v>0</v>
      </c>
      <c r="CF488" t="s">
        <v>1087</v>
      </c>
      <c r="CG488">
        <v>2026</v>
      </c>
      <c r="CH488" t="s">
        <v>138</v>
      </c>
      <c r="CI488" t="s">
        <v>139</v>
      </c>
    </row>
    <row r="489" spans="1:87" x14ac:dyDescent="0.3">
      <c r="A489" t="s">
        <v>426</v>
      </c>
      <c r="B489" t="s">
        <v>116</v>
      </c>
      <c r="C489" t="s">
        <v>117</v>
      </c>
      <c r="D489" t="s">
        <v>118</v>
      </c>
      <c r="E489" t="s">
        <v>14</v>
      </c>
      <c r="F489" t="s">
        <v>743</v>
      </c>
      <c r="G489">
        <v>61</v>
      </c>
      <c r="H489">
        <v>0</v>
      </c>
      <c r="I489" s="14">
        <v>442000</v>
      </c>
      <c r="J489" s="14">
        <v>415000</v>
      </c>
      <c r="Q489" s="14"/>
      <c r="R489" s="14"/>
      <c r="Y489" s="14"/>
      <c r="Z489" s="14"/>
      <c r="AG489" s="14"/>
      <c r="AH489" s="14"/>
      <c r="AI489" t="s">
        <v>1407</v>
      </c>
      <c r="AJ489" t="s">
        <v>1408</v>
      </c>
      <c r="AK489" t="s">
        <v>1409</v>
      </c>
      <c r="AL489">
        <v>959158450</v>
      </c>
      <c r="AM489" t="s">
        <v>1410</v>
      </c>
      <c r="AN489" t="s">
        <v>1411</v>
      </c>
      <c r="AO489" t="s">
        <v>125</v>
      </c>
      <c r="AP489" t="s">
        <v>758</v>
      </c>
      <c r="AQ489" s="15">
        <v>46203</v>
      </c>
      <c r="AR489" s="15">
        <v>46227</v>
      </c>
      <c r="AS489" t="s">
        <v>227</v>
      </c>
      <c r="AT489">
        <v>1</v>
      </c>
      <c r="AU489">
        <v>290500</v>
      </c>
      <c r="AV489">
        <v>0</v>
      </c>
      <c r="AW489">
        <v>0</v>
      </c>
      <c r="AX489" s="14">
        <v>290500</v>
      </c>
      <c r="AY489" s="14">
        <v>290500</v>
      </c>
      <c r="AZ489" s="14">
        <v>0</v>
      </c>
      <c r="BA489">
        <v>0</v>
      </c>
      <c r="BB489" t="s">
        <v>23</v>
      </c>
      <c r="BC489" t="s">
        <v>128</v>
      </c>
      <c r="BD489" t="s">
        <v>434</v>
      </c>
      <c r="BE489" t="s">
        <v>130</v>
      </c>
      <c r="BH489" t="s">
        <v>132</v>
      </c>
      <c r="BJ489">
        <v>4</v>
      </c>
      <c r="BK489" t="s">
        <v>133</v>
      </c>
      <c r="BV489" t="s">
        <v>134</v>
      </c>
      <c r="BW489" s="16">
        <v>46168.401388888888</v>
      </c>
      <c r="BX489" t="s">
        <v>1413</v>
      </c>
      <c r="BZ489">
        <v>16</v>
      </c>
      <c r="CA489" t="s">
        <v>1424</v>
      </c>
      <c r="CB489">
        <v>0</v>
      </c>
      <c r="CF489" t="s">
        <v>1087</v>
      </c>
      <c r="CG489">
        <v>2026</v>
      </c>
      <c r="CH489" t="s">
        <v>138</v>
      </c>
      <c r="CI489" t="s">
        <v>139</v>
      </c>
    </row>
    <row r="490" spans="1:87" x14ac:dyDescent="0.3">
      <c r="A490" t="s">
        <v>165</v>
      </c>
      <c r="B490" t="s">
        <v>116</v>
      </c>
      <c r="C490" t="s">
        <v>117</v>
      </c>
      <c r="D490" t="s">
        <v>118</v>
      </c>
      <c r="E490" t="s">
        <v>14</v>
      </c>
      <c r="F490" t="s">
        <v>1425</v>
      </c>
      <c r="G490">
        <v>70</v>
      </c>
      <c r="H490">
        <v>0</v>
      </c>
      <c r="I490" s="14">
        <v>531100</v>
      </c>
      <c r="J490" s="14">
        <v>483000</v>
      </c>
      <c r="Q490" s="14"/>
      <c r="R490" s="14"/>
      <c r="Y490" s="14"/>
      <c r="Z490" s="14"/>
      <c r="AG490" s="14"/>
      <c r="AH490" s="14"/>
      <c r="AI490" t="s">
        <v>1426</v>
      </c>
      <c r="AJ490" t="s">
        <v>1427</v>
      </c>
      <c r="AK490" t="s">
        <v>1428</v>
      </c>
      <c r="AL490">
        <v>0</v>
      </c>
      <c r="AM490" t="s">
        <v>1429</v>
      </c>
      <c r="AN490" t="s">
        <v>1430</v>
      </c>
      <c r="AO490" t="s">
        <v>125</v>
      </c>
      <c r="AP490" t="s">
        <v>318</v>
      </c>
      <c r="AQ490" s="15">
        <v>46165</v>
      </c>
      <c r="AR490" s="15">
        <v>46165</v>
      </c>
      <c r="AS490" t="s">
        <v>127</v>
      </c>
      <c r="AT490">
        <v>1</v>
      </c>
      <c r="AU490">
        <v>3000</v>
      </c>
      <c r="AV490">
        <v>0</v>
      </c>
      <c r="AW490">
        <v>0</v>
      </c>
      <c r="AX490" s="14">
        <v>3000</v>
      </c>
      <c r="AY490" s="14">
        <v>3000</v>
      </c>
      <c r="AZ490" s="14">
        <v>0</v>
      </c>
      <c r="BA490">
        <v>0</v>
      </c>
      <c r="BB490" t="s">
        <v>24</v>
      </c>
      <c r="BC490" t="s">
        <v>175</v>
      </c>
      <c r="BD490" t="s">
        <v>176</v>
      </c>
      <c r="BE490" t="s">
        <v>130</v>
      </c>
      <c r="BG490" t="s">
        <v>1431</v>
      </c>
      <c r="BH490" t="s">
        <v>132</v>
      </c>
      <c r="BJ490">
        <v>4</v>
      </c>
      <c r="BK490" t="s">
        <v>133</v>
      </c>
      <c r="BV490" t="s">
        <v>134</v>
      </c>
      <c r="BW490" s="16">
        <v>46172.401388888888</v>
      </c>
      <c r="BX490" t="s">
        <v>178</v>
      </c>
      <c r="BZ490">
        <v>46</v>
      </c>
      <c r="CA490" t="s">
        <v>1432</v>
      </c>
      <c r="CB490">
        <v>0</v>
      </c>
      <c r="CF490" t="s">
        <v>1087</v>
      </c>
      <c r="CG490">
        <v>2026</v>
      </c>
      <c r="CH490" t="s">
        <v>138</v>
      </c>
      <c r="CI490" t="s">
        <v>139</v>
      </c>
    </row>
    <row r="491" spans="1:87" x14ac:dyDescent="0.3">
      <c r="A491" t="s">
        <v>165</v>
      </c>
      <c r="B491" t="s">
        <v>116</v>
      </c>
      <c r="C491" t="s">
        <v>117</v>
      </c>
      <c r="D491" t="s">
        <v>118</v>
      </c>
      <c r="E491" t="s">
        <v>14</v>
      </c>
      <c r="F491" t="s">
        <v>1425</v>
      </c>
      <c r="G491">
        <v>70</v>
      </c>
      <c r="H491">
        <v>0</v>
      </c>
      <c r="I491" s="14">
        <v>531100</v>
      </c>
      <c r="J491" s="14">
        <v>483000</v>
      </c>
      <c r="Q491" s="14"/>
      <c r="R491" s="14"/>
      <c r="Y491" s="14"/>
      <c r="Z491" s="14"/>
      <c r="AG491" s="14"/>
      <c r="AH491" s="14"/>
      <c r="AI491" t="s">
        <v>1426</v>
      </c>
      <c r="AJ491" t="s">
        <v>1427</v>
      </c>
      <c r="AK491" t="s">
        <v>1428</v>
      </c>
      <c r="AL491">
        <v>0</v>
      </c>
      <c r="AM491" t="s">
        <v>1429</v>
      </c>
      <c r="AN491" t="s">
        <v>1430</v>
      </c>
      <c r="AO491" t="s">
        <v>125</v>
      </c>
      <c r="AP491" t="s">
        <v>318</v>
      </c>
      <c r="AQ491" s="15">
        <v>46172</v>
      </c>
      <c r="AR491" s="15">
        <v>46172</v>
      </c>
      <c r="AS491" t="s">
        <v>145</v>
      </c>
      <c r="AT491">
        <v>1</v>
      </c>
      <c r="AU491">
        <v>7000</v>
      </c>
      <c r="AV491">
        <v>0</v>
      </c>
      <c r="AW491">
        <v>0</v>
      </c>
      <c r="AX491" s="14">
        <v>7000</v>
      </c>
      <c r="AY491" s="14">
        <v>7000</v>
      </c>
      <c r="AZ491" s="14">
        <v>0</v>
      </c>
      <c r="BA491">
        <v>0</v>
      </c>
      <c r="BB491" t="s">
        <v>24</v>
      </c>
      <c r="BC491" t="s">
        <v>175</v>
      </c>
      <c r="BD491" t="s">
        <v>176</v>
      </c>
      <c r="BE491" t="s">
        <v>130</v>
      </c>
      <c r="BG491" t="s">
        <v>1433</v>
      </c>
      <c r="BH491" t="s">
        <v>132</v>
      </c>
      <c r="BJ491">
        <v>4</v>
      </c>
      <c r="BK491" t="s">
        <v>133</v>
      </c>
      <c r="BV491" t="s">
        <v>134</v>
      </c>
      <c r="BW491" s="16">
        <v>46172.401388888888</v>
      </c>
      <c r="BX491" t="s">
        <v>178</v>
      </c>
      <c r="BZ491">
        <v>46</v>
      </c>
      <c r="CA491" t="s">
        <v>1434</v>
      </c>
      <c r="CB491">
        <v>0</v>
      </c>
      <c r="CF491" t="s">
        <v>1087</v>
      </c>
      <c r="CG491">
        <v>2026</v>
      </c>
      <c r="CH491" t="s">
        <v>138</v>
      </c>
      <c r="CI491" t="s">
        <v>139</v>
      </c>
    </row>
    <row r="492" spans="1:87" x14ac:dyDescent="0.3">
      <c r="A492" t="s">
        <v>165</v>
      </c>
      <c r="B492" t="s">
        <v>116</v>
      </c>
      <c r="C492" t="s">
        <v>117</v>
      </c>
      <c r="D492" t="s">
        <v>118</v>
      </c>
      <c r="E492" t="s">
        <v>14</v>
      </c>
      <c r="F492" t="s">
        <v>1425</v>
      </c>
      <c r="G492">
        <v>70</v>
      </c>
      <c r="H492">
        <v>0</v>
      </c>
      <c r="I492" s="14">
        <v>531100</v>
      </c>
      <c r="J492" s="14">
        <v>483000</v>
      </c>
      <c r="Q492" s="14"/>
      <c r="R492" s="14"/>
      <c r="Y492" s="14"/>
      <c r="Z492" s="14"/>
      <c r="AG492" s="14"/>
      <c r="AH492" s="14"/>
      <c r="AI492" t="s">
        <v>1426</v>
      </c>
      <c r="AJ492" t="s">
        <v>1427</v>
      </c>
      <c r="AK492" t="s">
        <v>1428</v>
      </c>
      <c r="AL492">
        <v>0</v>
      </c>
      <c r="AM492" t="s">
        <v>1429</v>
      </c>
      <c r="AN492" t="s">
        <v>1430</v>
      </c>
      <c r="AO492" t="s">
        <v>125</v>
      </c>
      <c r="AP492" t="s">
        <v>318</v>
      </c>
      <c r="AQ492" s="15">
        <v>46265</v>
      </c>
      <c r="AR492" s="15"/>
      <c r="AS492" t="s">
        <v>145</v>
      </c>
      <c r="AT492">
        <v>2</v>
      </c>
      <c r="AU492">
        <v>55000</v>
      </c>
      <c r="AV492">
        <v>0</v>
      </c>
      <c r="AW492">
        <v>0</v>
      </c>
      <c r="AX492" s="14">
        <v>55000</v>
      </c>
      <c r="AY492" s="14">
        <v>0</v>
      </c>
      <c r="AZ492" s="14">
        <v>55000</v>
      </c>
      <c r="BB492" t="s">
        <v>24</v>
      </c>
      <c r="BH492" t="s">
        <v>132</v>
      </c>
      <c r="BK492" t="s">
        <v>550</v>
      </c>
      <c r="BV492" t="s">
        <v>132</v>
      </c>
      <c r="BW492" s="16">
        <v>46172.401388888888</v>
      </c>
      <c r="BX492" t="s">
        <v>178</v>
      </c>
      <c r="BZ492">
        <v>46</v>
      </c>
      <c r="CB492">
        <v>0</v>
      </c>
      <c r="CF492" t="s">
        <v>1087</v>
      </c>
      <c r="CG492">
        <v>2026</v>
      </c>
      <c r="CH492" t="s">
        <v>138</v>
      </c>
      <c r="CI492" t="s">
        <v>139</v>
      </c>
    </row>
    <row r="493" spans="1:87" x14ac:dyDescent="0.3">
      <c r="A493" t="s">
        <v>165</v>
      </c>
      <c r="B493" t="s">
        <v>116</v>
      </c>
      <c r="C493" t="s">
        <v>117</v>
      </c>
      <c r="D493" t="s">
        <v>118</v>
      </c>
      <c r="E493" t="s">
        <v>14</v>
      </c>
      <c r="F493" t="s">
        <v>1425</v>
      </c>
      <c r="G493">
        <v>70</v>
      </c>
      <c r="H493">
        <v>0</v>
      </c>
      <c r="I493" s="14">
        <v>531100</v>
      </c>
      <c r="J493" s="14">
        <v>483000</v>
      </c>
      <c r="Q493" s="14"/>
      <c r="R493" s="14"/>
      <c r="Y493" s="14"/>
      <c r="Z493" s="14"/>
      <c r="AG493" s="14"/>
      <c r="AH493" s="14"/>
      <c r="AI493" t="s">
        <v>1426</v>
      </c>
      <c r="AJ493" t="s">
        <v>1427</v>
      </c>
      <c r="AK493" t="s">
        <v>1428</v>
      </c>
      <c r="AL493">
        <v>0</v>
      </c>
      <c r="AM493" t="s">
        <v>1429</v>
      </c>
      <c r="AN493" t="s">
        <v>1430</v>
      </c>
      <c r="AO493" t="s">
        <v>125</v>
      </c>
      <c r="AP493" t="s">
        <v>318</v>
      </c>
      <c r="AQ493" s="15">
        <v>46386</v>
      </c>
      <c r="AR493" s="15"/>
      <c r="AS493" t="s">
        <v>1055</v>
      </c>
      <c r="AT493">
        <v>3</v>
      </c>
      <c r="AU493">
        <v>55000</v>
      </c>
      <c r="AV493">
        <v>0</v>
      </c>
      <c r="AW493">
        <v>0</v>
      </c>
      <c r="AX493" s="14">
        <v>55000</v>
      </c>
      <c r="AY493" s="14">
        <v>0</v>
      </c>
      <c r="AZ493" s="14">
        <v>55000</v>
      </c>
      <c r="BB493" t="s">
        <v>24</v>
      </c>
      <c r="BH493" t="s">
        <v>132</v>
      </c>
      <c r="BK493" t="s">
        <v>1100</v>
      </c>
      <c r="BV493" t="s">
        <v>132</v>
      </c>
      <c r="BW493" s="16">
        <v>46172.401388888888</v>
      </c>
      <c r="BX493" t="s">
        <v>178</v>
      </c>
      <c r="BZ493">
        <v>46</v>
      </c>
      <c r="CB493">
        <v>0</v>
      </c>
      <c r="CF493" t="s">
        <v>1087</v>
      </c>
      <c r="CG493">
        <v>2026</v>
      </c>
      <c r="CH493" t="s">
        <v>138</v>
      </c>
      <c r="CI493" t="s">
        <v>139</v>
      </c>
    </row>
    <row r="494" spans="1:87" x14ac:dyDescent="0.3">
      <c r="A494" t="s">
        <v>165</v>
      </c>
      <c r="B494" t="s">
        <v>116</v>
      </c>
      <c r="C494" t="s">
        <v>117</v>
      </c>
      <c r="D494" t="s">
        <v>118</v>
      </c>
      <c r="E494" t="s">
        <v>14</v>
      </c>
      <c r="F494" t="s">
        <v>680</v>
      </c>
      <c r="G494">
        <v>57</v>
      </c>
      <c r="H494">
        <v>0</v>
      </c>
      <c r="I494" s="14">
        <v>430000</v>
      </c>
      <c r="J494" s="14">
        <v>400000</v>
      </c>
      <c r="K494" t="s">
        <v>117</v>
      </c>
      <c r="L494" t="s">
        <v>118</v>
      </c>
      <c r="M494" t="s">
        <v>140</v>
      </c>
      <c r="N494" t="s">
        <v>1435</v>
      </c>
      <c r="O494">
        <v>12.5</v>
      </c>
      <c r="P494">
        <v>2</v>
      </c>
      <c r="Q494" s="14">
        <v>50000</v>
      </c>
      <c r="R494" s="14">
        <v>50000</v>
      </c>
      <c r="Y494" s="14"/>
      <c r="Z494" s="14"/>
      <c r="AG494" s="14"/>
      <c r="AH494" s="14"/>
      <c r="AI494" t="s">
        <v>1436</v>
      </c>
      <c r="AJ494" t="s">
        <v>1437</v>
      </c>
      <c r="AK494" t="s">
        <v>1438</v>
      </c>
      <c r="AL494">
        <v>0</v>
      </c>
      <c r="AM494" t="s">
        <v>1439</v>
      </c>
      <c r="AN494" t="s">
        <v>1440</v>
      </c>
      <c r="AO494" t="s">
        <v>125</v>
      </c>
      <c r="AP494" t="s">
        <v>152</v>
      </c>
      <c r="AQ494" s="15">
        <v>46155</v>
      </c>
      <c r="AR494" s="15">
        <v>46155</v>
      </c>
      <c r="AS494" t="s">
        <v>127</v>
      </c>
      <c r="AT494">
        <v>1</v>
      </c>
      <c r="AU494">
        <v>3000</v>
      </c>
      <c r="AV494">
        <v>0</v>
      </c>
      <c r="AW494">
        <v>0</v>
      </c>
      <c r="AX494" s="14">
        <v>3000</v>
      </c>
      <c r="AY494" s="14">
        <v>3000</v>
      </c>
      <c r="AZ494" s="14">
        <v>0</v>
      </c>
      <c r="BA494">
        <v>0</v>
      </c>
      <c r="BB494" t="s">
        <v>24</v>
      </c>
      <c r="BC494" t="s">
        <v>175</v>
      </c>
      <c r="BD494" t="s">
        <v>176</v>
      </c>
      <c r="BE494" t="s">
        <v>287</v>
      </c>
      <c r="BG494" t="s">
        <v>1441</v>
      </c>
      <c r="BH494" t="s">
        <v>132</v>
      </c>
      <c r="BJ494">
        <v>4</v>
      </c>
      <c r="BK494" t="s">
        <v>133</v>
      </c>
      <c r="BV494" t="s">
        <v>134</v>
      </c>
      <c r="BW494" s="16">
        <v>46172.759027777778</v>
      </c>
      <c r="BX494" t="s">
        <v>178</v>
      </c>
      <c r="BZ494">
        <v>42</v>
      </c>
      <c r="CA494" t="s">
        <v>1442</v>
      </c>
      <c r="CB494">
        <v>0</v>
      </c>
      <c r="CF494" t="s">
        <v>1087</v>
      </c>
      <c r="CG494">
        <v>2026</v>
      </c>
      <c r="CH494" t="s">
        <v>138</v>
      </c>
      <c r="CI494" t="s">
        <v>139</v>
      </c>
    </row>
    <row r="495" spans="1:87" x14ac:dyDescent="0.3">
      <c r="A495" t="s">
        <v>165</v>
      </c>
      <c r="B495" t="s">
        <v>116</v>
      </c>
      <c r="C495" t="s">
        <v>117</v>
      </c>
      <c r="D495" t="s">
        <v>118</v>
      </c>
      <c r="E495" t="s">
        <v>14</v>
      </c>
      <c r="F495" t="s">
        <v>680</v>
      </c>
      <c r="G495">
        <v>57</v>
      </c>
      <c r="H495">
        <v>0</v>
      </c>
      <c r="I495" s="14">
        <v>430000</v>
      </c>
      <c r="J495" s="14">
        <v>400000</v>
      </c>
      <c r="K495" t="s">
        <v>117</v>
      </c>
      <c r="L495" t="s">
        <v>118</v>
      </c>
      <c r="M495" t="s">
        <v>140</v>
      </c>
      <c r="N495" t="s">
        <v>1435</v>
      </c>
      <c r="O495">
        <v>12.5</v>
      </c>
      <c r="P495">
        <v>2</v>
      </c>
      <c r="Q495" s="14">
        <v>50000</v>
      </c>
      <c r="R495" s="14">
        <v>50000</v>
      </c>
      <c r="Y495" s="14"/>
      <c r="Z495" s="14"/>
      <c r="AG495" s="14"/>
      <c r="AH495" s="14"/>
      <c r="AI495" t="s">
        <v>1436</v>
      </c>
      <c r="AJ495" t="s">
        <v>1437</v>
      </c>
      <c r="AK495" t="s">
        <v>1438</v>
      </c>
      <c r="AL495">
        <v>0</v>
      </c>
      <c r="AM495" t="s">
        <v>1439</v>
      </c>
      <c r="AN495" t="s">
        <v>1440</v>
      </c>
      <c r="AO495" t="s">
        <v>125</v>
      </c>
      <c r="AP495" t="s">
        <v>152</v>
      </c>
      <c r="AQ495" s="15">
        <v>46172</v>
      </c>
      <c r="AR495" s="15">
        <v>46172</v>
      </c>
      <c r="AS495" t="s">
        <v>145</v>
      </c>
      <c r="AT495">
        <v>1</v>
      </c>
      <c r="AU495">
        <v>30000</v>
      </c>
      <c r="AV495">
        <v>0</v>
      </c>
      <c r="AW495">
        <v>0</v>
      </c>
      <c r="AX495" s="14">
        <v>30000</v>
      </c>
      <c r="AY495" s="14">
        <v>30000</v>
      </c>
      <c r="AZ495" s="14">
        <v>0</v>
      </c>
      <c r="BA495">
        <v>0</v>
      </c>
      <c r="BB495" t="s">
        <v>24</v>
      </c>
      <c r="BC495" t="s">
        <v>175</v>
      </c>
      <c r="BD495" t="s">
        <v>176</v>
      </c>
      <c r="BE495" t="s">
        <v>130</v>
      </c>
      <c r="BG495" t="s">
        <v>1443</v>
      </c>
      <c r="BH495" t="s">
        <v>132</v>
      </c>
      <c r="BJ495">
        <v>4</v>
      </c>
      <c r="BK495" t="s">
        <v>133</v>
      </c>
      <c r="BV495" t="s">
        <v>134</v>
      </c>
      <c r="BW495" s="16">
        <v>46172.759027777778</v>
      </c>
      <c r="BX495" t="s">
        <v>178</v>
      </c>
      <c r="BZ495">
        <v>42</v>
      </c>
      <c r="CA495" t="s">
        <v>1444</v>
      </c>
      <c r="CB495">
        <v>0</v>
      </c>
      <c r="CF495" t="s">
        <v>1087</v>
      </c>
      <c r="CG495">
        <v>2026</v>
      </c>
      <c r="CH495" t="s">
        <v>138</v>
      </c>
      <c r="CI495" t="s">
        <v>139</v>
      </c>
    </row>
    <row r="496" spans="1:87" x14ac:dyDescent="0.3">
      <c r="A496" t="s">
        <v>165</v>
      </c>
      <c r="B496" t="s">
        <v>116</v>
      </c>
      <c r="C496" t="s">
        <v>117</v>
      </c>
      <c r="D496" t="s">
        <v>118</v>
      </c>
      <c r="E496" t="s">
        <v>14</v>
      </c>
      <c r="F496" t="s">
        <v>680</v>
      </c>
      <c r="G496">
        <v>57</v>
      </c>
      <c r="H496">
        <v>0</v>
      </c>
      <c r="I496" s="14">
        <v>430000</v>
      </c>
      <c r="J496" s="14">
        <v>400000</v>
      </c>
      <c r="K496" t="s">
        <v>117</v>
      </c>
      <c r="L496" t="s">
        <v>118</v>
      </c>
      <c r="M496" t="s">
        <v>140</v>
      </c>
      <c r="N496" t="s">
        <v>1435</v>
      </c>
      <c r="O496">
        <v>12.5</v>
      </c>
      <c r="P496">
        <v>2</v>
      </c>
      <c r="Q496" s="14">
        <v>50000</v>
      </c>
      <c r="R496" s="14">
        <v>50000</v>
      </c>
      <c r="Y496" s="14"/>
      <c r="Z496" s="14"/>
      <c r="AG496" s="14"/>
      <c r="AH496" s="14"/>
      <c r="AI496" t="s">
        <v>1436</v>
      </c>
      <c r="AJ496" t="s">
        <v>1437</v>
      </c>
      <c r="AK496" t="s">
        <v>1438</v>
      </c>
      <c r="AL496">
        <v>0</v>
      </c>
      <c r="AM496" t="s">
        <v>1439</v>
      </c>
      <c r="AN496" t="s">
        <v>1440</v>
      </c>
      <c r="AO496" t="s">
        <v>125</v>
      </c>
      <c r="AP496" t="s">
        <v>152</v>
      </c>
      <c r="AQ496" s="15">
        <v>46325</v>
      </c>
      <c r="AR496" s="15"/>
      <c r="AS496" t="s">
        <v>145</v>
      </c>
      <c r="AT496">
        <v>2</v>
      </c>
      <c r="AU496">
        <v>57000</v>
      </c>
      <c r="AV496">
        <v>0</v>
      </c>
      <c r="AW496">
        <v>0</v>
      </c>
      <c r="AX496" s="14">
        <v>57000</v>
      </c>
      <c r="AY496" s="14">
        <v>0</v>
      </c>
      <c r="AZ496" s="14">
        <v>57000</v>
      </c>
      <c r="BB496" t="s">
        <v>24</v>
      </c>
      <c r="BH496" t="s">
        <v>132</v>
      </c>
      <c r="BK496" t="s">
        <v>1100</v>
      </c>
      <c r="BV496" t="s">
        <v>132</v>
      </c>
      <c r="BW496" s="16">
        <v>46172.759027777778</v>
      </c>
      <c r="BX496" t="s">
        <v>178</v>
      </c>
      <c r="BZ496">
        <v>42</v>
      </c>
      <c r="CB496">
        <v>0</v>
      </c>
      <c r="CF496" t="s">
        <v>1087</v>
      </c>
      <c r="CG496">
        <v>2026</v>
      </c>
      <c r="CH496" t="s">
        <v>138</v>
      </c>
      <c r="CI496" t="s">
        <v>139</v>
      </c>
    </row>
    <row r="497" spans="1:87" x14ac:dyDescent="0.3">
      <c r="A497" t="s">
        <v>165</v>
      </c>
      <c r="B497" t="s">
        <v>116</v>
      </c>
      <c r="C497" t="s">
        <v>117</v>
      </c>
      <c r="D497" t="s">
        <v>118</v>
      </c>
      <c r="E497" t="s">
        <v>14</v>
      </c>
      <c r="F497" t="s">
        <v>680</v>
      </c>
      <c r="G497">
        <v>57</v>
      </c>
      <c r="H497">
        <v>0</v>
      </c>
      <c r="I497" s="14">
        <v>430000</v>
      </c>
      <c r="J497" s="14">
        <v>400000</v>
      </c>
      <c r="K497" t="s">
        <v>117</v>
      </c>
      <c r="L497" t="s">
        <v>118</v>
      </c>
      <c r="M497" t="s">
        <v>140</v>
      </c>
      <c r="N497" t="s">
        <v>1435</v>
      </c>
      <c r="O497">
        <v>12.5</v>
      </c>
      <c r="P497">
        <v>2</v>
      </c>
      <c r="Q497" s="14">
        <v>50000</v>
      </c>
      <c r="R497" s="14">
        <v>50000</v>
      </c>
      <c r="Y497" s="14"/>
      <c r="Z497" s="14"/>
      <c r="AG497" s="14"/>
      <c r="AH497" s="14"/>
      <c r="AI497" t="s">
        <v>1436</v>
      </c>
      <c r="AJ497" t="s">
        <v>1437</v>
      </c>
      <c r="AK497" t="s">
        <v>1438</v>
      </c>
      <c r="AL497">
        <v>0</v>
      </c>
      <c r="AM497" t="s">
        <v>1439</v>
      </c>
      <c r="AN497" t="s">
        <v>1440</v>
      </c>
      <c r="AO497" t="s">
        <v>125</v>
      </c>
      <c r="AP497" t="s">
        <v>152</v>
      </c>
      <c r="AQ497" s="15">
        <v>46386</v>
      </c>
      <c r="AR497" s="15"/>
      <c r="AS497" t="s">
        <v>227</v>
      </c>
      <c r="AT497">
        <v>1</v>
      </c>
      <c r="AU497">
        <v>360000</v>
      </c>
      <c r="AV497">
        <v>0</v>
      </c>
      <c r="AW497">
        <v>0</v>
      </c>
      <c r="AX497" s="14">
        <v>360000</v>
      </c>
      <c r="AY497" s="14">
        <v>0</v>
      </c>
      <c r="AZ497" s="14">
        <v>360000</v>
      </c>
      <c r="BB497" t="s">
        <v>24</v>
      </c>
      <c r="BH497" t="s">
        <v>132</v>
      </c>
      <c r="BK497" t="s">
        <v>1100</v>
      </c>
      <c r="BV497" t="s">
        <v>132</v>
      </c>
      <c r="BW497" s="16">
        <v>46172.759027777778</v>
      </c>
      <c r="BX497" t="s">
        <v>178</v>
      </c>
      <c r="BZ497">
        <v>42</v>
      </c>
      <c r="CB497">
        <v>0</v>
      </c>
      <c r="CF497" t="s">
        <v>1087</v>
      </c>
      <c r="CG497">
        <v>2026</v>
      </c>
      <c r="CH497" t="s">
        <v>138</v>
      </c>
      <c r="CI497" t="s">
        <v>139</v>
      </c>
    </row>
    <row r="498" spans="1:87" x14ac:dyDescent="0.3">
      <c r="A498" t="s">
        <v>165</v>
      </c>
      <c r="B498" t="s">
        <v>116</v>
      </c>
      <c r="C498" t="s">
        <v>117</v>
      </c>
      <c r="D498" t="s">
        <v>118</v>
      </c>
      <c r="E498" t="s">
        <v>14</v>
      </c>
      <c r="F498" t="s">
        <v>473</v>
      </c>
      <c r="G498">
        <v>67</v>
      </c>
      <c r="H498">
        <v>0</v>
      </c>
      <c r="I498" s="14">
        <v>498000</v>
      </c>
      <c r="J498" s="14">
        <v>450000</v>
      </c>
      <c r="Q498" s="14"/>
      <c r="R498" s="14"/>
      <c r="Y498" s="14"/>
      <c r="Z498" s="14"/>
      <c r="AG498" s="14"/>
      <c r="AH498" s="14"/>
      <c r="AI498" t="s">
        <v>753</v>
      </c>
      <c r="AJ498" t="s">
        <v>754</v>
      </c>
      <c r="AK498" t="s">
        <v>755</v>
      </c>
      <c r="AL498">
        <v>0</v>
      </c>
      <c r="AM498" t="s">
        <v>756</v>
      </c>
      <c r="AN498" t="s">
        <v>757</v>
      </c>
      <c r="AO498" t="s">
        <v>125</v>
      </c>
      <c r="AP498" t="s">
        <v>758</v>
      </c>
      <c r="AQ498" s="15">
        <v>46081</v>
      </c>
      <c r="AR498" s="15">
        <v>46051</v>
      </c>
      <c r="AS498" t="s">
        <v>145</v>
      </c>
      <c r="AT498">
        <v>2</v>
      </c>
      <c r="AU498">
        <v>7500</v>
      </c>
      <c r="AV498">
        <v>0</v>
      </c>
      <c r="AW498">
        <v>0</v>
      </c>
      <c r="AX498" s="14">
        <v>7500</v>
      </c>
      <c r="AY498" s="14">
        <v>7500</v>
      </c>
      <c r="AZ498" s="14">
        <v>0</v>
      </c>
      <c r="BA498">
        <v>0</v>
      </c>
      <c r="BB498" t="s">
        <v>23</v>
      </c>
      <c r="BC498" t="s">
        <v>175</v>
      </c>
      <c r="BD498" t="s">
        <v>176</v>
      </c>
      <c r="BE498" t="s">
        <v>130</v>
      </c>
      <c r="BF498" t="s">
        <v>754</v>
      </c>
      <c r="BG498" t="s">
        <v>1445</v>
      </c>
      <c r="BH498" t="s">
        <v>132</v>
      </c>
      <c r="BI498" t="s">
        <v>154</v>
      </c>
      <c r="BJ498">
        <v>4</v>
      </c>
      <c r="BK498" t="s">
        <v>133</v>
      </c>
      <c r="BV498" t="s">
        <v>134</v>
      </c>
      <c r="BW498" s="16">
        <v>45971.18472222222</v>
      </c>
      <c r="BX498" t="s">
        <v>178</v>
      </c>
      <c r="BZ498">
        <v>3</v>
      </c>
      <c r="CA498" t="s">
        <v>762</v>
      </c>
      <c r="CB498">
        <v>0</v>
      </c>
      <c r="CF498" t="s">
        <v>1087</v>
      </c>
      <c r="CG498">
        <v>2026</v>
      </c>
      <c r="CH498" t="s">
        <v>138</v>
      </c>
      <c r="CI498" t="s">
        <v>139</v>
      </c>
    </row>
    <row r="499" spans="1:87" x14ac:dyDescent="0.3">
      <c r="A499" t="s">
        <v>165</v>
      </c>
      <c r="B499" t="s">
        <v>116</v>
      </c>
      <c r="C499" t="s">
        <v>117</v>
      </c>
      <c r="D499" t="s">
        <v>118</v>
      </c>
      <c r="E499" t="s">
        <v>14</v>
      </c>
      <c r="F499" t="s">
        <v>473</v>
      </c>
      <c r="G499">
        <v>67</v>
      </c>
      <c r="H499">
        <v>0</v>
      </c>
      <c r="I499" s="14">
        <v>498000</v>
      </c>
      <c r="J499" s="14">
        <v>450000</v>
      </c>
      <c r="Q499" s="14"/>
      <c r="R499" s="14"/>
      <c r="Y499" s="14"/>
      <c r="Z499" s="14"/>
      <c r="AG499" s="14"/>
      <c r="AH499" s="14"/>
      <c r="AI499" t="s">
        <v>753</v>
      </c>
      <c r="AJ499" t="s">
        <v>754</v>
      </c>
      <c r="AK499" t="s">
        <v>755</v>
      </c>
      <c r="AL499">
        <v>0</v>
      </c>
      <c r="AM499" t="s">
        <v>756</v>
      </c>
      <c r="AN499" t="s">
        <v>757</v>
      </c>
      <c r="AO499" t="s">
        <v>125</v>
      </c>
      <c r="AP499" t="s">
        <v>758</v>
      </c>
      <c r="AQ499" s="15">
        <v>46142</v>
      </c>
      <c r="AR499" s="15">
        <v>46119</v>
      </c>
      <c r="AS499" t="s">
        <v>145</v>
      </c>
      <c r="AT499">
        <v>3</v>
      </c>
      <c r="AU499">
        <v>15000</v>
      </c>
      <c r="AV499">
        <v>0</v>
      </c>
      <c r="AW499">
        <v>0</v>
      </c>
      <c r="AX499" s="14">
        <v>15000</v>
      </c>
      <c r="AY499" s="14">
        <v>15000</v>
      </c>
      <c r="AZ499" s="14">
        <v>0</v>
      </c>
      <c r="BA499">
        <v>0</v>
      </c>
      <c r="BB499" t="s">
        <v>23</v>
      </c>
      <c r="BC499" t="s">
        <v>175</v>
      </c>
      <c r="BD499" t="s">
        <v>176</v>
      </c>
      <c r="BE499" t="s">
        <v>130</v>
      </c>
      <c r="BF499" t="s">
        <v>754</v>
      </c>
      <c r="BG499" t="s">
        <v>1446</v>
      </c>
      <c r="BH499" t="s">
        <v>132</v>
      </c>
      <c r="BI499" t="s">
        <v>154</v>
      </c>
      <c r="BJ499">
        <v>4</v>
      </c>
      <c r="BK499" t="s">
        <v>133</v>
      </c>
      <c r="BV499" t="s">
        <v>134</v>
      </c>
      <c r="BW499" s="16">
        <v>45971.18472222222</v>
      </c>
      <c r="BX499" t="s">
        <v>178</v>
      </c>
      <c r="BZ499">
        <v>3</v>
      </c>
      <c r="CA499" t="s">
        <v>1447</v>
      </c>
      <c r="CB499">
        <v>0</v>
      </c>
      <c r="CF499" t="s">
        <v>1087</v>
      </c>
      <c r="CG499">
        <v>2026</v>
      </c>
      <c r="CH499" t="s">
        <v>138</v>
      </c>
      <c r="CI499" t="s">
        <v>139</v>
      </c>
    </row>
    <row r="500" spans="1:87" x14ac:dyDescent="0.3">
      <c r="A500" t="s">
        <v>165</v>
      </c>
      <c r="B500" t="s">
        <v>116</v>
      </c>
      <c r="C500" t="s">
        <v>117</v>
      </c>
      <c r="D500" t="s">
        <v>118</v>
      </c>
      <c r="E500" t="s">
        <v>14</v>
      </c>
      <c r="F500" t="s">
        <v>473</v>
      </c>
      <c r="G500">
        <v>67</v>
      </c>
      <c r="H500">
        <v>0</v>
      </c>
      <c r="I500" s="14">
        <v>498000</v>
      </c>
      <c r="J500" s="14">
        <v>450000</v>
      </c>
      <c r="Q500" s="14"/>
      <c r="R500" s="14"/>
      <c r="Y500" s="14"/>
      <c r="Z500" s="14"/>
      <c r="AG500" s="14"/>
      <c r="AH500" s="14"/>
      <c r="AI500" t="s">
        <v>753</v>
      </c>
      <c r="AJ500" t="s">
        <v>754</v>
      </c>
      <c r="AK500" t="s">
        <v>755</v>
      </c>
      <c r="AL500">
        <v>0</v>
      </c>
      <c r="AM500" t="s">
        <v>756</v>
      </c>
      <c r="AN500" t="s">
        <v>757</v>
      </c>
      <c r="AO500" t="s">
        <v>125</v>
      </c>
      <c r="AP500" t="s">
        <v>758</v>
      </c>
      <c r="AQ500" s="15">
        <v>46203</v>
      </c>
      <c r="AR500" s="15"/>
      <c r="AS500" t="s">
        <v>227</v>
      </c>
      <c r="AT500">
        <v>1</v>
      </c>
      <c r="AU500">
        <v>405000</v>
      </c>
      <c r="AV500">
        <v>0</v>
      </c>
      <c r="AW500">
        <v>0</v>
      </c>
      <c r="AX500" s="14">
        <v>405000</v>
      </c>
      <c r="AY500" s="14">
        <v>0</v>
      </c>
      <c r="AZ500" s="14">
        <v>405000</v>
      </c>
      <c r="BB500" t="s">
        <v>23</v>
      </c>
      <c r="BH500" t="s">
        <v>132</v>
      </c>
      <c r="BK500" t="s">
        <v>550</v>
      </c>
      <c r="BV500" t="s">
        <v>132</v>
      </c>
      <c r="BW500" s="16">
        <v>45971.18472222222</v>
      </c>
      <c r="BX500" t="s">
        <v>178</v>
      </c>
      <c r="BZ500">
        <v>3</v>
      </c>
      <c r="CB500">
        <v>0</v>
      </c>
      <c r="CF500" t="s">
        <v>1087</v>
      </c>
      <c r="CG500">
        <v>2026</v>
      </c>
      <c r="CH500" t="s">
        <v>138</v>
      </c>
      <c r="CI500" t="s">
        <v>139</v>
      </c>
    </row>
    <row r="501" spans="1:87" x14ac:dyDescent="0.3">
      <c r="A501" t="s">
        <v>165</v>
      </c>
      <c r="B501" t="s">
        <v>116</v>
      </c>
      <c r="C501" t="s">
        <v>117</v>
      </c>
      <c r="D501" t="s">
        <v>118</v>
      </c>
      <c r="E501" t="s">
        <v>14</v>
      </c>
      <c r="F501" t="s">
        <v>1448</v>
      </c>
      <c r="G501">
        <v>68</v>
      </c>
      <c r="H501">
        <v>0</v>
      </c>
      <c r="I501" s="14">
        <v>504700</v>
      </c>
      <c r="J501" s="14">
        <v>453700</v>
      </c>
      <c r="K501" t="s">
        <v>117</v>
      </c>
      <c r="L501" t="s">
        <v>118</v>
      </c>
      <c r="M501" t="s">
        <v>140</v>
      </c>
      <c r="N501" t="s">
        <v>1449</v>
      </c>
      <c r="O501">
        <v>12.5</v>
      </c>
      <c r="P501">
        <v>2.8</v>
      </c>
      <c r="Q501" s="14">
        <v>50000</v>
      </c>
      <c r="R501" s="14">
        <v>50000</v>
      </c>
      <c r="Y501" s="14"/>
      <c r="Z501" s="14"/>
      <c r="AG501" s="14"/>
      <c r="AH501" s="14"/>
      <c r="AI501" t="s">
        <v>1450</v>
      </c>
      <c r="AJ501" t="s">
        <v>1451</v>
      </c>
      <c r="AK501" t="s">
        <v>1452</v>
      </c>
      <c r="AL501">
        <v>0</v>
      </c>
      <c r="AM501" t="s">
        <v>1453</v>
      </c>
      <c r="AN501" t="s">
        <v>1454</v>
      </c>
      <c r="AO501" t="s">
        <v>125</v>
      </c>
      <c r="AP501" t="s">
        <v>152</v>
      </c>
      <c r="AQ501" s="15">
        <v>46163</v>
      </c>
      <c r="AR501" s="15">
        <v>46163</v>
      </c>
      <c r="AS501" t="s">
        <v>127</v>
      </c>
      <c r="AT501">
        <v>1</v>
      </c>
      <c r="AU501">
        <v>3000</v>
      </c>
      <c r="AV501">
        <v>0</v>
      </c>
      <c r="AW501">
        <v>0</v>
      </c>
      <c r="AX501" s="14">
        <v>3000</v>
      </c>
      <c r="AY501" s="14">
        <v>3000</v>
      </c>
      <c r="AZ501" s="14">
        <v>0</v>
      </c>
      <c r="BA501">
        <v>0</v>
      </c>
      <c r="BB501" t="s">
        <v>24</v>
      </c>
      <c r="BC501" t="s">
        <v>175</v>
      </c>
      <c r="BD501" t="s">
        <v>176</v>
      </c>
      <c r="BE501" t="s">
        <v>222</v>
      </c>
      <c r="BG501" t="s">
        <v>1455</v>
      </c>
      <c r="BH501" t="s">
        <v>134</v>
      </c>
      <c r="BJ501">
        <v>4</v>
      </c>
      <c r="BK501" t="s">
        <v>133</v>
      </c>
      <c r="BV501" t="s">
        <v>134</v>
      </c>
      <c r="BW501" s="16">
        <v>46170.446527777778</v>
      </c>
      <c r="BX501" t="s">
        <v>135</v>
      </c>
      <c r="BZ501">
        <v>40</v>
      </c>
      <c r="CA501" t="s">
        <v>1456</v>
      </c>
      <c r="CB501">
        <v>0</v>
      </c>
      <c r="CF501" t="s">
        <v>1087</v>
      </c>
      <c r="CG501">
        <v>2026</v>
      </c>
      <c r="CH501" t="s">
        <v>138</v>
      </c>
      <c r="CI501" t="s">
        <v>139</v>
      </c>
    </row>
    <row r="502" spans="1:87" x14ac:dyDescent="0.3">
      <c r="A502" t="s">
        <v>165</v>
      </c>
      <c r="B502" t="s">
        <v>116</v>
      </c>
      <c r="C502" t="s">
        <v>117</v>
      </c>
      <c r="D502" t="s">
        <v>118</v>
      </c>
      <c r="E502" t="s">
        <v>14</v>
      </c>
      <c r="F502" t="s">
        <v>1448</v>
      </c>
      <c r="G502">
        <v>68</v>
      </c>
      <c r="H502">
        <v>0</v>
      </c>
      <c r="I502" s="14">
        <v>504700</v>
      </c>
      <c r="J502" s="14">
        <v>453700</v>
      </c>
      <c r="K502" t="s">
        <v>117</v>
      </c>
      <c r="L502" t="s">
        <v>118</v>
      </c>
      <c r="M502" t="s">
        <v>140</v>
      </c>
      <c r="N502" t="s">
        <v>1449</v>
      </c>
      <c r="O502">
        <v>12.5</v>
      </c>
      <c r="P502">
        <v>2.8</v>
      </c>
      <c r="Q502" s="14">
        <v>50000</v>
      </c>
      <c r="R502" s="14">
        <v>50000</v>
      </c>
      <c r="Y502" s="14"/>
      <c r="Z502" s="14"/>
      <c r="AG502" s="14"/>
      <c r="AH502" s="14"/>
      <c r="AI502" t="s">
        <v>1450</v>
      </c>
      <c r="AJ502" t="s">
        <v>1451</v>
      </c>
      <c r="AK502" t="s">
        <v>1452</v>
      </c>
      <c r="AL502">
        <v>0</v>
      </c>
      <c r="AM502" t="s">
        <v>1453</v>
      </c>
      <c r="AN502" t="s">
        <v>1454</v>
      </c>
      <c r="AO502" t="s">
        <v>125</v>
      </c>
      <c r="AP502" t="s">
        <v>152</v>
      </c>
      <c r="AQ502" s="15">
        <v>46170</v>
      </c>
      <c r="AR502" s="15">
        <v>46170</v>
      </c>
      <c r="AS502" t="s">
        <v>145</v>
      </c>
      <c r="AT502">
        <v>1</v>
      </c>
      <c r="AU502">
        <v>22185</v>
      </c>
      <c r="AV502">
        <v>0</v>
      </c>
      <c r="AW502">
        <v>0</v>
      </c>
      <c r="AX502" s="14">
        <v>22185</v>
      </c>
      <c r="AY502" s="14">
        <v>22185</v>
      </c>
      <c r="AZ502" s="14">
        <v>0</v>
      </c>
      <c r="BA502">
        <v>0</v>
      </c>
      <c r="BB502" t="s">
        <v>24</v>
      </c>
      <c r="BC502" t="s">
        <v>175</v>
      </c>
      <c r="BD502" t="s">
        <v>176</v>
      </c>
      <c r="BE502" t="s">
        <v>130</v>
      </c>
      <c r="BG502" t="s">
        <v>1457</v>
      </c>
      <c r="BH502" t="s">
        <v>132</v>
      </c>
      <c r="BJ502">
        <v>4</v>
      </c>
      <c r="BK502" t="s">
        <v>133</v>
      </c>
      <c r="BV502" t="s">
        <v>134</v>
      </c>
      <c r="BW502" s="16">
        <v>46170.446527777778</v>
      </c>
      <c r="BX502" t="s">
        <v>135</v>
      </c>
      <c r="BZ502">
        <v>40</v>
      </c>
      <c r="CA502" t="s">
        <v>1458</v>
      </c>
      <c r="CB502">
        <v>0</v>
      </c>
      <c r="CF502" t="s">
        <v>1087</v>
      </c>
      <c r="CG502">
        <v>2026</v>
      </c>
      <c r="CH502" t="s">
        <v>138</v>
      </c>
      <c r="CI502" t="s">
        <v>139</v>
      </c>
    </row>
    <row r="503" spans="1:87" x14ac:dyDescent="0.3">
      <c r="A503" t="s">
        <v>165</v>
      </c>
      <c r="B503" t="s">
        <v>116</v>
      </c>
      <c r="C503" t="s">
        <v>117</v>
      </c>
      <c r="D503" t="s">
        <v>118</v>
      </c>
      <c r="E503" t="s">
        <v>14</v>
      </c>
      <c r="F503" t="s">
        <v>1448</v>
      </c>
      <c r="G503">
        <v>68</v>
      </c>
      <c r="H503">
        <v>0</v>
      </c>
      <c r="I503" s="14">
        <v>504700</v>
      </c>
      <c r="J503" s="14">
        <v>453700</v>
      </c>
      <c r="K503" t="s">
        <v>117</v>
      </c>
      <c r="L503" t="s">
        <v>118</v>
      </c>
      <c r="M503" t="s">
        <v>140</v>
      </c>
      <c r="N503" t="s">
        <v>1449</v>
      </c>
      <c r="O503">
        <v>12.5</v>
      </c>
      <c r="P503">
        <v>2.8</v>
      </c>
      <c r="Q503" s="14">
        <v>50000</v>
      </c>
      <c r="R503" s="14">
        <v>50000</v>
      </c>
      <c r="Y503" s="14"/>
      <c r="Z503" s="14"/>
      <c r="AG503" s="14"/>
      <c r="AH503" s="14"/>
      <c r="AI503" t="s">
        <v>1450</v>
      </c>
      <c r="AJ503" t="s">
        <v>1451</v>
      </c>
      <c r="AK503" t="s">
        <v>1452</v>
      </c>
      <c r="AL503">
        <v>0</v>
      </c>
      <c r="AM503" t="s">
        <v>1453</v>
      </c>
      <c r="AN503" t="s">
        <v>1454</v>
      </c>
      <c r="AO503" t="s">
        <v>125</v>
      </c>
      <c r="AP503" t="s">
        <v>152</v>
      </c>
      <c r="AQ503" s="15">
        <v>46356</v>
      </c>
      <c r="AR503" s="15"/>
      <c r="AS503" t="s">
        <v>145</v>
      </c>
      <c r="AT503">
        <v>2</v>
      </c>
      <c r="AU503">
        <v>25185</v>
      </c>
      <c r="AV503">
        <v>0</v>
      </c>
      <c r="AW503">
        <v>0</v>
      </c>
      <c r="AX503" s="14">
        <v>25185</v>
      </c>
      <c r="AY503" s="14">
        <v>0</v>
      </c>
      <c r="AZ503" s="14">
        <v>25185</v>
      </c>
      <c r="BB503" t="s">
        <v>24</v>
      </c>
      <c r="BH503" t="s">
        <v>132</v>
      </c>
      <c r="BK503" t="s">
        <v>1100</v>
      </c>
      <c r="BV503" t="s">
        <v>132</v>
      </c>
      <c r="BW503" s="16">
        <v>46170.446527777778</v>
      </c>
      <c r="BX503" t="s">
        <v>135</v>
      </c>
      <c r="BZ503">
        <v>40</v>
      </c>
      <c r="CB503">
        <v>0</v>
      </c>
      <c r="CF503" t="s">
        <v>1087</v>
      </c>
      <c r="CG503">
        <v>2026</v>
      </c>
      <c r="CH503" t="s">
        <v>138</v>
      </c>
      <c r="CI503" t="s">
        <v>139</v>
      </c>
    </row>
    <row r="504" spans="1:87" x14ac:dyDescent="0.3">
      <c r="A504" t="s">
        <v>165</v>
      </c>
      <c r="B504" t="s">
        <v>116</v>
      </c>
      <c r="C504" t="s">
        <v>117</v>
      </c>
      <c r="D504" t="s">
        <v>118</v>
      </c>
      <c r="E504" t="s">
        <v>14</v>
      </c>
      <c r="F504" t="s">
        <v>483</v>
      </c>
      <c r="G504">
        <v>70</v>
      </c>
      <c r="H504">
        <v>0</v>
      </c>
      <c r="I504" s="14">
        <v>518500</v>
      </c>
      <c r="J504" s="14">
        <v>470000</v>
      </c>
      <c r="Q504" s="14"/>
      <c r="R504" s="14"/>
      <c r="Y504" s="14"/>
      <c r="Z504" s="14"/>
      <c r="AG504" s="14"/>
      <c r="AH504" s="14"/>
      <c r="AI504" t="s">
        <v>763</v>
      </c>
      <c r="AJ504" t="s">
        <v>764</v>
      </c>
      <c r="AK504" t="s">
        <v>765</v>
      </c>
      <c r="AL504">
        <v>0</v>
      </c>
      <c r="AM504" t="s">
        <v>766</v>
      </c>
      <c r="AN504" t="s">
        <v>767</v>
      </c>
      <c r="AO504" t="s">
        <v>125</v>
      </c>
      <c r="AP504" t="s">
        <v>366</v>
      </c>
      <c r="AQ504" s="15">
        <v>46081</v>
      </c>
      <c r="AR504" s="15"/>
      <c r="AS504" t="s">
        <v>145</v>
      </c>
      <c r="AT504">
        <v>1</v>
      </c>
      <c r="AU504">
        <v>44000</v>
      </c>
      <c r="AV504">
        <v>0</v>
      </c>
      <c r="AW504">
        <v>0</v>
      </c>
      <c r="AX504" s="14">
        <v>44000</v>
      </c>
      <c r="AY504" s="14">
        <v>0</v>
      </c>
      <c r="AZ504" s="14">
        <v>44000</v>
      </c>
      <c r="BB504" t="s">
        <v>23</v>
      </c>
      <c r="BH504" t="s">
        <v>132</v>
      </c>
      <c r="BK504" t="s">
        <v>550</v>
      </c>
      <c r="BV504" t="s">
        <v>132</v>
      </c>
      <c r="BW504" s="16">
        <v>46028.404166666667</v>
      </c>
      <c r="BX504" t="s">
        <v>143</v>
      </c>
      <c r="BZ504">
        <v>33</v>
      </c>
      <c r="CB504">
        <v>0</v>
      </c>
      <c r="CF504" t="s">
        <v>1087</v>
      </c>
      <c r="CG504">
        <v>2026</v>
      </c>
      <c r="CH504" t="s">
        <v>138</v>
      </c>
      <c r="CI504" t="s">
        <v>139</v>
      </c>
    </row>
    <row r="505" spans="1:87" x14ac:dyDescent="0.3">
      <c r="A505" t="s">
        <v>165</v>
      </c>
      <c r="B505" t="s">
        <v>116</v>
      </c>
      <c r="C505" t="s">
        <v>117</v>
      </c>
      <c r="D505" t="s">
        <v>118</v>
      </c>
      <c r="E505" t="s">
        <v>14</v>
      </c>
      <c r="F505" t="s">
        <v>483</v>
      </c>
      <c r="G505">
        <v>70</v>
      </c>
      <c r="H505">
        <v>0</v>
      </c>
      <c r="I505" s="14">
        <v>518500</v>
      </c>
      <c r="J505" s="14">
        <v>470000</v>
      </c>
      <c r="Q505" s="14"/>
      <c r="R505" s="14"/>
      <c r="Y505" s="14"/>
      <c r="Z505" s="14"/>
      <c r="AG505" s="14"/>
      <c r="AH505" s="14"/>
      <c r="AI505" t="s">
        <v>763</v>
      </c>
      <c r="AJ505" t="s">
        <v>764</v>
      </c>
      <c r="AK505" t="s">
        <v>765</v>
      </c>
      <c r="AL505">
        <v>0</v>
      </c>
      <c r="AM505" t="s">
        <v>766</v>
      </c>
      <c r="AN505" t="s">
        <v>767</v>
      </c>
      <c r="AO505" t="s">
        <v>125</v>
      </c>
      <c r="AP505" t="s">
        <v>366</v>
      </c>
      <c r="AQ505" s="15">
        <v>46111</v>
      </c>
      <c r="AR505" s="15"/>
      <c r="AS505" t="s">
        <v>227</v>
      </c>
      <c r="AT505">
        <v>1</v>
      </c>
      <c r="AU505">
        <v>423000</v>
      </c>
      <c r="AV505">
        <v>0</v>
      </c>
      <c r="AW505">
        <v>0</v>
      </c>
      <c r="AX505" s="14">
        <v>423000</v>
      </c>
      <c r="AY505" s="14">
        <v>0</v>
      </c>
      <c r="AZ505" s="14">
        <v>423000</v>
      </c>
      <c r="BB505" t="s">
        <v>23</v>
      </c>
      <c r="BH505" t="s">
        <v>132</v>
      </c>
      <c r="BK505" t="s">
        <v>550</v>
      </c>
      <c r="BV505" t="s">
        <v>132</v>
      </c>
      <c r="BW505" s="16">
        <v>46028.404166666667</v>
      </c>
      <c r="BX505" t="s">
        <v>143</v>
      </c>
      <c r="BZ505">
        <v>33</v>
      </c>
      <c r="CB505">
        <v>0</v>
      </c>
      <c r="CF505" t="s">
        <v>1087</v>
      </c>
      <c r="CG505">
        <v>2026</v>
      </c>
      <c r="CH505" t="s">
        <v>138</v>
      </c>
      <c r="CI505" t="s">
        <v>139</v>
      </c>
    </row>
    <row r="506" spans="1:87" x14ac:dyDescent="0.3">
      <c r="A506" t="s">
        <v>165</v>
      </c>
      <c r="B506" t="s">
        <v>116</v>
      </c>
      <c r="C506" t="s">
        <v>117</v>
      </c>
      <c r="D506" t="s">
        <v>118</v>
      </c>
      <c r="E506" t="s">
        <v>14</v>
      </c>
      <c r="F506" t="s">
        <v>1003</v>
      </c>
      <c r="G506">
        <v>72</v>
      </c>
      <c r="H506">
        <v>0</v>
      </c>
      <c r="I506" s="14">
        <v>532100</v>
      </c>
      <c r="J506" s="14">
        <v>501100</v>
      </c>
      <c r="Q506" s="14"/>
      <c r="R506" s="14"/>
      <c r="Y506" s="14"/>
      <c r="Z506" s="14"/>
      <c r="AG506" s="14"/>
      <c r="AH506" s="14"/>
      <c r="AI506" t="s">
        <v>1459</v>
      </c>
      <c r="AJ506" t="s">
        <v>1460</v>
      </c>
      <c r="AK506" t="s">
        <v>1461</v>
      </c>
      <c r="AL506">
        <v>0</v>
      </c>
      <c r="AM506" t="s">
        <v>1462</v>
      </c>
      <c r="AN506" t="s">
        <v>1463</v>
      </c>
      <c r="AO506" t="s">
        <v>125</v>
      </c>
      <c r="AP506" t="s">
        <v>196</v>
      </c>
      <c r="AQ506" s="15">
        <v>46159</v>
      </c>
      <c r="AR506" s="15">
        <v>46159</v>
      </c>
      <c r="AS506" t="s">
        <v>127</v>
      </c>
      <c r="AT506">
        <v>1</v>
      </c>
      <c r="AU506">
        <v>3000</v>
      </c>
      <c r="AV506">
        <v>0</v>
      </c>
      <c r="AW506">
        <v>0</v>
      </c>
      <c r="AX506" s="14">
        <v>3000</v>
      </c>
      <c r="AY506" s="14">
        <v>3000</v>
      </c>
      <c r="AZ506" s="14">
        <v>0</v>
      </c>
      <c r="BA506">
        <v>0</v>
      </c>
      <c r="BB506" t="s">
        <v>24</v>
      </c>
      <c r="BC506" t="s">
        <v>175</v>
      </c>
      <c r="BD506" t="s">
        <v>176</v>
      </c>
      <c r="BE506" t="s">
        <v>222</v>
      </c>
      <c r="BG506" t="s">
        <v>1464</v>
      </c>
      <c r="BH506" t="s">
        <v>134</v>
      </c>
      <c r="BJ506">
        <v>4</v>
      </c>
      <c r="BK506" t="s">
        <v>133</v>
      </c>
      <c r="BV506" t="s">
        <v>134</v>
      </c>
      <c r="BW506" s="16">
        <v>46164.38958333333</v>
      </c>
      <c r="BX506" t="s">
        <v>1413</v>
      </c>
      <c r="BZ506">
        <v>8</v>
      </c>
      <c r="CA506" t="s">
        <v>1465</v>
      </c>
      <c r="CB506">
        <v>0</v>
      </c>
      <c r="CF506" t="s">
        <v>1087</v>
      </c>
      <c r="CG506">
        <v>2026</v>
      </c>
      <c r="CH506" t="s">
        <v>138</v>
      </c>
      <c r="CI506" t="s">
        <v>139</v>
      </c>
    </row>
    <row r="507" spans="1:87" x14ac:dyDescent="0.3">
      <c r="A507" t="s">
        <v>165</v>
      </c>
      <c r="B507" t="s">
        <v>116</v>
      </c>
      <c r="C507" t="s">
        <v>117</v>
      </c>
      <c r="D507" t="s">
        <v>118</v>
      </c>
      <c r="E507" t="s">
        <v>14</v>
      </c>
      <c r="F507" t="s">
        <v>1003</v>
      </c>
      <c r="G507">
        <v>72</v>
      </c>
      <c r="H507">
        <v>0</v>
      </c>
      <c r="I507" s="14">
        <v>532100</v>
      </c>
      <c r="J507" s="14">
        <v>501100</v>
      </c>
      <c r="Q507" s="14"/>
      <c r="R507" s="14"/>
      <c r="Y507" s="14"/>
      <c r="Z507" s="14"/>
      <c r="AG507" s="14"/>
      <c r="AH507" s="14"/>
      <c r="AI507" t="s">
        <v>1459</v>
      </c>
      <c r="AJ507" t="s">
        <v>1460</v>
      </c>
      <c r="AK507" t="s">
        <v>1461</v>
      </c>
      <c r="AL507">
        <v>0</v>
      </c>
      <c r="AM507" t="s">
        <v>1462</v>
      </c>
      <c r="AN507" t="s">
        <v>1463</v>
      </c>
      <c r="AO507" t="s">
        <v>125</v>
      </c>
      <c r="AP507" t="s">
        <v>196</v>
      </c>
      <c r="AQ507" s="15">
        <v>46163</v>
      </c>
      <c r="AR507" s="15">
        <v>46164</v>
      </c>
      <c r="AS507" t="s">
        <v>145</v>
      </c>
      <c r="AT507">
        <v>1</v>
      </c>
      <c r="AU507">
        <v>22055</v>
      </c>
      <c r="AV507">
        <v>0</v>
      </c>
      <c r="AW507">
        <v>0</v>
      </c>
      <c r="AX507" s="14">
        <v>22055</v>
      </c>
      <c r="AY507" s="14">
        <v>22055</v>
      </c>
      <c r="AZ507" s="14">
        <v>0</v>
      </c>
      <c r="BA507">
        <v>0</v>
      </c>
      <c r="BB507" t="s">
        <v>24</v>
      </c>
      <c r="BC507" t="s">
        <v>175</v>
      </c>
      <c r="BD507" t="s">
        <v>176</v>
      </c>
      <c r="BE507" t="s">
        <v>130</v>
      </c>
      <c r="BG507" t="s">
        <v>1466</v>
      </c>
      <c r="BH507" t="s">
        <v>134</v>
      </c>
      <c r="BJ507">
        <v>4</v>
      </c>
      <c r="BK507" t="s">
        <v>133</v>
      </c>
      <c r="BV507" t="s">
        <v>134</v>
      </c>
      <c r="BW507" s="16">
        <v>46164.38958333333</v>
      </c>
      <c r="BX507" t="s">
        <v>1413</v>
      </c>
      <c r="BZ507">
        <v>8</v>
      </c>
      <c r="CA507" t="s">
        <v>1467</v>
      </c>
      <c r="CB507">
        <v>0</v>
      </c>
      <c r="CF507" t="s">
        <v>1087</v>
      </c>
      <c r="CG507">
        <v>2026</v>
      </c>
      <c r="CH507" t="s">
        <v>138</v>
      </c>
      <c r="CI507" t="s">
        <v>139</v>
      </c>
    </row>
    <row r="508" spans="1:87" x14ac:dyDescent="0.3">
      <c r="A508" t="s">
        <v>165</v>
      </c>
      <c r="B508" t="s">
        <v>116</v>
      </c>
      <c r="C508" t="s">
        <v>117</v>
      </c>
      <c r="D508" t="s">
        <v>118</v>
      </c>
      <c r="E508" t="s">
        <v>14</v>
      </c>
      <c r="F508" t="s">
        <v>875</v>
      </c>
      <c r="G508">
        <v>68</v>
      </c>
      <c r="H508">
        <v>0</v>
      </c>
      <c r="I508" s="14">
        <v>510000</v>
      </c>
      <c r="J508" s="14">
        <v>476700</v>
      </c>
      <c r="K508" t="s">
        <v>117</v>
      </c>
      <c r="L508" t="s">
        <v>118</v>
      </c>
      <c r="M508" t="s">
        <v>140</v>
      </c>
      <c r="N508" t="s">
        <v>1468</v>
      </c>
      <c r="O508">
        <v>12.5</v>
      </c>
      <c r="P508">
        <v>1.72</v>
      </c>
      <c r="Q508" s="14">
        <v>48600</v>
      </c>
      <c r="R508" s="14">
        <v>48600</v>
      </c>
      <c r="Y508" s="14"/>
      <c r="Z508" s="14"/>
      <c r="AG508" s="14"/>
      <c r="AH508" s="14"/>
      <c r="AI508" t="s">
        <v>1469</v>
      </c>
      <c r="AJ508" t="s">
        <v>1470</v>
      </c>
      <c r="AK508" t="s">
        <v>1471</v>
      </c>
      <c r="AL508">
        <v>0</v>
      </c>
      <c r="AM508" t="s">
        <v>1472</v>
      </c>
      <c r="AN508" t="s">
        <v>1471</v>
      </c>
      <c r="AO508" t="s">
        <v>125</v>
      </c>
      <c r="AP508" t="s">
        <v>366</v>
      </c>
      <c r="AQ508" s="15">
        <v>46095</v>
      </c>
      <c r="AR508" s="15">
        <v>46095</v>
      </c>
      <c r="AS508" t="s">
        <v>127</v>
      </c>
      <c r="AT508">
        <v>1</v>
      </c>
      <c r="AU508">
        <v>3000</v>
      </c>
      <c r="AV508">
        <v>0</v>
      </c>
      <c r="AW508">
        <v>0</v>
      </c>
      <c r="AX508" s="14">
        <v>3000</v>
      </c>
      <c r="AY508" s="14">
        <v>3000</v>
      </c>
      <c r="AZ508" s="14">
        <v>0</v>
      </c>
      <c r="BA508">
        <v>0</v>
      </c>
      <c r="BB508" t="s">
        <v>22</v>
      </c>
      <c r="BC508" t="s">
        <v>175</v>
      </c>
      <c r="BD508" t="s">
        <v>176</v>
      </c>
      <c r="BE508" t="s">
        <v>130</v>
      </c>
      <c r="BG508" t="s">
        <v>1473</v>
      </c>
      <c r="BH508" t="s">
        <v>132</v>
      </c>
      <c r="BJ508">
        <v>4</v>
      </c>
      <c r="BK508" t="s">
        <v>133</v>
      </c>
      <c r="BV508" t="s">
        <v>134</v>
      </c>
      <c r="BW508" s="16">
        <v>46142.418055555558</v>
      </c>
      <c r="BX508" t="s">
        <v>143</v>
      </c>
      <c r="BZ508">
        <v>18</v>
      </c>
      <c r="CA508" t="s">
        <v>1474</v>
      </c>
      <c r="CB508">
        <v>0</v>
      </c>
      <c r="CF508" t="s">
        <v>1087</v>
      </c>
      <c r="CG508">
        <v>2026</v>
      </c>
      <c r="CH508" t="s">
        <v>138</v>
      </c>
      <c r="CI508" t="s">
        <v>139</v>
      </c>
    </row>
    <row r="509" spans="1:87" x14ac:dyDescent="0.3">
      <c r="A509" t="s">
        <v>165</v>
      </c>
      <c r="B509" t="s">
        <v>116</v>
      </c>
      <c r="C509" t="s">
        <v>117</v>
      </c>
      <c r="D509" t="s">
        <v>118</v>
      </c>
      <c r="E509" t="s">
        <v>14</v>
      </c>
      <c r="F509" t="s">
        <v>875</v>
      </c>
      <c r="G509">
        <v>68</v>
      </c>
      <c r="H509">
        <v>0</v>
      </c>
      <c r="I509" s="14">
        <v>510000</v>
      </c>
      <c r="J509" s="14">
        <v>476700</v>
      </c>
      <c r="K509" t="s">
        <v>117</v>
      </c>
      <c r="L509" t="s">
        <v>118</v>
      </c>
      <c r="M509" t="s">
        <v>140</v>
      </c>
      <c r="N509" t="s">
        <v>1468</v>
      </c>
      <c r="O509">
        <v>12.5</v>
      </c>
      <c r="P509">
        <v>1.72</v>
      </c>
      <c r="Q509" s="14">
        <v>48600</v>
      </c>
      <c r="R509" s="14">
        <v>48600</v>
      </c>
      <c r="Y509" s="14"/>
      <c r="Z509" s="14"/>
      <c r="AG509" s="14"/>
      <c r="AH509" s="14"/>
      <c r="AI509" t="s">
        <v>1469</v>
      </c>
      <c r="AJ509" t="s">
        <v>1470</v>
      </c>
      <c r="AK509" t="s">
        <v>1471</v>
      </c>
      <c r="AL509">
        <v>0</v>
      </c>
      <c r="AM509" t="s">
        <v>1472</v>
      </c>
      <c r="AN509" t="s">
        <v>1471</v>
      </c>
      <c r="AO509" t="s">
        <v>125</v>
      </c>
      <c r="AP509" t="s">
        <v>366</v>
      </c>
      <c r="AQ509" s="15">
        <v>46111</v>
      </c>
      <c r="AR509" s="15">
        <v>46111</v>
      </c>
      <c r="AS509" t="s">
        <v>145</v>
      </c>
      <c r="AT509">
        <v>1</v>
      </c>
      <c r="AU509">
        <v>154590</v>
      </c>
      <c r="AV509">
        <v>0</v>
      </c>
      <c r="AW509">
        <v>0</v>
      </c>
      <c r="AX509" s="14">
        <v>154590</v>
      </c>
      <c r="AY509" s="14">
        <v>154590</v>
      </c>
      <c r="AZ509" s="14">
        <v>0</v>
      </c>
      <c r="BA509">
        <v>0</v>
      </c>
      <c r="BB509" t="s">
        <v>22</v>
      </c>
      <c r="BC509" t="s">
        <v>175</v>
      </c>
      <c r="BD509" t="s">
        <v>176</v>
      </c>
      <c r="BE509" t="s">
        <v>130</v>
      </c>
      <c r="BG509" t="s">
        <v>1475</v>
      </c>
      <c r="BH509" t="s">
        <v>132</v>
      </c>
      <c r="BJ509">
        <v>4</v>
      </c>
      <c r="BK509" t="s">
        <v>133</v>
      </c>
      <c r="BV509" t="s">
        <v>134</v>
      </c>
      <c r="BW509" s="16">
        <v>46142.418055555558</v>
      </c>
      <c r="BX509" t="s">
        <v>143</v>
      </c>
      <c r="BZ509">
        <v>18</v>
      </c>
      <c r="CA509" t="s">
        <v>1476</v>
      </c>
      <c r="CB509">
        <v>0</v>
      </c>
      <c r="CF509" t="s">
        <v>1087</v>
      </c>
      <c r="CG509">
        <v>2026</v>
      </c>
      <c r="CH509" t="s">
        <v>138</v>
      </c>
      <c r="CI509" t="s">
        <v>139</v>
      </c>
    </row>
    <row r="510" spans="1:87" x14ac:dyDescent="0.3">
      <c r="A510" t="s">
        <v>165</v>
      </c>
      <c r="B510" t="s">
        <v>116</v>
      </c>
      <c r="C510" t="s">
        <v>117</v>
      </c>
      <c r="D510" t="s">
        <v>118</v>
      </c>
      <c r="E510" t="s">
        <v>14</v>
      </c>
      <c r="F510" t="s">
        <v>875</v>
      </c>
      <c r="G510">
        <v>68</v>
      </c>
      <c r="H510">
        <v>0</v>
      </c>
      <c r="I510" s="14">
        <v>510000</v>
      </c>
      <c r="J510" s="14">
        <v>476700</v>
      </c>
      <c r="K510" t="s">
        <v>117</v>
      </c>
      <c r="L510" t="s">
        <v>118</v>
      </c>
      <c r="M510" t="s">
        <v>140</v>
      </c>
      <c r="N510" t="s">
        <v>1468</v>
      </c>
      <c r="O510">
        <v>12.5</v>
      </c>
      <c r="P510">
        <v>1.72</v>
      </c>
      <c r="Q510" s="14">
        <v>48600</v>
      </c>
      <c r="R510" s="14">
        <v>48600</v>
      </c>
      <c r="Y510" s="14"/>
      <c r="Z510" s="14"/>
      <c r="AG510" s="14"/>
      <c r="AH510" s="14"/>
      <c r="AI510" t="s">
        <v>1469</v>
      </c>
      <c r="AJ510" t="s">
        <v>1470</v>
      </c>
      <c r="AK510" t="s">
        <v>1471</v>
      </c>
      <c r="AL510">
        <v>0</v>
      </c>
      <c r="AM510" t="s">
        <v>1472</v>
      </c>
      <c r="AN510" t="s">
        <v>1471</v>
      </c>
      <c r="AO510" t="s">
        <v>125</v>
      </c>
      <c r="AP510" t="s">
        <v>366</v>
      </c>
      <c r="AQ510" s="15">
        <v>46386</v>
      </c>
      <c r="AR510" s="15"/>
      <c r="AS510" t="s">
        <v>227</v>
      </c>
      <c r="AT510">
        <v>1</v>
      </c>
      <c r="AU510">
        <v>105060</v>
      </c>
      <c r="AV510">
        <v>0</v>
      </c>
      <c r="AW510">
        <v>0</v>
      </c>
      <c r="AX510" s="14">
        <v>105060</v>
      </c>
      <c r="AY510" s="14">
        <v>0</v>
      </c>
      <c r="AZ510" s="14">
        <v>105060</v>
      </c>
      <c r="BB510" t="s">
        <v>22</v>
      </c>
      <c r="BH510" t="s">
        <v>132</v>
      </c>
      <c r="BK510" t="s">
        <v>1100</v>
      </c>
      <c r="BV510" t="s">
        <v>132</v>
      </c>
      <c r="BW510" s="16">
        <v>46142.418055555558</v>
      </c>
      <c r="BX510" t="s">
        <v>143</v>
      </c>
      <c r="BZ510">
        <v>18</v>
      </c>
      <c r="CB510">
        <v>0</v>
      </c>
      <c r="CF510" t="s">
        <v>1087</v>
      </c>
      <c r="CG510">
        <v>2026</v>
      </c>
      <c r="CH510" t="s">
        <v>138</v>
      </c>
      <c r="CI510" t="s">
        <v>139</v>
      </c>
    </row>
    <row r="511" spans="1:87" x14ac:dyDescent="0.3">
      <c r="A511" t="s">
        <v>426</v>
      </c>
      <c r="B511" t="s">
        <v>116</v>
      </c>
      <c r="C511" t="s">
        <v>117</v>
      </c>
      <c r="D511" t="s">
        <v>118</v>
      </c>
      <c r="E511" t="s">
        <v>14</v>
      </c>
      <c r="F511" t="s">
        <v>383</v>
      </c>
      <c r="G511">
        <v>67</v>
      </c>
      <c r="H511">
        <v>0</v>
      </c>
      <c r="I511" s="14">
        <v>428000</v>
      </c>
      <c r="J511" s="14">
        <v>428000</v>
      </c>
      <c r="Q511" s="14"/>
      <c r="R511" s="14"/>
      <c r="Y511" s="14"/>
      <c r="Z511" s="14"/>
      <c r="AG511" s="14"/>
      <c r="AH511" s="14"/>
      <c r="AI511" t="s">
        <v>770</v>
      </c>
      <c r="AJ511" t="s">
        <v>771</v>
      </c>
      <c r="AK511" t="s">
        <v>772</v>
      </c>
      <c r="AL511">
        <v>0</v>
      </c>
      <c r="AM511" t="s">
        <v>773</v>
      </c>
      <c r="AN511" t="s">
        <v>774</v>
      </c>
      <c r="AO511" t="s">
        <v>125</v>
      </c>
      <c r="AP511" t="s">
        <v>152</v>
      </c>
      <c r="AQ511" s="15">
        <v>46049</v>
      </c>
      <c r="AR511" s="15">
        <v>46049</v>
      </c>
      <c r="AS511" t="s">
        <v>145</v>
      </c>
      <c r="AT511">
        <v>1</v>
      </c>
      <c r="AU511">
        <v>18680</v>
      </c>
      <c r="AV511">
        <v>0</v>
      </c>
      <c r="AW511">
        <v>0</v>
      </c>
      <c r="AX511" s="14">
        <v>18680</v>
      </c>
      <c r="AY511" s="14">
        <v>18680</v>
      </c>
      <c r="AZ511" s="14">
        <v>0</v>
      </c>
      <c r="BA511">
        <v>0</v>
      </c>
      <c r="BB511" t="s">
        <v>23</v>
      </c>
      <c r="BC511" t="s">
        <v>128</v>
      </c>
      <c r="BD511" t="s">
        <v>434</v>
      </c>
      <c r="BE511" t="s">
        <v>130</v>
      </c>
      <c r="BG511" t="s">
        <v>1477</v>
      </c>
      <c r="BH511" t="s">
        <v>132</v>
      </c>
      <c r="BJ511">
        <v>4</v>
      </c>
      <c r="BK511" t="s">
        <v>133</v>
      </c>
      <c r="BV511" t="s">
        <v>134</v>
      </c>
      <c r="BW511" s="16">
        <v>46049.344444444447</v>
      </c>
      <c r="BX511" t="s">
        <v>143</v>
      </c>
      <c r="BZ511">
        <v>10</v>
      </c>
      <c r="CA511" t="s">
        <v>1478</v>
      </c>
      <c r="CB511">
        <v>0</v>
      </c>
      <c r="CF511" t="s">
        <v>1087</v>
      </c>
      <c r="CG511">
        <v>2026</v>
      </c>
      <c r="CH511" t="s">
        <v>138</v>
      </c>
      <c r="CI511" t="s">
        <v>139</v>
      </c>
    </row>
    <row r="512" spans="1:87" x14ac:dyDescent="0.3">
      <c r="A512" t="s">
        <v>426</v>
      </c>
      <c r="B512" t="s">
        <v>116</v>
      </c>
      <c r="C512" t="s">
        <v>117</v>
      </c>
      <c r="D512" t="s">
        <v>118</v>
      </c>
      <c r="E512" t="s">
        <v>14</v>
      </c>
      <c r="F512" t="s">
        <v>383</v>
      </c>
      <c r="G512">
        <v>67</v>
      </c>
      <c r="H512">
        <v>0</v>
      </c>
      <c r="I512" s="14">
        <v>428000</v>
      </c>
      <c r="J512" s="14">
        <v>428000</v>
      </c>
      <c r="Q512" s="14"/>
      <c r="R512" s="14"/>
      <c r="Y512" s="14"/>
      <c r="Z512" s="14"/>
      <c r="AG512" s="14"/>
      <c r="AH512" s="14"/>
      <c r="AI512" t="s">
        <v>770</v>
      </c>
      <c r="AJ512" t="s">
        <v>771</v>
      </c>
      <c r="AK512" t="s">
        <v>772</v>
      </c>
      <c r="AL512">
        <v>0</v>
      </c>
      <c r="AM512" t="s">
        <v>773</v>
      </c>
      <c r="AN512" t="s">
        <v>774</v>
      </c>
      <c r="AO512" t="s">
        <v>125</v>
      </c>
      <c r="AP512" t="s">
        <v>152</v>
      </c>
      <c r="AQ512" s="15">
        <v>46107</v>
      </c>
      <c r="AR512" s="15">
        <v>46107</v>
      </c>
      <c r="AS512" t="s">
        <v>145</v>
      </c>
      <c r="AT512">
        <v>2</v>
      </c>
      <c r="AU512">
        <v>20520</v>
      </c>
      <c r="AV512">
        <v>0</v>
      </c>
      <c r="AW512">
        <v>0</v>
      </c>
      <c r="AX512" s="14">
        <v>20520</v>
      </c>
      <c r="AY512" s="14">
        <v>20520</v>
      </c>
      <c r="AZ512" s="14">
        <v>0</v>
      </c>
      <c r="BA512">
        <v>0</v>
      </c>
      <c r="BB512" t="s">
        <v>23</v>
      </c>
      <c r="BC512" t="s">
        <v>128</v>
      </c>
      <c r="BD512" t="s">
        <v>434</v>
      </c>
      <c r="BE512" t="s">
        <v>130</v>
      </c>
      <c r="BG512" t="s">
        <v>1479</v>
      </c>
      <c r="BH512" t="s">
        <v>132</v>
      </c>
      <c r="BJ512">
        <v>4</v>
      </c>
      <c r="BK512" t="s">
        <v>133</v>
      </c>
      <c r="BV512" t="s">
        <v>134</v>
      </c>
      <c r="BW512" s="16">
        <v>46049.344444444447</v>
      </c>
      <c r="BX512" t="s">
        <v>143</v>
      </c>
      <c r="BZ512">
        <v>10</v>
      </c>
      <c r="CA512" t="s">
        <v>1478</v>
      </c>
      <c r="CB512">
        <v>0</v>
      </c>
      <c r="CF512" t="s">
        <v>1087</v>
      </c>
      <c r="CG512">
        <v>2026</v>
      </c>
      <c r="CH512" t="s">
        <v>138</v>
      </c>
      <c r="CI512" t="s">
        <v>139</v>
      </c>
    </row>
    <row r="513" spans="1:87" x14ac:dyDescent="0.3">
      <c r="A513" t="s">
        <v>426</v>
      </c>
      <c r="B513" t="s">
        <v>116</v>
      </c>
      <c r="C513" t="s">
        <v>117</v>
      </c>
      <c r="D513" t="s">
        <v>118</v>
      </c>
      <c r="E513" t="s">
        <v>14</v>
      </c>
      <c r="F513" t="s">
        <v>383</v>
      </c>
      <c r="G513">
        <v>67</v>
      </c>
      <c r="H513">
        <v>0</v>
      </c>
      <c r="I513" s="14">
        <v>428000</v>
      </c>
      <c r="J513" s="14">
        <v>428000</v>
      </c>
      <c r="Q513" s="14"/>
      <c r="R513" s="14"/>
      <c r="Y513" s="14"/>
      <c r="Z513" s="14"/>
      <c r="AG513" s="14"/>
      <c r="AH513" s="14"/>
      <c r="AI513" t="s">
        <v>770</v>
      </c>
      <c r="AJ513" t="s">
        <v>771</v>
      </c>
      <c r="AK513" t="s">
        <v>772</v>
      </c>
      <c r="AL513">
        <v>0</v>
      </c>
      <c r="AM513" t="s">
        <v>773</v>
      </c>
      <c r="AN513" t="s">
        <v>774</v>
      </c>
      <c r="AO513" t="s">
        <v>125</v>
      </c>
      <c r="AP513" t="s">
        <v>152</v>
      </c>
      <c r="AQ513" s="15">
        <v>46232.386805555558</v>
      </c>
      <c r="AR513" s="15">
        <v>46230</v>
      </c>
      <c r="AS513" t="s">
        <v>227</v>
      </c>
      <c r="AT513">
        <v>1</v>
      </c>
      <c r="AU513">
        <v>0</v>
      </c>
      <c r="AV513">
        <v>0</v>
      </c>
      <c r="AW513">
        <v>0</v>
      </c>
      <c r="AX513" s="14">
        <v>385800</v>
      </c>
      <c r="AY513" s="14">
        <v>15655.84</v>
      </c>
      <c r="AZ513" s="14">
        <v>0</v>
      </c>
      <c r="BA513">
        <v>0</v>
      </c>
      <c r="BB513" t="s">
        <v>23</v>
      </c>
      <c r="BC513" t="s">
        <v>128</v>
      </c>
      <c r="BD513" t="s">
        <v>434</v>
      </c>
      <c r="BE513" t="s">
        <v>130</v>
      </c>
      <c r="BF513" t="s">
        <v>1480</v>
      </c>
      <c r="BH513" t="s">
        <v>132</v>
      </c>
      <c r="BJ513">
        <v>4</v>
      </c>
      <c r="BK513" t="s">
        <v>133</v>
      </c>
      <c r="BV513" t="s">
        <v>134</v>
      </c>
      <c r="BW513" s="16">
        <v>46049.344444444447</v>
      </c>
      <c r="BX513" t="s">
        <v>143</v>
      </c>
      <c r="BZ513">
        <v>10</v>
      </c>
      <c r="CA513" t="s">
        <v>1481</v>
      </c>
      <c r="CB513">
        <v>0</v>
      </c>
      <c r="CF513" t="s">
        <v>1087</v>
      </c>
      <c r="CG513">
        <v>2026</v>
      </c>
      <c r="CH513" t="s">
        <v>138</v>
      </c>
      <c r="CI513" t="s">
        <v>139</v>
      </c>
    </row>
    <row r="514" spans="1:87" x14ac:dyDescent="0.3">
      <c r="A514" t="s">
        <v>426</v>
      </c>
      <c r="B514" t="s">
        <v>116</v>
      </c>
      <c r="C514" t="s">
        <v>117</v>
      </c>
      <c r="D514" t="s">
        <v>118</v>
      </c>
      <c r="E514" t="s">
        <v>14</v>
      </c>
      <c r="F514" t="s">
        <v>383</v>
      </c>
      <c r="G514">
        <v>67</v>
      </c>
      <c r="H514">
        <v>0</v>
      </c>
      <c r="I514" s="14">
        <v>428000</v>
      </c>
      <c r="J514" s="14">
        <v>428000</v>
      </c>
      <c r="Q514" s="14"/>
      <c r="R514" s="14"/>
      <c r="Y514" s="14"/>
      <c r="Z514" s="14"/>
      <c r="AG514" s="14"/>
      <c r="AH514" s="14"/>
      <c r="AI514" t="s">
        <v>770</v>
      </c>
      <c r="AJ514" t="s">
        <v>771</v>
      </c>
      <c r="AK514" t="s">
        <v>772</v>
      </c>
      <c r="AL514">
        <v>0</v>
      </c>
      <c r="AM514" t="s">
        <v>773</v>
      </c>
      <c r="AN514" t="s">
        <v>774</v>
      </c>
      <c r="AO514" t="s">
        <v>125</v>
      </c>
      <c r="AP514" t="s">
        <v>152</v>
      </c>
      <c r="AQ514" s="15">
        <v>46232.386805555558</v>
      </c>
      <c r="AR514" s="15">
        <v>46230</v>
      </c>
      <c r="AS514" t="s">
        <v>227</v>
      </c>
      <c r="AT514">
        <v>1</v>
      </c>
      <c r="AU514">
        <v>385800</v>
      </c>
      <c r="AV514">
        <v>0</v>
      </c>
      <c r="AW514">
        <v>0</v>
      </c>
      <c r="AX514" s="14">
        <v>0</v>
      </c>
      <c r="AY514" s="14">
        <v>6344.16</v>
      </c>
      <c r="AZ514" s="14">
        <v>0</v>
      </c>
      <c r="BA514">
        <v>0</v>
      </c>
      <c r="BB514" t="s">
        <v>23</v>
      </c>
      <c r="BC514" t="s">
        <v>128</v>
      </c>
      <c r="BD514" t="s">
        <v>434</v>
      </c>
      <c r="BE514" t="s">
        <v>130</v>
      </c>
      <c r="BG514" t="s">
        <v>1482</v>
      </c>
      <c r="BH514" t="s">
        <v>132</v>
      </c>
      <c r="BJ514">
        <v>4</v>
      </c>
      <c r="BK514" t="s">
        <v>133</v>
      </c>
      <c r="BV514" t="s">
        <v>134</v>
      </c>
      <c r="BW514" s="16">
        <v>46049.344444444447</v>
      </c>
      <c r="BX514" t="s">
        <v>143</v>
      </c>
      <c r="BZ514">
        <v>10</v>
      </c>
      <c r="CA514" t="s">
        <v>1483</v>
      </c>
      <c r="CB514">
        <v>0</v>
      </c>
      <c r="CF514" t="s">
        <v>1087</v>
      </c>
      <c r="CG514">
        <v>2026</v>
      </c>
      <c r="CH514" t="s">
        <v>138</v>
      </c>
      <c r="CI514" t="s">
        <v>139</v>
      </c>
    </row>
    <row r="515" spans="1:87" x14ac:dyDescent="0.3">
      <c r="A515" t="s">
        <v>426</v>
      </c>
      <c r="B515" t="s">
        <v>116</v>
      </c>
      <c r="C515" t="s">
        <v>117</v>
      </c>
      <c r="D515" t="s">
        <v>118</v>
      </c>
      <c r="E515" t="s">
        <v>14</v>
      </c>
      <c r="F515" t="s">
        <v>383</v>
      </c>
      <c r="G515">
        <v>67</v>
      </c>
      <c r="H515">
        <v>0</v>
      </c>
      <c r="I515" s="14">
        <v>428000</v>
      </c>
      <c r="J515" s="14">
        <v>428000</v>
      </c>
      <c r="Q515" s="14"/>
      <c r="R515" s="14"/>
      <c r="Y515" s="14"/>
      <c r="Z515" s="14"/>
      <c r="AG515" s="14"/>
      <c r="AH515" s="14"/>
      <c r="AI515" t="s">
        <v>770</v>
      </c>
      <c r="AJ515" t="s">
        <v>771</v>
      </c>
      <c r="AK515" t="s">
        <v>772</v>
      </c>
      <c r="AL515">
        <v>0</v>
      </c>
      <c r="AM515" t="s">
        <v>773</v>
      </c>
      <c r="AN515" t="s">
        <v>774</v>
      </c>
      <c r="AO515" t="s">
        <v>125</v>
      </c>
      <c r="AP515" t="s">
        <v>152</v>
      </c>
      <c r="AQ515" s="15">
        <v>46232.386805555558</v>
      </c>
      <c r="AR515" s="15">
        <v>46171</v>
      </c>
      <c r="AS515" t="s">
        <v>227</v>
      </c>
      <c r="AT515">
        <v>1</v>
      </c>
      <c r="AU515">
        <v>0</v>
      </c>
      <c r="AV515">
        <v>0</v>
      </c>
      <c r="AW515">
        <v>0</v>
      </c>
      <c r="AX515" s="14">
        <v>0</v>
      </c>
      <c r="AY515" s="14">
        <v>363800</v>
      </c>
      <c r="AZ515" s="14">
        <v>0</v>
      </c>
      <c r="BA515">
        <v>0</v>
      </c>
      <c r="BB515" t="s">
        <v>23</v>
      </c>
      <c r="BC515" t="s">
        <v>128</v>
      </c>
      <c r="BD515" t="s">
        <v>434</v>
      </c>
      <c r="BE515" t="s">
        <v>130</v>
      </c>
      <c r="BH515" t="s">
        <v>132</v>
      </c>
      <c r="BJ515">
        <v>4</v>
      </c>
      <c r="BK515" t="s">
        <v>133</v>
      </c>
      <c r="BV515" t="s">
        <v>134</v>
      </c>
      <c r="BW515" s="16">
        <v>46049.344444444447</v>
      </c>
      <c r="BX515" t="s">
        <v>143</v>
      </c>
      <c r="BZ515">
        <v>10</v>
      </c>
      <c r="CA515" t="s">
        <v>1484</v>
      </c>
      <c r="CB515">
        <v>0</v>
      </c>
      <c r="CF515" t="s">
        <v>1087</v>
      </c>
      <c r="CG515">
        <v>2026</v>
      </c>
      <c r="CH515" t="s">
        <v>138</v>
      </c>
      <c r="CI515" t="s">
        <v>139</v>
      </c>
    </row>
    <row r="516" spans="1:87" x14ac:dyDescent="0.3">
      <c r="A516" t="s">
        <v>426</v>
      </c>
      <c r="B516" t="s">
        <v>116</v>
      </c>
      <c r="C516" t="s">
        <v>117</v>
      </c>
      <c r="D516" t="s">
        <v>118</v>
      </c>
      <c r="E516" t="s">
        <v>140</v>
      </c>
      <c r="F516" t="s">
        <v>1485</v>
      </c>
      <c r="G516">
        <v>15.35</v>
      </c>
      <c r="H516">
        <v>0</v>
      </c>
      <c r="I516" s="14">
        <v>54000</v>
      </c>
      <c r="J516" s="14">
        <v>54000</v>
      </c>
      <c r="Q516" s="14"/>
      <c r="R516" s="14"/>
      <c r="Y516" s="14"/>
      <c r="Z516" s="14"/>
      <c r="AG516" s="14"/>
      <c r="AH516" s="14"/>
      <c r="AI516" t="s">
        <v>1486</v>
      </c>
      <c r="AJ516" t="s">
        <v>771</v>
      </c>
      <c r="AK516" t="s">
        <v>772</v>
      </c>
      <c r="AL516">
        <v>0</v>
      </c>
      <c r="AM516" t="s">
        <v>773</v>
      </c>
      <c r="AN516" t="s">
        <v>774</v>
      </c>
      <c r="AO516" t="s">
        <v>125</v>
      </c>
      <c r="AP516" t="s">
        <v>152</v>
      </c>
      <c r="AQ516" s="15">
        <v>46079</v>
      </c>
      <c r="AR516" s="15">
        <v>46079</v>
      </c>
      <c r="AS516" t="s">
        <v>127</v>
      </c>
      <c r="AT516">
        <v>1</v>
      </c>
      <c r="AU516">
        <v>3000</v>
      </c>
      <c r="AV516">
        <v>0</v>
      </c>
      <c r="AW516">
        <v>0</v>
      </c>
      <c r="AX516" s="14">
        <v>3000</v>
      </c>
      <c r="AY516" s="14">
        <v>3000</v>
      </c>
      <c r="AZ516" s="14">
        <v>0</v>
      </c>
      <c r="BA516">
        <v>0</v>
      </c>
      <c r="BB516" t="s">
        <v>22</v>
      </c>
      <c r="BC516" t="s">
        <v>128</v>
      </c>
      <c r="BD516" t="s">
        <v>434</v>
      </c>
      <c r="BE516" t="s">
        <v>130</v>
      </c>
      <c r="BG516" t="s">
        <v>1487</v>
      </c>
      <c r="BH516" t="s">
        <v>132</v>
      </c>
      <c r="BJ516">
        <v>4</v>
      </c>
      <c r="BK516" t="s">
        <v>133</v>
      </c>
      <c r="BV516" t="s">
        <v>134</v>
      </c>
      <c r="BW516" s="16">
        <v>46079.419444444437</v>
      </c>
      <c r="BX516" t="s">
        <v>143</v>
      </c>
      <c r="BZ516">
        <v>17</v>
      </c>
      <c r="CA516" t="s">
        <v>1488</v>
      </c>
      <c r="CB516">
        <v>0</v>
      </c>
      <c r="CF516" t="s">
        <v>1087</v>
      </c>
      <c r="CG516">
        <v>2026</v>
      </c>
      <c r="CH516" t="s">
        <v>138</v>
      </c>
      <c r="CI516" t="s">
        <v>139</v>
      </c>
    </row>
    <row r="517" spans="1:87" x14ac:dyDescent="0.3">
      <c r="A517" t="s">
        <v>426</v>
      </c>
      <c r="B517" t="s">
        <v>116</v>
      </c>
      <c r="C517" t="s">
        <v>117</v>
      </c>
      <c r="D517" t="s">
        <v>118</v>
      </c>
      <c r="E517" t="s">
        <v>140</v>
      </c>
      <c r="F517" t="s">
        <v>1485</v>
      </c>
      <c r="G517">
        <v>15.35</v>
      </c>
      <c r="H517">
        <v>0</v>
      </c>
      <c r="I517" s="14">
        <v>54000</v>
      </c>
      <c r="J517" s="14">
        <v>54000</v>
      </c>
      <c r="Q517" s="14"/>
      <c r="R517" s="14"/>
      <c r="Y517" s="14"/>
      <c r="Z517" s="14"/>
      <c r="AG517" s="14"/>
      <c r="AH517" s="14"/>
      <c r="AI517" t="s">
        <v>1486</v>
      </c>
      <c r="AJ517" t="s">
        <v>771</v>
      </c>
      <c r="AK517" t="s">
        <v>772</v>
      </c>
      <c r="AL517">
        <v>0</v>
      </c>
      <c r="AM517" t="s">
        <v>773</v>
      </c>
      <c r="AN517" t="s">
        <v>774</v>
      </c>
      <c r="AO517" t="s">
        <v>125</v>
      </c>
      <c r="AP517" t="s">
        <v>152</v>
      </c>
      <c r="AQ517" s="15">
        <v>46079</v>
      </c>
      <c r="AR517" s="15">
        <v>46079</v>
      </c>
      <c r="AS517" t="s">
        <v>145</v>
      </c>
      <c r="AT517">
        <v>1</v>
      </c>
      <c r="AU517">
        <v>7000</v>
      </c>
      <c r="AV517">
        <v>0</v>
      </c>
      <c r="AW517">
        <v>0</v>
      </c>
      <c r="AX517" s="14">
        <v>7000</v>
      </c>
      <c r="AY517" s="14">
        <v>7000</v>
      </c>
      <c r="AZ517" s="14">
        <v>0</v>
      </c>
      <c r="BA517">
        <v>0</v>
      </c>
      <c r="BB517" t="s">
        <v>22</v>
      </c>
      <c r="BC517" t="s">
        <v>128</v>
      </c>
      <c r="BD517" t="s">
        <v>434</v>
      </c>
      <c r="BE517" t="s">
        <v>130</v>
      </c>
      <c r="BG517" t="s">
        <v>1487</v>
      </c>
      <c r="BH517" t="s">
        <v>132</v>
      </c>
      <c r="BJ517">
        <v>4</v>
      </c>
      <c r="BK517" t="s">
        <v>133</v>
      </c>
      <c r="BV517" t="s">
        <v>134</v>
      </c>
      <c r="BW517" s="16">
        <v>46079.419444444437</v>
      </c>
      <c r="BX517" t="s">
        <v>143</v>
      </c>
      <c r="BZ517">
        <v>17</v>
      </c>
      <c r="CA517" t="s">
        <v>1488</v>
      </c>
      <c r="CB517">
        <v>0</v>
      </c>
      <c r="CF517" t="s">
        <v>1087</v>
      </c>
      <c r="CG517">
        <v>2026</v>
      </c>
      <c r="CH517" t="s">
        <v>138</v>
      </c>
      <c r="CI517" t="s">
        <v>139</v>
      </c>
    </row>
    <row r="518" spans="1:87" x14ac:dyDescent="0.3">
      <c r="A518" t="s">
        <v>426</v>
      </c>
      <c r="B518" t="s">
        <v>116</v>
      </c>
      <c r="C518" t="s">
        <v>117</v>
      </c>
      <c r="D518" t="s">
        <v>118</v>
      </c>
      <c r="E518" t="s">
        <v>140</v>
      </c>
      <c r="F518" t="s">
        <v>1485</v>
      </c>
      <c r="G518">
        <v>15.35</v>
      </c>
      <c r="H518">
        <v>0</v>
      </c>
      <c r="I518" s="14">
        <v>54000</v>
      </c>
      <c r="J518" s="14">
        <v>54000</v>
      </c>
      <c r="Q518" s="14"/>
      <c r="R518" s="14"/>
      <c r="Y518" s="14"/>
      <c r="Z518" s="14"/>
      <c r="AG518" s="14"/>
      <c r="AH518" s="14"/>
      <c r="AI518" t="s">
        <v>1486</v>
      </c>
      <c r="AJ518" t="s">
        <v>771</v>
      </c>
      <c r="AK518" t="s">
        <v>772</v>
      </c>
      <c r="AL518">
        <v>0</v>
      </c>
      <c r="AM518" t="s">
        <v>773</v>
      </c>
      <c r="AN518" t="s">
        <v>774</v>
      </c>
      <c r="AO518" t="s">
        <v>125</v>
      </c>
      <c r="AP518" t="s">
        <v>152</v>
      </c>
      <c r="AQ518" s="15">
        <v>46203</v>
      </c>
      <c r="AR518" s="15">
        <v>46197</v>
      </c>
      <c r="AS518" t="s">
        <v>227</v>
      </c>
      <c r="AT518">
        <v>1</v>
      </c>
      <c r="AU518">
        <v>3666.67</v>
      </c>
      <c r="AV518">
        <v>0</v>
      </c>
      <c r="AW518">
        <v>0</v>
      </c>
      <c r="AX518" s="14">
        <v>3666.67</v>
      </c>
      <c r="AY518" s="14">
        <v>3666.67</v>
      </c>
      <c r="AZ518" s="14">
        <v>0</v>
      </c>
      <c r="BA518">
        <v>0</v>
      </c>
      <c r="BB518" t="s">
        <v>22</v>
      </c>
      <c r="BC518" t="s">
        <v>128</v>
      </c>
      <c r="BD518" t="s">
        <v>434</v>
      </c>
      <c r="BE518" t="s">
        <v>130</v>
      </c>
      <c r="BG518" t="s">
        <v>1489</v>
      </c>
      <c r="BH518" t="s">
        <v>132</v>
      </c>
      <c r="BJ518">
        <v>4</v>
      </c>
      <c r="BK518" t="s">
        <v>133</v>
      </c>
      <c r="BV518" t="s">
        <v>134</v>
      </c>
      <c r="BW518" s="16">
        <v>46079.419444444437</v>
      </c>
      <c r="BX518" t="s">
        <v>143</v>
      </c>
      <c r="BZ518">
        <v>17</v>
      </c>
      <c r="CA518" t="s">
        <v>1490</v>
      </c>
      <c r="CB518">
        <v>0</v>
      </c>
      <c r="CF518" t="s">
        <v>1087</v>
      </c>
      <c r="CG518">
        <v>2026</v>
      </c>
      <c r="CH518" t="s">
        <v>138</v>
      </c>
      <c r="CI518" t="s">
        <v>139</v>
      </c>
    </row>
    <row r="519" spans="1:87" x14ac:dyDescent="0.3">
      <c r="A519" t="s">
        <v>426</v>
      </c>
      <c r="B519" t="s">
        <v>116</v>
      </c>
      <c r="C519" t="s">
        <v>117</v>
      </c>
      <c r="D519" t="s">
        <v>118</v>
      </c>
      <c r="E519" t="s">
        <v>140</v>
      </c>
      <c r="F519" t="s">
        <v>1485</v>
      </c>
      <c r="G519">
        <v>15.35</v>
      </c>
      <c r="H519">
        <v>0</v>
      </c>
      <c r="I519" s="14">
        <v>54000</v>
      </c>
      <c r="J519" s="14">
        <v>54000</v>
      </c>
      <c r="Q519" s="14"/>
      <c r="R519" s="14"/>
      <c r="Y519" s="14"/>
      <c r="Z519" s="14"/>
      <c r="AG519" s="14"/>
      <c r="AH519" s="14"/>
      <c r="AI519" t="s">
        <v>1486</v>
      </c>
      <c r="AJ519" t="s">
        <v>771</v>
      </c>
      <c r="AK519" t="s">
        <v>772</v>
      </c>
      <c r="AL519">
        <v>0</v>
      </c>
      <c r="AM519" t="s">
        <v>773</v>
      </c>
      <c r="AN519" t="s">
        <v>774</v>
      </c>
      <c r="AO519" t="s">
        <v>125</v>
      </c>
      <c r="AP519" t="s">
        <v>152</v>
      </c>
      <c r="AQ519" s="15">
        <v>46233</v>
      </c>
      <c r="AR519" s="15">
        <v>46197</v>
      </c>
      <c r="AS519" t="s">
        <v>227</v>
      </c>
      <c r="AT519">
        <v>2</v>
      </c>
      <c r="AU519">
        <v>3666.67</v>
      </c>
      <c r="AV519">
        <v>0</v>
      </c>
      <c r="AW519">
        <v>0</v>
      </c>
      <c r="AX519" s="14">
        <v>3666.67</v>
      </c>
      <c r="AY519" s="14">
        <v>3666.67</v>
      </c>
      <c r="AZ519" s="14">
        <v>0</v>
      </c>
      <c r="BA519">
        <v>0</v>
      </c>
      <c r="BB519" t="s">
        <v>22</v>
      </c>
      <c r="BC519" t="s">
        <v>128</v>
      </c>
      <c r="BD519" t="s">
        <v>434</v>
      </c>
      <c r="BE519" t="s">
        <v>130</v>
      </c>
      <c r="BG519" t="s">
        <v>1491</v>
      </c>
      <c r="BH519" t="s">
        <v>132</v>
      </c>
      <c r="BJ519">
        <v>4</v>
      </c>
      <c r="BK519" t="s">
        <v>133</v>
      </c>
      <c r="BV519" t="s">
        <v>134</v>
      </c>
      <c r="BW519" s="16">
        <v>46079.419444444437</v>
      </c>
      <c r="BX519" t="s">
        <v>143</v>
      </c>
      <c r="BZ519">
        <v>17</v>
      </c>
      <c r="CA519" t="s">
        <v>1492</v>
      </c>
      <c r="CB519">
        <v>0</v>
      </c>
      <c r="CF519" t="s">
        <v>1087</v>
      </c>
      <c r="CG519">
        <v>2026</v>
      </c>
      <c r="CH519" t="s">
        <v>138</v>
      </c>
      <c r="CI519" t="s">
        <v>139</v>
      </c>
    </row>
    <row r="520" spans="1:87" x14ac:dyDescent="0.3">
      <c r="A520" t="s">
        <v>426</v>
      </c>
      <c r="B520" t="s">
        <v>116</v>
      </c>
      <c r="C520" t="s">
        <v>117</v>
      </c>
      <c r="D520" t="s">
        <v>118</v>
      </c>
      <c r="E520" t="s">
        <v>140</v>
      </c>
      <c r="F520" t="s">
        <v>1485</v>
      </c>
      <c r="G520">
        <v>15.35</v>
      </c>
      <c r="H520">
        <v>0</v>
      </c>
      <c r="I520" s="14">
        <v>54000</v>
      </c>
      <c r="J520" s="14">
        <v>54000</v>
      </c>
      <c r="Q520" s="14"/>
      <c r="R520" s="14"/>
      <c r="Y520" s="14"/>
      <c r="Z520" s="14"/>
      <c r="AG520" s="14"/>
      <c r="AH520" s="14"/>
      <c r="AI520" t="s">
        <v>1486</v>
      </c>
      <c r="AJ520" t="s">
        <v>771</v>
      </c>
      <c r="AK520" t="s">
        <v>772</v>
      </c>
      <c r="AL520">
        <v>0</v>
      </c>
      <c r="AM520" t="s">
        <v>773</v>
      </c>
      <c r="AN520" t="s">
        <v>774</v>
      </c>
      <c r="AO520" t="s">
        <v>125</v>
      </c>
      <c r="AP520" t="s">
        <v>152</v>
      </c>
      <c r="AQ520" s="15">
        <v>46264</v>
      </c>
      <c r="AR520" s="15">
        <v>46206</v>
      </c>
      <c r="AS520" t="s">
        <v>227</v>
      </c>
      <c r="AT520">
        <v>3</v>
      </c>
      <c r="AU520">
        <v>3666.67</v>
      </c>
      <c r="AV520">
        <v>0</v>
      </c>
      <c r="AW520">
        <v>0</v>
      </c>
      <c r="AX520" s="14">
        <v>3666.67</v>
      </c>
      <c r="AY520" s="14">
        <v>3666.67</v>
      </c>
      <c r="AZ520" s="14">
        <v>0</v>
      </c>
      <c r="BA520">
        <v>0</v>
      </c>
      <c r="BB520" t="s">
        <v>22</v>
      </c>
      <c r="BC520" t="s">
        <v>128</v>
      </c>
      <c r="BD520" t="s">
        <v>434</v>
      </c>
      <c r="BE520" t="s">
        <v>130</v>
      </c>
      <c r="BG520" t="s">
        <v>1493</v>
      </c>
      <c r="BH520" t="s">
        <v>132</v>
      </c>
      <c r="BJ520">
        <v>4</v>
      </c>
      <c r="BK520" t="s">
        <v>133</v>
      </c>
      <c r="BV520" t="s">
        <v>134</v>
      </c>
      <c r="BW520" s="16">
        <v>46079.419444444437</v>
      </c>
      <c r="BX520" t="s">
        <v>143</v>
      </c>
      <c r="BZ520">
        <v>17</v>
      </c>
      <c r="CA520" t="s">
        <v>1494</v>
      </c>
      <c r="CB520">
        <v>0</v>
      </c>
      <c r="CF520" t="s">
        <v>1087</v>
      </c>
      <c r="CG520">
        <v>2026</v>
      </c>
      <c r="CH520" t="s">
        <v>138</v>
      </c>
      <c r="CI520" t="s">
        <v>139</v>
      </c>
    </row>
    <row r="521" spans="1:87" x14ac:dyDescent="0.3">
      <c r="A521" t="s">
        <v>426</v>
      </c>
      <c r="B521" t="s">
        <v>116</v>
      </c>
      <c r="C521" t="s">
        <v>117</v>
      </c>
      <c r="D521" t="s">
        <v>118</v>
      </c>
      <c r="E521" t="s">
        <v>140</v>
      </c>
      <c r="F521" t="s">
        <v>1485</v>
      </c>
      <c r="G521">
        <v>15.35</v>
      </c>
      <c r="H521">
        <v>0</v>
      </c>
      <c r="I521" s="14">
        <v>54000</v>
      </c>
      <c r="J521" s="14">
        <v>54000</v>
      </c>
      <c r="Q521" s="14"/>
      <c r="R521" s="14"/>
      <c r="Y521" s="14"/>
      <c r="Z521" s="14"/>
      <c r="AG521" s="14"/>
      <c r="AH521" s="14"/>
      <c r="AI521" t="s">
        <v>1486</v>
      </c>
      <c r="AJ521" t="s">
        <v>771</v>
      </c>
      <c r="AK521" t="s">
        <v>772</v>
      </c>
      <c r="AL521">
        <v>0</v>
      </c>
      <c r="AM521" t="s">
        <v>773</v>
      </c>
      <c r="AN521" t="s">
        <v>774</v>
      </c>
      <c r="AO521" t="s">
        <v>125</v>
      </c>
      <c r="AP521" t="s">
        <v>152</v>
      </c>
      <c r="AQ521" s="15">
        <v>46295</v>
      </c>
      <c r="AR521" s="15">
        <v>46233</v>
      </c>
      <c r="AS521" t="s">
        <v>227</v>
      </c>
      <c r="AT521">
        <v>4</v>
      </c>
      <c r="AU521">
        <v>3666.67</v>
      </c>
      <c r="AV521">
        <v>0</v>
      </c>
      <c r="AW521">
        <v>0</v>
      </c>
      <c r="AX521" s="14">
        <v>3666.67</v>
      </c>
      <c r="AY521" s="14">
        <v>3666.67</v>
      </c>
      <c r="AZ521" s="14">
        <v>0</v>
      </c>
      <c r="BA521">
        <v>0</v>
      </c>
      <c r="BB521" t="s">
        <v>22</v>
      </c>
      <c r="BC521" t="s">
        <v>128</v>
      </c>
      <c r="BD521" t="s">
        <v>434</v>
      </c>
      <c r="BE521" t="s">
        <v>130</v>
      </c>
      <c r="BG521" t="s">
        <v>1495</v>
      </c>
      <c r="BH521" t="s">
        <v>132</v>
      </c>
      <c r="BJ521">
        <v>4</v>
      </c>
      <c r="BK521" t="s">
        <v>133</v>
      </c>
      <c r="BV521" t="s">
        <v>134</v>
      </c>
      <c r="BW521" s="16">
        <v>46079.419444444437</v>
      </c>
      <c r="BX521" t="s">
        <v>143</v>
      </c>
      <c r="BZ521">
        <v>17</v>
      </c>
      <c r="CA521" t="s">
        <v>1496</v>
      </c>
      <c r="CB521">
        <v>0</v>
      </c>
      <c r="CF521" t="s">
        <v>1087</v>
      </c>
      <c r="CG521">
        <v>2026</v>
      </c>
      <c r="CH521" t="s">
        <v>138</v>
      </c>
      <c r="CI521" t="s">
        <v>139</v>
      </c>
    </row>
    <row r="522" spans="1:87" x14ac:dyDescent="0.3">
      <c r="A522" t="s">
        <v>426</v>
      </c>
      <c r="B522" t="s">
        <v>116</v>
      </c>
      <c r="C522" t="s">
        <v>117</v>
      </c>
      <c r="D522" t="s">
        <v>118</v>
      </c>
      <c r="E522" t="s">
        <v>140</v>
      </c>
      <c r="F522" t="s">
        <v>1485</v>
      </c>
      <c r="G522">
        <v>15.35</v>
      </c>
      <c r="H522">
        <v>0</v>
      </c>
      <c r="I522" s="14">
        <v>54000</v>
      </c>
      <c r="J522" s="14">
        <v>54000</v>
      </c>
      <c r="Q522" s="14"/>
      <c r="R522" s="14"/>
      <c r="Y522" s="14"/>
      <c r="Z522" s="14"/>
      <c r="AG522" s="14"/>
      <c r="AH522" s="14"/>
      <c r="AI522" t="s">
        <v>1486</v>
      </c>
      <c r="AJ522" t="s">
        <v>771</v>
      </c>
      <c r="AK522" t="s">
        <v>772</v>
      </c>
      <c r="AL522">
        <v>0</v>
      </c>
      <c r="AM522" t="s">
        <v>773</v>
      </c>
      <c r="AN522" t="s">
        <v>774</v>
      </c>
      <c r="AO522" t="s">
        <v>125</v>
      </c>
      <c r="AP522" t="s">
        <v>152</v>
      </c>
      <c r="AQ522" s="15">
        <v>46325</v>
      </c>
      <c r="AR522" s="15"/>
      <c r="AS522" t="s">
        <v>227</v>
      </c>
      <c r="AT522">
        <v>5</v>
      </c>
      <c r="AU522">
        <v>3666.67</v>
      </c>
      <c r="AV522">
        <v>0</v>
      </c>
      <c r="AW522">
        <v>0</v>
      </c>
      <c r="AX522" s="14">
        <v>3666.67</v>
      </c>
      <c r="AY522" s="14">
        <v>0</v>
      </c>
      <c r="AZ522" s="14">
        <v>3666.67</v>
      </c>
      <c r="BB522" t="s">
        <v>22</v>
      </c>
      <c r="BH522" t="s">
        <v>132</v>
      </c>
      <c r="BK522" t="s">
        <v>1100</v>
      </c>
      <c r="BV522" t="s">
        <v>132</v>
      </c>
      <c r="BW522" s="16">
        <v>46079.419444444437</v>
      </c>
      <c r="BX522" t="s">
        <v>143</v>
      </c>
      <c r="BZ522">
        <v>17</v>
      </c>
      <c r="CB522">
        <v>0</v>
      </c>
      <c r="CF522" t="s">
        <v>1087</v>
      </c>
      <c r="CG522">
        <v>2026</v>
      </c>
      <c r="CH522" t="s">
        <v>138</v>
      </c>
      <c r="CI522" t="s">
        <v>139</v>
      </c>
    </row>
    <row r="523" spans="1:87" x14ac:dyDescent="0.3">
      <c r="A523" t="s">
        <v>426</v>
      </c>
      <c r="B523" t="s">
        <v>116</v>
      </c>
      <c r="C523" t="s">
        <v>117</v>
      </c>
      <c r="D523" t="s">
        <v>118</v>
      </c>
      <c r="E523" t="s">
        <v>140</v>
      </c>
      <c r="F523" t="s">
        <v>1485</v>
      </c>
      <c r="G523">
        <v>15.35</v>
      </c>
      <c r="H523">
        <v>0</v>
      </c>
      <c r="I523" s="14">
        <v>54000</v>
      </c>
      <c r="J523" s="14">
        <v>54000</v>
      </c>
      <c r="Q523" s="14"/>
      <c r="R523" s="14"/>
      <c r="Y523" s="14"/>
      <c r="Z523" s="14"/>
      <c r="AG523" s="14"/>
      <c r="AH523" s="14"/>
      <c r="AI523" t="s">
        <v>1486</v>
      </c>
      <c r="AJ523" t="s">
        <v>771</v>
      </c>
      <c r="AK523" t="s">
        <v>772</v>
      </c>
      <c r="AL523">
        <v>0</v>
      </c>
      <c r="AM523" t="s">
        <v>773</v>
      </c>
      <c r="AN523" t="s">
        <v>774</v>
      </c>
      <c r="AO523" t="s">
        <v>125</v>
      </c>
      <c r="AP523" t="s">
        <v>152</v>
      </c>
      <c r="AQ523" s="15">
        <v>46356</v>
      </c>
      <c r="AR523" s="15"/>
      <c r="AS523" t="s">
        <v>227</v>
      </c>
      <c r="AT523">
        <v>6</v>
      </c>
      <c r="AU523">
        <v>3666.67</v>
      </c>
      <c r="AV523">
        <v>0</v>
      </c>
      <c r="AW523">
        <v>0</v>
      </c>
      <c r="AX523" s="14">
        <v>3666.67</v>
      </c>
      <c r="AY523" s="14">
        <v>0</v>
      </c>
      <c r="AZ523" s="14">
        <v>3666.67</v>
      </c>
      <c r="BB523" t="s">
        <v>22</v>
      </c>
      <c r="BH523" t="s">
        <v>132</v>
      </c>
      <c r="BK523" t="s">
        <v>1100</v>
      </c>
      <c r="BV523" t="s">
        <v>132</v>
      </c>
      <c r="BW523" s="16">
        <v>46079.419444444437</v>
      </c>
      <c r="BX523" t="s">
        <v>143</v>
      </c>
      <c r="BZ523">
        <v>17</v>
      </c>
      <c r="CB523">
        <v>0</v>
      </c>
      <c r="CF523" t="s">
        <v>1087</v>
      </c>
      <c r="CG523">
        <v>2026</v>
      </c>
      <c r="CH523" t="s">
        <v>138</v>
      </c>
      <c r="CI523" t="s">
        <v>139</v>
      </c>
    </row>
    <row r="524" spans="1:87" x14ac:dyDescent="0.3">
      <c r="A524" t="s">
        <v>426</v>
      </c>
      <c r="B524" t="s">
        <v>116</v>
      </c>
      <c r="C524" t="s">
        <v>117</v>
      </c>
      <c r="D524" t="s">
        <v>118</v>
      </c>
      <c r="E524" t="s">
        <v>140</v>
      </c>
      <c r="F524" t="s">
        <v>1485</v>
      </c>
      <c r="G524">
        <v>15.35</v>
      </c>
      <c r="H524">
        <v>0</v>
      </c>
      <c r="I524" s="14">
        <v>54000</v>
      </c>
      <c r="J524" s="14">
        <v>54000</v>
      </c>
      <c r="Q524" s="14"/>
      <c r="R524" s="14"/>
      <c r="Y524" s="14"/>
      <c r="Z524" s="14"/>
      <c r="AG524" s="14"/>
      <c r="AH524" s="14"/>
      <c r="AI524" t="s">
        <v>1486</v>
      </c>
      <c r="AJ524" t="s">
        <v>771</v>
      </c>
      <c r="AK524" t="s">
        <v>772</v>
      </c>
      <c r="AL524">
        <v>0</v>
      </c>
      <c r="AM524" t="s">
        <v>773</v>
      </c>
      <c r="AN524" t="s">
        <v>774</v>
      </c>
      <c r="AO524" t="s">
        <v>125</v>
      </c>
      <c r="AP524" t="s">
        <v>152</v>
      </c>
      <c r="AQ524" s="15">
        <v>46386</v>
      </c>
      <c r="AR524" s="15"/>
      <c r="AS524" t="s">
        <v>227</v>
      </c>
      <c r="AT524">
        <v>7</v>
      </c>
      <c r="AU524">
        <v>3666.67</v>
      </c>
      <c r="AV524">
        <v>0</v>
      </c>
      <c r="AW524">
        <v>0</v>
      </c>
      <c r="AX524" s="14">
        <v>3666.67</v>
      </c>
      <c r="AY524" s="14">
        <v>0</v>
      </c>
      <c r="AZ524" s="14">
        <v>3666.67</v>
      </c>
      <c r="BB524" t="s">
        <v>22</v>
      </c>
      <c r="BH524" t="s">
        <v>132</v>
      </c>
      <c r="BK524" t="s">
        <v>1100</v>
      </c>
      <c r="BV524" t="s">
        <v>132</v>
      </c>
      <c r="BW524" s="16">
        <v>46079.419444444437</v>
      </c>
      <c r="BX524" t="s">
        <v>143</v>
      </c>
      <c r="BZ524">
        <v>17</v>
      </c>
      <c r="CB524">
        <v>0</v>
      </c>
      <c r="CF524" t="s">
        <v>1087</v>
      </c>
      <c r="CG524">
        <v>2026</v>
      </c>
      <c r="CH524" t="s">
        <v>138</v>
      </c>
      <c r="CI524" t="s">
        <v>139</v>
      </c>
    </row>
    <row r="525" spans="1:87" x14ac:dyDescent="0.3">
      <c r="A525" t="s">
        <v>115</v>
      </c>
      <c r="B525" t="s">
        <v>116</v>
      </c>
      <c r="C525" t="s">
        <v>117</v>
      </c>
      <c r="D525" t="s">
        <v>118</v>
      </c>
      <c r="E525" t="s">
        <v>140</v>
      </c>
      <c r="F525" t="s">
        <v>781</v>
      </c>
      <c r="G525">
        <v>13.52</v>
      </c>
      <c r="H525">
        <v>0</v>
      </c>
      <c r="I525" s="14">
        <v>51500</v>
      </c>
      <c r="J525" s="14">
        <v>51500</v>
      </c>
      <c r="Q525" s="14"/>
      <c r="R525" s="14"/>
      <c r="Y525" s="14"/>
      <c r="Z525" s="14"/>
      <c r="AG525" s="14"/>
      <c r="AH525" s="14"/>
      <c r="AI525" t="s">
        <v>251</v>
      </c>
      <c r="AJ525" t="s">
        <v>252</v>
      </c>
      <c r="AK525" t="s">
        <v>253</v>
      </c>
      <c r="AL525">
        <v>0</v>
      </c>
      <c r="AM525" t="s">
        <v>254</v>
      </c>
      <c r="AN525" t="s">
        <v>255</v>
      </c>
      <c r="AO525" t="s">
        <v>125</v>
      </c>
      <c r="AP525" t="s">
        <v>256</v>
      </c>
      <c r="AQ525" s="15">
        <v>46027</v>
      </c>
      <c r="AR525" s="15">
        <v>46027</v>
      </c>
      <c r="AS525" t="s">
        <v>227</v>
      </c>
      <c r="AT525">
        <v>2</v>
      </c>
      <c r="AU525">
        <v>3000</v>
      </c>
      <c r="AV525">
        <v>0</v>
      </c>
      <c r="AW525">
        <v>0</v>
      </c>
      <c r="AX525" s="14">
        <v>3000</v>
      </c>
      <c r="AY525" s="14">
        <v>3000</v>
      </c>
      <c r="AZ525" s="14">
        <v>0</v>
      </c>
      <c r="BA525">
        <v>0</v>
      </c>
      <c r="BB525" t="s">
        <v>22</v>
      </c>
      <c r="BC525" t="s">
        <v>128</v>
      </c>
      <c r="BD525" t="s">
        <v>129</v>
      </c>
      <c r="BE525" t="s">
        <v>130</v>
      </c>
      <c r="BG525" t="s">
        <v>1497</v>
      </c>
      <c r="BH525" t="s">
        <v>132</v>
      </c>
      <c r="BJ525">
        <v>4</v>
      </c>
      <c r="BK525" t="s">
        <v>133</v>
      </c>
      <c r="BV525" t="s">
        <v>134</v>
      </c>
      <c r="BW525" s="16">
        <v>45960.71875</v>
      </c>
      <c r="BX525" t="s">
        <v>143</v>
      </c>
      <c r="BZ525">
        <v>59</v>
      </c>
      <c r="CA525" t="s">
        <v>1498</v>
      </c>
      <c r="CB525">
        <v>0</v>
      </c>
      <c r="CF525" t="s">
        <v>1087</v>
      </c>
      <c r="CG525">
        <v>2026</v>
      </c>
      <c r="CH525" t="s">
        <v>138</v>
      </c>
      <c r="CI525" t="s">
        <v>139</v>
      </c>
    </row>
    <row r="526" spans="1:87" x14ac:dyDescent="0.3">
      <c r="A526" t="s">
        <v>115</v>
      </c>
      <c r="B526" t="s">
        <v>116</v>
      </c>
      <c r="C526" t="s">
        <v>117</v>
      </c>
      <c r="D526" t="s">
        <v>118</v>
      </c>
      <c r="E526" t="s">
        <v>140</v>
      </c>
      <c r="F526" t="s">
        <v>781</v>
      </c>
      <c r="G526">
        <v>13.52</v>
      </c>
      <c r="H526">
        <v>0</v>
      </c>
      <c r="I526" s="14">
        <v>51500</v>
      </c>
      <c r="J526" s="14">
        <v>51500</v>
      </c>
      <c r="Q526" s="14"/>
      <c r="R526" s="14"/>
      <c r="Y526" s="14"/>
      <c r="Z526" s="14"/>
      <c r="AG526" s="14"/>
      <c r="AH526" s="14"/>
      <c r="AI526" t="s">
        <v>251</v>
      </c>
      <c r="AJ526" t="s">
        <v>252</v>
      </c>
      <c r="AK526" t="s">
        <v>253</v>
      </c>
      <c r="AL526">
        <v>0</v>
      </c>
      <c r="AM526" t="s">
        <v>254</v>
      </c>
      <c r="AN526" t="s">
        <v>255</v>
      </c>
      <c r="AO526" t="s">
        <v>125</v>
      </c>
      <c r="AP526" t="s">
        <v>256</v>
      </c>
      <c r="AQ526" s="15">
        <v>46058</v>
      </c>
      <c r="AR526" s="15">
        <v>46055</v>
      </c>
      <c r="AS526" t="s">
        <v>227</v>
      </c>
      <c r="AT526">
        <v>3</v>
      </c>
      <c r="AU526">
        <v>3000</v>
      </c>
      <c r="AV526">
        <v>0</v>
      </c>
      <c r="AW526">
        <v>0</v>
      </c>
      <c r="AX526" s="14">
        <v>3000</v>
      </c>
      <c r="AY526" s="14">
        <v>3000</v>
      </c>
      <c r="AZ526" s="14">
        <v>0</v>
      </c>
      <c r="BA526">
        <v>0</v>
      </c>
      <c r="BB526" t="s">
        <v>22</v>
      </c>
      <c r="BC526" t="s">
        <v>128</v>
      </c>
      <c r="BD526" t="s">
        <v>129</v>
      </c>
      <c r="BE526" t="s">
        <v>130</v>
      </c>
      <c r="BG526" t="s">
        <v>1499</v>
      </c>
      <c r="BH526" t="s">
        <v>132</v>
      </c>
      <c r="BJ526">
        <v>4</v>
      </c>
      <c r="BK526" t="s">
        <v>133</v>
      </c>
      <c r="BV526" t="s">
        <v>134</v>
      </c>
      <c r="BW526" s="16">
        <v>45960.71875</v>
      </c>
      <c r="BX526" t="s">
        <v>143</v>
      </c>
      <c r="BZ526">
        <v>59</v>
      </c>
      <c r="CA526" t="s">
        <v>1500</v>
      </c>
      <c r="CB526">
        <v>0</v>
      </c>
      <c r="CF526" t="s">
        <v>1087</v>
      </c>
      <c r="CG526">
        <v>2026</v>
      </c>
      <c r="CH526" t="s">
        <v>138</v>
      </c>
      <c r="CI526" t="s">
        <v>139</v>
      </c>
    </row>
    <row r="527" spans="1:87" x14ac:dyDescent="0.3">
      <c r="A527" t="s">
        <v>115</v>
      </c>
      <c r="B527" t="s">
        <v>116</v>
      </c>
      <c r="C527" t="s">
        <v>117</v>
      </c>
      <c r="D527" t="s">
        <v>118</v>
      </c>
      <c r="E527" t="s">
        <v>140</v>
      </c>
      <c r="F527" t="s">
        <v>781</v>
      </c>
      <c r="G527">
        <v>13.52</v>
      </c>
      <c r="H527">
        <v>0</v>
      </c>
      <c r="I527" s="14">
        <v>51500</v>
      </c>
      <c r="J527" s="14">
        <v>51500</v>
      </c>
      <c r="Q527" s="14"/>
      <c r="R527" s="14"/>
      <c r="Y527" s="14"/>
      <c r="Z527" s="14"/>
      <c r="AG527" s="14"/>
      <c r="AH527" s="14"/>
      <c r="AI527" t="s">
        <v>251</v>
      </c>
      <c r="AJ527" t="s">
        <v>252</v>
      </c>
      <c r="AK527" t="s">
        <v>253</v>
      </c>
      <c r="AL527">
        <v>0</v>
      </c>
      <c r="AM527" t="s">
        <v>254</v>
      </c>
      <c r="AN527" t="s">
        <v>255</v>
      </c>
      <c r="AO527" t="s">
        <v>125</v>
      </c>
      <c r="AP527" t="s">
        <v>256</v>
      </c>
      <c r="AQ527" s="15">
        <v>46086</v>
      </c>
      <c r="AR527" s="15">
        <v>46084</v>
      </c>
      <c r="AS527" t="s">
        <v>227</v>
      </c>
      <c r="AT527">
        <v>4</v>
      </c>
      <c r="AU527">
        <v>3000</v>
      </c>
      <c r="AV527">
        <v>0</v>
      </c>
      <c r="AW527">
        <v>0</v>
      </c>
      <c r="AX527" s="14">
        <v>3000</v>
      </c>
      <c r="AY527" s="14">
        <v>3000</v>
      </c>
      <c r="AZ527" s="14">
        <v>0</v>
      </c>
      <c r="BA527">
        <v>0</v>
      </c>
      <c r="BB527" t="s">
        <v>22</v>
      </c>
      <c r="BC527" t="s">
        <v>128</v>
      </c>
      <c r="BD527" t="s">
        <v>129</v>
      </c>
      <c r="BE527" t="s">
        <v>130</v>
      </c>
      <c r="BG527" t="s">
        <v>1501</v>
      </c>
      <c r="BH527" t="s">
        <v>132</v>
      </c>
      <c r="BJ527">
        <v>4</v>
      </c>
      <c r="BK527" t="s">
        <v>133</v>
      </c>
      <c r="BV527" t="s">
        <v>134</v>
      </c>
      <c r="BW527" s="16">
        <v>45960.71875</v>
      </c>
      <c r="BX527" t="s">
        <v>143</v>
      </c>
      <c r="BZ527">
        <v>59</v>
      </c>
      <c r="CA527" t="s">
        <v>1502</v>
      </c>
      <c r="CB527">
        <v>0</v>
      </c>
      <c r="CF527" t="s">
        <v>1087</v>
      </c>
      <c r="CG527">
        <v>2026</v>
      </c>
      <c r="CH527" t="s">
        <v>138</v>
      </c>
      <c r="CI527" t="s">
        <v>139</v>
      </c>
    </row>
    <row r="528" spans="1:87" x14ac:dyDescent="0.3">
      <c r="A528" t="s">
        <v>115</v>
      </c>
      <c r="B528" t="s">
        <v>116</v>
      </c>
      <c r="C528" t="s">
        <v>117</v>
      </c>
      <c r="D528" t="s">
        <v>118</v>
      </c>
      <c r="E528" t="s">
        <v>140</v>
      </c>
      <c r="F528" t="s">
        <v>781</v>
      </c>
      <c r="G528">
        <v>13.52</v>
      </c>
      <c r="H528">
        <v>0</v>
      </c>
      <c r="I528" s="14">
        <v>51500</v>
      </c>
      <c r="J528" s="14">
        <v>51500</v>
      </c>
      <c r="Q528" s="14"/>
      <c r="R528" s="14"/>
      <c r="Y528" s="14"/>
      <c r="Z528" s="14"/>
      <c r="AG528" s="14"/>
      <c r="AH528" s="14"/>
      <c r="AI528" t="s">
        <v>251</v>
      </c>
      <c r="AJ528" t="s">
        <v>252</v>
      </c>
      <c r="AK528" t="s">
        <v>253</v>
      </c>
      <c r="AL528">
        <v>0</v>
      </c>
      <c r="AM528" t="s">
        <v>254</v>
      </c>
      <c r="AN528" t="s">
        <v>255</v>
      </c>
      <c r="AO528" t="s">
        <v>125</v>
      </c>
      <c r="AP528" t="s">
        <v>256</v>
      </c>
      <c r="AQ528" s="15">
        <v>46117</v>
      </c>
      <c r="AR528" s="15">
        <v>46116</v>
      </c>
      <c r="AS528" t="s">
        <v>227</v>
      </c>
      <c r="AT528">
        <v>5</v>
      </c>
      <c r="AU528">
        <v>3000</v>
      </c>
      <c r="AV528">
        <v>0</v>
      </c>
      <c r="AW528">
        <v>0</v>
      </c>
      <c r="AX528" s="14">
        <v>3000</v>
      </c>
      <c r="AY528" s="14">
        <v>3000</v>
      </c>
      <c r="AZ528" s="14">
        <v>0</v>
      </c>
      <c r="BA528">
        <v>0</v>
      </c>
      <c r="BB528" t="s">
        <v>22</v>
      </c>
      <c r="BC528" t="s">
        <v>128</v>
      </c>
      <c r="BD528" t="s">
        <v>129</v>
      </c>
      <c r="BE528" t="s">
        <v>130</v>
      </c>
      <c r="BG528" t="s">
        <v>786</v>
      </c>
      <c r="BH528" t="s">
        <v>132</v>
      </c>
      <c r="BJ528">
        <v>4</v>
      </c>
      <c r="BK528" t="s">
        <v>133</v>
      </c>
      <c r="BV528" t="s">
        <v>134</v>
      </c>
      <c r="BW528" s="16">
        <v>45960.71875</v>
      </c>
      <c r="BX528" t="s">
        <v>143</v>
      </c>
      <c r="BZ528">
        <v>59</v>
      </c>
      <c r="CA528" t="s">
        <v>1503</v>
      </c>
      <c r="CB528">
        <v>0</v>
      </c>
      <c r="CF528" t="s">
        <v>1087</v>
      </c>
      <c r="CG528">
        <v>2026</v>
      </c>
      <c r="CH528" t="s">
        <v>138</v>
      </c>
      <c r="CI528" t="s">
        <v>139</v>
      </c>
    </row>
    <row r="529" spans="1:87" x14ac:dyDescent="0.3">
      <c r="A529" t="s">
        <v>115</v>
      </c>
      <c r="B529" t="s">
        <v>116</v>
      </c>
      <c r="C529" t="s">
        <v>117</v>
      </c>
      <c r="D529" t="s">
        <v>118</v>
      </c>
      <c r="E529" t="s">
        <v>140</v>
      </c>
      <c r="F529" t="s">
        <v>781</v>
      </c>
      <c r="G529">
        <v>13.52</v>
      </c>
      <c r="H529">
        <v>0</v>
      </c>
      <c r="I529" s="14">
        <v>51500</v>
      </c>
      <c r="J529" s="14">
        <v>51500</v>
      </c>
      <c r="Q529" s="14"/>
      <c r="R529" s="14"/>
      <c r="Y529" s="14"/>
      <c r="Z529" s="14"/>
      <c r="AG529" s="14"/>
      <c r="AH529" s="14"/>
      <c r="AI529" t="s">
        <v>251</v>
      </c>
      <c r="AJ529" t="s">
        <v>252</v>
      </c>
      <c r="AK529" t="s">
        <v>253</v>
      </c>
      <c r="AL529">
        <v>0</v>
      </c>
      <c r="AM529" t="s">
        <v>254</v>
      </c>
      <c r="AN529" t="s">
        <v>255</v>
      </c>
      <c r="AO529" t="s">
        <v>125</v>
      </c>
      <c r="AP529" t="s">
        <v>256</v>
      </c>
      <c r="AQ529" s="15">
        <v>46147</v>
      </c>
      <c r="AR529" s="15">
        <v>46147</v>
      </c>
      <c r="AS529" t="s">
        <v>227</v>
      </c>
      <c r="AT529">
        <v>6</v>
      </c>
      <c r="AU529">
        <v>3000</v>
      </c>
      <c r="AV529">
        <v>0</v>
      </c>
      <c r="AW529">
        <v>0</v>
      </c>
      <c r="AX529" s="14">
        <v>3000</v>
      </c>
      <c r="AY529" s="14">
        <v>3000</v>
      </c>
      <c r="AZ529" s="14">
        <v>0</v>
      </c>
      <c r="BA529">
        <v>0</v>
      </c>
      <c r="BB529" t="s">
        <v>22</v>
      </c>
      <c r="BC529" t="s">
        <v>128</v>
      </c>
      <c r="BD529" t="s">
        <v>129</v>
      </c>
      <c r="BE529" t="s">
        <v>130</v>
      </c>
      <c r="BG529" t="s">
        <v>1504</v>
      </c>
      <c r="BH529" t="s">
        <v>132</v>
      </c>
      <c r="BJ529">
        <v>4</v>
      </c>
      <c r="BK529" t="s">
        <v>133</v>
      </c>
      <c r="BV529" t="s">
        <v>134</v>
      </c>
      <c r="BW529" s="16">
        <v>45960.71875</v>
      </c>
      <c r="BX529" t="s">
        <v>143</v>
      </c>
      <c r="BZ529">
        <v>59</v>
      </c>
      <c r="CA529" t="s">
        <v>1503</v>
      </c>
      <c r="CB529">
        <v>0</v>
      </c>
      <c r="CF529" t="s">
        <v>1087</v>
      </c>
      <c r="CG529">
        <v>2026</v>
      </c>
      <c r="CH529" t="s">
        <v>138</v>
      </c>
      <c r="CI529" t="s">
        <v>139</v>
      </c>
    </row>
    <row r="530" spans="1:87" x14ac:dyDescent="0.3">
      <c r="A530" t="s">
        <v>115</v>
      </c>
      <c r="B530" t="s">
        <v>116</v>
      </c>
      <c r="C530" t="s">
        <v>117</v>
      </c>
      <c r="D530" t="s">
        <v>118</v>
      </c>
      <c r="E530" t="s">
        <v>140</v>
      </c>
      <c r="F530" t="s">
        <v>781</v>
      </c>
      <c r="G530">
        <v>13.52</v>
      </c>
      <c r="H530">
        <v>0</v>
      </c>
      <c r="I530" s="14">
        <v>51500</v>
      </c>
      <c r="J530" s="14">
        <v>51500</v>
      </c>
      <c r="Q530" s="14"/>
      <c r="R530" s="14"/>
      <c r="Y530" s="14"/>
      <c r="Z530" s="14"/>
      <c r="AG530" s="14"/>
      <c r="AH530" s="14"/>
      <c r="AI530" t="s">
        <v>251</v>
      </c>
      <c r="AJ530" t="s">
        <v>252</v>
      </c>
      <c r="AK530" t="s">
        <v>253</v>
      </c>
      <c r="AL530">
        <v>0</v>
      </c>
      <c r="AM530" t="s">
        <v>254</v>
      </c>
      <c r="AN530" t="s">
        <v>255</v>
      </c>
      <c r="AO530" t="s">
        <v>125</v>
      </c>
      <c r="AP530" t="s">
        <v>256</v>
      </c>
      <c r="AQ530" s="15">
        <v>46178</v>
      </c>
      <c r="AR530" s="15">
        <v>46178</v>
      </c>
      <c r="AS530" t="s">
        <v>227</v>
      </c>
      <c r="AT530">
        <v>7</v>
      </c>
      <c r="AU530">
        <v>3000</v>
      </c>
      <c r="AV530">
        <v>0</v>
      </c>
      <c r="AW530">
        <v>0</v>
      </c>
      <c r="AX530" s="14">
        <v>3000</v>
      </c>
      <c r="AY530" s="14">
        <v>3000</v>
      </c>
      <c r="AZ530" s="14">
        <v>0</v>
      </c>
      <c r="BA530">
        <v>0</v>
      </c>
      <c r="BB530" t="s">
        <v>22</v>
      </c>
      <c r="BC530" t="s">
        <v>128</v>
      </c>
      <c r="BD530" t="s">
        <v>129</v>
      </c>
      <c r="BE530" t="s">
        <v>130</v>
      </c>
      <c r="BG530" t="s">
        <v>1505</v>
      </c>
      <c r="BH530" t="s">
        <v>132</v>
      </c>
      <c r="BJ530">
        <v>4</v>
      </c>
      <c r="BK530" t="s">
        <v>133</v>
      </c>
      <c r="BV530" t="s">
        <v>134</v>
      </c>
      <c r="BW530" s="16">
        <v>45960.71875</v>
      </c>
      <c r="BX530" t="s">
        <v>143</v>
      </c>
      <c r="BZ530">
        <v>59</v>
      </c>
      <c r="CA530" t="s">
        <v>1506</v>
      </c>
      <c r="CB530">
        <v>0</v>
      </c>
      <c r="CF530" t="s">
        <v>1087</v>
      </c>
      <c r="CG530">
        <v>2026</v>
      </c>
      <c r="CH530" t="s">
        <v>138</v>
      </c>
      <c r="CI530" t="s">
        <v>139</v>
      </c>
    </row>
    <row r="531" spans="1:87" x14ac:dyDescent="0.3">
      <c r="A531" t="s">
        <v>115</v>
      </c>
      <c r="B531" t="s">
        <v>116</v>
      </c>
      <c r="C531" t="s">
        <v>117</v>
      </c>
      <c r="D531" t="s">
        <v>118</v>
      </c>
      <c r="E531" t="s">
        <v>140</v>
      </c>
      <c r="F531" t="s">
        <v>781</v>
      </c>
      <c r="G531">
        <v>13.52</v>
      </c>
      <c r="H531">
        <v>0</v>
      </c>
      <c r="I531" s="14">
        <v>51500</v>
      </c>
      <c r="J531" s="14">
        <v>51500</v>
      </c>
      <c r="Q531" s="14"/>
      <c r="R531" s="14"/>
      <c r="Y531" s="14"/>
      <c r="Z531" s="14"/>
      <c r="AG531" s="14"/>
      <c r="AH531" s="14"/>
      <c r="AI531" t="s">
        <v>251</v>
      </c>
      <c r="AJ531" t="s">
        <v>252</v>
      </c>
      <c r="AK531" t="s">
        <v>253</v>
      </c>
      <c r="AL531">
        <v>0</v>
      </c>
      <c r="AM531" t="s">
        <v>254</v>
      </c>
      <c r="AN531" t="s">
        <v>255</v>
      </c>
      <c r="AO531" t="s">
        <v>125</v>
      </c>
      <c r="AP531" t="s">
        <v>256</v>
      </c>
      <c r="AQ531" s="15">
        <v>46234</v>
      </c>
      <c r="AR531" s="15">
        <v>46255</v>
      </c>
      <c r="AS531" t="s">
        <v>227</v>
      </c>
      <c r="AT531">
        <v>8</v>
      </c>
      <c r="AU531">
        <v>22500</v>
      </c>
      <c r="AV531">
        <v>0</v>
      </c>
      <c r="AW531">
        <v>0</v>
      </c>
      <c r="AX531" s="14">
        <v>22500</v>
      </c>
      <c r="AY531" s="14">
        <v>22500</v>
      </c>
      <c r="AZ531" s="14">
        <v>0</v>
      </c>
      <c r="BA531">
        <v>0</v>
      </c>
      <c r="BB531" t="s">
        <v>22</v>
      </c>
      <c r="BC531" t="s">
        <v>128</v>
      </c>
      <c r="BD531" t="s">
        <v>129</v>
      </c>
      <c r="BE531" t="s">
        <v>130</v>
      </c>
      <c r="BH531" t="s">
        <v>132</v>
      </c>
      <c r="BJ531">
        <v>4</v>
      </c>
      <c r="BK531" t="s">
        <v>133</v>
      </c>
      <c r="BV531" t="s">
        <v>134</v>
      </c>
      <c r="BW531" s="16">
        <v>45960.71875</v>
      </c>
      <c r="BX531" t="s">
        <v>143</v>
      </c>
      <c r="BZ531">
        <v>59</v>
      </c>
      <c r="CA531" t="s">
        <v>1507</v>
      </c>
      <c r="CB531">
        <v>0</v>
      </c>
      <c r="CF531" t="s">
        <v>1087</v>
      </c>
      <c r="CG531">
        <v>2026</v>
      </c>
      <c r="CH531" t="s">
        <v>138</v>
      </c>
      <c r="CI531" t="s">
        <v>139</v>
      </c>
    </row>
    <row r="532" spans="1:87" x14ac:dyDescent="0.3">
      <c r="A532" t="s">
        <v>165</v>
      </c>
      <c r="B532" t="s">
        <v>116</v>
      </c>
      <c r="C532" t="s">
        <v>117</v>
      </c>
      <c r="D532" t="s">
        <v>118</v>
      </c>
      <c r="E532" t="s">
        <v>14</v>
      </c>
      <c r="F532" t="s">
        <v>651</v>
      </c>
      <c r="G532">
        <v>67</v>
      </c>
      <c r="H532">
        <v>0</v>
      </c>
      <c r="I532" s="14">
        <v>498000</v>
      </c>
      <c r="J532" s="14">
        <v>460000</v>
      </c>
      <c r="Q532" s="14"/>
      <c r="R532" s="14"/>
      <c r="Y532" s="14"/>
      <c r="Z532" s="14"/>
      <c r="AG532" s="14"/>
      <c r="AH532" s="14"/>
      <c r="AI532" t="s">
        <v>791</v>
      </c>
      <c r="AJ532" t="s">
        <v>792</v>
      </c>
      <c r="AK532" t="s">
        <v>793</v>
      </c>
      <c r="AL532">
        <v>0</v>
      </c>
      <c r="AM532" t="s">
        <v>794</v>
      </c>
      <c r="AN532" t="s">
        <v>795</v>
      </c>
      <c r="AO532" t="s">
        <v>125</v>
      </c>
      <c r="AP532" t="s">
        <v>339</v>
      </c>
      <c r="AQ532" s="15">
        <v>46250.662499999999</v>
      </c>
      <c r="AR532" s="15">
        <v>45818</v>
      </c>
      <c r="AS532" t="s">
        <v>145</v>
      </c>
      <c r="AT532">
        <v>1</v>
      </c>
      <c r="AU532">
        <v>43000</v>
      </c>
      <c r="AV532">
        <v>0</v>
      </c>
      <c r="AW532">
        <v>0</v>
      </c>
      <c r="AX532" s="14">
        <v>43000</v>
      </c>
      <c r="AY532" s="14">
        <v>10000</v>
      </c>
      <c r="AZ532" s="14">
        <v>0</v>
      </c>
      <c r="BA532">
        <v>0</v>
      </c>
      <c r="BB532" t="s">
        <v>24</v>
      </c>
      <c r="BC532" t="s">
        <v>175</v>
      </c>
      <c r="BD532" t="s">
        <v>176</v>
      </c>
      <c r="BE532" t="s">
        <v>130</v>
      </c>
      <c r="BG532" t="s">
        <v>1508</v>
      </c>
      <c r="BH532" t="s">
        <v>132</v>
      </c>
      <c r="BJ532">
        <v>4</v>
      </c>
      <c r="BK532" t="s">
        <v>133</v>
      </c>
      <c r="BV532" t="s">
        <v>134</v>
      </c>
      <c r="BW532" s="16">
        <v>46178.427777777782</v>
      </c>
      <c r="BX532" t="s">
        <v>143</v>
      </c>
      <c r="BZ532">
        <v>29</v>
      </c>
      <c r="CA532" t="s">
        <v>1509</v>
      </c>
      <c r="CB532">
        <v>0</v>
      </c>
      <c r="CF532" t="s">
        <v>1087</v>
      </c>
      <c r="CG532">
        <v>2026</v>
      </c>
      <c r="CH532" t="s">
        <v>138</v>
      </c>
      <c r="CI532" t="s">
        <v>139</v>
      </c>
    </row>
    <row r="533" spans="1:87" x14ac:dyDescent="0.3">
      <c r="A533" t="s">
        <v>165</v>
      </c>
      <c r="B533" t="s">
        <v>116</v>
      </c>
      <c r="C533" t="s">
        <v>117</v>
      </c>
      <c r="D533" t="s">
        <v>118</v>
      </c>
      <c r="E533" t="s">
        <v>14</v>
      </c>
      <c r="F533" t="s">
        <v>651</v>
      </c>
      <c r="G533">
        <v>67</v>
      </c>
      <c r="H533">
        <v>0</v>
      </c>
      <c r="I533" s="14">
        <v>498000</v>
      </c>
      <c r="J533" s="14">
        <v>460000</v>
      </c>
      <c r="Q533" s="14"/>
      <c r="R533" s="14"/>
      <c r="Y533" s="14"/>
      <c r="Z533" s="14"/>
      <c r="AG533" s="14"/>
      <c r="AH533" s="14"/>
      <c r="AI533" t="s">
        <v>791</v>
      </c>
      <c r="AJ533" t="s">
        <v>792</v>
      </c>
      <c r="AK533" t="s">
        <v>793</v>
      </c>
      <c r="AL533">
        <v>0</v>
      </c>
      <c r="AM533" t="s">
        <v>794</v>
      </c>
      <c r="AN533" t="s">
        <v>795</v>
      </c>
      <c r="AO533" t="s">
        <v>125</v>
      </c>
      <c r="AP533" t="s">
        <v>339</v>
      </c>
      <c r="AQ533" s="15">
        <v>46250.662499999999</v>
      </c>
      <c r="AR533" s="15">
        <v>45863</v>
      </c>
      <c r="AS533" t="s">
        <v>145</v>
      </c>
      <c r="AT533">
        <v>1</v>
      </c>
      <c r="AU533">
        <v>0</v>
      </c>
      <c r="AV533">
        <v>0</v>
      </c>
      <c r="AW533">
        <v>0</v>
      </c>
      <c r="AX533" s="14">
        <v>0</v>
      </c>
      <c r="AY533" s="14">
        <v>10000</v>
      </c>
      <c r="AZ533" s="14">
        <v>0</v>
      </c>
      <c r="BA533">
        <v>0</v>
      </c>
      <c r="BB533" t="s">
        <v>24</v>
      </c>
      <c r="BC533" t="s">
        <v>175</v>
      </c>
      <c r="BD533" t="s">
        <v>176</v>
      </c>
      <c r="BE533" t="s">
        <v>130</v>
      </c>
      <c r="BG533" t="s">
        <v>1510</v>
      </c>
      <c r="BH533" t="s">
        <v>132</v>
      </c>
      <c r="BJ533">
        <v>4</v>
      </c>
      <c r="BK533" t="s">
        <v>133</v>
      </c>
      <c r="BV533" t="s">
        <v>134</v>
      </c>
      <c r="BW533" s="16">
        <v>46178.427777777782</v>
      </c>
      <c r="BX533" t="s">
        <v>143</v>
      </c>
      <c r="BZ533">
        <v>29</v>
      </c>
      <c r="CA533" t="s">
        <v>1511</v>
      </c>
      <c r="CB533">
        <v>0</v>
      </c>
      <c r="CF533" t="s">
        <v>1087</v>
      </c>
      <c r="CG533">
        <v>2026</v>
      </c>
      <c r="CH533" t="s">
        <v>138</v>
      </c>
      <c r="CI533" t="s">
        <v>139</v>
      </c>
    </row>
    <row r="534" spans="1:87" x14ac:dyDescent="0.3">
      <c r="A534" t="s">
        <v>165</v>
      </c>
      <c r="B534" t="s">
        <v>116</v>
      </c>
      <c r="C534" t="s">
        <v>117</v>
      </c>
      <c r="D534" t="s">
        <v>118</v>
      </c>
      <c r="E534" t="s">
        <v>14</v>
      </c>
      <c r="F534" t="s">
        <v>651</v>
      </c>
      <c r="G534">
        <v>67</v>
      </c>
      <c r="H534">
        <v>0</v>
      </c>
      <c r="I534" s="14">
        <v>498000</v>
      </c>
      <c r="J534" s="14">
        <v>460000</v>
      </c>
      <c r="Q534" s="14"/>
      <c r="R534" s="14"/>
      <c r="Y534" s="14"/>
      <c r="Z534" s="14"/>
      <c r="AG534" s="14"/>
      <c r="AH534" s="14"/>
      <c r="AI534" t="s">
        <v>791</v>
      </c>
      <c r="AJ534" t="s">
        <v>792</v>
      </c>
      <c r="AK534" t="s">
        <v>793</v>
      </c>
      <c r="AL534">
        <v>0</v>
      </c>
      <c r="AM534" t="s">
        <v>794</v>
      </c>
      <c r="AN534" t="s">
        <v>795</v>
      </c>
      <c r="AO534" t="s">
        <v>125</v>
      </c>
      <c r="AP534" t="s">
        <v>339</v>
      </c>
      <c r="AQ534" s="15">
        <v>46250.662499999999</v>
      </c>
      <c r="AR534" s="15">
        <v>46151</v>
      </c>
      <c r="AS534" t="s">
        <v>145</v>
      </c>
      <c r="AT534">
        <v>1</v>
      </c>
      <c r="AU534">
        <v>0</v>
      </c>
      <c r="AV534">
        <v>0</v>
      </c>
      <c r="AW534">
        <v>0</v>
      </c>
      <c r="AX534" s="14">
        <v>0</v>
      </c>
      <c r="AY534" s="14">
        <v>23000</v>
      </c>
      <c r="AZ534" s="14">
        <v>0</v>
      </c>
      <c r="BA534">
        <v>0</v>
      </c>
      <c r="BB534" t="s">
        <v>24</v>
      </c>
      <c r="BC534" t="s">
        <v>175</v>
      </c>
      <c r="BD534" t="s">
        <v>176</v>
      </c>
      <c r="BE534" t="s">
        <v>130</v>
      </c>
      <c r="BG534" t="s">
        <v>1512</v>
      </c>
      <c r="BH534" t="s">
        <v>132</v>
      </c>
      <c r="BJ534">
        <v>4</v>
      </c>
      <c r="BK534" t="s">
        <v>133</v>
      </c>
      <c r="BV534" t="s">
        <v>134</v>
      </c>
      <c r="BW534" s="16">
        <v>46178.427777777782</v>
      </c>
      <c r="BX534" t="s">
        <v>143</v>
      </c>
      <c r="BZ534">
        <v>29</v>
      </c>
      <c r="CA534" t="s">
        <v>1513</v>
      </c>
      <c r="CB534">
        <v>0</v>
      </c>
      <c r="CF534" t="s">
        <v>1087</v>
      </c>
      <c r="CG534">
        <v>2026</v>
      </c>
      <c r="CH534" t="s">
        <v>138</v>
      </c>
      <c r="CI534" t="s">
        <v>139</v>
      </c>
    </row>
    <row r="535" spans="1:87" x14ac:dyDescent="0.3">
      <c r="A535" t="s">
        <v>165</v>
      </c>
      <c r="B535" t="s">
        <v>116</v>
      </c>
      <c r="C535" t="s">
        <v>117</v>
      </c>
      <c r="D535" t="s">
        <v>118</v>
      </c>
      <c r="E535" t="s">
        <v>14</v>
      </c>
      <c r="F535" t="s">
        <v>651</v>
      </c>
      <c r="G535">
        <v>67</v>
      </c>
      <c r="H535">
        <v>0</v>
      </c>
      <c r="I535" s="14">
        <v>498000</v>
      </c>
      <c r="J535" s="14">
        <v>460000</v>
      </c>
      <c r="Q535" s="14"/>
      <c r="R535" s="14"/>
      <c r="Y535" s="14"/>
      <c r="Z535" s="14"/>
      <c r="AG535" s="14"/>
      <c r="AH535" s="14"/>
      <c r="AI535" t="s">
        <v>791</v>
      </c>
      <c r="AJ535" t="s">
        <v>792</v>
      </c>
      <c r="AK535" t="s">
        <v>793</v>
      </c>
      <c r="AL535">
        <v>0</v>
      </c>
      <c r="AM535" t="s">
        <v>794</v>
      </c>
      <c r="AN535" t="s">
        <v>795</v>
      </c>
      <c r="AO535" t="s">
        <v>125</v>
      </c>
      <c r="AP535" t="s">
        <v>339</v>
      </c>
      <c r="AQ535" s="15">
        <v>46281.662499999999</v>
      </c>
      <c r="AR535" s="15"/>
      <c r="AS535" t="s">
        <v>227</v>
      </c>
      <c r="AT535">
        <v>1</v>
      </c>
      <c r="AU535">
        <v>414000</v>
      </c>
      <c r="AV535">
        <v>0</v>
      </c>
      <c r="AW535">
        <v>0</v>
      </c>
      <c r="AX535" s="14">
        <v>414000</v>
      </c>
      <c r="AY535" s="14">
        <v>0</v>
      </c>
      <c r="AZ535" s="14">
        <v>414000</v>
      </c>
      <c r="BB535" t="s">
        <v>24</v>
      </c>
      <c r="BH535" t="s">
        <v>132</v>
      </c>
      <c r="BK535" t="s">
        <v>1100</v>
      </c>
      <c r="BV535" t="s">
        <v>132</v>
      </c>
      <c r="BW535" s="16">
        <v>46178.427777777782</v>
      </c>
      <c r="BX535" t="s">
        <v>143</v>
      </c>
      <c r="BZ535">
        <v>29</v>
      </c>
      <c r="CB535">
        <v>0</v>
      </c>
      <c r="CF535" t="s">
        <v>1087</v>
      </c>
      <c r="CG535">
        <v>2026</v>
      </c>
      <c r="CH535" t="s">
        <v>138</v>
      </c>
      <c r="CI535" t="s">
        <v>139</v>
      </c>
    </row>
    <row r="536" spans="1:87" x14ac:dyDescent="0.3">
      <c r="A536" t="s">
        <v>115</v>
      </c>
      <c r="B536" t="s">
        <v>116</v>
      </c>
      <c r="C536" t="s">
        <v>117</v>
      </c>
      <c r="D536" t="s">
        <v>118</v>
      </c>
      <c r="E536" t="s">
        <v>14</v>
      </c>
      <c r="F536" t="s">
        <v>974</v>
      </c>
      <c r="G536">
        <v>60.93</v>
      </c>
      <c r="H536">
        <v>0</v>
      </c>
      <c r="I536" s="14">
        <v>423000</v>
      </c>
      <c r="J536" s="14">
        <v>423000</v>
      </c>
      <c r="K536" t="s">
        <v>117</v>
      </c>
      <c r="L536" t="s">
        <v>118</v>
      </c>
      <c r="M536" t="s">
        <v>140</v>
      </c>
      <c r="N536" t="s">
        <v>1514</v>
      </c>
      <c r="O536">
        <v>12.5</v>
      </c>
      <c r="P536">
        <v>1.83</v>
      </c>
      <c r="Q536" s="14">
        <v>50000</v>
      </c>
      <c r="R536" s="14">
        <v>50000</v>
      </c>
      <c r="Y536" s="14"/>
      <c r="Z536" s="14"/>
      <c r="AG536" s="14"/>
      <c r="AH536" s="14"/>
      <c r="AI536" t="s">
        <v>1515</v>
      </c>
      <c r="AJ536" t="s">
        <v>1516</v>
      </c>
      <c r="AK536" t="s">
        <v>1517</v>
      </c>
      <c r="AM536" t="s">
        <v>1518</v>
      </c>
      <c r="AN536" t="s">
        <v>1519</v>
      </c>
      <c r="AO536" t="s">
        <v>914</v>
      </c>
      <c r="AP536" t="s">
        <v>915</v>
      </c>
      <c r="AQ536" s="15">
        <v>46096</v>
      </c>
      <c r="AR536" s="15">
        <v>46096</v>
      </c>
      <c r="AS536" t="s">
        <v>127</v>
      </c>
      <c r="AT536">
        <v>1</v>
      </c>
      <c r="AU536">
        <v>3000</v>
      </c>
      <c r="AV536">
        <v>0</v>
      </c>
      <c r="AW536">
        <v>0</v>
      </c>
      <c r="AX536" s="14">
        <v>3000</v>
      </c>
      <c r="AY536" s="14">
        <v>3000</v>
      </c>
      <c r="AZ536" s="14">
        <v>0</v>
      </c>
      <c r="BA536">
        <v>0</v>
      </c>
      <c r="BB536" t="s">
        <v>23</v>
      </c>
      <c r="BC536" t="s">
        <v>128</v>
      </c>
      <c r="BD536" t="s">
        <v>129</v>
      </c>
      <c r="BE536" t="s">
        <v>130</v>
      </c>
      <c r="BF536" t="s">
        <v>1516</v>
      </c>
      <c r="BG536" t="s">
        <v>1520</v>
      </c>
      <c r="BH536" t="s">
        <v>132</v>
      </c>
      <c r="BI536" t="s">
        <v>154</v>
      </c>
      <c r="BJ536">
        <v>4</v>
      </c>
      <c r="BK536" t="s">
        <v>133</v>
      </c>
      <c r="BV536" t="s">
        <v>134</v>
      </c>
      <c r="BW536" s="16">
        <v>46142.695833333331</v>
      </c>
      <c r="BX536" t="s">
        <v>135</v>
      </c>
      <c r="BZ536">
        <v>22</v>
      </c>
      <c r="CA536" t="s">
        <v>1521</v>
      </c>
      <c r="CB536">
        <v>0</v>
      </c>
      <c r="CF536" t="s">
        <v>1087</v>
      </c>
      <c r="CG536">
        <v>2026</v>
      </c>
      <c r="CH536" t="s">
        <v>138</v>
      </c>
      <c r="CI536" t="s">
        <v>139</v>
      </c>
    </row>
    <row r="537" spans="1:87" x14ac:dyDescent="0.3">
      <c r="A537" t="s">
        <v>115</v>
      </c>
      <c r="B537" t="s">
        <v>116</v>
      </c>
      <c r="C537" t="s">
        <v>117</v>
      </c>
      <c r="D537" t="s">
        <v>118</v>
      </c>
      <c r="E537" t="s">
        <v>14</v>
      </c>
      <c r="F537" t="s">
        <v>974</v>
      </c>
      <c r="G537">
        <v>60.93</v>
      </c>
      <c r="H537">
        <v>0</v>
      </c>
      <c r="I537" s="14">
        <v>423000</v>
      </c>
      <c r="J537" s="14">
        <v>423000</v>
      </c>
      <c r="K537" t="s">
        <v>117</v>
      </c>
      <c r="L537" t="s">
        <v>118</v>
      </c>
      <c r="M537" t="s">
        <v>140</v>
      </c>
      <c r="N537" t="s">
        <v>1514</v>
      </c>
      <c r="O537">
        <v>12.5</v>
      </c>
      <c r="P537">
        <v>1.83</v>
      </c>
      <c r="Q537" s="14">
        <v>50000</v>
      </c>
      <c r="R537" s="14">
        <v>50000</v>
      </c>
      <c r="Y537" s="14"/>
      <c r="Z537" s="14"/>
      <c r="AG537" s="14"/>
      <c r="AH537" s="14"/>
      <c r="AI537" t="s">
        <v>1515</v>
      </c>
      <c r="AJ537" t="s">
        <v>1516</v>
      </c>
      <c r="AK537" t="s">
        <v>1517</v>
      </c>
      <c r="AM537" t="s">
        <v>1518</v>
      </c>
      <c r="AN537" t="s">
        <v>1519</v>
      </c>
      <c r="AO537" t="s">
        <v>914</v>
      </c>
      <c r="AP537" t="s">
        <v>915</v>
      </c>
      <c r="AQ537" s="15">
        <v>46142</v>
      </c>
      <c r="AR537" s="15">
        <v>46142</v>
      </c>
      <c r="AS537" t="s">
        <v>145</v>
      </c>
      <c r="AT537">
        <v>2</v>
      </c>
      <c r="AU537">
        <v>44300</v>
      </c>
      <c r="AV537">
        <v>0</v>
      </c>
      <c r="AW537">
        <v>0</v>
      </c>
      <c r="AX537" s="14">
        <v>44300</v>
      </c>
      <c r="AY537" s="14">
        <v>44300</v>
      </c>
      <c r="AZ537" s="14">
        <v>0</v>
      </c>
      <c r="BA537">
        <v>0</v>
      </c>
      <c r="BB537" t="s">
        <v>23</v>
      </c>
      <c r="BC537" t="s">
        <v>128</v>
      </c>
      <c r="BD537" t="s">
        <v>129</v>
      </c>
      <c r="BE537" t="s">
        <v>130</v>
      </c>
      <c r="BG537" t="s">
        <v>1522</v>
      </c>
      <c r="BH537" t="s">
        <v>132</v>
      </c>
      <c r="BJ537">
        <v>4</v>
      </c>
      <c r="BK537" t="s">
        <v>133</v>
      </c>
      <c r="BV537" t="s">
        <v>134</v>
      </c>
      <c r="BW537" s="16">
        <v>46142.695833333331</v>
      </c>
      <c r="BX537" t="s">
        <v>135</v>
      </c>
      <c r="BZ537">
        <v>22</v>
      </c>
      <c r="CA537" t="s">
        <v>1523</v>
      </c>
      <c r="CB537">
        <v>0</v>
      </c>
      <c r="CF537" t="s">
        <v>1087</v>
      </c>
      <c r="CG537">
        <v>2026</v>
      </c>
      <c r="CH537" t="s">
        <v>138</v>
      </c>
      <c r="CI537" t="s">
        <v>139</v>
      </c>
    </row>
    <row r="538" spans="1:87" x14ac:dyDescent="0.3">
      <c r="A538" t="s">
        <v>115</v>
      </c>
      <c r="B538" t="s">
        <v>116</v>
      </c>
      <c r="C538" t="s">
        <v>117</v>
      </c>
      <c r="D538" t="s">
        <v>118</v>
      </c>
      <c r="E538" t="s">
        <v>14</v>
      </c>
      <c r="F538" t="s">
        <v>974</v>
      </c>
      <c r="G538">
        <v>60.93</v>
      </c>
      <c r="H538">
        <v>0</v>
      </c>
      <c r="I538" s="14">
        <v>423000</v>
      </c>
      <c r="J538" s="14">
        <v>423000</v>
      </c>
      <c r="K538" t="s">
        <v>117</v>
      </c>
      <c r="L538" t="s">
        <v>118</v>
      </c>
      <c r="M538" t="s">
        <v>140</v>
      </c>
      <c r="N538" t="s">
        <v>1514</v>
      </c>
      <c r="O538">
        <v>12.5</v>
      </c>
      <c r="P538">
        <v>1.83</v>
      </c>
      <c r="Q538" s="14">
        <v>50000</v>
      </c>
      <c r="R538" s="14">
        <v>50000</v>
      </c>
      <c r="Y538" s="14"/>
      <c r="Z538" s="14"/>
      <c r="AG538" s="14"/>
      <c r="AH538" s="14"/>
      <c r="AI538" t="s">
        <v>1515</v>
      </c>
      <c r="AJ538" t="s">
        <v>1516</v>
      </c>
      <c r="AK538" t="s">
        <v>1517</v>
      </c>
      <c r="AM538" t="s">
        <v>1518</v>
      </c>
      <c r="AN538" t="s">
        <v>1519</v>
      </c>
      <c r="AO538" t="s">
        <v>914</v>
      </c>
      <c r="AP538" t="s">
        <v>915</v>
      </c>
      <c r="AQ538" s="15">
        <v>46203</v>
      </c>
      <c r="AR538" s="15">
        <v>46211</v>
      </c>
      <c r="AS538" t="s">
        <v>227</v>
      </c>
      <c r="AT538">
        <v>2</v>
      </c>
      <c r="AU538">
        <v>397000</v>
      </c>
      <c r="AV538">
        <v>0</v>
      </c>
      <c r="AW538">
        <v>0</v>
      </c>
      <c r="AX538" s="14">
        <v>397000</v>
      </c>
      <c r="AY538" s="14">
        <v>397000</v>
      </c>
      <c r="AZ538" s="14">
        <v>0</v>
      </c>
      <c r="BA538">
        <v>0</v>
      </c>
      <c r="BB538" t="s">
        <v>23</v>
      </c>
      <c r="BC538" t="s">
        <v>128</v>
      </c>
      <c r="BD538" t="s">
        <v>129</v>
      </c>
      <c r="BE538" t="s">
        <v>130</v>
      </c>
      <c r="BG538" t="s">
        <v>1524</v>
      </c>
      <c r="BH538" t="s">
        <v>132</v>
      </c>
      <c r="BJ538">
        <v>4</v>
      </c>
      <c r="BK538" t="s">
        <v>133</v>
      </c>
      <c r="BV538" t="s">
        <v>134</v>
      </c>
      <c r="BW538" s="16">
        <v>46142.695833333331</v>
      </c>
      <c r="BX538" t="s">
        <v>135</v>
      </c>
      <c r="BZ538">
        <v>22</v>
      </c>
      <c r="CA538" t="s">
        <v>1525</v>
      </c>
      <c r="CB538">
        <v>0</v>
      </c>
      <c r="CF538" t="s">
        <v>1087</v>
      </c>
      <c r="CG538">
        <v>2026</v>
      </c>
      <c r="CH538" t="s">
        <v>138</v>
      </c>
      <c r="CI538" t="s">
        <v>139</v>
      </c>
    </row>
    <row r="539" spans="1:87" x14ac:dyDescent="0.3">
      <c r="A539" t="s">
        <v>115</v>
      </c>
      <c r="B539" t="s">
        <v>116</v>
      </c>
      <c r="C539" t="s">
        <v>117</v>
      </c>
      <c r="D539" t="s">
        <v>118</v>
      </c>
      <c r="E539" t="s">
        <v>14</v>
      </c>
      <c r="F539" t="s">
        <v>974</v>
      </c>
      <c r="G539">
        <v>60.93</v>
      </c>
      <c r="H539">
        <v>0</v>
      </c>
      <c r="I539" s="14">
        <v>423000</v>
      </c>
      <c r="J539" s="14">
        <v>423000</v>
      </c>
      <c r="K539" t="s">
        <v>117</v>
      </c>
      <c r="L539" t="s">
        <v>118</v>
      </c>
      <c r="M539" t="s">
        <v>140</v>
      </c>
      <c r="N539" t="s">
        <v>1514</v>
      </c>
      <c r="O539">
        <v>12.5</v>
      </c>
      <c r="P539">
        <v>1.83</v>
      </c>
      <c r="Q539" s="14">
        <v>50000</v>
      </c>
      <c r="R539" s="14">
        <v>50000</v>
      </c>
      <c r="Y539" s="14"/>
      <c r="Z539" s="14"/>
      <c r="AG539" s="14"/>
      <c r="AH539" s="14"/>
      <c r="AI539" t="s">
        <v>1515</v>
      </c>
      <c r="AJ539" t="s">
        <v>1516</v>
      </c>
      <c r="AK539" t="s">
        <v>1517</v>
      </c>
      <c r="AM539" t="s">
        <v>1518</v>
      </c>
      <c r="AN539" t="s">
        <v>1519</v>
      </c>
      <c r="AO539" t="s">
        <v>914</v>
      </c>
      <c r="AP539" t="s">
        <v>915</v>
      </c>
      <c r="AQ539" s="15">
        <v>46142</v>
      </c>
      <c r="AR539" s="15">
        <v>46142</v>
      </c>
      <c r="AS539" t="s">
        <v>227</v>
      </c>
      <c r="AT539">
        <v>3</v>
      </c>
      <c r="AU539">
        <v>28700</v>
      </c>
      <c r="AV539">
        <v>0</v>
      </c>
      <c r="AW539">
        <v>0</v>
      </c>
      <c r="AX539" s="14">
        <v>28700</v>
      </c>
      <c r="AY539" s="14">
        <v>28700</v>
      </c>
      <c r="AZ539" s="14">
        <v>0</v>
      </c>
      <c r="BA539">
        <v>0</v>
      </c>
      <c r="BB539" t="s">
        <v>23</v>
      </c>
      <c r="BC539" t="s">
        <v>128</v>
      </c>
      <c r="BD539" t="s">
        <v>129</v>
      </c>
      <c r="BE539" t="s">
        <v>130</v>
      </c>
      <c r="BG539" t="s">
        <v>1522</v>
      </c>
      <c r="BH539" t="s">
        <v>132</v>
      </c>
      <c r="BJ539">
        <v>4</v>
      </c>
      <c r="BK539" t="s">
        <v>133</v>
      </c>
      <c r="BV539" t="s">
        <v>134</v>
      </c>
      <c r="BW539" s="16">
        <v>46142.695833333331</v>
      </c>
      <c r="BX539" t="s">
        <v>135</v>
      </c>
      <c r="BZ539">
        <v>22</v>
      </c>
      <c r="CA539" t="s">
        <v>1523</v>
      </c>
      <c r="CB539">
        <v>0</v>
      </c>
      <c r="CF539" t="s">
        <v>1087</v>
      </c>
      <c r="CG539">
        <v>2026</v>
      </c>
      <c r="CH539" t="s">
        <v>138</v>
      </c>
      <c r="CI539" t="s">
        <v>139</v>
      </c>
    </row>
    <row r="540" spans="1:87" x14ac:dyDescent="0.3">
      <c r="A540" t="s">
        <v>115</v>
      </c>
      <c r="B540" t="s">
        <v>116</v>
      </c>
      <c r="C540" t="s">
        <v>117</v>
      </c>
      <c r="D540" t="s">
        <v>118</v>
      </c>
      <c r="E540" t="s">
        <v>140</v>
      </c>
      <c r="F540" t="s">
        <v>812</v>
      </c>
      <c r="G540">
        <v>12.5</v>
      </c>
      <c r="H540">
        <v>1.83</v>
      </c>
      <c r="I540" s="14">
        <v>52000</v>
      </c>
      <c r="J540" s="14">
        <v>52000</v>
      </c>
      <c r="Q540" s="14"/>
      <c r="R540" s="14"/>
      <c r="Y540" s="14"/>
      <c r="Z540" s="14"/>
      <c r="AG540" s="14"/>
      <c r="AH540" s="14"/>
      <c r="AI540" t="s">
        <v>799</v>
      </c>
      <c r="AJ540" t="s">
        <v>800</v>
      </c>
      <c r="AK540" t="s">
        <v>801</v>
      </c>
      <c r="AL540">
        <v>0</v>
      </c>
      <c r="AM540" t="s">
        <v>802</v>
      </c>
      <c r="AN540" t="s">
        <v>803</v>
      </c>
      <c r="AO540" t="s">
        <v>125</v>
      </c>
      <c r="AP540" t="s">
        <v>152</v>
      </c>
      <c r="AQ540" s="15">
        <v>46112</v>
      </c>
      <c r="AR540" s="15">
        <v>46092</v>
      </c>
      <c r="AS540" t="s">
        <v>227</v>
      </c>
      <c r="AT540">
        <v>6</v>
      </c>
      <c r="AU540">
        <v>2700</v>
      </c>
      <c r="AV540">
        <v>0</v>
      </c>
      <c r="AW540">
        <v>0</v>
      </c>
      <c r="AX540" s="14">
        <v>2700</v>
      </c>
      <c r="AY540" s="14">
        <v>2700</v>
      </c>
      <c r="AZ540" s="14">
        <v>0</v>
      </c>
      <c r="BA540">
        <v>0</v>
      </c>
      <c r="BB540" t="s">
        <v>22</v>
      </c>
      <c r="BC540" t="s">
        <v>128</v>
      </c>
      <c r="BD540" t="s">
        <v>129</v>
      </c>
      <c r="BE540" t="s">
        <v>130</v>
      </c>
      <c r="BG540" t="s">
        <v>1526</v>
      </c>
      <c r="BH540" t="s">
        <v>132</v>
      </c>
      <c r="BJ540">
        <v>4</v>
      </c>
      <c r="BK540" t="s">
        <v>133</v>
      </c>
      <c r="BV540" t="s">
        <v>134</v>
      </c>
      <c r="BW540" s="16">
        <v>45886.678472222222</v>
      </c>
      <c r="BX540" t="s">
        <v>178</v>
      </c>
      <c r="BZ540">
        <v>65</v>
      </c>
      <c r="CA540" t="s">
        <v>1527</v>
      </c>
      <c r="CB540">
        <v>0</v>
      </c>
      <c r="CF540" t="s">
        <v>1087</v>
      </c>
      <c r="CG540">
        <v>2026</v>
      </c>
      <c r="CH540" t="s">
        <v>138</v>
      </c>
      <c r="CI540" t="s">
        <v>139</v>
      </c>
    </row>
    <row r="541" spans="1:87" x14ac:dyDescent="0.3">
      <c r="A541" t="s">
        <v>115</v>
      </c>
      <c r="B541" t="s">
        <v>116</v>
      </c>
      <c r="C541" t="s">
        <v>117</v>
      </c>
      <c r="D541" t="s">
        <v>118</v>
      </c>
      <c r="E541" t="s">
        <v>140</v>
      </c>
      <c r="F541" t="s">
        <v>812</v>
      </c>
      <c r="G541">
        <v>12.5</v>
      </c>
      <c r="H541">
        <v>1.83</v>
      </c>
      <c r="I541" s="14">
        <v>52000</v>
      </c>
      <c r="J541" s="14">
        <v>52000</v>
      </c>
      <c r="Q541" s="14"/>
      <c r="R541" s="14"/>
      <c r="Y541" s="14"/>
      <c r="Z541" s="14"/>
      <c r="AG541" s="14"/>
      <c r="AH541" s="14"/>
      <c r="AI541" t="s">
        <v>799</v>
      </c>
      <c r="AJ541" t="s">
        <v>800</v>
      </c>
      <c r="AK541" t="s">
        <v>801</v>
      </c>
      <c r="AL541">
        <v>0</v>
      </c>
      <c r="AM541" t="s">
        <v>802</v>
      </c>
      <c r="AN541" t="s">
        <v>803</v>
      </c>
      <c r="AO541" t="s">
        <v>125</v>
      </c>
      <c r="AP541" t="s">
        <v>152</v>
      </c>
      <c r="AQ541" s="15">
        <v>46142</v>
      </c>
      <c r="AR541" s="15">
        <v>46142</v>
      </c>
      <c r="AS541" t="s">
        <v>227</v>
      </c>
      <c r="AT541">
        <v>7</v>
      </c>
      <c r="AU541">
        <v>5000</v>
      </c>
      <c r="AV541">
        <v>0</v>
      </c>
      <c r="AW541">
        <v>0</v>
      </c>
      <c r="AX541" s="14">
        <v>5000</v>
      </c>
      <c r="AY541" s="14">
        <v>5000</v>
      </c>
      <c r="AZ541" s="14">
        <v>0</v>
      </c>
      <c r="BA541">
        <v>0</v>
      </c>
      <c r="BB541" t="s">
        <v>22</v>
      </c>
      <c r="BC541" t="s">
        <v>128</v>
      </c>
      <c r="BD541" t="s">
        <v>129</v>
      </c>
      <c r="BE541" t="s">
        <v>130</v>
      </c>
      <c r="BG541" t="s">
        <v>1528</v>
      </c>
      <c r="BH541" t="s">
        <v>132</v>
      </c>
      <c r="BJ541">
        <v>4</v>
      </c>
      <c r="BK541" t="s">
        <v>133</v>
      </c>
      <c r="BV541" t="s">
        <v>134</v>
      </c>
      <c r="BW541" s="16">
        <v>45886.678472222222</v>
      </c>
      <c r="BX541" t="s">
        <v>178</v>
      </c>
      <c r="BZ541">
        <v>65</v>
      </c>
      <c r="CA541" t="s">
        <v>1529</v>
      </c>
      <c r="CB541">
        <v>0</v>
      </c>
      <c r="CF541" t="s">
        <v>1087</v>
      </c>
      <c r="CG541">
        <v>2026</v>
      </c>
      <c r="CH541" t="s">
        <v>138</v>
      </c>
      <c r="CI541" t="s">
        <v>139</v>
      </c>
    </row>
    <row r="542" spans="1:87" x14ac:dyDescent="0.3">
      <c r="A542" t="s">
        <v>115</v>
      </c>
      <c r="B542" t="s">
        <v>116</v>
      </c>
      <c r="C542" t="s">
        <v>117</v>
      </c>
      <c r="D542" t="s">
        <v>118</v>
      </c>
      <c r="E542" t="s">
        <v>140</v>
      </c>
      <c r="F542" t="s">
        <v>812</v>
      </c>
      <c r="G542">
        <v>12.5</v>
      </c>
      <c r="H542">
        <v>1.83</v>
      </c>
      <c r="I542" s="14">
        <v>52000</v>
      </c>
      <c r="J542" s="14">
        <v>52000</v>
      </c>
      <c r="Q542" s="14"/>
      <c r="R542" s="14"/>
      <c r="Y542" s="14"/>
      <c r="Z542" s="14"/>
      <c r="AG542" s="14"/>
      <c r="AH542" s="14"/>
      <c r="AI542" t="s">
        <v>799</v>
      </c>
      <c r="AJ542" t="s">
        <v>800</v>
      </c>
      <c r="AK542" t="s">
        <v>801</v>
      </c>
      <c r="AL542">
        <v>0</v>
      </c>
      <c r="AM542" t="s">
        <v>802</v>
      </c>
      <c r="AN542" t="s">
        <v>803</v>
      </c>
      <c r="AO542" t="s">
        <v>125</v>
      </c>
      <c r="AP542" t="s">
        <v>152</v>
      </c>
      <c r="AQ542" s="15">
        <v>46173</v>
      </c>
      <c r="AR542" s="15"/>
      <c r="AS542" t="s">
        <v>227</v>
      </c>
      <c r="AT542">
        <v>8</v>
      </c>
      <c r="AU542">
        <v>5000</v>
      </c>
      <c r="AV542">
        <v>0</v>
      </c>
      <c r="AW542">
        <v>0</v>
      </c>
      <c r="AX542" s="14">
        <v>5000</v>
      </c>
      <c r="AY542" s="14">
        <v>0</v>
      </c>
      <c r="AZ542" s="14">
        <v>5000</v>
      </c>
      <c r="BB542" t="s">
        <v>22</v>
      </c>
      <c r="BH542" t="s">
        <v>132</v>
      </c>
      <c r="BK542" t="s">
        <v>550</v>
      </c>
      <c r="BV542" t="s">
        <v>132</v>
      </c>
      <c r="BW542" s="16">
        <v>45886.678472222222</v>
      </c>
      <c r="BX542" t="s">
        <v>178</v>
      </c>
      <c r="BZ542">
        <v>65</v>
      </c>
      <c r="CB542">
        <v>0</v>
      </c>
      <c r="CF542" t="s">
        <v>1087</v>
      </c>
      <c r="CG542">
        <v>2026</v>
      </c>
      <c r="CH542" t="s">
        <v>138</v>
      </c>
      <c r="CI542" t="s">
        <v>139</v>
      </c>
    </row>
    <row r="543" spans="1:87" x14ac:dyDescent="0.3">
      <c r="A543" t="s">
        <v>115</v>
      </c>
      <c r="B543" t="s">
        <v>116</v>
      </c>
      <c r="C543" t="s">
        <v>117</v>
      </c>
      <c r="D543" t="s">
        <v>118</v>
      </c>
      <c r="E543" t="s">
        <v>140</v>
      </c>
      <c r="F543" t="s">
        <v>812</v>
      </c>
      <c r="G543">
        <v>12.5</v>
      </c>
      <c r="H543">
        <v>1.83</v>
      </c>
      <c r="I543" s="14">
        <v>52000</v>
      </c>
      <c r="J543" s="14">
        <v>52000</v>
      </c>
      <c r="Q543" s="14"/>
      <c r="R543" s="14"/>
      <c r="Y543" s="14"/>
      <c r="Z543" s="14"/>
      <c r="AG543" s="14"/>
      <c r="AH543" s="14"/>
      <c r="AI543" t="s">
        <v>799</v>
      </c>
      <c r="AJ543" t="s">
        <v>800</v>
      </c>
      <c r="AK543" t="s">
        <v>801</v>
      </c>
      <c r="AL543">
        <v>0</v>
      </c>
      <c r="AM543" t="s">
        <v>802</v>
      </c>
      <c r="AN543" t="s">
        <v>803</v>
      </c>
      <c r="AO543" t="s">
        <v>125</v>
      </c>
      <c r="AP543" t="s">
        <v>152</v>
      </c>
      <c r="AQ543" s="15">
        <v>46203</v>
      </c>
      <c r="AR543" s="15"/>
      <c r="AS543" t="s">
        <v>227</v>
      </c>
      <c r="AT543">
        <v>9</v>
      </c>
      <c r="AU543">
        <v>5400</v>
      </c>
      <c r="AV543">
        <v>0</v>
      </c>
      <c r="AW543">
        <v>0</v>
      </c>
      <c r="AX543" s="14">
        <v>5400</v>
      </c>
      <c r="AY543" s="14">
        <v>0</v>
      </c>
      <c r="AZ543" s="14">
        <v>5400</v>
      </c>
      <c r="BB543" t="s">
        <v>22</v>
      </c>
      <c r="BH543" t="s">
        <v>132</v>
      </c>
      <c r="BK543" t="s">
        <v>550</v>
      </c>
      <c r="BV543" t="s">
        <v>132</v>
      </c>
      <c r="BW543" s="16">
        <v>45886.678472222222</v>
      </c>
      <c r="BX543" t="s">
        <v>178</v>
      </c>
      <c r="BZ543">
        <v>65</v>
      </c>
      <c r="CB543">
        <v>0</v>
      </c>
      <c r="CF543" t="s">
        <v>1087</v>
      </c>
      <c r="CG543">
        <v>2026</v>
      </c>
      <c r="CH543" t="s">
        <v>138</v>
      </c>
      <c r="CI543" t="s">
        <v>139</v>
      </c>
    </row>
    <row r="544" spans="1:87" x14ac:dyDescent="0.3">
      <c r="A544" t="s">
        <v>115</v>
      </c>
      <c r="B544" t="s">
        <v>116</v>
      </c>
      <c r="C544" t="s">
        <v>117</v>
      </c>
      <c r="D544" t="s">
        <v>118</v>
      </c>
      <c r="E544" t="s">
        <v>140</v>
      </c>
      <c r="F544" t="s">
        <v>812</v>
      </c>
      <c r="G544">
        <v>12.5</v>
      </c>
      <c r="H544">
        <v>1.83</v>
      </c>
      <c r="I544" s="14">
        <v>52000</v>
      </c>
      <c r="J544" s="14">
        <v>52000</v>
      </c>
      <c r="Q544" s="14"/>
      <c r="R544" s="14"/>
      <c r="Y544" s="14"/>
      <c r="Z544" s="14"/>
      <c r="AG544" s="14"/>
      <c r="AH544" s="14"/>
      <c r="AI544" t="s">
        <v>799</v>
      </c>
      <c r="AJ544" t="s">
        <v>800</v>
      </c>
      <c r="AK544" t="s">
        <v>801</v>
      </c>
      <c r="AL544">
        <v>0</v>
      </c>
      <c r="AM544" t="s">
        <v>802</v>
      </c>
      <c r="AN544" t="s">
        <v>803</v>
      </c>
      <c r="AO544" t="s">
        <v>125</v>
      </c>
      <c r="AP544" t="s">
        <v>152</v>
      </c>
      <c r="AQ544" s="15">
        <v>46234</v>
      </c>
      <c r="AR544" s="15"/>
      <c r="AS544" t="s">
        <v>227</v>
      </c>
      <c r="AT544">
        <v>10</v>
      </c>
      <c r="AU544">
        <v>10000</v>
      </c>
      <c r="AV544">
        <v>0</v>
      </c>
      <c r="AW544">
        <v>0</v>
      </c>
      <c r="AX544" s="14">
        <v>10000</v>
      </c>
      <c r="AY544" s="14">
        <v>0</v>
      </c>
      <c r="AZ544" s="14">
        <v>10000</v>
      </c>
      <c r="BB544" t="s">
        <v>22</v>
      </c>
      <c r="BH544" t="s">
        <v>132</v>
      </c>
      <c r="BK544" t="s">
        <v>550</v>
      </c>
      <c r="BV544" t="s">
        <v>132</v>
      </c>
      <c r="BW544" s="16">
        <v>45886.678472222222</v>
      </c>
      <c r="BX544" t="s">
        <v>178</v>
      </c>
      <c r="BZ544">
        <v>65</v>
      </c>
      <c r="CB544">
        <v>0</v>
      </c>
      <c r="CF544" t="s">
        <v>1087</v>
      </c>
      <c r="CG544">
        <v>2026</v>
      </c>
      <c r="CH544" t="s">
        <v>138</v>
      </c>
      <c r="CI544" t="s">
        <v>139</v>
      </c>
    </row>
    <row r="545" spans="1:87" x14ac:dyDescent="0.3">
      <c r="A545" t="s">
        <v>165</v>
      </c>
      <c r="B545" t="s">
        <v>116</v>
      </c>
      <c r="C545" t="s">
        <v>117</v>
      </c>
      <c r="D545" t="s">
        <v>118</v>
      </c>
      <c r="E545" t="s">
        <v>14</v>
      </c>
      <c r="F545" t="s">
        <v>1530</v>
      </c>
      <c r="G545">
        <v>72</v>
      </c>
      <c r="H545">
        <v>0</v>
      </c>
      <c r="I545" s="14">
        <v>532100</v>
      </c>
      <c r="J545" s="14">
        <v>495000</v>
      </c>
      <c r="Q545" s="14"/>
      <c r="R545" s="14"/>
      <c r="Y545" s="14"/>
      <c r="Z545" s="14"/>
      <c r="AG545" s="14"/>
      <c r="AH545" s="14"/>
      <c r="AI545" t="s">
        <v>1531</v>
      </c>
      <c r="AJ545" t="s">
        <v>1532</v>
      </c>
      <c r="AK545" t="s">
        <v>1533</v>
      </c>
      <c r="AL545">
        <v>0</v>
      </c>
      <c r="AM545" t="s">
        <v>1534</v>
      </c>
      <c r="AN545" t="s">
        <v>1535</v>
      </c>
      <c r="AO545" t="s">
        <v>125</v>
      </c>
      <c r="AP545" t="s">
        <v>297</v>
      </c>
      <c r="AQ545" s="15">
        <v>46135</v>
      </c>
      <c r="AR545" s="15">
        <v>46135</v>
      </c>
      <c r="AS545" t="s">
        <v>127</v>
      </c>
      <c r="AT545">
        <v>1</v>
      </c>
      <c r="AU545">
        <v>3000</v>
      </c>
      <c r="AV545">
        <v>0</v>
      </c>
      <c r="AW545">
        <v>0</v>
      </c>
      <c r="AX545" s="14">
        <v>3000</v>
      </c>
      <c r="AY545" s="14">
        <v>3000</v>
      </c>
      <c r="AZ545" s="14">
        <v>0</v>
      </c>
      <c r="BA545">
        <v>0</v>
      </c>
      <c r="BB545" t="s">
        <v>24</v>
      </c>
      <c r="BC545" t="s">
        <v>175</v>
      </c>
      <c r="BD545" t="s">
        <v>176</v>
      </c>
      <c r="BE545" t="s">
        <v>130</v>
      </c>
      <c r="BG545" t="s">
        <v>1536</v>
      </c>
      <c r="BH545" t="s">
        <v>132</v>
      </c>
      <c r="BJ545">
        <v>4</v>
      </c>
      <c r="BK545" t="s">
        <v>133</v>
      </c>
      <c r="BV545" t="s">
        <v>132</v>
      </c>
      <c r="BW545" s="16">
        <v>46172.36041666667</v>
      </c>
      <c r="BX545" t="s">
        <v>143</v>
      </c>
      <c r="BZ545">
        <v>44</v>
      </c>
      <c r="CA545" t="s">
        <v>1537</v>
      </c>
      <c r="CB545">
        <v>0</v>
      </c>
      <c r="CF545" t="s">
        <v>1087</v>
      </c>
      <c r="CG545">
        <v>2026</v>
      </c>
      <c r="CH545" t="s">
        <v>138</v>
      </c>
      <c r="CI545" t="s">
        <v>139</v>
      </c>
    </row>
    <row r="546" spans="1:87" x14ac:dyDescent="0.3">
      <c r="A546" t="s">
        <v>165</v>
      </c>
      <c r="B546" t="s">
        <v>116</v>
      </c>
      <c r="C546" t="s">
        <v>117</v>
      </c>
      <c r="D546" t="s">
        <v>118</v>
      </c>
      <c r="E546" t="s">
        <v>14</v>
      </c>
      <c r="F546" t="s">
        <v>1530</v>
      </c>
      <c r="G546">
        <v>72</v>
      </c>
      <c r="H546">
        <v>0</v>
      </c>
      <c r="I546" s="14">
        <v>532100</v>
      </c>
      <c r="J546" s="14">
        <v>495000</v>
      </c>
      <c r="Q546" s="14"/>
      <c r="R546" s="14"/>
      <c r="Y546" s="14"/>
      <c r="Z546" s="14"/>
      <c r="AG546" s="14"/>
      <c r="AH546" s="14"/>
      <c r="AI546" t="s">
        <v>1531</v>
      </c>
      <c r="AJ546" t="s">
        <v>1532</v>
      </c>
      <c r="AK546" t="s">
        <v>1533</v>
      </c>
      <c r="AL546">
        <v>0</v>
      </c>
      <c r="AM546" t="s">
        <v>1534</v>
      </c>
      <c r="AN546" t="s">
        <v>1535</v>
      </c>
      <c r="AO546" t="s">
        <v>125</v>
      </c>
      <c r="AP546" t="s">
        <v>297</v>
      </c>
      <c r="AQ546" s="15">
        <v>46172</v>
      </c>
      <c r="AR546" s="15">
        <v>46172</v>
      </c>
      <c r="AS546" t="s">
        <v>145</v>
      </c>
      <c r="AT546">
        <v>1</v>
      </c>
      <c r="AU546">
        <v>45880</v>
      </c>
      <c r="AV546">
        <v>0</v>
      </c>
      <c r="AW546">
        <v>0</v>
      </c>
      <c r="AX546" s="14">
        <v>45880</v>
      </c>
      <c r="AY546" s="14">
        <v>45880</v>
      </c>
      <c r="AZ546" s="14">
        <v>0</v>
      </c>
      <c r="BA546">
        <v>0</v>
      </c>
      <c r="BB546" t="s">
        <v>24</v>
      </c>
      <c r="BC546" t="s">
        <v>175</v>
      </c>
      <c r="BD546" t="s">
        <v>176</v>
      </c>
      <c r="BE546" t="s">
        <v>130</v>
      </c>
      <c r="BG546" t="s">
        <v>1538</v>
      </c>
      <c r="BH546" t="s">
        <v>132</v>
      </c>
      <c r="BJ546">
        <v>4</v>
      </c>
      <c r="BK546" t="s">
        <v>133</v>
      </c>
      <c r="BV546" t="s">
        <v>134</v>
      </c>
      <c r="BW546" s="16">
        <v>46172.36041666667</v>
      </c>
      <c r="BX546" t="s">
        <v>143</v>
      </c>
      <c r="BZ546">
        <v>44</v>
      </c>
      <c r="CA546" t="s">
        <v>1539</v>
      </c>
      <c r="CB546">
        <v>0</v>
      </c>
      <c r="CF546" t="s">
        <v>1087</v>
      </c>
      <c r="CG546">
        <v>2026</v>
      </c>
      <c r="CH546" t="s">
        <v>138</v>
      </c>
      <c r="CI546" t="s">
        <v>139</v>
      </c>
    </row>
    <row r="547" spans="1:87" x14ac:dyDescent="0.3">
      <c r="A547" t="s">
        <v>165</v>
      </c>
      <c r="B547" t="s">
        <v>116</v>
      </c>
      <c r="C547" t="s">
        <v>117</v>
      </c>
      <c r="D547" t="s">
        <v>118</v>
      </c>
      <c r="E547" t="s">
        <v>14</v>
      </c>
      <c r="F547" t="s">
        <v>1530</v>
      </c>
      <c r="G547">
        <v>72</v>
      </c>
      <c r="H547">
        <v>0</v>
      </c>
      <c r="I547" s="14">
        <v>532100</v>
      </c>
      <c r="J547" s="14">
        <v>495000</v>
      </c>
      <c r="Q547" s="14"/>
      <c r="R547" s="14"/>
      <c r="Y547" s="14"/>
      <c r="Z547" s="14"/>
      <c r="AG547" s="14"/>
      <c r="AH547" s="14"/>
      <c r="AI547" t="s">
        <v>1531</v>
      </c>
      <c r="AJ547" t="s">
        <v>1532</v>
      </c>
      <c r="AK547" t="s">
        <v>1533</v>
      </c>
      <c r="AL547">
        <v>0</v>
      </c>
      <c r="AM547" t="s">
        <v>1534</v>
      </c>
      <c r="AN547" t="s">
        <v>1535</v>
      </c>
      <c r="AO547" t="s">
        <v>125</v>
      </c>
      <c r="AP547" t="s">
        <v>297</v>
      </c>
      <c r="AQ547" s="15">
        <v>46325</v>
      </c>
      <c r="AR547" s="15"/>
      <c r="AS547" t="s">
        <v>145</v>
      </c>
      <c r="AT547">
        <v>2</v>
      </c>
      <c r="AU547">
        <v>48880</v>
      </c>
      <c r="AV547">
        <v>0</v>
      </c>
      <c r="AW547">
        <v>0</v>
      </c>
      <c r="AX547" s="14">
        <v>48880</v>
      </c>
      <c r="AY547" s="14">
        <v>0</v>
      </c>
      <c r="AZ547" s="14">
        <v>48880</v>
      </c>
      <c r="BB547" t="s">
        <v>24</v>
      </c>
      <c r="BH547" t="s">
        <v>132</v>
      </c>
      <c r="BK547" t="s">
        <v>1100</v>
      </c>
      <c r="BV547" t="s">
        <v>132</v>
      </c>
      <c r="BW547" s="16">
        <v>46172.36041666667</v>
      </c>
      <c r="BX547" t="s">
        <v>143</v>
      </c>
      <c r="BZ547">
        <v>44</v>
      </c>
      <c r="CB547">
        <v>0</v>
      </c>
      <c r="CF547" t="s">
        <v>1087</v>
      </c>
      <c r="CG547">
        <v>2026</v>
      </c>
      <c r="CH547" t="s">
        <v>138</v>
      </c>
      <c r="CI547" t="s">
        <v>139</v>
      </c>
    </row>
    <row r="548" spans="1:87" x14ac:dyDescent="0.3">
      <c r="A548" t="s">
        <v>165</v>
      </c>
      <c r="B548" t="s">
        <v>116</v>
      </c>
      <c r="C548" t="s">
        <v>117</v>
      </c>
      <c r="D548" t="s">
        <v>118</v>
      </c>
      <c r="E548" t="s">
        <v>14</v>
      </c>
      <c r="F548" t="s">
        <v>1530</v>
      </c>
      <c r="G548">
        <v>72</v>
      </c>
      <c r="H548">
        <v>0</v>
      </c>
      <c r="I548" s="14">
        <v>532100</v>
      </c>
      <c r="J548" s="14">
        <v>495000</v>
      </c>
      <c r="Q548" s="14"/>
      <c r="R548" s="14"/>
      <c r="Y548" s="14"/>
      <c r="Z548" s="14"/>
      <c r="AG548" s="14"/>
      <c r="AH548" s="14"/>
      <c r="AI548" t="s">
        <v>1531</v>
      </c>
      <c r="AJ548" t="s">
        <v>1532</v>
      </c>
      <c r="AK548" t="s">
        <v>1533</v>
      </c>
      <c r="AL548">
        <v>0</v>
      </c>
      <c r="AM548" t="s">
        <v>1534</v>
      </c>
      <c r="AN548" t="s">
        <v>1535</v>
      </c>
      <c r="AO548" t="s">
        <v>125</v>
      </c>
      <c r="AP548" t="s">
        <v>297</v>
      </c>
      <c r="AQ548" s="15">
        <v>46188</v>
      </c>
      <c r="AR548" s="15"/>
      <c r="AS548" t="s">
        <v>227</v>
      </c>
      <c r="AT548">
        <v>1</v>
      </c>
      <c r="AU548">
        <v>198620</v>
      </c>
      <c r="AV548">
        <v>0</v>
      </c>
      <c r="AW548">
        <v>0</v>
      </c>
      <c r="AX548" s="14">
        <v>198620</v>
      </c>
      <c r="AY548" s="14">
        <v>0</v>
      </c>
      <c r="AZ548" s="14">
        <v>198620</v>
      </c>
      <c r="BB548" t="s">
        <v>24</v>
      </c>
      <c r="BH548" t="s">
        <v>132</v>
      </c>
      <c r="BK548" t="s">
        <v>550</v>
      </c>
      <c r="BV548" t="s">
        <v>132</v>
      </c>
      <c r="BW548" s="16">
        <v>46172.36041666667</v>
      </c>
      <c r="BX548" t="s">
        <v>143</v>
      </c>
      <c r="BZ548">
        <v>44</v>
      </c>
      <c r="CB548">
        <v>0</v>
      </c>
      <c r="CF548" t="s">
        <v>1087</v>
      </c>
      <c r="CG548">
        <v>2026</v>
      </c>
      <c r="CH548" t="s">
        <v>138</v>
      </c>
      <c r="CI548" t="s">
        <v>139</v>
      </c>
    </row>
    <row r="549" spans="1:87" x14ac:dyDescent="0.3">
      <c r="A549" t="s">
        <v>165</v>
      </c>
      <c r="B549" t="s">
        <v>116</v>
      </c>
      <c r="C549" t="s">
        <v>117</v>
      </c>
      <c r="D549" t="s">
        <v>118</v>
      </c>
      <c r="E549" t="s">
        <v>14</v>
      </c>
      <c r="F549" t="s">
        <v>1530</v>
      </c>
      <c r="G549">
        <v>72</v>
      </c>
      <c r="H549">
        <v>0</v>
      </c>
      <c r="I549" s="14">
        <v>532100</v>
      </c>
      <c r="J549" s="14">
        <v>495000</v>
      </c>
      <c r="Q549" s="14"/>
      <c r="R549" s="14"/>
      <c r="Y549" s="14"/>
      <c r="Z549" s="14"/>
      <c r="AG549" s="14"/>
      <c r="AH549" s="14"/>
      <c r="AI549" t="s">
        <v>1531</v>
      </c>
      <c r="AJ549" t="s">
        <v>1532</v>
      </c>
      <c r="AK549" t="s">
        <v>1533</v>
      </c>
      <c r="AL549">
        <v>0</v>
      </c>
      <c r="AM549" t="s">
        <v>1534</v>
      </c>
      <c r="AN549" t="s">
        <v>1535</v>
      </c>
      <c r="AO549" t="s">
        <v>125</v>
      </c>
      <c r="AP549" t="s">
        <v>297</v>
      </c>
      <c r="AQ549" s="15">
        <v>46386</v>
      </c>
      <c r="AR549" s="15"/>
      <c r="AS549" t="s">
        <v>227</v>
      </c>
      <c r="AT549">
        <v>2</v>
      </c>
      <c r="AU549">
        <v>198620</v>
      </c>
      <c r="AV549">
        <v>0</v>
      </c>
      <c r="AW549">
        <v>0</v>
      </c>
      <c r="AX549" s="14">
        <v>198620</v>
      </c>
      <c r="AY549" s="14">
        <v>0</v>
      </c>
      <c r="AZ549" s="14">
        <v>198620</v>
      </c>
      <c r="BB549" t="s">
        <v>24</v>
      </c>
      <c r="BH549" t="s">
        <v>132</v>
      </c>
      <c r="BK549" t="s">
        <v>1100</v>
      </c>
      <c r="BV549" t="s">
        <v>132</v>
      </c>
      <c r="BW549" s="16">
        <v>46172.36041666667</v>
      </c>
      <c r="BX549" t="s">
        <v>143</v>
      </c>
      <c r="BZ549">
        <v>44</v>
      </c>
      <c r="CB549">
        <v>0</v>
      </c>
      <c r="CF549" t="s">
        <v>1087</v>
      </c>
      <c r="CG549">
        <v>2026</v>
      </c>
      <c r="CH549" t="s">
        <v>138</v>
      </c>
      <c r="CI549" t="s">
        <v>139</v>
      </c>
    </row>
    <row r="550" spans="1:87" x14ac:dyDescent="0.3">
      <c r="A550" t="s">
        <v>165</v>
      </c>
      <c r="B550" t="s">
        <v>116</v>
      </c>
      <c r="C550" t="s">
        <v>117</v>
      </c>
      <c r="D550" t="s">
        <v>118</v>
      </c>
      <c r="E550" t="s">
        <v>14</v>
      </c>
      <c r="F550" t="s">
        <v>828</v>
      </c>
      <c r="G550">
        <v>68</v>
      </c>
      <c r="H550">
        <v>0</v>
      </c>
      <c r="I550" s="14">
        <v>504700</v>
      </c>
      <c r="J550" s="14">
        <v>458000</v>
      </c>
      <c r="Q550" s="14"/>
      <c r="R550" s="14"/>
      <c r="Y550" s="14"/>
      <c r="Z550" s="14"/>
      <c r="AG550" s="14"/>
      <c r="AH550" s="14"/>
      <c r="AI550" t="s">
        <v>829</v>
      </c>
      <c r="AJ550" t="s">
        <v>830</v>
      </c>
      <c r="AK550" t="s">
        <v>831</v>
      </c>
      <c r="AL550">
        <v>0</v>
      </c>
      <c r="AM550" t="s">
        <v>832</v>
      </c>
      <c r="AN550" t="s">
        <v>833</v>
      </c>
      <c r="AO550" t="s">
        <v>125</v>
      </c>
      <c r="AP550" t="s">
        <v>152</v>
      </c>
      <c r="AQ550" s="15">
        <v>46057</v>
      </c>
      <c r="AR550" s="15">
        <v>46057</v>
      </c>
      <c r="AS550" t="s">
        <v>145</v>
      </c>
      <c r="AT550">
        <v>1</v>
      </c>
      <c r="AU550">
        <v>19900</v>
      </c>
      <c r="AV550">
        <v>0</v>
      </c>
      <c r="AW550">
        <v>0</v>
      </c>
      <c r="AX550" s="14">
        <v>19900</v>
      </c>
      <c r="AY550" s="14">
        <v>19900</v>
      </c>
      <c r="AZ550" s="14">
        <v>0</v>
      </c>
      <c r="BA550">
        <v>0</v>
      </c>
      <c r="BB550" t="s">
        <v>24</v>
      </c>
      <c r="BC550" t="s">
        <v>175</v>
      </c>
      <c r="BD550" t="s">
        <v>176</v>
      </c>
      <c r="BE550" t="s">
        <v>130</v>
      </c>
      <c r="BG550" t="s">
        <v>1540</v>
      </c>
      <c r="BH550" t="s">
        <v>132</v>
      </c>
      <c r="BJ550">
        <v>4</v>
      </c>
      <c r="BK550" t="s">
        <v>133</v>
      </c>
      <c r="BV550" t="s">
        <v>134</v>
      </c>
      <c r="BW550" s="16">
        <v>46057.420138888891</v>
      </c>
      <c r="BX550" t="s">
        <v>143</v>
      </c>
      <c r="BZ550">
        <v>25</v>
      </c>
      <c r="CA550" t="s">
        <v>1541</v>
      </c>
      <c r="CB550">
        <v>0</v>
      </c>
      <c r="CF550" t="s">
        <v>1087</v>
      </c>
      <c r="CG550">
        <v>2026</v>
      </c>
      <c r="CH550" t="s">
        <v>138</v>
      </c>
      <c r="CI550" t="s">
        <v>139</v>
      </c>
    </row>
    <row r="551" spans="1:87" x14ac:dyDescent="0.3">
      <c r="A551" t="s">
        <v>165</v>
      </c>
      <c r="B551" t="s">
        <v>116</v>
      </c>
      <c r="C551" t="s">
        <v>117</v>
      </c>
      <c r="D551" t="s">
        <v>118</v>
      </c>
      <c r="E551" t="s">
        <v>14</v>
      </c>
      <c r="F551" t="s">
        <v>828</v>
      </c>
      <c r="G551">
        <v>68</v>
      </c>
      <c r="H551">
        <v>0</v>
      </c>
      <c r="I551" s="14">
        <v>504700</v>
      </c>
      <c r="J551" s="14">
        <v>458000</v>
      </c>
      <c r="Q551" s="14"/>
      <c r="R551" s="14"/>
      <c r="Y551" s="14"/>
      <c r="Z551" s="14"/>
      <c r="AG551" s="14"/>
      <c r="AH551" s="14"/>
      <c r="AI551" t="s">
        <v>829</v>
      </c>
      <c r="AJ551" t="s">
        <v>830</v>
      </c>
      <c r="AK551" t="s">
        <v>831</v>
      </c>
      <c r="AL551">
        <v>0</v>
      </c>
      <c r="AM551" t="s">
        <v>832</v>
      </c>
      <c r="AN551" t="s">
        <v>833</v>
      </c>
      <c r="AO551" t="s">
        <v>125</v>
      </c>
      <c r="AP551" t="s">
        <v>152</v>
      </c>
      <c r="AQ551" s="15">
        <v>46189</v>
      </c>
      <c r="AR551" s="15"/>
      <c r="AS551" t="s">
        <v>145</v>
      </c>
      <c r="AT551">
        <v>2</v>
      </c>
      <c r="AU551">
        <v>45800</v>
      </c>
      <c r="AV551">
        <v>0</v>
      </c>
      <c r="AW551">
        <v>0</v>
      </c>
      <c r="AX551" s="14">
        <v>45800</v>
      </c>
      <c r="AY551" s="14">
        <v>0</v>
      </c>
      <c r="AZ551" s="14">
        <v>45800</v>
      </c>
      <c r="BB551" t="s">
        <v>24</v>
      </c>
      <c r="BH551" t="s">
        <v>132</v>
      </c>
      <c r="BK551" t="s">
        <v>550</v>
      </c>
      <c r="BV551" t="s">
        <v>132</v>
      </c>
      <c r="BW551" s="16">
        <v>46057.420138888891</v>
      </c>
      <c r="BX551" t="s">
        <v>143</v>
      </c>
      <c r="BZ551">
        <v>25</v>
      </c>
      <c r="CB551">
        <v>0</v>
      </c>
      <c r="CF551" t="s">
        <v>1087</v>
      </c>
      <c r="CG551">
        <v>2026</v>
      </c>
      <c r="CH551" t="s">
        <v>138</v>
      </c>
      <c r="CI551" t="s">
        <v>139</v>
      </c>
    </row>
    <row r="552" spans="1:87" x14ac:dyDescent="0.3">
      <c r="A552" t="s">
        <v>165</v>
      </c>
      <c r="B552" t="s">
        <v>116</v>
      </c>
      <c r="C552" t="s">
        <v>117</v>
      </c>
      <c r="D552" t="s">
        <v>118</v>
      </c>
      <c r="E552" t="s">
        <v>14</v>
      </c>
      <c r="F552" t="s">
        <v>828</v>
      </c>
      <c r="G552">
        <v>68</v>
      </c>
      <c r="H552">
        <v>0</v>
      </c>
      <c r="I552" s="14">
        <v>504700</v>
      </c>
      <c r="J552" s="14">
        <v>458000</v>
      </c>
      <c r="Q552" s="14"/>
      <c r="R552" s="14"/>
      <c r="Y552" s="14"/>
      <c r="Z552" s="14"/>
      <c r="AG552" s="14"/>
      <c r="AH552" s="14"/>
      <c r="AI552" t="s">
        <v>829</v>
      </c>
      <c r="AJ552" t="s">
        <v>830</v>
      </c>
      <c r="AK552" t="s">
        <v>831</v>
      </c>
      <c r="AL552">
        <v>0</v>
      </c>
      <c r="AM552" t="s">
        <v>832</v>
      </c>
      <c r="AN552" t="s">
        <v>833</v>
      </c>
      <c r="AO552" t="s">
        <v>125</v>
      </c>
      <c r="AP552" t="s">
        <v>152</v>
      </c>
      <c r="AQ552" s="15">
        <v>46234</v>
      </c>
      <c r="AR552" s="15"/>
      <c r="AS552" t="s">
        <v>227</v>
      </c>
      <c r="AT552">
        <v>1</v>
      </c>
      <c r="AU552">
        <v>389300</v>
      </c>
      <c r="AV552">
        <v>0</v>
      </c>
      <c r="AW552">
        <v>0</v>
      </c>
      <c r="AX552" s="14">
        <v>389300</v>
      </c>
      <c r="AY552" s="14">
        <v>0</v>
      </c>
      <c r="AZ552" s="14">
        <v>389300</v>
      </c>
      <c r="BB552" t="s">
        <v>24</v>
      </c>
      <c r="BH552" t="s">
        <v>132</v>
      </c>
      <c r="BK552" t="s">
        <v>550</v>
      </c>
      <c r="BV552" t="s">
        <v>132</v>
      </c>
      <c r="BW552" s="16">
        <v>46057.420138888891</v>
      </c>
      <c r="BX552" t="s">
        <v>143</v>
      </c>
      <c r="BZ552">
        <v>25</v>
      </c>
      <c r="CB552">
        <v>0</v>
      </c>
      <c r="CF552" t="s">
        <v>1087</v>
      </c>
      <c r="CG552">
        <v>2026</v>
      </c>
      <c r="CH552" t="s">
        <v>138</v>
      </c>
      <c r="CI552" t="s">
        <v>139</v>
      </c>
    </row>
    <row r="553" spans="1:87" x14ac:dyDescent="0.3">
      <c r="A553" t="s">
        <v>426</v>
      </c>
      <c r="B553" t="s">
        <v>116</v>
      </c>
      <c r="C553" t="s">
        <v>117</v>
      </c>
      <c r="D553" t="s">
        <v>118</v>
      </c>
      <c r="E553" t="s">
        <v>14</v>
      </c>
      <c r="F553" t="s">
        <v>360</v>
      </c>
      <c r="G553">
        <v>78</v>
      </c>
      <c r="H553">
        <v>0</v>
      </c>
      <c r="I553" s="14">
        <v>534000</v>
      </c>
      <c r="J553" s="14">
        <v>534000</v>
      </c>
      <c r="K553" t="s">
        <v>117</v>
      </c>
      <c r="L553" t="s">
        <v>118</v>
      </c>
      <c r="M553" t="s">
        <v>140</v>
      </c>
      <c r="N553" t="s">
        <v>584</v>
      </c>
      <c r="O553">
        <v>12</v>
      </c>
      <c r="P553">
        <v>0</v>
      </c>
      <c r="Q553" s="14">
        <v>43000</v>
      </c>
      <c r="R553" s="14">
        <v>43000</v>
      </c>
      <c r="Y553" s="14"/>
      <c r="Z553" s="14"/>
      <c r="AG553" s="14"/>
      <c r="AH553" s="14"/>
      <c r="AI553" t="s">
        <v>836</v>
      </c>
      <c r="AJ553" t="s">
        <v>837</v>
      </c>
      <c r="AK553" t="s">
        <v>838</v>
      </c>
      <c r="AL553">
        <v>0</v>
      </c>
      <c r="AM553" t="s">
        <v>839</v>
      </c>
      <c r="AN553" t="s">
        <v>840</v>
      </c>
      <c r="AO553" t="s">
        <v>841</v>
      </c>
      <c r="AP553" t="s">
        <v>841</v>
      </c>
      <c r="AQ553" s="15">
        <v>46053</v>
      </c>
      <c r="AR553" s="15">
        <v>46105</v>
      </c>
      <c r="AS553" t="s">
        <v>1055</v>
      </c>
      <c r="AT553">
        <v>2</v>
      </c>
      <c r="AU553">
        <v>28850</v>
      </c>
      <c r="AV553">
        <v>0</v>
      </c>
      <c r="AW553">
        <v>0</v>
      </c>
      <c r="AX553" s="14">
        <v>28850</v>
      </c>
      <c r="AY553" s="14">
        <v>28850</v>
      </c>
      <c r="AZ553" s="14">
        <v>0</v>
      </c>
      <c r="BA553">
        <v>0</v>
      </c>
      <c r="BB553" t="s">
        <v>23</v>
      </c>
      <c r="BC553" t="s">
        <v>128</v>
      </c>
      <c r="BD553" t="s">
        <v>434</v>
      </c>
      <c r="BE553" t="s">
        <v>130</v>
      </c>
      <c r="BF553" t="s">
        <v>837</v>
      </c>
      <c r="BG553" t="s">
        <v>1542</v>
      </c>
      <c r="BH553" t="s">
        <v>132</v>
      </c>
      <c r="BJ553">
        <v>4</v>
      </c>
      <c r="BK553" t="s">
        <v>133</v>
      </c>
      <c r="BV553" t="s">
        <v>134</v>
      </c>
      <c r="BW553" s="16">
        <v>45922.336805555547</v>
      </c>
      <c r="BX553" t="s">
        <v>143</v>
      </c>
      <c r="BZ553">
        <v>5</v>
      </c>
      <c r="CA553" t="s">
        <v>1543</v>
      </c>
      <c r="CB553">
        <v>0</v>
      </c>
      <c r="CF553" t="s">
        <v>1087</v>
      </c>
      <c r="CG553">
        <v>2026</v>
      </c>
      <c r="CH553" t="s">
        <v>138</v>
      </c>
      <c r="CI553" t="s">
        <v>139</v>
      </c>
    </row>
    <row r="554" spans="1:87" x14ac:dyDescent="0.3">
      <c r="A554" t="s">
        <v>426</v>
      </c>
      <c r="B554" t="s">
        <v>116</v>
      </c>
      <c r="C554" t="s">
        <v>117</v>
      </c>
      <c r="D554" t="s">
        <v>118</v>
      </c>
      <c r="E554" t="s">
        <v>14</v>
      </c>
      <c r="F554" t="s">
        <v>360</v>
      </c>
      <c r="G554">
        <v>78</v>
      </c>
      <c r="H554">
        <v>0</v>
      </c>
      <c r="I554" s="14">
        <v>534000</v>
      </c>
      <c r="J554" s="14">
        <v>534000</v>
      </c>
      <c r="K554" t="s">
        <v>117</v>
      </c>
      <c r="L554" t="s">
        <v>118</v>
      </c>
      <c r="M554" t="s">
        <v>140</v>
      </c>
      <c r="N554" t="s">
        <v>584</v>
      </c>
      <c r="O554">
        <v>12</v>
      </c>
      <c r="P554">
        <v>0</v>
      </c>
      <c r="Q554" s="14">
        <v>43000</v>
      </c>
      <c r="R554" s="14">
        <v>43000</v>
      </c>
      <c r="Y554" s="14"/>
      <c r="Z554" s="14"/>
      <c r="AG554" s="14"/>
      <c r="AH554" s="14"/>
      <c r="AI554" t="s">
        <v>836</v>
      </c>
      <c r="AJ554" t="s">
        <v>837</v>
      </c>
      <c r="AK554" t="s">
        <v>838</v>
      </c>
      <c r="AL554">
        <v>0</v>
      </c>
      <c r="AM554" t="s">
        <v>839</v>
      </c>
      <c r="AN554" t="s">
        <v>840</v>
      </c>
      <c r="AO554" t="s">
        <v>841</v>
      </c>
      <c r="AP554" t="s">
        <v>841</v>
      </c>
      <c r="AQ554" s="15">
        <v>46203</v>
      </c>
      <c r="AR554" s="15">
        <v>46230</v>
      </c>
      <c r="AS554" t="s">
        <v>227</v>
      </c>
      <c r="AT554">
        <v>1</v>
      </c>
      <c r="AU554">
        <v>519300</v>
      </c>
      <c r="AV554">
        <v>0</v>
      </c>
      <c r="AW554">
        <v>0</v>
      </c>
      <c r="AX554" s="14">
        <v>519300</v>
      </c>
      <c r="AY554" s="14">
        <v>519300</v>
      </c>
      <c r="AZ554" s="14">
        <v>0</v>
      </c>
      <c r="BA554">
        <v>0</v>
      </c>
      <c r="BB554" t="s">
        <v>23</v>
      </c>
      <c r="BC554" t="s">
        <v>128</v>
      </c>
      <c r="BD554" t="s">
        <v>434</v>
      </c>
      <c r="BE554" t="s">
        <v>130</v>
      </c>
      <c r="BG554" t="s">
        <v>1544</v>
      </c>
      <c r="BH554" t="s">
        <v>134</v>
      </c>
      <c r="BJ554">
        <v>4</v>
      </c>
      <c r="BK554" t="s">
        <v>133</v>
      </c>
      <c r="BV554" t="s">
        <v>134</v>
      </c>
      <c r="BW554" s="16">
        <v>45922.336805555547</v>
      </c>
      <c r="BX554" t="s">
        <v>143</v>
      </c>
      <c r="BZ554">
        <v>5</v>
      </c>
      <c r="CA554" t="s">
        <v>1545</v>
      </c>
      <c r="CB554">
        <v>0</v>
      </c>
      <c r="CF554" t="s">
        <v>1087</v>
      </c>
      <c r="CG554">
        <v>2026</v>
      </c>
      <c r="CH554" t="s">
        <v>138</v>
      </c>
      <c r="CI554" t="s">
        <v>139</v>
      </c>
    </row>
    <row r="555" spans="1:87" x14ac:dyDescent="0.3">
      <c r="A555" t="s">
        <v>115</v>
      </c>
      <c r="B555" t="s">
        <v>116</v>
      </c>
      <c r="C555" t="s">
        <v>117</v>
      </c>
      <c r="D555" t="s">
        <v>118</v>
      </c>
      <c r="E555" t="s">
        <v>14</v>
      </c>
      <c r="F555" t="s">
        <v>1546</v>
      </c>
      <c r="G555">
        <v>60.93</v>
      </c>
      <c r="H555">
        <v>0</v>
      </c>
      <c r="I555" s="14">
        <v>417700</v>
      </c>
      <c r="J555" s="14">
        <v>417700</v>
      </c>
      <c r="Q555" s="14"/>
      <c r="R555" s="14"/>
      <c r="Y555" s="14"/>
      <c r="Z555" s="14"/>
      <c r="AG555" s="14"/>
      <c r="AH555" s="14"/>
      <c r="AI555" t="s">
        <v>1547</v>
      </c>
      <c r="AJ555" t="s">
        <v>1548</v>
      </c>
      <c r="AK555" t="s">
        <v>1549</v>
      </c>
      <c r="AL555">
        <v>999889061</v>
      </c>
      <c r="AM555" t="s">
        <v>1550</v>
      </c>
      <c r="AN555" t="s">
        <v>1551</v>
      </c>
      <c r="AO555" t="s">
        <v>125</v>
      </c>
      <c r="AP555" t="s">
        <v>152</v>
      </c>
      <c r="AQ555" s="15">
        <v>46027</v>
      </c>
      <c r="AR555" s="15">
        <v>46027</v>
      </c>
      <c r="AS555" t="s">
        <v>127</v>
      </c>
      <c r="AT555">
        <v>1</v>
      </c>
      <c r="AU555">
        <v>3000</v>
      </c>
      <c r="AV555">
        <v>0</v>
      </c>
      <c r="AW555">
        <v>0</v>
      </c>
      <c r="AX555" s="14">
        <v>3000</v>
      </c>
      <c r="AY555" s="14">
        <v>3000</v>
      </c>
      <c r="AZ555" s="14">
        <v>0</v>
      </c>
      <c r="BA555">
        <v>0</v>
      </c>
      <c r="BB555" t="s">
        <v>24</v>
      </c>
      <c r="BC555" t="s">
        <v>128</v>
      </c>
      <c r="BD555" t="s">
        <v>129</v>
      </c>
      <c r="BE555" t="s">
        <v>222</v>
      </c>
      <c r="BG555" t="s">
        <v>1552</v>
      </c>
      <c r="BH555" t="s">
        <v>132</v>
      </c>
      <c r="BI555" t="s">
        <v>873</v>
      </c>
      <c r="BJ555">
        <v>4</v>
      </c>
      <c r="BK555" t="s">
        <v>133</v>
      </c>
      <c r="BV555" t="s">
        <v>134</v>
      </c>
      <c r="BW555" s="16">
        <v>46053.580555555563</v>
      </c>
      <c r="BX555" t="s">
        <v>135</v>
      </c>
      <c r="BZ555">
        <v>46</v>
      </c>
      <c r="CA555" t="s">
        <v>1553</v>
      </c>
      <c r="CB555">
        <v>0</v>
      </c>
      <c r="CF555" t="s">
        <v>1087</v>
      </c>
      <c r="CG555">
        <v>2026</v>
      </c>
      <c r="CH555" t="s">
        <v>138</v>
      </c>
      <c r="CI555" t="s">
        <v>139</v>
      </c>
    </row>
    <row r="556" spans="1:87" x14ac:dyDescent="0.3">
      <c r="A556" t="s">
        <v>115</v>
      </c>
      <c r="B556" t="s">
        <v>116</v>
      </c>
      <c r="C556" t="s">
        <v>117</v>
      </c>
      <c r="D556" t="s">
        <v>118</v>
      </c>
      <c r="E556" t="s">
        <v>14</v>
      </c>
      <c r="F556" t="s">
        <v>1546</v>
      </c>
      <c r="G556">
        <v>60.93</v>
      </c>
      <c r="H556">
        <v>0</v>
      </c>
      <c r="I556" s="14">
        <v>417700</v>
      </c>
      <c r="J556" s="14">
        <v>417700</v>
      </c>
      <c r="Q556" s="14"/>
      <c r="R556" s="14"/>
      <c r="Y556" s="14"/>
      <c r="Z556" s="14"/>
      <c r="AG556" s="14"/>
      <c r="AH556" s="14"/>
      <c r="AI556" t="s">
        <v>1547</v>
      </c>
      <c r="AJ556" t="s">
        <v>1548</v>
      </c>
      <c r="AK556" t="s">
        <v>1549</v>
      </c>
      <c r="AL556">
        <v>999889061</v>
      </c>
      <c r="AM556" t="s">
        <v>1550</v>
      </c>
      <c r="AN556" t="s">
        <v>1551</v>
      </c>
      <c r="AO556" t="s">
        <v>125</v>
      </c>
      <c r="AP556" t="s">
        <v>152</v>
      </c>
      <c r="AQ556" s="15">
        <v>46054</v>
      </c>
      <c r="AR556" s="15">
        <v>46053</v>
      </c>
      <c r="AS556" t="s">
        <v>145</v>
      </c>
      <c r="AT556">
        <v>1</v>
      </c>
      <c r="AU556">
        <v>0</v>
      </c>
      <c r="AV556">
        <v>0</v>
      </c>
      <c r="AW556">
        <v>0</v>
      </c>
      <c r="AX556" s="14">
        <v>30000</v>
      </c>
      <c r="AY556" s="14">
        <v>29650</v>
      </c>
      <c r="AZ556" s="14">
        <v>0</v>
      </c>
      <c r="BA556">
        <v>0</v>
      </c>
      <c r="BB556" t="s">
        <v>24</v>
      </c>
      <c r="BC556" t="s">
        <v>128</v>
      </c>
      <c r="BD556" t="s">
        <v>129</v>
      </c>
      <c r="BE556" t="s">
        <v>130</v>
      </c>
      <c r="BG556" t="s">
        <v>1554</v>
      </c>
      <c r="BH556" t="s">
        <v>132</v>
      </c>
      <c r="BJ556">
        <v>4</v>
      </c>
      <c r="BK556" t="s">
        <v>133</v>
      </c>
      <c r="BV556" t="s">
        <v>134</v>
      </c>
      <c r="BW556" s="16">
        <v>46053.580555555563</v>
      </c>
      <c r="BX556" t="s">
        <v>135</v>
      </c>
      <c r="BZ556">
        <v>46</v>
      </c>
      <c r="CA556" t="s">
        <v>1555</v>
      </c>
      <c r="CB556">
        <v>0</v>
      </c>
      <c r="CF556" t="s">
        <v>1087</v>
      </c>
      <c r="CG556">
        <v>2026</v>
      </c>
      <c r="CH556" t="s">
        <v>138</v>
      </c>
      <c r="CI556" t="s">
        <v>139</v>
      </c>
    </row>
    <row r="557" spans="1:87" x14ac:dyDescent="0.3">
      <c r="A557" t="s">
        <v>115</v>
      </c>
      <c r="B557" t="s">
        <v>116</v>
      </c>
      <c r="C557" t="s">
        <v>117</v>
      </c>
      <c r="D557" t="s">
        <v>118</v>
      </c>
      <c r="E557" t="s">
        <v>14</v>
      </c>
      <c r="F557" t="s">
        <v>1546</v>
      </c>
      <c r="G557">
        <v>60.93</v>
      </c>
      <c r="H557">
        <v>0</v>
      </c>
      <c r="I557" s="14">
        <v>417700</v>
      </c>
      <c r="J557" s="14">
        <v>417700</v>
      </c>
      <c r="Q557" s="14"/>
      <c r="R557" s="14"/>
      <c r="Y557" s="14"/>
      <c r="Z557" s="14"/>
      <c r="AG557" s="14"/>
      <c r="AH557" s="14"/>
      <c r="AI557" t="s">
        <v>1547</v>
      </c>
      <c r="AJ557" t="s">
        <v>1548</v>
      </c>
      <c r="AK557" t="s">
        <v>1549</v>
      </c>
      <c r="AL557">
        <v>999889061</v>
      </c>
      <c r="AM557" t="s">
        <v>1550</v>
      </c>
      <c r="AN557" t="s">
        <v>1551</v>
      </c>
      <c r="AO557" t="s">
        <v>125</v>
      </c>
      <c r="AP557" t="s">
        <v>152</v>
      </c>
      <c r="AQ557" s="15">
        <v>46054</v>
      </c>
      <c r="AR557" s="15">
        <v>46054</v>
      </c>
      <c r="AS557" t="s">
        <v>145</v>
      </c>
      <c r="AT557">
        <v>1</v>
      </c>
      <c r="AU557">
        <v>30000</v>
      </c>
      <c r="AV557">
        <v>0</v>
      </c>
      <c r="AW557">
        <v>0</v>
      </c>
      <c r="AX557" s="14">
        <v>0</v>
      </c>
      <c r="AY557" s="14">
        <v>350</v>
      </c>
      <c r="AZ557" s="14">
        <v>0</v>
      </c>
      <c r="BA557">
        <v>0</v>
      </c>
      <c r="BB557" t="s">
        <v>24</v>
      </c>
      <c r="BC557" t="s">
        <v>128</v>
      </c>
      <c r="BD557" t="s">
        <v>129</v>
      </c>
      <c r="BE557" t="s">
        <v>130</v>
      </c>
      <c r="BG557" t="s">
        <v>1556</v>
      </c>
      <c r="BH557" t="s">
        <v>132</v>
      </c>
      <c r="BJ557">
        <v>4</v>
      </c>
      <c r="BK557" t="s">
        <v>133</v>
      </c>
      <c r="BV557" t="s">
        <v>134</v>
      </c>
      <c r="BW557" s="16">
        <v>46053.580555555563</v>
      </c>
      <c r="BX557" t="s">
        <v>135</v>
      </c>
      <c r="BZ557">
        <v>46</v>
      </c>
      <c r="CA557" t="s">
        <v>1557</v>
      </c>
      <c r="CB557">
        <v>0</v>
      </c>
      <c r="CF557" t="s">
        <v>1087</v>
      </c>
      <c r="CG557">
        <v>2026</v>
      </c>
      <c r="CH557" t="s">
        <v>138</v>
      </c>
      <c r="CI557" t="s">
        <v>139</v>
      </c>
    </row>
    <row r="558" spans="1:87" x14ac:dyDescent="0.3">
      <c r="A558" t="s">
        <v>115</v>
      </c>
      <c r="B558" t="s">
        <v>116</v>
      </c>
      <c r="C558" t="s">
        <v>117</v>
      </c>
      <c r="D558" t="s">
        <v>118</v>
      </c>
      <c r="E558" t="s">
        <v>14</v>
      </c>
      <c r="F558" t="s">
        <v>1546</v>
      </c>
      <c r="G558">
        <v>60.93</v>
      </c>
      <c r="H558">
        <v>0</v>
      </c>
      <c r="I558" s="14">
        <v>417700</v>
      </c>
      <c r="J558" s="14">
        <v>417700</v>
      </c>
      <c r="Q558" s="14"/>
      <c r="R558" s="14"/>
      <c r="Y558" s="14"/>
      <c r="Z558" s="14"/>
      <c r="AG558" s="14"/>
      <c r="AH558" s="14"/>
      <c r="AI558" t="s">
        <v>1547</v>
      </c>
      <c r="AJ558" t="s">
        <v>1548</v>
      </c>
      <c r="AK558" t="s">
        <v>1549</v>
      </c>
      <c r="AL558">
        <v>999889061</v>
      </c>
      <c r="AM558" t="s">
        <v>1550</v>
      </c>
      <c r="AN558" t="s">
        <v>1551</v>
      </c>
      <c r="AO558" t="s">
        <v>125</v>
      </c>
      <c r="AP558" t="s">
        <v>152</v>
      </c>
      <c r="AQ558" s="15">
        <v>46157</v>
      </c>
      <c r="AR558" s="15">
        <v>46185</v>
      </c>
      <c r="AS558" t="s">
        <v>145</v>
      </c>
      <c r="AT558">
        <v>2</v>
      </c>
      <c r="AU558">
        <v>0</v>
      </c>
      <c r="AV558">
        <v>0</v>
      </c>
      <c r="AW558">
        <v>0</v>
      </c>
      <c r="AX558" s="14">
        <v>20700</v>
      </c>
      <c r="AY558" s="14">
        <v>17498.37</v>
      </c>
      <c r="AZ558" s="14">
        <v>0</v>
      </c>
      <c r="BA558">
        <v>0</v>
      </c>
      <c r="BB558" t="s">
        <v>24</v>
      </c>
      <c r="BC558" t="s">
        <v>128</v>
      </c>
      <c r="BD558" t="s">
        <v>129</v>
      </c>
      <c r="BE558" t="s">
        <v>130</v>
      </c>
      <c r="BG558" t="s">
        <v>1558</v>
      </c>
      <c r="BH558" t="s">
        <v>132</v>
      </c>
      <c r="BJ558">
        <v>4</v>
      </c>
      <c r="BK558" t="s">
        <v>133</v>
      </c>
      <c r="BV558" t="s">
        <v>134</v>
      </c>
      <c r="BW558" s="16">
        <v>46053.580555555563</v>
      </c>
      <c r="BX558" t="s">
        <v>135</v>
      </c>
      <c r="BZ558">
        <v>46</v>
      </c>
      <c r="CA558" t="s">
        <v>1559</v>
      </c>
      <c r="CB558">
        <v>0</v>
      </c>
      <c r="CF558" t="s">
        <v>1087</v>
      </c>
      <c r="CG558">
        <v>2026</v>
      </c>
      <c r="CH558" t="s">
        <v>138</v>
      </c>
      <c r="CI558" t="s">
        <v>139</v>
      </c>
    </row>
    <row r="559" spans="1:87" x14ac:dyDescent="0.3">
      <c r="A559" t="s">
        <v>115</v>
      </c>
      <c r="B559" t="s">
        <v>116</v>
      </c>
      <c r="C559" t="s">
        <v>117</v>
      </c>
      <c r="D559" t="s">
        <v>118</v>
      </c>
      <c r="E559" t="s">
        <v>14</v>
      </c>
      <c r="F559" t="s">
        <v>1546</v>
      </c>
      <c r="G559">
        <v>60.93</v>
      </c>
      <c r="H559">
        <v>0</v>
      </c>
      <c r="I559" s="14">
        <v>417700</v>
      </c>
      <c r="J559" s="14">
        <v>417700</v>
      </c>
      <c r="Q559" s="14"/>
      <c r="R559" s="14"/>
      <c r="Y559" s="14"/>
      <c r="Z559" s="14"/>
      <c r="AG559" s="14"/>
      <c r="AH559" s="14"/>
      <c r="AI559" t="s">
        <v>1547</v>
      </c>
      <c r="AJ559" t="s">
        <v>1548</v>
      </c>
      <c r="AK559" t="s">
        <v>1549</v>
      </c>
      <c r="AL559">
        <v>999889061</v>
      </c>
      <c r="AM559" t="s">
        <v>1550</v>
      </c>
      <c r="AN559" t="s">
        <v>1551</v>
      </c>
      <c r="AO559" t="s">
        <v>125</v>
      </c>
      <c r="AP559" t="s">
        <v>152</v>
      </c>
      <c r="AQ559" s="15">
        <v>46157</v>
      </c>
      <c r="AR559" s="15">
        <v>46186</v>
      </c>
      <c r="AS559" t="s">
        <v>145</v>
      </c>
      <c r="AT559">
        <v>2</v>
      </c>
      <c r="AU559">
        <v>20700</v>
      </c>
      <c r="AV559">
        <v>0</v>
      </c>
      <c r="AW559">
        <v>0</v>
      </c>
      <c r="AX559" s="14">
        <v>0</v>
      </c>
      <c r="AY559" s="14">
        <v>3201.63</v>
      </c>
      <c r="AZ559" s="14">
        <v>0</v>
      </c>
      <c r="BA559">
        <v>0</v>
      </c>
      <c r="BB559" t="s">
        <v>24</v>
      </c>
      <c r="BC559" t="s">
        <v>128</v>
      </c>
      <c r="BD559" t="s">
        <v>129</v>
      </c>
      <c r="BE559" t="s">
        <v>130</v>
      </c>
      <c r="BG559" t="s">
        <v>1560</v>
      </c>
      <c r="BH559" t="s">
        <v>132</v>
      </c>
      <c r="BJ559">
        <v>4</v>
      </c>
      <c r="BK559" t="s">
        <v>133</v>
      </c>
      <c r="BV559" t="s">
        <v>134</v>
      </c>
      <c r="BW559" s="16">
        <v>46053.580555555563</v>
      </c>
      <c r="BX559" t="s">
        <v>135</v>
      </c>
      <c r="BZ559">
        <v>46</v>
      </c>
      <c r="CA559" t="s">
        <v>1561</v>
      </c>
      <c r="CB559">
        <v>0</v>
      </c>
      <c r="CF559" t="s">
        <v>1087</v>
      </c>
      <c r="CG559">
        <v>2026</v>
      </c>
      <c r="CH559" t="s">
        <v>138</v>
      </c>
      <c r="CI559" t="s">
        <v>139</v>
      </c>
    </row>
    <row r="560" spans="1:87" x14ac:dyDescent="0.3">
      <c r="A560" t="s">
        <v>115</v>
      </c>
      <c r="B560" t="s">
        <v>116</v>
      </c>
      <c r="C560" t="s">
        <v>117</v>
      </c>
      <c r="D560" t="s">
        <v>118</v>
      </c>
      <c r="E560" t="s">
        <v>14</v>
      </c>
      <c r="F560" t="s">
        <v>1546</v>
      </c>
      <c r="G560">
        <v>60.93</v>
      </c>
      <c r="H560">
        <v>0</v>
      </c>
      <c r="I560" s="14">
        <v>417700</v>
      </c>
      <c r="J560" s="14">
        <v>417700</v>
      </c>
      <c r="Q560" s="14"/>
      <c r="R560" s="14"/>
      <c r="Y560" s="14"/>
      <c r="Z560" s="14"/>
      <c r="AG560" s="14"/>
      <c r="AH560" s="14"/>
      <c r="AI560" t="s">
        <v>1547</v>
      </c>
      <c r="AJ560" t="s">
        <v>1548</v>
      </c>
      <c r="AK560" t="s">
        <v>1549</v>
      </c>
      <c r="AL560">
        <v>999889061</v>
      </c>
      <c r="AM560" t="s">
        <v>1550</v>
      </c>
      <c r="AN560" t="s">
        <v>1551</v>
      </c>
      <c r="AO560" t="s">
        <v>125</v>
      </c>
      <c r="AP560" t="s">
        <v>152</v>
      </c>
      <c r="AQ560" s="15">
        <v>46172</v>
      </c>
      <c r="AR560" s="15">
        <v>46186</v>
      </c>
      <c r="AS560" t="s">
        <v>145</v>
      </c>
      <c r="AT560">
        <v>3</v>
      </c>
      <c r="AU560">
        <v>14000</v>
      </c>
      <c r="AV560">
        <v>0</v>
      </c>
      <c r="AW560">
        <v>0</v>
      </c>
      <c r="AX560" s="14">
        <v>14000</v>
      </c>
      <c r="AY560" s="14">
        <v>14000</v>
      </c>
      <c r="AZ560" s="14">
        <v>0</v>
      </c>
      <c r="BA560">
        <v>0</v>
      </c>
      <c r="BB560" t="s">
        <v>24</v>
      </c>
      <c r="BC560" t="s">
        <v>128</v>
      </c>
      <c r="BD560" t="s">
        <v>129</v>
      </c>
      <c r="BE560" t="s">
        <v>130</v>
      </c>
      <c r="BG560" t="s">
        <v>1560</v>
      </c>
      <c r="BH560" t="s">
        <v>132</v>
      </c>
      <c r="BJ560">
        <v>4</v>
      </c>
      <c r="BK560" t="s">
        <v>133</v>
      </c>
      <c r="BV560" t="s">
        <v>134</v>
      </c>
      <c r="BW560" s="16">
        <v>46053.580555555563</v>
      </c>
      <c r="BX560" t="s">
        <v>135</v>
      </c>
      <c r="BZ560">
        <v>46</v>
      </c>
      <c r="CA560" t="s">
        <v>1561</v>
      </c>
      <c r="CB560">
        <v>0</v>
      </c>
      <c r="CF560" t="s">
        <v>1087</v>
      </c>
      <c r="CG560">
        <v>2026</v>
      </c>
      <c r="CH560" t="s">
        <v>138</v>
      </c>
      <c r="CI560" t="s">
        <v>139</v>
      </c>
    </row>
    <row r="561" spans="1:87" x14ac:dyDescent="0.3">
      <c r="A561" t="s">
        <v>115</v>
      </c>
      <c r="B561" t="s">
        <v>116</v>
      </c>
      <c r="C561" t="s">
        <v>117</v>
      </c>
      <c r="D561" t="s">
        <v>118</v>
      </c>
      <c r="E561" t="s">
        <v>14</v>
      </c>
      <c r="F561" t="s">
        <v>1546</v>
      </c>
      <c r="G561">
        <v>60.93</v>
      </c>
      <c r="H561">
        <v>0</v>
      </c>
      <c r="I561" s="14">
        <v>417700</v>
      </c>
      <c r="J561" s="14">
        <v>417700</v>
      </c>
      <c r="Q561" s="14"/>
      <c r="R561" s="14"/>
      <c r="Y561" s="14"/>
      <c r="Z561" s="14"/>
      <c r="AG561" s="14"/>
      <c r="AH561" s="14"/>
      <c r="AI561" t="s">
        <v>1547</v>
      </c>
      <c r="AJ561" t="s">
        <v>1548</v>
      </c>
      <c r="AK561" t="s">
        <v>1549</v>
      </c>
      <c r="AL561">
        <v>999889061</v>
      </c>
      <c r="AM561" t="s">
        <v>1550</v>
      </c>
      <c r="AN561" t="s">
        <v>1551</v>
      </c>
      <c r="AO561" t="s">
        <v>125</v>
      </c>
      <c r="AP561" t="s">
        <v>152</v>
      </c>
      <c r="AQ561" s="15">
        <v>46203</v>
      </c>
      <c r="AR561" s="15">
        <v>46247</v>
      </c>
      <c r="AS561" t="s">
        <v>227</v>
      </c>
      <c r="AT561">
        <v>1</v>
      </c>
      <c r="AU561">
        <v>350000</v>
      </c>
      <c r="AV561">
        <v>0</v>
      </c>
      <c r="AW561">
        <v>0</v>
      </c>
      <c r="AX561" s="14">
        <v>350000</v>
      </c>
      <c r="AY561" s="14">
        <v>350000</v>
      </c>
      <c r="AZ561" s="14">
        <v>0</v>
      </c>
      <c r="BA561">
        <v>0</v>
      </c>
      <c r="BB561" t="s">
        <v>24</v>
      </c>
      <c r="BC561" t="s">
        <v>128</v>
      </c>
      <c r="BD561" t="s">
        <v>129</v>
      </c>
      <c r="BE561" t="s">
        <v>130</v>
      </c>
      <c r="BG561" t="s">
        <v>1562</v>
      </c>
      <c r="BH561" t="s">
        <v>132</v>
      </c>
      <c r="BJ561">
        <v>4</v>
      </c>
      <c r="BK561" t="s">
        <v>133</v>
      </c>
      <c r="BV561" t="s">
        <v>134</v>
      </c>
      <c r="BW561" s="16">
        <v>46053.580555555563</v>
      </c>
      <c r="BX561" t="s">
        <v>135</v>
      </c>
      <c r="BZ561">
        <v>46</v>
      </c>
      <c r="CA561" t="s">
        <v>1563</v>
      </c>
      <c r="CB561">
        <v>0</v>
      </c>
      <c r="CF561" t="s">
        <v>1087</v>
      </c>
      <c r="CG561">
        <v>2026</v>
      </c>
      <c r="CH561" t="s">
        <v>138</v>
      </c>
      <c r="CI561" t="s">
        <v>139</v>
      </c>
    </row>
    <row r="562" spans="1:87" x14ac:dyDescent="0.3">
      <c r="A562" t="s">
        <v>115</v>
      </c>
      <c r="B562" t="s">
        <v>116</v>
      </c>
      <c r="C562" t="s">
        <v>117</v>
      </c>
      <c r="D562" t="s">
        <v>118</v>
      </c>
      <c r="E562" t="s">
        <v>140</v>
      </c>
      <c r="F562" t="s">
        <v>847</v>
      </c>
      <c r="G562">
        <v>12.49</v>
      </c>
      <c r="H562">
        <v>1.83</v>
      </c>
      <c r="I562" s="14">
        <v>52000</v>
      </c>
      <c r="J562" s="14">
        <v>52000</v>
      </c>
      <c r="Q562" s="14"/>
      <c r="R562" s="14"/>
      <c r="Y562" s="14"/>
      <c r="Z562" s="14"/>
      <c r="AG562" s="14"/>
      <c r="AH562" s="14"/>
      <c r="AI562" t="s">
        <v>292</v>
      </c>
      <c r="AJ562" t="s">
        <v>293</v>
      </c>
      <c r="AK562" t="s">
        <v>294</v>
      </c>
      <c r="AL562">
        <v>0</v>
      </c>
      <c r="AM562" t="s">
        <v>295</v>
      </c>
      <c r="AN562" t="s">
        <v>296</v>
      </c>
      <c r="AO562" t="s">
        <v>125</v>
      </c>
      <c r="AP562" t="s">
        <v>297</v>
      </c>
      <c r="AQ562" s="15">
        <v>46112</v>
      </c>
      <c r="AR562" s="15">
        <v>46112</v>
      </c>
      <c r="AS562" t="s">
        <v>145</v>
      </c>
      <c r="AT562">
        <v>1</v>
      </c>
      <c r="AU562">
        <v>12000</v>
      </c>
      <c r="AV562">
        <v>0</v>
      </c>
      <c r="AW562">
        <v>0</v>
      </c>
      <c r="AX562" s="14">
        <v>12000</v>
      </c>
      <c r="AY562" s="14">
        <v>12000</v>
      </c>
      <c r="AZ562" s="14">
        <v>0</v>
      </c>
      <c r="BA562">
        <v>0</v>
      </c>
      <c r="BB562" t="s">
        <v>22</v>
      </c>
      <c r="BC562" t="s">
        <v>128</v>
      </c>
      <c r="BD562" t="s">
        <v>129</v>
      </c>
      <c r="BE562" t="s">
        <v>130</v>
      </c>
      <c r="BG562" t="s">
        <v>1564</v>
      </c>
      <c r="BH562" t="s">
        <v>132</v>
      </c>
      <c r="BJ562">
        <v>4</v>
      </c>
      <c r="BK562" t="s">
        <v>133</v>
      </c>
      <c r="BV562" t="s">
        <v>134</v>
      </c>
      <c r="BW562" s="16">
        <v>46112.723611111112</v>
      </c>
      <c r="BX562" t="s">
        <v>143</v>
      </c>
      <c r="BZ562">
        <v>60</v>
      </c>
      <c r="CA562" t="s">
        <v>1565</v>
      </c>
      <c r="CB562">
        <v>0</v>
      </c>
      <c r="CF562" t="s">
        <v>1087</v>
      </c>
      <c r="CG562">
        <v>2026</v>
      </c>
      <c r="CH562" t="s">
        <v>138</v>
      </c>
      <c r="CI562" t="s">
        <v>139</v>
      </c>
    </row>
    <row r="563" spans="1:87" x14ac:dyDescent="0.3">
      <c r="A563" t="s">
        <v>115</v>
      </c>
      <c r="B563" t="s">
        <v>116</v>
      </c>
      <c r="C563" t="s">
        <v>117</v>
      </c>
      <c r="D563" t="s">
        <v>118</v>
      </c>
      <c r="E563" t="s">
        <v>140</v>
      </c>
      <c r="F563" t="s">
        <v>847</v>
      </c>
      <c r="G563">
        <v>12.49</v>
      </c>
      <c r="H563">
        <v>1.83</v>
      </c>
      <c r="I563" s="14">
        <v>52000</v>
      </c>
      <c r="J563" s="14">
        <v>52000</v>
      </c>
      <c r="Q563" s="14"/>
      <c r="R563" s="14"/>
      <c r="Y563" s="14"/>
      <c r="Z563" s="14"/>
      <c r="AG563" s="14"/>
      <c r="AH563" s="14"/>
      <c r="AI563" t="s">
        <v>292</v>
      </c>
      <c r="AJ563" t="s">
        <v>293</v>
      </c>
      <c r="AK563" t="s">
        <v>294</v>
      </c>
      <c r="AL563">
        <v>0</v>
      </c>
      <c r="AM563" t="s">
        <v>295</v>
      </c>
      <c r="AN563" t="s">
        <v>296</v>
      </c>
      <c r="AO563" t="s">
        <v>125</v>
      </c>
      <c r="AP563" t="s">
        <v>297</v>
      </c>
      <c r="AQ563" s="15">
        <v>46234</v>
      </c>
      <c r="AR563" s="15"/>
      <c r="AS563" t="s">
        <v>227</v>
      </c>
      <c r="AT563">
        <v>1</v>
      </c>
      <c r="AU563">
        <v>35000</v>
      </c>
      <c r="AV563">
        <v>0</v>
      </c>
      <c r="AW563">
        <v>0</v>
      </c>
      <c r="AX563" s="14">
        <v>35000</v>
      </c>
      <c r="AY563" s="14">
        <v>0</v>
      </c>
      <c r="AZ563" s="14">
        <v>35000</v>
      </c>
      <c r="BB563" t="s">
        <v>22</v>
      </c>
      <c r="BH563" t="s">
        <v>132</v>
      </c>
      <c r="BK563" t="s">
        <v>550</v>
      </c>
      <c r="BV563" t="s">
        <v>132</v>
      </c>
      <c r="BW563" s="16">
        <v>46112.723611111112</v>
      </c>
      <c r="BX563" t="s">
        <v>143</v>
      </c>
      <c r="BZ563">
        <v>60</v>
      </c>
      <c r="CB563">
        <v>0</v>
      </c>
      <c r="CF563" t="s">
        <v>1087</v>
      </c>
      <c r="CG563">
        <v>2026</v>
      </c>
      <c r="CH563" t="s">
        <v>138</v>
      </c>
      <c r="CI563" t="s">
        <v>139</v>
      </c>
    </row>
    <row r="564" spans="1:87" x14ac:dyDescent="0.3">
      <c r="A564" t="s">
        <v>165</v>
      </c>
      <c r="B564" t="s">
        <v>116</v>
      </c>
      <c r="C564" t="s">
        <v>117</v>
      </c>
      <c r="D564" t="s">
        <v>118</v>
      </c>
      <c r="E564" t="s">
        <v>14</v>
      </c>
      <c r="F564" t="s">
        <v>720</v>
      </c>
      <c r="G564">
        <v>70</v>
      </c>
      <c r="H564">
        <v>0</v>
      </c>
      <c r="I564" s="14">
        <v>518500</v>
      </c>
      <c r="J564" s="14">
        <v>470000</v>
      </c>
      <c r="Q564" s="14"/>
      <c r="R564" s="14"/>
      <c r="Y564" s="14"/>
      <c r="Z564" s="14"/>
      <c r="AG564" s="14"/>
      <c r="AH564" s="14"/>
      <c r="AI564" t="s">
        <v>850</v>
      </c>
      <c r="AJ564" t="s">
        <v>851</v>
      </c>
      <c r="AK564" t="s">
        <v>852</v>
      </c>
      <c r="AL564">
        <v>0</v>
      </c>
      <c r="AM564" t="s">
        <v>853</v>
      </c>
      <c r="AN564" t="s">
        <v>854</v>
      </c>
      <c r="AO564" t="s">
        <v>125</v>
      </c>
      <c r="AP564" t="s">
        <v>126</v>
      </c>
      <c r="AQ564" s="15">
        <v>46250.629861111112</v>
      </c>
      <c r="AR564" s="15">
        <v>45932</v>
      </c>
      <c r="AS564" t="s">
        <v>145</v>
      </c>
      <c r="AT564">
        <v>1</v>
      </c>
      <c r="AU564">
        <v>0</v>
      </c>
      <c r="AV564">
        <v>0</v>
      </c>
      <c r="AW564">
        <v>0</v>
      </c>
      <c r="AX564" s="14">
        <v>148000</v>
      </c>
      <c r="AY564" s="14">
        <v>138000</v>
      </c>
      <c r="AZ564" s="14">
        <v>0</v>
      </c>
      <c r="BA564">
        <v>0</v>
      </c>
      <c r="BB564" t="s">
        <v>22</v>
      </c>
      <c r="BC564" t="s">
        <v>175</v>
      </c>
      <c r="BD564" t="s">
        <v>176</v>
      </c>
      <c r="BE564" t="s">
        <v>156</v>
      </c>
      <c r="BG564" t="s">
        <v>1566</v>
      </c>
      <c r="BH564" t="s">
        <v>132</v>
      </c>
      <c r="BJ564">
        <v>4</v>
      </c>
      <c r="BK564" t="s">
        <v>133</v>
      </c>
      <c r="BV564" t="s">
        <v>134</v>
      </c>
      <c r="BW564" s="16">
        <v>45932.422222222223</v>
      </c>
      <c r="BX564" t="s">
        <v>178</v>
      </c>
      <c r="BZ564">
        <v>26</v>
      </c>
      <c r="CA564" t="s">
        <v>1567</v>
      </c>
      <c r="CB564">
        <v>0</v>
      </c>
      <c r="CF564" t="s">
        <v>1087</v>
      </c>
      <c r="CG564">
        <v>2026</v>
      </c>
      <c r="CH564" t="s">
        <v>138</v>
      </c>
      <c r="CI564" t="s">
        <v>139</v>
      </c>
    </row>
    <row r="565" spans="1:87" x14ac:dyDescent="0.3">
      <c r="A565" t="s">
        <v>165</v>
      </c>
      <c r="B565" t="s">
        <v>116</v>
      </c>
      <c r="C565" t="s">
        <v>117</v>
      </c>
      <c r="D565" t="s">
        <v>118</v>
      </c>
      <c r="E565" t="s">
        <v>14</v>
      </c>
      <c r="F565" t="s">
        <v>720</v>
      </c>
      <c r="G565">
        <v>70</v>
      </c>
      <c r="H565">
        <v>0</v>
      </c>
      <c r="I565" s="14">
        <v>518500</v>
      </c>
      <c r="J565" s="14">
        <v>470000</v>
      </c>
      <c r="Q565" s="14"/>
      <c r="R565" s="14"/>
      <c r="Y565" s="14"/>
      <c r="Z565" s="14"/>
      <c r="AG565" s="14"/>
      <c r="AH565" s="14"/>
      <c r="AI565" t="s">
        <v>850</v>
      </c>
      <c r="AJ565" t="s">
        <v>851</v>
      </c>
      <c r="AK565" t="s">
        <v>852</v>
      </c>
      <c r="AL565">
        <v>0</v>
      </c>
      <c r="AM565" t="s">
        <v>853</v>
      </c>
      <c r="AN565" t="s">
        <v>854</v>
      </c>
      <c r="AO565" t="s">
        <v>125</v>
      </c>
      <c r="AP565" t="s">
        <v>126</v>
      </c>
      <c r="AQ565" s="15">
        <v>46250.629861111112</v>
      </c>
      <c r="AR565" s="15">
        <v>46044</v>
      </c>
      <c r="AS565" t="s">
        <v>145</v>
      </c>
      <c r="AT565">
        <v>1</v>
      </c>
      <c r="AU565">
        <v>148000</v>
      </c>
      <c r="AV565">
        <v>0</v>
      </c>
      <c r="AW565">
        <v>0</v>
      </c>
      <c r="AX565" s="14">
        <v>0</v>
      </c>
      <c r="AY565" s="14">
        <v>10000</v>
      </c>
      <c r="AZ565" s="14">
        <v>0</v>
      </c>
      <c r="BA565">
        <v>0</v>
      </c>
      <c r="BB565" t="s">
        <v>22</v>
      </c>
      <c r="BC565" t="s">
        <v>175</v>
      </c>
      <c r="BD565" t="s">
        <v>176</v>
      </c>
      <c r="BE565" t="s">
        <v>156</v>
      </c>
      <c r="BF565" t="s">
        <v>1568</v>
      </c>
      <c r="BH565" t="s">
        <v>132</v>
      </c>
      <c r="BJ565">
        <v>4</v>
      </c>
      <c r="BK565" t="s">
        <v>133</v>
      </c>
      <c r="BV565" t="s">
        <v>134</v>
      </c>
      <c r="BW565" s="16">
        <v>45932.422222222223</v>
      </c>
      <c r="BX565" t="s">
        <v>178</v>
      </c>
      <c r="BZ565">
        <v>26</v>
      </c>
      <c r="CA565" t="s">
        <v>1569</v>
      </c>
      <c r="CB565">
        <v>0</v>
      </c>
      <c r="CF565" t="s">
        <v>1087</v>
      </c>
      <c r="CG565">
        <v>2026</v>
      </c>
      <c r="CH565" t="s">
        <v>138</v>
      </c>
      <c r="CI565" t="s">
        <v>139</v>
      </c>
    </row>
    <row r="566" spans="1:87" x14ac:dyDescent="0.3">
      <c r="A566" t="s">
        <v>165</v>
      </c>
      <c r="B566" t="s">
        <v>116</v>
      </c>
      <c r="C566" t="s">
        <v>117</v>
      </c>
      <c r="D566" t="s">
        <v>118</v>
      </c>
      <c r="E566" t="s">
        <v>14</v>
      </c>
      <c r="F566" t="s">
        <v>720</v>
      </c>
      <c r="G566">
        <v>70</v>
      </c>
      <c r="H566">
        <v>0</v>
      </c>
      <c r="I566" s="14">
        <v>518500</v>
      </c>
      <c r="J566" s="14">
        <v>470000</v>
      </c>
      <c r="Q566" s="14"/>
      <c r="R566" s="14"/>
      <c r="Y566" s="14"/>
      <c r="Z566" s="14"/>
      <c r="AG566" s="14"/>
      <c r="AH566" s="14"/>
      <c r="AI566" t="s">
        <v>850</v>
      </c>
      <c r="AJ566" t="s">
        <v>851</v>
      </c>
      <c r="AK566" t="s">
        <v>852</v>
      </c>
      <c r="AL566">
        <v>0</v>
      </c>
      <c r="AM566" t="s">
        <v>853</v>
      </c>
      <c r="AN566" t="s">
        <v>854</v>
      </c>
      <c r="AO566" t="s">
        <v>125</v>
      </c>
      <c r="AP566" t="s">
        <v>126</v>
      </c>
      <c r="AQ566" s="15">
        <v>46281.629861111112</v>
      </c>
      <c r="AR566" s="15">
        <v>46044</v>
      </c>
      <c r="AS566" t="s">
        <v>227</v>
      </c>
      <c r="AT566">
        <v>1</v>
      </c>
      <c r="AU566">
        <v>319000</v>
      </c>
      <c r="AV566">
        <v>0</v>
      </c>
      <c r="AW566">
        <v>0</v>
      </c>
      <c r="AX566" s="14">
        <v>319000</v>
      </c>
      <c r="AY566" s="14">
        <v>37000</v>
      </c>
      <c r="AZ566" s="14">
        <v>282000</v>
      </c>
      <c r="BA566">
        <v>0</v>
      </c>
      <c r="BB566" t="s">
        <v>22</v>
      </c>
      <c r="BC566" t="s">
        <v>175</v>
      </c>
      <c r="BD566" t="s">
        <v>176</v>
      </c>
      <c r="BE566" t="s">
        <v>156</v>
      </c>
      <c r="BF566" t="s">
        <v>1568</v>
      </c>
      <c r="BG566" t="s">
        <v>1570</v>
      </c>
      <c r="BH566" t="s">
        <v>132</v>
      </c>
      <c r="BJ566">
        <v>4</v>
      </c>
      <c r="BK566" t="s">
        <v>1214</v>
      </c>
      <c r="BV566" t="s">
        <v>134</v>
      </c>
      <c r="BW566" s="16">
        <v>45932.422222222223</v>
      </c>
      <c r="BX566" t="s">
        <v>178</v>
      </c>
      <c r="BZ566">
        <v>26</v>
      </c>
      <c r="CA566" t="s">
        <v>1571</v>
      </c>
      <c r="CB566">
        <v>0</v>
      </c>
      <c r="CF566" t="s">
        <v>1087</v>
      </c>
      <c r="CG566">
        <v>2026</v>
      </c>
      <c r="CH566" t="s">
        <v>138</v>
      </c>
      <c r="CI566" t="s">
        <v>139</v>
      </c>
    </row>
    <row r="567" spans="1:87" x14ac:dyDescent="0.3">
      <c r="A567" t="s">
        <v>426</v>
      </c>
      <c r="B567" t="s">
        <v>116</v>
      </c>
      <c r="C567" t="s">
        <v>117</v>
      </c>
      <c r="D567" t="s">
        <v>118</v>
      </c>
      <c r="E567" t="s">
        <v>14</v>
      </c>
      <c r="F567" t="s">
        <v>230</v>
      </c>
      <c r="G567">
        <v>67</v>
      </c>
      <c r="H567">
        <v>21</v>
      </c>
      <c r="I567" s="14">
        <v>553000</v>
      </c>
      <c r="J567" s="14">
        <v>497000</v>
      </c>
      <c r="Q567" s="14"/>
      <c r="R567" s="14"/>
      <c r="Y567" s="14"/>
      <c r="Z567" s="14"/>
      <c r="AG567" s="14"/>
      <c r="AH567" s="14"/>
      <c r="AI567" t="s">
        <v>857</v>
      </c>
      <c r="AJ567" t="s">
        <v>858</v>
      </c>
      <c r="AK567" t="s">
        <v>859</v>
      </c>
      <c r="AL567">
        <v>0</v>
      </c>
      <c r="AM567" t="s">
        <v>860</v>
      </c>
      <c r="AN567" t="s">
        <v>861</v>
      </c>
      <c r="AO567" t="s">
        <v>862</v>
      </c>
      <c r="AP567" t="s">
        <v>862</v>
      </c>
      <c r="AQ567" s="15">
        <v>46203</v>
      </c>
      <c r="AR567" s="15">
        <v>46234</v>
      </c>
      <c r="AS567" t="s">
        <v>145</v>
      </c>
      <c r="AT567">
        <v>2</v>
      </c>
      <c r="AU567">
        <v>5100</v>
      </c>
      <c r="AV567">
        <v>0</v>
      </c>
      <c r="AW567">
        <v>0</v>
      </c>
      <c r="AX567" s="14">
        <v>5100</v>
      </c>
      <c r="AY567" s="14">
        <v>5100</v>
      </c>
      <c r="AZ567" s="14">
        <v>0</v>
      </c>
      <c r="BA567">
        <v>0</v>
      </c>
      <c r="BB567" t="s">
        <v>24</v>
      </c>
      <c r="BC567" t="s">
        <v>128</v>
      </c>
      <c r="BD567" t="s">
        <v>434</v>
      </c>
      <c r="BE567" t="s">
        <v>130</v>
      </c>
      <c r="BG567" t="s">
        <v>1572</v>
      </c>
      <c r="BH567" t="s">
        <v>132</v>
      </c>
      <c r="BJ567">
        <v>4</v>
      </c>
      <c r="BK567" t="s">
        <v>133</v>
      </c>
      <c r="BV567" t="s">
        <v>134</v>
      </c>
      <c r="BW567" s="16">
        <v>45988.333333333343</v>
      </c>
      <c r="BX567" t="s">
        <v>143</v>
      </c>
      <c r="BZ567">
        <v>3</v>
      </c>
      <c r="CA567" t="s">
        <v>1573</v>
      </c>
      <c r="CB567">
        <v>0</v>
      </c>
      <c r="CF567" t="s">
        <v>1087</v>
      </c>
      <c r="CG567">
        <v>2026</v>
      </c>
      <c r="CH567" t="s">
        <v>138</v>
      </c>
      <c r="CI567" t="s">
        <v>139</v>
      </c>
    </row>
    <row r="568" spans="1:87" x14ac:dyDescent="0.3">
      <c r="A568" t="s">
        <v>426</v>
      </c>
      <c r="B568" t="s">
        <v>116</v>
      </c>
      <c r="C568" t="s">
        <v>117</v>
      </c>
      <c r="D568" t="s">
        <v>118</v>
      </c>
      <c r="E568" t="s">
        <v>14</v>
      </c>
      <c r="F568" t="s">
        <v>230</v>
      </c>
      <c r="G568">
        <v>67</v>
      </c>
      <c r="H568">
        <v>21</v>
      </c>
      <c r="I568" s="14">
        <v>553000</v>
      </c>
      <c r="J568" s="14">
        <v>497000</v>
      </c>
      <c r="Q568" s="14"/>
      <c r="R568" s="14"/>
      <c r="Y568" s="14"/>
      <c r="Z568" s="14"/>
      <c r="AG568" s="14"/>
      <c r="AH568" s="14"/>
      <c r="AI568" t="s">
        <v>857</v>
      </c>
      <c r="AJ568" t="s">
        <v>858</v>
      </c>
      <c r="AK568" t="s">
        <v>859</v>
      </c>
      <c r="AL568">
        <v>0</v>
      </c>
      <c r="AM568" t="s">
        <v>860</v>
      </c>
      <c r="AN568" t="s">
        <v>861</v>
      </c>
      <c r="AO568" t="s">
        <v>862</v>
      </c>
      <c r="AP568" t="s">
        <v>862</v>
      </c>
      <c r="AQ568" s="15">
        <v>46295</v>
      </c>
      <c r="AR568" s="15"/>
      <c r="AS568" t="s">
        <v>1055</v>
      </c>
      <c r="AT568">
        <v>3</v>
      </c>
      <c r="AU568">
        <v>24600</v>
      </c>
      <c r="AV568">
        <v>0</v>
      </c>
      <c r="AW568">
        <v>0</v>
      </c>
      <c r="AX568" s="14">
        <v>24600</v>
      </c>
      <c r="AY568" s="14">
        <v>0</v>
      </c>
      <c r="AZ568" s="14">
        <v>24600</v>
      </c>
      <c r="BB568" t="s">
        <v>24</v>
      </c>
      <c r="BH568" t="s">
        <v>132</v>
      </c>
      <c r="BK568" t="s">
        <v>1100</v>
      </c>
      <c r="BV568" t="s">
        <v>132</v>
      </c>
      <c r="BW568" s="16">
        <v>45988.333333333343</v>
      </c>
      <c r="BX568" t="s">
        <v>143</v>
      </c>
      <c r="BZ568">
        <v>3</v>
      </c>
      <c r="CB568">
        <v>0</v>
      </c>
      <c r="CF568" t="s">
        <v>1087</v>
      </c>
      <c r="CG568">
        <v>2026</v>
      </c>
      <c r="CH568" t="s">
        <v>138</v>
      </c>
      <c r="CI568" t="s">
        <v>139</v>
      </c>
    </row>
    <row r="569" spans="1:87" x14ac:dyDescent="0.3">
      <c r="A569" t="s">
        <v>426</v>
      </c>
      <c r="B569" t="s">
        <v>116</v>
      </c>
      <c r="C569" t="s">
        <v>117</v>
      </c>
      <c r="D569" t="s">
        <v>118</v>
      </c>
      <c r="E569" t="s">
        <v>14</v>
      </c>
      <c r="F569" t="s">
        <v>230</v>
      </c>
      <c r="G569">
        <v>67</v>
      </c>
      <c r="H569">
        <v>21</v>
      </c>
      <c r="I569" s="14">
        <v>553000</v>
      </c>
      <c r="J569" s="14">
        <v>497000</v>
      </c>
      <c r="Q569" s="14"/>
      <c r="R569" s="14"/>
      <c r="Y569" s="14"/>
      <c r="Z569" s="14"/>
      <c r="AG569" s="14"/>
      <c r="AH569" s="14"/>
      <c r="AI569" t="s">
        <v>857</v>
      </c>
      <c r="AJ569" t="s">
        <v>858</v>
      </c>
      <c r="AK569" t="s">
        <v>859</v>
      </c>
      <c r="AL569">
        <v>0</v>
      </c>
      <c r="AM569" t="s">
        <v>860</v>
      </c>
      <c r="AN569" t="s">
        <v>861</v>
      </c>
      <c r="AO569" t="s">
        <v>862</v>
      </c>
      <c r="AP569" t="s">
        <v>862</v>
      </c>
      <c r="AQ569" s="15">
        <v>46356</v>
      </c>
      <c r="AR569" s="15"/>
      <c r="AS569" t="s">
        <v>227</v>
      </c>
      <c r="AT569">
        <v>1</v>
      </c>
      <c r="AU569">
        <v>447300</v>
      </c>
      <c r="AV569">
        <v>0</v>
      </c>
      <c r="AW569">
        <v>0</v>
      </c>
      <c r="AX569" s="14">
        <v>447300</v>
      </c>
      <c r="AY569" s="14">
        <v>0</v>
      </c>
      <c r="AZ569" s="14">
        <v>447300</v>
      </c>
      <c r="BB569" t="s">
        <v>24</v>
      </c>
      <c r="BH569" t="s">
        <v>132</v>
      </c>
      <c r="BK569" t="s">
        <v>1100</v>
      </c>
      <c r="BV569" t="s">
        <v>132</v>
      </c>
      <c r="BW569" s="16">
        <v>45988.333333333343</v>
      </c>
      <c r="BX569" t="s">
        <v>143</v>
      </c>
      <c r="BZ569">
        <v>3</v>
      </c>
      <c r="CB569">
        <v>0</v>
      </c>
      <c r="CF569" t="s">
        <v>1087</v>
      </c>
      <c r="CG569">
        <v>2026</v>
      </c>
      <c r="CH569" t="s">
        <v>138</v>
      </c>
      <c r="CI569" t="s">
        <v>139</v>
      </c>
    </row>
    <row r="570" spans="1:87" x14ac:dyDescent="0.3">
      <c r="A570" t="s">
        <v>165</v>
      </c>
      <c r="B570" t="s">
        <v>116</v>
      </c>
      <c r="C570" t="s">
        <v>117</v>
      </c>
      <c r="D570" t="s">
        <v>118</v>
      </c>
      <c r="E570" t="s">
        <v>14</v>
      </c>
      <c r="F570" t="s">
        <v>1020</v>
      </c>
      <c r="G570">
        <v>57</v>
      </c>
      <c r="H570">
        <v>0</v>
      </c>
      <c r="I570" s="14">
        <v>430000</v>
      </c>
      <c r="J570" s="14">
        <v>400000</v>
      </c>
      <c r="Q570" s="14"/>
      <c r="R570" s="14"/>
      <c r="Y570" s="14"/>
      <c r="Z570" s="14"/>
      <c r="AG570" s="14"/>
      <c r="AH570" s="14"/>
      <c r="AI570" t="s">
        <v>1574</v>
      </c>
      <c r="AJ570" t="s">
        <v>1575</v>
      </c>
      <c r="AK570" t="s">
        <v>1576</v>
      </c>
      <c r="AL570">
        <v>0</v>
      </c>
      <c r="AM570" t="s">
        <v>1577</v>
      </c>
      <c r="AN570" t="s">
        <v>1578</v>
      </c>
      <c r="AO570" t="s">
        <v>125</v>
      </c>
      <c r="AP570" t="s">
        <v>297</v>
      </c>
      <c r="AQ570" s="15">
        <v>46101</v>
      </c>
      <c r="AR570" s="15">
        <v>46104</v>
      </c>
      <c r="AS570" t="s">
        <v>127</v>
      </c>
      <c r="AT570">
        <v>1</v>
      </c>
      <c r="AU570">
        <v>3000</v>
      </c>
      <c r="AV570">
        <v>0</v>
      </c>
      <c r="AW570">
        <v>0</v>
      </c>
      <c r="AX570" s="14">
        <v>3000</v>
      </c>
      <c r="AY570" s="14">
        <v>3000</v>
      </c>
      <c r="AZ570" s="14">
        <v>0</v>
      </c>
      <c r="BA570">
        <v>0</v>
      </c>
      <c r="BB570" t="s">
        <v>24</v>
      </c>
      <c r="BC570" t="s">
        <v>175</v>
      </c>
      <c r="BD570" t="s">
        <v>176</v>
      </c>
      <c r="BE570" t="s">
        <v>130</v>
      </c>
      <c r="BG570" t="s">
        <v>1579</v>
      </c>
      <c r="BH570" t="s">
        <v>134</v>
      </c>
      <c r="BJ570">
        <v>4</v>
      </c>
      <c r="BK570" t="s">
        <v>133</v>
      </c>
      <c r="BV570" t="s">
        <v>134</v>
      </c>
      <c r="BW570" s="16">
        <v>46122.404861111107</v>
      </c>
      <c r="BX570" t="s">
        <v>143</v>
      </c>
      <c r="BZ570">
        <v>24</v>
      </c>
      <c r="CA570" t="s">
        <v>1580</v>
      </c>
      <c r="CB570">
        <v>0</v>
      </c>
      <c r="CF570" t="s">
        <v>1087</v>
      </c>
      <c r="CG570">
        <v>2026</v>
      </c>
      <c r="CH570" t="s">
        <v>138</v>
      </c>
      <c r="CI570" t="s">
        <v>139</v>
      </c>
    </row>
    <row r="571" spans="1:87" x14ac:dyDescent="0.3">
      <c r="A571" t="s">
        <v>165</v>
      </c>
      <c r="B571" t="s">
        <v>116</v>
      </c>
      <c r="C571" t="s">
        <v>117</v>
      </c>
      <c r="D571" t="s">
        <v>118</v>
      </c>
      <c r="E571" t="s">
        <v>14</v>
      </c>
      <c r="F571" t="s">
        <v>1020</v>
      </c>
      <c r="G571">
        <v>57</v>
      </c>
      <c r="H571">
        <v>0</v>
      </c>
      <c r="I571" s="14">
        <v>430000</v>
      </c>
      <c r="J571" s="14">
        <v>400000</v>
      </c>
      <c r="Q571" s="14"/>
      <c r="R571" s="14"/>
      <c r="Y571" s="14"/>
      <c r="Z571" s="14"/>
      <c r="AG571" s="14"/>
      <c r="AH571" s="14"/>
      <c r="AI571" t="s">
        <v>1574</v>
      </c>
      <c r="AJ571" t="s">
        <v>1575</v>
      </c>
      <c r="AK571" t="s">
        <v>1576</v>
      </c>
      <c r="AL571">
        <v>0</v>
      </c>
      <c r="AM571" t="s">
        <v>1577</v>
      </c>
      <c r="AN571" t="s">
        <v>1578</v>
      </c>
      <c r="AO571" t="s">
        <v>125</v>
      </c>
      <c r="AP571" t="s">
        <v>297</v>
      </c>
      <c r="AQ571" s="15">
        <v>46122</v>
      </c>
      <c r="AR571" s="15">
        <v>46122</v>
      </c>
      <c r="AS571" t="s">
        <v>145</v>
      </c>
      <c r="AT571">
        <v>1</v>
      </c>
      <c r="AU571">
        <v>20000</v>
      </c>
      <c r="AV571">
        <v>0</v>
      </c>
      <c r="AW571">
        <v>0</v>
      </c>
      <c r="AX571" s="14">
        <v>20000</v>
      </c>
      <c r="AY571" s="14">
        <v>20000</v>
      </c>
      <c r="AZ571" s="14">
        <v>0</v>
      </c>
      <c r="BA571">
        <v>0</v>
      </c>
      <c r="BB571" t="s">
        <v>24</v>
      </c>
      <c r="BC571" t="s">
        <v>175</v>
      </c>
      <c r="BD571" t="s">
        <v>176</v>
      </c>
      <c r="BE571" t="s">
        <v>130</v>
      </c>
      <c r="BG571" t="s">
        <v>1581</v>
      </c>
      <c r="BH571" t="s">
        <v>132</v>
      </c>
      <c r="BJ571">
        <v>4</v>
      </c>
      <c r="BK571" t="s">
        <v>133</v>
      </c>
      <c r="BV571" t="s">
        <v>134</v>
      </c>
      <c r="BW571" s="16">
        <v>46122.404861111107</v>
      </c>
      <c r="BX571" t="s">
        <v>143</v>
      </c>
      <c r="BZ571">
        <v>24</v>
      </c>
      <c r="CA571" t="s">
        <v>1582</v>
      </c>
      <c r="CB571">
        <v>0</v>
      </c>
      <c r="CF571" t="s">
        <v>1087</v>
      </c>
      <c r="CG571">
        <v>2026</v>
      </c>
      <c r="CH571" t="s">
        <v>138</v>
      </c>
      <c r="CI571" t="s">
        <v>139</v>
      </c>
    </row>
    <row r="572" spans="1:87" x14ac:dyDescent="0.3">
      <c r="A572" t="s">
        <v>165</v>
      </c>
      <c r="B572" t="s">
        <v>116</v>
      </c>
      <c r="C572" t="s">
        <v>117</v>
      </c>
      <c r="D572" t="s">
        <v>118</v>
      </c>
      <c r="E572" t="s">
        <v>14</v>
      </c>
      <c r="F572" t="s">
        <v>1020</v>
      </c>
      <c r="G572">
        <v>57</v>
      </c>
      <c r="H572">
        <v>0</v>
      </c>
      <c r="I572" s="14">
        <v>430000</v>
      </c>
      <c r="J572" s="14">
        <v>400000</v>
      </c>
      <c r="Q572" s="14"/>
      <c r="R572" s="14"/>
      <c r="Y572" s="14"/>
      <c r="Z572" s="14"/>
      <c r="AG572" s="14"/>
      <c r="AH572" s="14"/>
      <c r="AI572" t="s">
        <v>1574</v>
      </c>
      <c r="AJ572" t="s">
        <v>1575</v>
      </c>
      <c r="AK572" t="s">
        <v>1576</v>
      </c>
      <c r="AL572">
        <v>0</v>
      </c>
      <c r="AM572" t="s">
        <v>1577</v>
      </c>
      <c r="AN572" t="s">
        <v>1578</v>
      </c>
      <c r="AO572" t="s">
        <v>125</v>
      </c>
      <c r="AP572" t="s">
        <v>297</v>
      </c>
      <c r="AQ572" s="15">
        <v>46234</v>
      </c>
      <c r="AR572" s="15"/>
      <c r="AS572" t="s">
        <v>145</v>
      </c>
      <c r="AT572">
        <v>2</v>
      </c>
      <c r="AU572">
        <v>30000</v>
      </c>
      <c r="AV572">
        <v>0</v>
      </c>
      <c r="AW572">
        <v>0</v>
      </c>
      <c r="AX572" s="14">
        <v>30000</v>
      </c>
      <c r="AY572" s="14">
        <v>0</v>
      </c>
      <c r="AZ572" s="14">
        <v>30000</v>
      </c>
      <c r="BB572" t="s">
        <v>24</v>
      </c>
      <c r="BH572" t="s">
        <v>132</v>
      </c>
      <c r="BK572" t="s">
        <v>550</v>
      </c>
      <c r="BV572" t="s">
        <v>132</v>
      </c>
      <c r="BW572" s="16">
        <v>46122.404861111107</v>
      </c>
      <c r="BX572" t="s">
        <v>143</v>
      </c>
      <c r="BZ572">
        <v>24</v>
      </c>
      <c r="CB572">
        <v>0</v>
      </c>
      <c r="CF572" t="s">
        <v>1087</v>
      </c>
      <c r="CG572">
        <v>2026</v>
      </c>
      <c r="CH572" t="s">
        <v>138</v>
      </c>
      <c r="CI572" t="s">
        <v>139</v>
      </c>
    </row>
    <row r="573" spans="1:87" x14ac:dyDescent="0.3">
      <c r="A573" t="s">
        <v>165</v>
      </c>
      <c r="B573" t="s">
        <v>116</v>
      </c>
      <c r="C573" t="s">
        <v>117</v>
      </c>
      <c r="D573" t="s">
        <v>118</v>
      </c>
      <c r="E573" t="s">
        <v>14</v>
      </c>
      <c r="F573" t="s">
        <v>1020</v>
      </c>
      <c r="G573">
        <v>57</v>
      </c>
      <c r="H573">
        <v>0</v>
      </c>
      <c r="I573" s="14">
        <v>430000</v>
      </c>
      <c r="J573" s="14">
        <v>400000</v>
      </c>
      <c r="Q573" s="14"/>
      <c r="R573" s="14"/>
      <c r="Y573" s="14"/>
      <c r="Z573" s="14"/>
      <c r="AG573" s="14"/>
      <c r="AH573" s="14"/>
      <c r="AI573" t="s">
        <v>1574</v>
      </c>
      <c r="AJ573" t="s">
        <v>1575</v>
      </c>
      <c r="AK573" t="s">
        <v>1576</v>
      </c>
      <c r="AL573">
        <v>0</v>
      </c>
      <c r="AM573" t="s">
        <v>1577</v>
      </c>
      <c r="AN573" t="s">
        <v>1578</v>
      </c>
      <c r="AO573" t="s">
        <v>125</v>
      </c>
      <c r="AP573" t="s">
        <v>297</v>
      </c>
      <c r="AQ573" s="15">
        <v>46265</v>
      </c>
      <c r="AR573" s="15"/>
      <c r="AS573" t="s">
        <v>227</v>
      </c>
      <c r="AT573">
        <v>1</v>
      </c>
      <c r="AU573">
        <v>347000</v>
      </c>
      <c r="AV573">
        <v>0</v>
      </c>
      <c r="AW573">
        <v>0</v>
      </c>
      <c r="AX573" s="14">
        <v>347000</v>
      </c>
      <c r="AY573" s="14">
        <v>0</v>
      </c>
      <c r="AZ573" s="14">
        <v>347000</v>
      </c>
      <c r="BB573" t="s">
        <v>24</v>
      </c>
      <c r="BH573" t="s">
        <v>132</v>
      </c>
      <c r="BK573" t="s">
        <v>550</v>
      </c>
      <c r="BV573" t="s">
        <v>132</v>
      </c>
      <c r="BW573" s="16">
        <v>46122.404861111107</v>
      </c>
      <c r="BX573" t="s">
        <v>143</v>
      </c>
      <c r="BZ573">
        <v>24</v>
      </c>
      <c r="CB573">
        <v>0</v>
      </c>
      <c r="CF573" t="s">
        <v>1087</v>
      </c>
      <c r="CG573">
        <v>2026</v>
      </c>
      <c r="CH573" t="s">
        <v>138</v>
      </c>
      <c r="CI573" t="s">
        <v>139</v>
      </c>
    </row>
    <row r="574" spans="1:87" x14ac:dyDescent="0.3">
      <c r="A574" t="s">
        <v>165</v>
      </c>
      <c r="B574" t="s">
        <v>116</v>
      </c>
      <c r="C574" t="s">
        <v>117</v>
      </c>
      <c r="D574" t="s">
        <v>118</v>
      </c>
      <c r="E574" t="s">
        <v>14</v>
      </c>
      <c r="F574" t="s">
        <v>250</v>
      </c>
      <c r="G574">
        <v>70</v>
      </c>
      <c r="H574">
        <v>0</v>
      </c>
      <c r="I574" s="14">
        <v>518500</v>
      </c>
      <c r="J574" s="14">
        <v>469500</v>
      </c>
      <c r="K574" t="s">
        <v>117</v>
      </c>
      <c r="L574" t="s">
        <v>118</v>
      </c>
      <c r="M574" t="s">
        <v>140</v>
      </c>
      <c r="N574" t="s">
        <v>738</v>
      </c>
      <c r="O574">
        <v>12.5</v>
      </c>
      <c r="P574">
        <v>0</v>
      </c>
      <c r="Q574" s="14">
        <v>50400</v>
      </c>
      <c r="R574" s="14">
        <v>50400</v>
      </c>
      <c r="Y574" s="14"/>
      <c r="Z574" s="14"/>
      <c r="AG574" s="14"/>
      <c r="AH574" s="14"/>
      <c r="AI574" t="s">
        <v>867</v>
      </c>
      <c r="AJ574" t="s">
        <v>868</v>
      </c>
      <c r="AK574" t="s">
        <v>869</v>
      </c>
      <c r="AL574">
        <v>0</v>
      </c>
      <c r="AM574" t="s">
        <v>870</v>
      </c>
      <c r="AN574" t="s">
        <v>871</v>
      </c>
      <c r="AO574" t="s">
        <v>125</v>
      </c>
      <c r="AP574" t="s">
        <v>152</v>
      </c>
      <c r="AQ574" s="15">
        <v>46134</v>
      </c>
      <c r="AR574" s="15">
        <v>46134</v>
      </c>
      <c r="AS574" t="s">
        <v>145</v>
      </c>
      <c r="AT574">
        <v>1</v>
      </c>
      <c r="AU574">
        <v>89920</v>
      </c>
      <c r="AV574">
        <v>0</v>
      </c>
      <c r="AW574">
        <v>0</v>
      </c>
      <c r="AX574" s="14">
        <v>89920</v>
      </c>
      <c r="AY574" s="14">
        <v>89920</v>
      </c>
      <c r="AZ574" s="14">
        <v>0</v>
      </c>
      <c r="BA574">
        <v>0</v>
      </c>
      <c r="BB574" t="s">
        <v>22</v>
      </c>
      <c r="BC574" t="s">
        <v>175</v>
      </c>
      <c r="BD574" t="s">
        <v>176</v>
      </c>
      <c r="BE574" t="s">
        <v>130</v>
      </c>
      <c r="BF574" t="s">
        <v>868</v>
      </c>
      <c r="BG574" t="s">
        <v>1583</v>
      </c>
      <c r="BH574" t="s">
        <v>132</v>
      </c>
      <c r="BI574" t="s">
        <v>873</v>
      </c>
      <c r="BJ574">
        <v>4</v>
      </c>
      <c r="BK574" t="s">
        <v>133</v>
      </c>
      <c r="BP574" t="s">
        <v>1584</v>
      </c>
      <c r="BQ574">
        <v>89920</v>
      </c>
      <c r="BR574">
        <v>100</v>
      </c>
      <c r="BT574" t="s">
        <v>1585</v>
      </c>
      <c r="BU574" t="s">
        <v>143</v>
      </c>
      <c r="BV574" t="s">
        <v>134</v>
      </c>
      <c r="BW574" s="16">
        <v>45986.545138888891</v>
      </c>
      <c r="BX574" t="s">
        <v>143</v>
      </c>
      <c r="BZ574">
        <v>1</v>
      </c>
      <c r="CA574" t="s">
        <v>1586</v>
      </c>
      <c r="CB574">
        <v>0</v>
      </c>
      <c r="CF574" t="s">
        <v>1087</v>
      </c>
      <c r="CG574">
        <v>2026</v>
      </c>
      <c r="CH574" t="s">
        <v>138</v>
      </c>
      <c r="CI574" t="s">
        <v>139</v>
      </c>
    </row>
    <row r="575" spans="1:87" x14ac:dyDescent="0.3">
      <c r="A575" t="s">
        <v>165</v>
      </c>
      <c r="B575" t="s">
        <v>116</v>
      </c>
      <c r="C575" t="s">
        <v>117</v>
      </c>
      <c r="D575" t="s">
        <v>118</v>
      </c>
      <c r="E575" t="s">
        <v>14</v>
      </c>
      <c r="F575" t="s">
        <v>250</v>
      </c>
      <c r="G575">
        <v>70</v>
      </c>
      <c r="H575">
        <v>0</v>
      </c>
      <c r="I575" s="14">
        <v>518500</v>
      </c>
      <c r="J575" s="14">
        <v>469500</v>
      </c>
      <c r="K575" t="s">
        <v>117</v>
      </c>
      <c r="L575" t="s">
        <v>118</v>
      </c>
      <c r="M575" t="s">
        <v>140</v>
      </c>
      <c r="N575" t="s">
        <v>738</v>
      </c>
      <c r="O575">
        <v>12.5</v>
      </c>
      <c r="P575">
        <v>0</v>
      </c>
      <c r="Q575" s="14">
        <v>50400</v>
      </c>
      <c r="R575" s="14">
        <v>50400</v>
      </c>
      <c r="Y575" s="14"/>
      <c r="Z575" s="14"/>
      <c r="AG575" s="14"/>
      <c r="AH575" s="14"/>
      <c r="AI575" t="s">
        <v>867</v>
      </c>
      <c r="AJ575" t="s">
        <v>868</v>
      </c>
      <c r="AK575" t="s">
        <v>869</v>
      </c>
      <c r="AL575">
        <v>0</v>
      </c>
      <c r="AM575" t="s">
        <v>870</v>
      </c>
      <c r="AN575" t="s">
        <v>871</v>
      </c>
      <c r="AO575" t="s">
        <v>125</v>
      </c>
      <c r="AP575" t="s">
        <v>152</v>
      </c>
      <c r="AQ575" s="15">
        <v>46231</v>
      </c>
      <c r="AR575" s="15">
        <v>46224</v>
      </c>
      <c r="AS575" t="s">
        <v>227</v>
      </c>
      <c r="AT575">
        <v>1</v>
      </c>
      <c r="AU575">
        <v>37270.910000000003</v>
      </c>
      <c r="AV575">
        <v>0</v>
      </c>
      <c r="AW575">
        <v>0</v>
      </c>
      <c r="AX575" s="14">
        <v>37270.910000000003</v>
      </c>
      <c r="AY575" s="14">
        <v>37270.910000000003</v>
      </c>
      <c r="AZ575" s="14">
        <v>0</v>
      </c>
      <c r="BA575">
        <v>0</v>
      </c>
      <c r="BB575" t="s">
        <v>22</v>
      </c>
      <c r="BC575" t="s">
        <v>175</v>
      </c>
      <c r="BD575" t="s">
        <v>176</v>
      </c>
      <c r="BE575" t="s">
        <v>130</v>
      </c>
      <c r="BG575" t="s">
        <v>1587</v>
      </c>
      <c r="BH575" t="s">
        <v>132</v>
      </c>
      <c r="BI575" t="s">
        <v>873</v>
      </c>
      <c r="BJ575">
        <v>4</v>
      </c>
      <c r="BK575" t="s">
        <v>133</v>
      </c>
      <c r="BV575" t="s">
        <v>134</v>
      </c>
      <c r="BW575" s="16">
        <v>45986.545138888891</v>
      </c>
      <c r="BX575" t="s">
        <v>143</v>
      </c>
      <c r="BZ575">
        <v>1</v>
      </c>
      <c r="CA575" t="s">
        <v>1588</v>
      </c>
      <c r="CB575">
        <v>0</v>
      </c>
      <c r="CF575" t="s">
        <v>1087</v>
      </c>
      <c r="CG575">
        <v>2026</v>
      </c>
      <c r="CH575" t="s">
        <v>138</v>
      </c>
      <c r="CI575" t="s">
        <v>139</v>
      </c>
    </row>
    <row r="576" spans="1:87" x14ac:dyDescent="0.3">
      <c r="A576" t="s">
        <v>165</v>
      </c>
      <c r="B576" t="s">
        <v>116</v>
      </c>
      <c r="C576" t="s">
        <v>117</v>
      </c>
      <c r="D576" t="s">
        <v>118</v>
      </c>
      <c r="E576" t="s">
        <v>14</v>
      </c>
      <c r="F576" t="s">
        <v>250</v>
      </c>
      <c r="G576">
        <v>70</v>
      </c>
      <c r="H576">
        <v>0</v>
      </c>
      <c r="I576" s="14">
        <v>518500</v>
      </c>
      <c r="J576" s="14">
        <v>469500</v>
      </c>
      <c r="K576" t="s">
        <v>117</v>
      </c>
      <c r="L576" t="s">
        <v>118</v>
      </c>
      <c r="M576" t="s">
        <v>140</v>
      </c>
      <c r="N576" t="s">
        <v>738</v>
      </c>
      <c r="O576">
        <v>12.5</v>
      </c>
      <c r="P576">
        <v>0</v>
      </c>
      <c r="Q576" s="14">
        <v>50400</v>
      </c>
      <c r="R576" s="14">
        <v>50400</v>
      </c>
      <c r="Y576" s="14"/>
      <c r="Z576" s="14"/>
      <c r="AG576" s="14"/>
      <c r="AH576" s="14"/>
      <c r="AI576" t="s">
        <v>867</v>
      </c>
      <c r="AJ576" t="s">
        <v>868</v>
      </c>
      <c r="AK576" t="s">
        <v>869</v>
      </c>
      <c r="AL576">
        <v>0</v>
      </c>
      <c r="AM576" t="s">
        <v>870</v>
      </c>
      <c r="AN576" t="s">
        <v>871</v>
      </c>
      <c r="AO576" t="s">
        <v>125</v>
      </c>
      <c r="AP576" t="s">
        <v>152</v>
      </c>
      <c r="AQ576" s="15">
        <v>46262</v>
      </c>
      <c r="AR576" s="15">
        <v>46258</v>
      </c>
      <c r="AS576" t="s">
        <v>227</v>
      </c>
      <c r="AT576">
        <v>2</v>
      </c>
      <c r="AU576">
        <v>37270.910000000003</v>
      </c>
      <c r="AV576">
        <v>0</v>
      </c>
      <c r="AW576">
        <v>0</v>
      </c>
      <c r="AX576" s="14">
        <v>37270.910000000003</v>
      </c>
      <c r="AY576" s="14">
        <v>37270.910000000003</v>
      </c>
      <c r="AZ576" s="14">
        <v>0</v>
      </c>
      <c r="BA576">
        <v>0</v>
      </c>
      <c r="BB576" t="s">
        <v>22</v>
      </c>
      <c r="BC576" t="s">
        <v>175</v>
      </c>
      <c r="BD576" t="s">
        <v>176</v>
      </c>
      <c r="BE576" t="s">
        <v>287</v>
      </c>
      <c r="BG576" t="s">
        <v>1589</v>
      </c>
      <c r="BH576" t="s">
        <v>132</v>
      </c>
      <c r="BI576" t="s">
        <v>873</v>
      </c>
      <c r="BJ576">
        <v>4</v>
      </c>
      <c r="BK576" t="s">
        <v>133</v>
      </c>
      <c r="BV576" t="s">
        <v>134</v>
      </c>
      <c r="BW576" s="16">
        <v>45986.545138888891</v>
      </c>
      <c r="BX576" t="s">
        <v>143</v>
      </c>
      <c r="BZ576">
        <v>1</v>
      </c>
      <c r="CA576" t="s">
        <v>1590</v>
      </c>
      <c r="CB576">
        <v>0</v>
      </c>
      <c r="CF576" t="s">
        <v>1087</v>
      </c>
      <c r="CG576">
        <v>2026</v>
      </c>
      <c r="CH576" t="s">
        <v>138</v>
      </c>
      <c r="CI576" t="s">
        <v>139</v>
      </c>
    </row>
    <row r="577" spans="1:87" x14ac:dyDescent="0.3">
      <c r="A577" t="s">
        <v>165</v>
      </c>
      <c r="B577" t="s">
        <v>116</v>
      </c>
      <c r="C577" t="s">
        <v>117</v>
      </c>
      <c r="D577" t="s">
        <v>118</v>
      </c>
      <c r="E577" t="s">
        <v>14</v>
      </c>
      <c r="F577" t="s">
        <v>250</v>
      </c>
      <c r="G577">
        <v>70</v>
      </c>
      <c r="H577">
        <v>0</v>
      </c>
      <c r="I577" s="14">
        <v>518500</v>
      </c>
      <c r="J577" s="14">
        <v>469500</v>
      </c>
      <c r="K577" t="s">
        <v>117</v>
      </c>
      <c r="L577" t="s">
        <v>118</v>
      </c>
      <c r="M577" t="s">
        <v>140</v>
      </c>
      <c r="N577" t="s">
        <v>738</v>
      </c>
      <c r="O577">
        <v>12.5</v>
      </c>
      <c r="P577">
        <v>0</v>
      </c>
      <c r="Q577" s="14">
        <v>50400</v>
      </c>
      <c r="R577" s="14">
        <v>50400</v>
      </c>
      <c r="Y577" s="14"/>
      <c r="Z577" s="14"/>
      <c r="AG577" s="14"/>
      <c r="AH577" s="14"/>
      <c r="AI577" t="s">
        <v>867</v>
      </c>
      <c r="AJ577" t="s">
        <v>868</v>
      </c>
      <c r="AK577" t="s">
        <v>869</v>
      </c>
      <c r="AL577">
        <v>0</v>
      </c>
      <c r="AM577" t="s">
        <v>870</v>
      </c>
      <c r="AN577" t="s">
        <v>871</v>
      </c>
      <c r="AO577" t="s">
        <v>125</v>
      </c>
      <c r="AP577" t="s">
        <v>152</v>
      </c>
      <c r="AQ577" s="15">
        <v>46293</v>
      </c>
      <c r="AR577" s="15"/>
      <c r="AS577" t="s">
        <v>227</v>
      </c>
      <c r="AT577">
        <v>3</v>
      </c>
      <c r="AU577">
        <v>37270.910000000003</v>
      </c>
      <c r="AV577">
        <v>0</v>
      </c>
      <c r="AW577">
        <v>0</v>
      </c>
      <c r="AX577" s="14">
        <v>37270.910000000003</v>
      </c>
      <c r="AY577" s="14">
        <v>0</v>
      </c>
      <c r="AZ577" s="14">
        <v>37270.910000000003</v>
      </c>
      <c r="BB577" t="s">
        <v>22</v>
      </c>
      <c r="BH577" t="s">
        <v>132</v>
      </c>
      <c r="BK577" t="s">
        <v>1100</v>
      </c>
      <c r="BV577" t="s">
        <v>132</v>
      </c>
      <c r="BW577" s="16">
        <v>45986.545138888891</v>
      </c>
      <c r="BX577" t="s">
        <v>143</v>
      </c>
      <c r="BZ577">
        <v>1</v>
      </c>
      <c r="CB577">
        <v>0</v>
      </c>
      <c r="CF577" t="s">
        <v>1087</v>
      </c>
      <c r="CG577">
        <v>2026</v>
      </c>
      <c r="CH577" t="s">
        <v>138</v>
      </c>
      <c r="CI577" t="s">
        <v>139</v>
      </c>
    </row>
    <row r="578" spans="1:87" x14ac:dyDescent="0.3">
      <c r="A578" t="s">
        <v>165</v>
      </c>
      <c r="B578" t="s">
        <v>116</v>
      </c>
      <c r="C578" t="s">
        <v>117</v>
      </c>
      <c r="D578" t="s">
        <v>118</v>
      </c>
      <c r="E578" t="s">
        <v>14</v>
      </c>
      <c r="F578" t="s">
        <v>250</v>
      </c>
      <c r="G578">
        <v>70</v>
      </c>
      <c r="H578">
        <v>0</v>
      </c>
      <c r="I578" s="14">
        <v>518500</v>
      </c>
      <c r="J578" s="14">
        <v>469500</v>
      </c>
      <c r="K578" t="s">
        <v>117</v>
      </c>
      <c r="L578" t="s">
        <v>118</v>
      </c>
      <c r="M578" t="s">
        <v>140</v>
      </c>
      <c r="N578" t="s">
        <v>738</v>
      </c>
      <c r="O578">
        <v>12.5</v>
      </c>
      <c r="P578">
        <v>0</v>
      </c>
      <c r="Q578" s="14">
        <v>50400</v>
      </c>
      <c r="R578" s="14">
        <v>50400</v>
      </c>
      <c r="Y578" s="14"/>
      <c r="Z578" s="14"/>
      <c r="AG578" s="14"/>
      <c r="AH578" s="14"/>
      <c r="AI578" t="s">
        <v>867</v>
      </c>
      <c r="AJ578" t="s">
        <v>868</v>
      </c>
      <c r="AK578" t="s">
        <v>869</v>
      </c>
      <c r="AL578">
        <v>0</v>
      </c>
      <c r="AM578" t="s">
        <v>870</v>
      </c>
      <c r="AN578" t="s">
        <v>871</v>
      </c>
      <c r="AO578" t="s">
        <v>125</v>
      </c>
      <c r="AP578" t="s">
        <v>152</v>
      </c>
      <c r="AQ578" s="15">
        <v>46323</v>
      </c>
      <c r="AR578" s="15"/>
      <c r="AS578" t="s">
        <v>227</v>
      </c>
      <c r="AT578">
        <v>4</v>
      </c>
      <c r="AU578">
        <v>37270.910000000003</v>
      </c>
      <c r="AV578">
        <v>0</v>
      </c>
      <c r="AW578">
        <v>0</v>
      </c>
      <c r="AX578" s="14">
        <v>37270.910000000003</v>
      </c>
      <c r="AY578" s="14">
        <v>0</v>
      </c>
      <c r="AZ578" s="14">
        <v>37270.910000000003</v>
      </c>
      <c r="BB578" t="s">
        <v>22</v>
      </c>
      <c r="BH578" t="s">
        <v>132</v>
      </c>
      <c r="BK578" t="s">
        <v>1100</v>
      </c>
      <c r="BV578" t="s">
        <v>132</v>
      </c>
      <c r="BW578" s="16">
        <v>45986.545138888891</v>
      </c>
      <c r="BX578" t="s">
        <v>143</v>
      </c>
      <c r="BZ578">
        <v>1</v>
      </c>
      <c r="CB578">
        <v>0</v>
      </c>
      <c r="CF578" t="s">
        <v>1087</v>
      </c>
      <c r="CG578">
        <v>2026</v>
      </c>
      <c r="CH578" t="s">
        <v>138</v>
      </c>
      <c r="CI578" t="s">
        <v>139</v>
      </c>
    </row>
    <row r="579" spans="1:87" x14ac:dyDescent="0.3">
      <c r="A579" t="s">
        <v>165</v>
      </c>
      <c r="B579" t="s">
        <v>116</v>
      </c>
      <c r="C579" t="s">
        <v>117</v>
      </c>
      <c r="D579" t="s">
        <v>118</v>
      </c>
      <c r="E579" t="s">
        <v>14</v>
      </c>
      <c r="F579" t="s">
        <v>250</v>
      </c>
      <c r="G579">
        <v>70</v>
      </c>
      <c r="H579">
        <v>0</v>
      </c>
      <c r="I579" s="14">
        <v>518500</v>
      </c>
      <c r="J579" s="14">
        <v>469500</v>
      </c>
      <c r="K579" t="s">
        <v>117</v>
      </c>
      <c r="L579" t="s">
        <v>118</v>
      </c>
      <c r="M579" t="s">
        <v>140</v>
      </c>
      <c r="N579" t="s">
        <v>738</v>
      </c>
      <c r="O579">
        <v>12.5</v>
      </c>
      <c r="P579">
        <v>0</v>
      </c>
      <c r="Q579" s="14">
        <v>50400</v>
      </c>
      <c r="R579" s="14">
        <v>50400</v>
      </c>
      <c r="Y579" s="14"/>
      <c r="Z579" s="14"/>
      <c r="AG579" s="14"/>
      <c r="AH579" s="14"/>
      <c r="AI579" t="s">
        <v>867</v>
      </c>
      <c r="AJ579" t="s">
        <v>868</v>
      </c>
      <c r="AK579" t="s">
        <v>869</v>
      </c>
      <c r="AL579">
        <v>0</v>
      </c>
      <c r="AM579" t="s">
        <v>870</v>
      </c>
      <c r="AN579" t="s">
        <v>871</v>
      </c>
      <c r="AO579" t="s">
        <v>125</v>
      </c>
      <c r="AP579" t="s">
        <v>152</v>
      </c>
      <c r="AQ579" s="15">
        <v>46354</v>
      </c>
      <c r="AR579" s="15"/>
      <c r="AS579" t="s">
        <v>227</v>
      </c>
      <c r="AT579">
        <v>5</v>
      </c>
      <c r="AU579">
        <v>37270.910000000003</v>
      </c>
      <c r="AV579">
        <v>0</v>
      </c>
      <c r="AW579">
        <v>0</v>
      </c>
      <c r="AX579" s="14">
        <v>37270.910000000003</v>
      </c>
      <c r="AY579" s="14">
        <v>0</v>
      </c>
      <c r="AZ579" s="14">
        <v>37270.910000000003</v>
      </c>
      <c r="BB579" t="s">
        <v>22</v>
      </c>
      <c r="BH579" t="s">
        <v>132</v>
      </c>
      <c r="BK579" t="s">
        <v>1100</v>
      </c>
      <c r="BV579" t="s">
        <v>132</v>
      </c>
      <c r="BW579" s="16">
        <v>45986.545138888891</v>
      </c>
      <c r="BX579" t="s">
        <v>143</v>
      </c>
      <c r="BZ579">
        <v>1</v>
      </c>
      <c r="CB579">
        <v>0</v>
      </c>
      <c r="CF579" t="s">
        <v>1087</v>
      </c>
      <c r="CG579">
        <v>2026</v>
      </c>
      <c r="CH579" t="s">
        <v>138</v>
      </c>
      <c r="CI579" t="s">
        <v>139</v>
      </c>
    </row>
    <row r="580" spans="1:87" x14ac:dyDescent="0.3">
      <c r="A580" t="s">
        <v>165</v>
      </c>
      <c r="B580" t="s">
        <v>116</v>
      </c>
      <c r="C580" t="s">
        <v>117</v>
      </c>
      <c r="D580" t="s">
        <v>118</v>
      </c>
      <c r="E580" t="s">
        <v>14</v>
      </c>
      <c r="F580" t="s">
        <v>250</v>
      </c>
      <c r="G580">
        <v>70</v>
      </c>
      <c r="H580">
        <v>0</v>
      </c>
      <c r="I580" s="14">
        <v>518500</v>
      </c>
      <c r="J580" s="14">
        <v>469500</v>
      </c>
      <c r="K580" t="s">
        <v>117</v>
      </c>
      <c r="L580" t="s">
        <v>118</v>
      </c>
      <c r="M580" t="s">
        <v>140</v>
      </c>
      <c r="N580" t="s">
        <v>738</v>
      </c>
      <c r="O580">
        <v>12.5</v>
      </c>
      <c r="P580">
        <v>0</v>
      </c>
      <c r="Q580" s="14">
        <v>50400</v>
      </c>
      <c r="R580" s="14">
        <v>50400</v>
      </c>
      <c r="Y580" s="14"/>
      <c r="Z580" s="14"/>
      <c r="AG580" s="14"/>
      <c r="AH580" s="14"/>
      <c r="AI580" t="s">
        <v>867</v>
      </c>
      <c r="AJ580" t="s">
        <v>868</v>
      </c>
      <c r="AK580" t="s">
        <v>869</v>
      </c>
      <c r="AL580">
        <v>0</v>
      </c>
      <c r="AM580" t="s">
        <v>870</v>
      </c>
      <c r="AN580" t="s">
        <v>871</v>
      </c>
      <c r="AO580" t="s">
        <v>125</v>
      </c>
      <c r="AP580" t="s">
        <v>152</v>
      </c>
      <c r="AQ580" s="15">
        <v>46384</v>
      </c>
      <c r="AR580" s="15"/>
      <c r="AS580" t="s">
        <v>227</v>
      </c>
      <c r="AT580">
        <v>6</v>
      </c>
      <c r="AU580">
        <v>37270.910000000003</v>
      </c>
      <c r="AV580">
        <v>0</v>
      </c>
      <c r="AW580">
        <v>0</v>
      </c>
      <c r="AX580" s="14">
        <v>37270.910000000003</v>
      </c>
      <c r="AY580" s="14">
        <v>0</v>
      </c>
      <c r="AZ580" s="14">
        <v>37270.910000000003</v>
      </c>
      <c r="BB580" t="s">
        <v>22</v>
      </c>
      <c r="BH580" t="s">
        <v>132</v>
      </c>
      <c r="BK580" t="s">
        <v>1100</v>
      </c>
      <c r="BV580" t="s">
        <v>132</v>
      </c>
      <c r="BW580" s="16">
        <v>45986.545138888891</v>
      </c>
      <c r="BX580" t="s">
        <v>143</v>
      </c>
      <c r="BZ580">
        <v>1</v>
      </c>
      <c r="CB580">
        <v>0</v>
      </c>
      <c r="CF580" t="s">
        <v>1087</v>
      </c>
      <c r="CG580">
        <v>2026</v>
      </c>
      <c r="CH580" t="s">
        <v>138</v>
      </c>
      <c r="CI580" t="s">
        <v>139</v>
      </c>
    </row>
    <row r="581" spans="1:87" x14ac:dyDescent="0.3">
      <c r="A581" t="s">
        <v>115</v>
      </c>
      <c r="B581" t="s">
        <v>116</v>
      </c>
      <c r="C581" t="s">
        <v>117</v>
      </c>
      <c r="D581" t="s">
        <v>118</v>
      </c>
      <c r="E581" t="s">
        <v>14</v>
      </c>
      <c r="F581" t="s">
        <v>875</v>
      </c>
      <c r="G581">
        <v>88.27</v>
      </c>
      <c r="H581">
        <v>0</v>
      </c>
      <c r="I581" s="14">
        <v>654000</v>
      </c>
      <c r="J581" s="14">
        <v>654000</v>
      </c>
      <c r="K581" t="s">
        <v>117</v>
      </c>
      <c r="L581" t="s">
        <v>118</v>
      </c>
      <c r="M581" t="s">
        <v>140</v>
      </c>
      <c r="N581" t="s">
        <v>876</v>
      </c>
      <c r="O581">
        <v>13.5</v>
      </c>
      <c r="P581">
        <v>1.82</v>
      </c>
      <c r="Q581" s="14">
        <v>55800</v>
      </c>
      <c r="R581" s="14">
        <v>55800</v>
      </c>
      <c r="S581" t="s">
        <v>117</v>
      </c>
      <c r="T581" t="s">
        <v>118</v>
      </c>
      <c r="U581" t="s">
        <v>140</v>
      </c>
      <c r="V581" t="s">
        <v>877</v>
      </c>
      <c r="W581">
        <v>17.100000000000001</v>
      </c>
      <c r="X581">
        <v>2.4300000000000002</v>
      </c>
      <c r="Y581" s="14">
        <v>60000</v>
      </c>
      <c r="Z581" s="14">
        <v>60000</v>
      </c>
      <c r="AG581" s="14"/>
      <c r="AH581" s="14"/>
      <c r="AI581" t="s">
        <v>867</v>
      </c>
      <c r="AJ581" t="s">
        <v>868</v>
      </c>
      <c r="AK581" t="s">
        <v>869</v>
      </c>
      <c r="AL581">
        <v>0</v>
      </c>
      <c r="AM581" t="s">
        <v>870</v>
      </c>
      <c r="AN581" t="s">
        <v>871</v>
      </c>
      <c r="AO581" t="s">
        <v>125</v>
      </c>
      <c r="AP581" t="s">
        <v>152</v>
      </c>
      <c r="AQ581" s="15">
        <v>46037</v>
      </c>
      <c r="AR581" s="15">
        <v>45964</v>
      </c>
      <c r="AS581" t="s">
        <v>227</v>
      </c>
      <c r="AT581">
        <v>5</v>
      </c>
      <c r="AU581">
        <v>65982.86</v>
      </c>
      <c r="AV581">
        <v>0</v>
      </c>
      <c r="AW581">
        <v>0</v>
      </c>
      <c r="AX581" s="14">
        <v>65982.86</v>
      </c>
      <c r="AY581" s="14">
        <v>65982.86</v>
      </c>
      <c r="AZ581" s="14">
        <v>0</v>
      </c>
      <c r="BA581">
        <v>0</v>
      </c>
      <c r="BB581" t="s">
        <v>22</v>
      </c>
      <c r="BC581" t="s">
        <v>128</v>
      </c>
      <c r="BD581" t="s">
        <v>129</v>
      </c>
      <c r="BE581" t="s">
        <v>130</v>
      </c>
      <c r="BG581" t="s">
        <v>886</v>
      </c>
      <c r="BH581" t="s">
        <v>132</v>
      </c>
      <c r="BJ581">
        <v>4</v>
      </c>
      <c r="BK581" t="s">
        <v>133</v>
      </c>
      <c r="BV581" t="s">
        <v>134</v>
      </c>
      <c r="BW581" s="16">
        <v>45863.737500000003</v>
      </c>
      <c r="BX581" t="s">
        <v>143</v>
      </c>
      <c r="BZ581">
        <v>40</v>
      </c>
      <c r="CA581" t="s">
        <v>887</v>
      </c>
      <c r="CB581">
        <v>0</v>
      </c>
      <c r="CF581" t="s">
        <v>1087</v>
      </c>
      <c r="CG581">
        <v>2026</v>
      </c>
      <c r="CH581" t="s">
        <v>138</v>
      </c>
      <c r="CI581" t="s">
        <v>139</v>
      </c>
    </row>
    <row r="582" spans="1:87" x14ac:dyDescent="0.3">
      <c r="A582" t="s">
        <v>115</v>
      </c>
      <c r="B582" t="s">
        <v>116</v>
      </c>
      <c r="C582" t="s">
        <v>117</v>
      </c>
      <c r="D582" t="s">
        <v>118</v>
      </c>
      <c r="E582" t="s">
        <v>14</v>
      </c>
      <c r="F582" t="s">
        <v>875</v>
      </c>
      <c r="G582">
        <v>88.27</v>
      </c>
      <c r="H582">
        <v>0</v>
      </c>
      <c r="I582" s="14">
        <v>654000</v>
      </c>
      <c r="J582" s="14">
        <v>654000</v>
      </c>
      <c r="K582" t="s">
        <v>117</v>
      </c>
      <c r="L582" t="s">
        <v>118</v>
      </c>
      <c r="M582" t="s">
        <v>140</v>
      </c>
      <c r="N582" t="s">
        <v>876</v>
      </c>
      <c r="O582">
        <v>13.5</v>
      </c>
      <c r="P582">
        <v>1.82</v>
      </c>
      <c r="Q582" s="14">
        <v>55800</v>
      </c>
      <c r="R582" s="14">
        <v>55800</v>
      </c>
      <c r="S582" t="s">
        <v>117</v>
      </c>
      <c r="T582" t="s">
        <v>118</v>
      </c>
      <c r="U582" t="s">
        <v>140</v>
      </c>
      <c r="V582" t="s">
        <v>877</v>
      </c>
      <c r="W582">
        <v>17.100000000000001</v>
      </c>
      <c r="X582">
        <v>2.4300000000000002</v>
      </c>
      <c r="Y582" s="14">
        <v>60000</v>
      </c>
      <c r="Z582" s="14">
        <v>60000</v>
      </c>
      <c r="AG582" s="14"/>
      <c r="AH582" s="14"/>
      <c r="AI582" t="s">
        <v>867</v>
      </c>
      <c r="AJ582" t="s">
        <v>868</v>
      </c>
      <c r="AK582" t="s">
        <v>869</v>
      </c>
      <c r="AL582">
        <v>0</v>
      </c>
      <c r="AM582" t="s">
        <v>870</v>
      </c>
      <c r="AN582" t="s">
        <v>871</v>
      </c>
      <c r="AO582" t="s">
        <v>125</v>
      </c>
      <c r="AP582" t="s">
        <v>152</v>
      </c>
      <c r="AQ582" s="15">
        <v>46068</v>
      </c>
      <c r="AR582" s="15">
        <v>46059</v>
      </c>
      <c r="AS582" t="s">
        <v>227</v>
      </c>
      <c r="AT582">
        <v>6</v>
      </c>
      <c r="AU582">
        <v>65982.86</v>
      </c>
      <c r="AV582">
        <v>0</v>
      </c>
      <c r="AW582">
        <v>0</v>
      </c>
      <c r="AX582" s="14">
        <v>65982.86</v>
      </c>
      <c r="AY582" s="14">
        <v>65982.86</v>
      </c>
      <c r="AZ582" s="14">
        <v>0</v>
      </c>
      <c r="BA582">
        <v>0</v>
      </c>
      <c r="BB582" t="s">
        <v>22</v>
      </c>
      <c r="BC582" t="s">
        <v>128</v>
      </c>
      <c r="BD582" t="s">
        <v>129</v>
      </c>
      <c r="BE582" t="s">
        <v>130</v>
      </c>
      <c r="BG582" t="s">
        <v>1591</v>
      </c>
      <c r="BH582" t="s">
        <v>132</v>
      </c>
      <c r="BJ582">
        <v>4</v>
      </c>
      <c r="BK582" t="s">
        <v>133</v>
      </c>
      <c r="BV582" t="s">
        <v>134</v>
      </c>
      <c r="BW582" s="16">
        <v>45863.737500000003</v>
      </c>
      <c r="BX582" t="s">
        <v>143</v>
      </c>
      <c r="BZ582">
        <v>40</v>
      </c>
      <c r="CA582" t="s">
        <v>1592</v>
      </c>
      <c r="CB582">
        <v>0</v>
      </c>
      <c r="CF582" t="s">
        <v>1087</v>
      </c>
      <c r="CG582">
        <v>2026</v>
      </c>
      <c r="CH582" t="s">
        <v>138</v>
      </c>
      <c r="CI582" t="s">
        <v>139</v>
      </c>
    </row>
    <row r="583" spans="1:87" x14ac:dyDescent="0.3">
      <c r="A583" t="s">
        <v>115</v>
      </c>
      <c r="B583" t="s">
        <v>116</v>
      </c>
      <c r="C583" t="s">
        <v>117</v>
      </c>
      <c r="D583" t="s">
        <v>118</v>
      </c>
      <c r="E583" t="s">
        <v>14</v>
      </c>
      <c r="F583" t="s">
        <v>875</v>
      </c>
      <c r="G583">
        <v>88.27</v>
      </c>
      <c r="H583">
        <v>0</v>
      </c>
      <c r="I583" s="14">
        <v>654000</v>
      </c>
      <c r="J583" s="14">
        <v>654000</v>
      </c>
      <c r="K583" t="s">
        <v>117</v>
      </c>
      <c r="L583" t="s">
        <v>118</v>
      </c>
      <c r="M583" t="s">
        <v>140</v>
      </c>
      <c r="N583" t="s">
        <v>876</v>
      </c>
      <c r="O583">
        <v>13.5</v>
      </c>
      <c r="P583">
        <v>1.82</v>
      </c>
      <c r="Q583" s="14">
        <v>55800</v>
      </c>
      <c r="R583" s="14">
        <v>55800</v>
      </c>
      <c r="S583" t="s">
        <v>117</v>
      </c>
      <c r="T583" t="s">
        <v>118</v>
      </c>
      <c r="U583" t="s">
        <v>140</v>
      </c>
      <c r="V583" t="s">
        <v>877</v>
      </c>
      <c r="W583">
        <v>17.100000000000001</v>
      </c>
      <c r="X583">
        <v>2.4300000000000002</v>
      </c>
      <c r="Y583" s="14">
        <v>60000</v>
      </c>
      <c r="Z583" s="14">
        <v>60000</v>
      </c>
      <c r="AG583" s="14"/>
      <c r="AH583" s="14"/>
      <c r="AI583" t="s">
        <v>867</v>
      </c>
      <c r="AJ583" t="s">
        <v>868</v>
      </c>
      <c r="AK583" t="s">
        <v>869</v>
      </c>
      <c r="AL583">
        <v>0</v>
      </c>
      <c r="AM583" t="s">
        <v>870</v>
      </c>
      <c r="AN583" t="s">
        <v>871</v>
      </c>
      <c r="AO583" t="s">
        <v>125</v>
      </c>
      <c r="AP583" t="s">
        <v>152</v>
      </c>
      <c r="AQ583" s="15">
        <v>46096</v>
      </c>
      <c r="AR583" s="15">
        <v>46059</v>
      </c>
      <c r="AS583" t="s">
        <v>227</v>
      </c>
      <c r="AT583">
        <v>7</v>
      </c>
      <c r="AU583">
        <v>65982.84</v>
      </c>
      <c r="AV583">
        <v>0</v>
      </c>
      <c r="AW583">
        <v>0</v>
      </c>
      <c r="AX583" s="14">
        <v>65982.84</v>
      </c>
      <c r="AY583" s="14">
        <v>65982.84</v>
      </c>
      <c r="AZ583" s="14">
        <v>0</v>
      </c>
      <c r="BA583">
        <v>0</v>
      </c>
      <c r="BB583" t="s">
        <v>22</v>
      </c>
      <c r="BC583" t="s">
        <v>128</v>
      </c>
      <c r="BD583" t="s">
        <v>129</v>
      </c>
      <c r="BE583" t="s">
        <v>130</v>
      </c>
      <c r="BG583" t="s">
        <v>1591</v>
      </c>
      <c r="BH583" t="s">
        <v>132</v>
      </c>
      <c r="BJ583">
        <v>4</v>
      </c>
      <c r="BK583" t="s">
        <v>133</v>
      </c>
      <c r="BV583" t="s">
        <v>134</v>
      </c>
      <c r="BW583" s="16">
        <v>45863.737500000003</v>
      </c>
      <c r="BX583" t="s">
        <v>143</v>
      </c>
      <c r="BZ583">
        <v>40</v>
      </c>
      <c r="CA583" t="s">
        <v>1592</v>
      </c>
      <c r="CB583">
        <v>0</v>
      </c>
      <c r="CF583" t="s">
        <v>1087</v>
      </c>
      <c r="CG583">
        <v>2026</v>
      </c>
      <c r="CH583" t="s">
        <v>138</v>
      </c>
      <c r="CI583" t="s">
        <v>139</v>
      </c>
    </row>
    <row r="584" spans="1:87" x14ac:dyDescent="0.3">
      <c r="A584" t="s">
        <v>115</v>
      </c>
      <c r="B584" t="s">
        <v>116</v>
      </c>
      <c r="C584" t="s">
        <v>117</v>
      </c>
      <c r="D584" t="s">
        <v>118</v>
      </c>
      <c r="E584" t="s">
        <v>140</v>
      </c>
      <c r="F584" t="s">
        <v>1593</v>
      </c>
      <c r="G584">
        <v>12.5</v>
      </c>
      <c r="H584">
        <v>1.3</v>
      </c>
      <c r="I584" s="14">
        <v>52500</v>
      </c>
      <c r="J584" s="14">
        <v>52500</v>
      </c>
      <c r="Q584" s="14"/>
      <c r="R584" s="14"/>
      <c r="Y584" s="14"/>
      <c r="Z584" s="14"/>
      <c r="AG584" s="14"/>
      <c r="AH584" s="14"/>
      <c r="AI584" t="s">
        <v>867</v>
      </c>
      <c r="AJ584" t="s">
        <v>868</v>
      </c>
      <c r="AK584" t="s">
        <v>869</v>
      </c>
      <c r="AL584">
        <v>0</v>
      </c>
      <c r="AM584" t="s">
        <v>870</v>
      </c>
      <c r="AN584" t="s">
        <v>871</v>
      </c>
      <c r="AO584" t="s">
        <v>125</v>
      </c>
      <c r="AP584" t="s">
        <v>152</v>
      </c>
      <c r="AQ584" s="15">
        <v>46192</v>
      </c>
      <c r="AR584" s="15">
        <v>46192</v>
      </c>
      <c r="AS584" t="s">
        <v>127</v>
      </c>
      <c r="AT584">
        <v>1</v>
      </c>
      <c r="AU584">
        <v>1</v>
      </c>
      <c r="AV584">
        <v>0</v>
      </c>
      <c r="AW584">
        <v>0</v>
      </c>
      <c r="AX584" s="14">
        <v>1</v>
      </c>
      <c r="AY584" s="14">
        <v>1</v>
      </c>
      <c r="AZ584" s="14">
        <v>0</v>
      </c>
      <c r="BA584">
        <v>0</v>
      </c>
      <c r="BB584" t="s">
        <v>22</v>
      </c>
      <c r="BC584" t="s">
        <v>128</v>
      </c>
      <c r="BD584" t="s">
        <v>129</v>
      </c>
      <c r="BE584" t="s">
        <v>130</v>
      </c>
      <c r="BG584" t="s">
        <v>1594</v>
      </c>
      <c r="BH584" t="s">
        <v>132</v>
      </c>
      <c r="BJ584">
        <v>4</v>
      </c>
      <c r="BK584" t="s">
        <v>133</v>
      </c>
      <c r="BV584" t="s">
        <v>134</v>
      </c>
      <c r="BW584" s="16">
        <v>45989.746527777781</v>
      </c>
      <c r="BX584" t="s">
        <v>143</v>
      </c>
      <c r="BZ584">
        <v>39</v>
      </c>
      <c r="CA584" t="s">
        <v>1595</v>
      </c>
      <c r="CB584">
        <v>0</v>
      </c>
      <c r="CF584" t="s">
        <v>1087</v>
      </c>
      <c r="CG584">
        <v>2026</v>
      </c>
      <c r="CH584" t="s">
        <v>138</v>
      </c>
      <c r="CI584" t="s">
        <v>139</v>
      </c>
    </row>
    <row r="585" spans="1:87" x14ac:dyDescent="0.3">
      <c r="A585" t="s">
        <v>115</v>
      </c>
      <c r="B585" t="s">
        <v>116</v>
      </c>
      <c r="C585" t="s">
        <v>117</v>
      </c>
      <c r="D585" t="s">
        <v>118</v>
      </c>
      <c r="E585" t="s">
        <v>140</v>
      </c>
      <c r="F585" t="s">
        <v>1593</v>
      </c>
      <c r="G585">
        <v>12.5</v>
      </c>
      <c r="H585">
        <v>1.3</v>
      </c>
      <c r="I585" s="14">
        <v>52500</v>
      </c>
      <c r="J585" s="14">
        <v>52500</v>
      </c>
      <c r="Q585" s="14"/>
      <c r="R585" s="14"/>
      <c r="Y585" s="14"/>
      <c r="Z585" s="14"/>
      <c r="AG585" s="14"/>
      <c r="AH585" s="14"/>
      <c r="AI585" t="s">
        <v>867</v>
      </c>
      <c r="AJ585" t="s">
        <v>868</v>
      </c>
      <c r="AK585" t="s">
        <v>869</v>
      </c>
      <c r="AL585">
        <v>0</v>
      </c>
      <c r="AM585" t="s">
        <v>870</v>
      </c>
      <c r="AN585" t="s">
        <v>871</v>
      </c>
      <c r="AO585" t="s">
        <v>125</v>
      </c>
      <c r="AP585" t="s">
        <v>152</v>
      </c>
      <c r="AQ585" s="15">
        <v>46197</v>
      </c>
      <c r="AR585" s="15">
        <v>46197</v>
      </c>
      <c r="AS585" t="s">
        <v>145</v>
      </c>
      <c r="AT585">
        <v>1</v>
      </c>
      <c r="AU585">
        <v>29000</v>
      </c>
      <c r="AV585">
        <v>0</v>
      </c>
      <c r="AW585">
        <v>0</v>
      </c>
      <c r="AX585" s="14">
        <v>29000</v>
      </c>
      <c r="AY585" s="14">
        <v>29000</v>
      </c>
      <c r="AZ585" s="14">
        <v>0</v>
      </c>
      <c r="BA585">
        <v>0</v>
      </c>
      <c r="BB585" t="s">
        <v>22</v>
      </c>
      <c r="BC585" t="s">
        <v>128</v>
      </c>
      <c r="BD585" t="s">
        <v>129</v>
      </c>
      <c r="BE585" t="s">
        <v>130</v>
      </c>
      <c r="BG585" t="s">
        <v>1596</v>
      </c>
      <c r="BH585" t="s">
        <v>134</v>
      </c>
      <c r="BJ585">
        <v>4</v>
      </c>
      <c r="BK585" t="s">
        <v>133</v>
      </c>
      <c r="BV585" t="s">
        <v>134</v>
      </c>
      <c r="BW585" s="16">
        <v>45989.746527777781</v>
      </c>
      <c r="BX585" t="s">
        <v>143</v>
      </c>
      <c r="BZ585">
        <v>39</v>
      </c>
      <c r="CA585" t="s">
        <v>1597</v>
      </c>
      <c r="CB585">
        <v>0</v>
      </c>
      <c r="CF585" t="s">
        <v>1087</v>
      </c>
      <c r="CG585">
        <v>2026</v>
      </c>
      <c r="CH585" t="s">
        <v>138</v>
      </c>
      <c r="CI585" t="s">
        <v>139</v>
      </c>
    </row>
    <row r="586" spans="1:87" x14ac:dyDescent="0.3">
      <c r="A586" t="s">
        <v>115</v>
      </c>
      <c r="B586" t="s">
        <v>116</v>
      </c>
      <c r="C586" t="s">
        <v>117</v>
      </c>
      <c r="D586" t="s">
        <v>118</v>
      </c>
      <c r="E586" t="s">
        <v>140</v>
      </c>
      <c r="F586" t="s">
        <v>1593</v>
      </c>
      <c r="G586">
        <v>12.5</v>
      </c>
      <c r="H586">
        <v>1.3</v>
      </c>
      <c r="I586" s="14">
        <v>52500</v>
      </c>
      <c r="J586" s="14">
        <v>52500</v>
      </c>
      <c r="Q586" s="14"/>
      <c r="R586" s="14"/>
      <c r="Y586" s="14"/>
      <c r="Z586" s="14"/>
      <c r="AG586" s="14"/>
      <c r="AH586" s="14"/>
      <c r="AI586" t="s">
        <v>867</v>
      </c>
      <c r="AJ586" t="s">
        <v>868</v>
      </c>
      <c r="AK586" t="s">
        <v>869</v>
      </c>
      <c r="AL586">
        <v>0</v>
      </c>
      <c r="AM586" t="s">
        <v>870</v>
      </c>
      <c r="AN586" t="s">
        <v>871</v>
      </c>
      <c r="AO586" t="s">
        <v>125</v>
      </c>
      <c r="AP586" t="s">
        <v>152</v>
      </c>
      <c r="AQ586" s="15">
        <v>46203</v>
      </c>
      <c r="AR586" s="15">
        <v>46198</v>
      </c>
      <c r="AS586" t="s">
        <v>227</v>
      </c>
      <c r="AT586">
        <v>1</v>
      </c>
      <c r="AU586">
        <v>23499</v>
      </c>
      <c r="AV586">
        <v>0</v>
      </c>
      <c r="AW586">
        <v>0</v>
      </c>
      <c r="AX586" s="14">
        <v>23499</v>
      </c>
      <c r="AY586" s="14">
        <v>23499</v>
      </c>
      <c r="AZ586" s="14">
        <v>0</v>
      </c>
      <c r="BA586">
        <v>0</v>
      </c>
      <c r="BB586" t="s">
        <v>22</v>
      </c>
      <c r="BC586" t="s">
        <v>128</v>
      </c>
      <c r="BD586" t="s">
        <v>129</v>
      </c>
      <c r="BE586" t="s">
        <v>130</v>
      </c>
      <c r="BG586" t="s">
        <v>1598</v>
      </c>
      <c r="BH586" t="s">
        <v>132</v>
      </c>
      <c r="BJ586">
        <v>4</v>
      </c>
      <c r="BK586" t="s">
        <v>133</v>
      </c>
      <c r="BV586" t="s">
        <v>134</v>
      </c>
      <c r="BW586" s="16">
        <v>45989.746527777781</v>
      </c>
      <c r="BX586" t="s">
        <v>143</v>
      </c>
      <c r="BZ586">
        <v>39</v>
      </c>
      <c r="CA586" t="s">
        <v>1599</v>
      </c>
      <c r="CB586">
        <v>0</v>
      </c>
      <c r="CF586" t="s">
        <v>1087</v>
      </c>
      <c r="CG586">
        <v>2026</v>
      </c>
      <c r="CH586" t="s">
        <v>138</v>
      </c>
      <c r="CI586" t="s">
        <v>139</v>
      </c>
    </row>
    <row r="587" spans="1:87" x14ac:dyDescent="0.3">
      <c r="A587" t="s">
        <v>165</v>
      </c>
      <c r="B587" t="s">
        <v>116</v>
      </c>
      <c r="C587" t="s">
        <v>117</v>
      </c>
      <c r="D587" t="s">
        <v>118</v>
      </c>
      <c r="E587" t="s">
        <v>14</v>
      </c>
      <c r="F587" t="s">
        <v>304</v>
      </c>
      <c r="G587">
        <v>57</v>
      </c>
      <c r="H587">
        <v>0</v>
      </c>
      <c r="I587" s="14">
        <v>430000</v>
      </c>
      <c r="J587" s="14">
        <v>430000</v>
      </c>
      <c r="Q587" s="14"/>
      <c r="R587" s="14"/>
      <c r="Y587" s="14"/>
      <c r="Z587" s="14"/>
      <c r="AG587" s="14"/>
      <c r="AH587" s="14"/>
      <c r="AI587" t="s">
        <v>899</v>
      </c>
      <c r="AJ587" t="s">
        <v>890</v>
      </c>
      <c r="AK587" t="s">
        <v>891</v>
      </c>
      <c r="AL587">
        <v>0</v>
      </c>
      <c r="AM587" t="s">
        <v>892</v>
      </c>
      <c r="AN587" t="s">
        <v>893</v>
      </c>
      <c r="AO587" t="s">
        <v>125</v>
      </c>
      <c r="AP587" t="s">
        <v>297</v>
      </c>
      <c r="AQ587" s="15">
        <v>46081</v>
      </c>
      <c r="AR587" s="15">
        <v>46122</v>
      </c>
      <c r="AS587" t="s">
        <v>145</v>
      </c>
      <c r="AT587">
        <v>2</v>
      </c>
      <c r="AU587">
        <v>20000</v>
      </c>
      <c r="AV587">
        <v>0</v>
      </c>
      <c r="AW587">
        <v>0</v>
      </c>
      <c r="AX587" s="14">
        <v>20000</v>
      </c>
      <c r="AY587" s="14">
        <v>20000</v>
      </c>
      <c r="AZ587" s="14">
        <v>0</v>
      </c>
      <c r="BA587">
        <v>0</v>
      </c>
      <c r="BB587" t="s">
        <v>24</v>
      </c>
      <c r="BC587" t="s">
        <v>175</v>
      </c>
      <c r="BD587" t="s">
        <v>176</v>
      </c>
      <c r="BE587" t="s">
        <v>130</v>
      </c>
      <c r="BF587" t="s">
        <v>890</v>
      </c>
      <c r="BG587" t="s">
        <v>1600</v>
      </c>
      <c r="BH587" t="s">
        <v>132</v>
      </c>
      <c r="BI587" t="s">
        <v>154</v>
      </c>
      <c r="BJ587">
        <v>4</v>
      </c>
      <c r="BK587" t="s">
        <v>133</v>
      </c>
      <c r="BV587" t="s">
        <v>134</v>
      </c>
      <c r="BW587" s="16">
        <v>45917.172222222223</v>
      </c>
      <c r="BX587" t="s">
        <v>178</v>
      </c>
      <c r="BZ587">
        <v>2</v>
      </c>
      <c r="CA587" t="s">
        <v>1601</v>
      </c>
      <c r="CB587">
        <v>0</v>
      </c>
      <c r="CF587" t="s">
        <v>1087</v>
      </c>
      <c r="CG587">
        <v>2026</v>
      </c>
      <c r="CH587" t="s">
        <v>138</v>
      </c>
      <c r="CI587" t="s">
        <v>139</v>
      </c>
    </row>
    <row r="588" spans="1:87" x14ac:dyDescent="0.3">
      <c r="A588" t="s">
        <v>165</v>
      </c>
      <c r="B588" t="s">
        <v>116</v>
      </c>
      <c r="C588" t="s">
        <v>117</v>
      </c>
      <c r="D588" t="s">
        <v>118</v>
      </c>
      <c r="E588" t="s">
        <v>14</v>
      </c>
      <c r="F588" t="s">
        <v>304</v>
      </c>
      <c r="G588">
        <v>57</v>
      </c>
      <c r="H588">
        <v>0</v>
      </c>
      <c r="I588" s="14">
        <v>430000</v>
      </c>
      <c r="J588" s="14">
        <v>430000</v>
      </c>
      <c r="Q588" s="14"/>
      <c r="R588" s="14"/>
      <c r="Y588" s="14"/>
      <c r="Z588" s="14"/>
      <c r="AG588" s="14"/>
      <c r="AH588" s="14"/>
      <c r="AI588" t="s">
        <v>899</v>
      </c>
      <c r="AJ588" t="s">
        <v>890</v>
      </c>
      <c r="AK588" t="s">
        <v>891</v>
      </c>
      <c r="AL588">
        <v>0</v>
      </c>
      <c r="AM588" t="s">
        <v>892</v>
      </c>
      <c r="AN588" t="s">
        <v>893</v>
      </c>
      <c r="AO588" t="s">
        <v>125</v>
      </c>
      <c r="AP588" t="s">
        <v>297</v>
      </c>
      <c r="AQ588" s="15">
        <v>46234</v>
      </c>
      <c r="AR588" s="15"/>
      <c r="AS588" t="s">
        <v>227</v>
      </c>
      <c r="AT588">
        <v>1</v>
      </c>
      <c r="AU588">
        <v>387000</v>
      </c>
      <c r="AV588">
        <v>0</v>
      </c>
      <c r="AW588">
        <v>0</v>
      </c>
      <c r="AX588" s="14">
        <v>387000</v>
      </c>
      <c r="AY588" s="14">
        <v>0</v>
      </c>
      <c r="AZ588" s="14">
        <v>387000</v>
      </c>
      <c r="BB588" t="s">
        <v>24</v>
      </c>
      <c r="BH588" t="s">
        <v>132</v>
      </c>
      <c r="BK588" t="s">
        <v>550</v>
      </c>
      <c r="BV588" t="s">
        <v>132</v>
      </c>
      <c r="BW588" s="16">
        <v>45917.172222222223</v>
      </c>
      <c r="BX588" t="s">
        <v>178</v>
      </c>
      <c r="BZ588">
        <v>2</v>
      </c>
      <c r="CB588">
        <v>0</v>
      </c>
      <c r="CF588" t="s">
        <v>1087</v>
      </c>
      <c r="CG588">
        <v>2026</v>
      </c>
      <c r="CH588" t="s">
        <v>138</v>
      </c>
      <c r="CI588" t="s">
        <v>139</v>
      </c>
    </row>
    <row r="589" spans="1:87" x14ac:dyDescent="0.3">
      <c r="A589" t="s">
        <v>115</v>
      </c>
      <c r="B589" t="s">
        <v>116</v>
      </c>
      <c r="C589" t="s">
        <v>117</v>
      </c>
      <c r="D589" t="s">
        <v>118</v>
      </c>
      <c r="E589" t="s">
        <v>14</v>
      </c>
      <c r="F589" t="s">
        <v>908</v>
      </c>
      <c r="G589">
        <v>56</v>
      </c>
      <c r="H589">
        <v>0</v>
      </c>
      <c r="I589" s="14">
        <v>415000</v>
      </c>
      <c r="J589" s="14">
        <v>415000</v>
      </c>
      <c r="Q589" s="14"/>
      <c r="R589" s="14"/>
      <c r="Y589" s="14"/>
      <c r="Z589" s="14"/>
      <c r="AG589" s="14"/>
      <c r="AH589" s="14"/>
      <c r="AI589" t="s">
        <v>909</v>
      </c>
      <c r="AJ589" t="s">
        <v>910</v>
      </c>
      <c r="AK589" t="s">
        <v>911</v>
      </c>
      <c r="AM589" t="s">
        <v>912</v>
      </c>
      <c r="AN589" t="s">
        <v>913</v>
      </c>
      <c r="AO589" t="s">
        <v>914</v>
      </c>
      <c r="AP589" t="s">
        <v>915</v>
      </c>
      <c r="AQ589" s="15">
        <v>46081</v>
      </c>
      <c r="AR589" s="15">
        <v>46133</v>
      </c>
      <c r="AS589" t="s">
        <v>145</v>
      </c>
      <c r="AT589">
        <v>2</v>
      </c>
      <c r="AU589">
        <v>129500</v>
      </c>
      <c r="AV589">
        <v>0</v>
      </c>
      <c r="AW589">
        <v>0</v>
      </c>
      <c r="AX589" s="14">
        <v>129500</v>
      </c>
      <c r="AY589" s="14">
        <v>129500</v>
      </c>
      <c r="AZ589" s="14">
        <v>0</v>
      </c>
      <c r="BA589">
        <v>0</v>
      </c>
      <c r="BB589" t="s">
        <v>24</v>
      </c>
      <c r="BC589" t="s">
        <v>128</v>
      </c>
      <c r="BD589" t="s">
        <v>129</v>
      </c>
      <c r="BE589" t="s">
        <v>130</v>
      </c>
      <c r="BG589" t="s">
        <v>1602</v>
      </c>
      <c r="BH589" t="s">
        <v>132</v>
      </c>
      <c r="BJ589">
        <v>4</v>
      </c>
      <c r="BK589" t="s">
        <v>133</v>
      </c>
      <c r="BV589" t="s">
        <v>134</v>
      </c>
      <c r="BW589" s="16">
        <v>45993.736111111109</v>
      </c>
      <c r="BX589" t="s">
        <v>178</v>
      </c>
      <c r="BZ589">
        <v>16</v>
      </c>
      <c r="CA589" t="s">
        <v>1603</v>
      </c>
      <c r="CB589">
        <v>0</v>
      </c>
      <c r="CF589" t="s">
        <v>1087</v>
      </c>
      <c r="CG589">
        <v>2026</v>
      </c>
      <c r="CH589" t="s">
        <v>138</v>
      </c>
      <c r="CI589" t="s">
        <v>139</v>
      </c>
    </row>
    <row r="590" spans="1:87" x14ac:dyDescent="0.3">
      <c r="A590" t="s">
        <v>426</v>
      </c>
      <c r="B590" t="s">
        <v>116</v>
      </c>
      <c r="C590" t="s">
        <v>117</v>
      </c>
      <c r="D590" t="s">
        <v>118</v>
      </c>
      <c r="E590" t="s">
        <v>14</v>
      </c>
      <c r="F590" t="s">
        <v>190</v>
      </c>
      <c r="G590">
        <v>61</v>
      </c>
      <c r="H590">
        <v>0</v>
      </c>
      <c r="I590" s="14">
        <v>386000</v>
      </c>
      <c r="J590" s="14">
        <v>386000</v>
      </c>
      <c r="K590" t="s">
        <v>117</v>
      </c>
      <c r="L590" t="s">
        <v>118</v>
      </c>
      <c r="M590" t="s">
        <v>140</v>
      </c>
      <c r="N590" t="s">
        <v>921</v>
      </c>
      <c r="O590">
        <v>13.5</v>
      </c>
      <c r="P590">
        <v>0</v>
      </c>
      <c r="Q590" s="14">
        <v>46800</v>
      </c>
      <c r="R590" s="14">
        <v>46800</v>
      </c>
      <c r="Y590" s="14"/>
      <c r="Z590" s="14"/>
      <c r="AG590" s="14"/>
      <c r="AH590" s="14"/>
      <c r="AI590" t="s">
        <v>922</v>
      </c>
      <c r="AJ590" t="s">
        <v>923</v>
      </c>
      <c r="AK590" t="s">
        <v>924</v>
      </c>
      <c r="AL590">
        <v>0</v>
      </c>
      <c r="AM590" t="s">
        <v>925</v>
      </c>
      <c r="AN590" t="s">
        <v>926</v>
      </c>
      <c r="AO590" t="s">
        <v>125</v>
      </c>
      <c r="AP590" t="s">
        <v>927</v>
      </c>
      <c r="AQ590" s="15">
        <v>46031</v>
      </c>
      <c r="AR590" s="15">
        <v>46031</v>
      </c>
      <c r="AS590" t="s">
        <v>145</v>
      </c>
      <c r="AT590">
        <v>1</v>
      </c>
      <c r="AU590">
        <v>18640</v>
      </c>
      <c r="AV590">
        <v>0</v>
      </c>
      <c r="AW590">
        <v>0</v>
      </c>
      <c r="AX590" s="14">
        <v>18640</v>
      </c>
      <c r="AY590" s="14">
        <v>18640</v>
      </c>
      <c r="AZ590" s="14">
        <v>0</v>
      </c>
      <c r="BA590">
        <v>0</v>
      </c>
      <c r="BB590" t="s">
        <v>23</v>
      </c>
      <c r="BC590" t="s">
        <v>128</v>
      </c>
      <c r="BD590" t="s">
        <v>434</v>
      </c>
      <c r="BE590" t="s">
        <v>130</v>
      </c>
      <c r="BG590" t="s">
        <v>1604</v>
      </c>
      <c r="BH590" t="s">
        <v>132</v>
      </c>
      <c r="BJ590">
        <v>4</v>
      </c>
      <c r="BK590" t="s">
        <v>133</v>
      </c>
      <c r="BV590" t="s">
        <v>134</v>
      </c>
      <c r="BW590" s="16">
        <v>46032.381944444453</v>
      </c>
      <c r="BX590" t="s">
        <v>143</v>
      </c>
      <c r="BZ590">
        <v>4</v>
      </c>
      <c r="CA590" t="s">
        <v>1605</v>
      </c>
      <c r="CB590">
        <v>0</v>
      </c>
      <c r="CF590" t="s">
        <v>1087</v>
      </c>
      <c r="CG590">
        <v>2026</v>
      </c>
      <c r="CH590" t="s">
        <v>138</v>
      </c>
      <c r="CI590" t="s">
        <v>139</v>
      </c>
    </row>
    <row r="591" spans="1:87" x14ac:dyDescent="0.3">
      <c r="A591" t="s">
        <v>426</v>
      </c>
      <c r="B591" t="s">
        <v>116</v>
      </c>
      <c r="C591" t="s">
        <v>117</v>
      </c>
      <c r="D591" t="s">
        <v>118</v>
      </c>
      <c r="E591" t="s">
        <v>14</v>
      </c>
      <c r="F591" t="s">
        <v>190</v>
      </c>
      <c r="G591">
        <v>61</v>
      </c>
      <c r="H591">
        <v>0</v>
      </c>
      <c r="I591" s="14">
        <v>386000</v>
      </c>
      <c r="J591" s="14">
        <v>386000</v>
      </c>
      <c r="K591" t="s">
        <v>117</v>
      </c>
      <c r="L591" t="s">
        <v>118</v>
      </c>
      <c r="M591" t="s">
        <v>140</v>
      </c>
      <c r="N591" t="s">
        <v>921</v>
      </c>
      <c r="O591">
        <v>13.5</v>
      </c>
      <c r="P591">
        <v>0</v>
      </c>
      <c r="Q591" s="14">
        <v>46800</v>
      </c>
      <c r="R591" s="14">
        <v>46800</v>
      </c>
      <c r="Y591" s="14"/>
      <c r="Z591" s="14"/>
      <c r="AG591" s="14"/>
      <c r="AH591" s="14"/>
      <c r="AI591" t="s">
        <v>922</v>
      </c>
      <c r="AJ591" t="s">
        <v>923</v>
      </c>
      <c r="AK591" t="s">
        <v>924</v>
      </c>
      <c r="AL591">
        <v>0</v>
      </c>
      <c r="AM591" t="s">
        <v>925</v>
      </c>
      <c r="AN591" t="s">
        <v>926</v>
      </c>
      <c r="AO591" t="s">
        <v>125</v>
      </c>
      <c r="AP591" t="s">
        <v>927</v>
      </c>
      <c r="AQ591" s="15">
        <v>46172</v>
      </c>
      <c r="AR591" s="15">
        <v>46210</v>
      </c>
      <c r="AS591" t="s">
        <v>145</v>
      </c>
      <c r="AT591">
        <v>2</v>
      </c>
      <c r="AU591">
        <v>21640</v>
      </c>
      <c r="AV591">
        <v>0</v>
      </c>
      <c r="AW591">
        <v>0</v>
      </c>
      <c r="AX591" s="14">
        <v>21640</v>
      </c>
      <c r="AY591" s="14">
        <v>21640</v>
      </c>
      <c r="AZ591" s="14">
        <v>0</v>
      </c>
      <c r="BA591">
        <v>0</v>
      </c>
      <c r="BB591" t="s">
        <v>23</v>
      </c>
      <c r="BC591" t="s">
        <v>128</v>
      </c>
      <c r="BD591" t="s">
        <v>434</v>
      </c>
      <c r="BE591" t="s">
        <v>130</v>
      </c>
      <c r="BG591" t="s">
        <v>1606</v>
      </c>
      <c r="BH591" t="s">
        <v>132</v>
      </c>
      <c r="BJ591">
        <v>4</v>
      </c>
      <c r="BK591" t="s">
        <v>133</v>
      </c>
      <c r="BV591" t="s">
        <v>134</v>
      </c>
      <c r="BW591" s="16">
        <v>46032.381944444453</v>
      </c>
      <c r="BX591" t="s">
        <v>143</v>
      </c>
      <c r="BZ591">
        <v>4</v>
      </c>
      <c r="CA591" t="s">
        <v>1607</v>
      </c>
      <c r="CB591">
        <v>0</v>
      </c>
      <c r="CF591" t="s">
        <v>1087</v>
      </c>
      <c r="CG591">
        <v>2026</v>
      </c>
      <c r="CH591" t="s">
        <v>138</v>
      </c>
      <c r="CI591" t="s">
        <v>139</v>
      </c>
    </row>
    <row r="592" spans="1:87" x14ac:dyDescent="0.3">
      <c r="A592" t="s">
        <v>426</v>
      </c>
      <c r="B592" t="s">
        <v>116</v>
      </c>
      <c r="C592" t="s">
        <v>117</v>
      </c>
      <c r="D592" t="s">
        <v>118</v>
      </c>
      <c r="E592" t="s">
        <v>14</v>
      </c>
      <c r="F592" t="s">
        <v>190</v>
      </c>
      <c r="G592">
        <v>61</v>
      </c>
      <c r="H592">
        <v>0</v>
      </c>
      <c r="I592" s="14">
        <v>386000</v>
      </c>
      <c r="J592" s="14">
        <v>386000</v>
      </c>
      <c r="K592" t="s">
        <v>117</v>
      </c>
      <c r="L592" t="s">
        <v>118</v>
      </c>
      <c r="M592" t="s">
        <v>140</v>
      </c>
      <c r="N592" t="s">
        <v>921</v>
      </c>
      <c r="O592">
        <v>13.5</v>
      </c>
      <c r="P592">
        <v>0</v>
      </c>
      <c r="Q592" s="14">
        <v>46800</v>
      </c>
      <c r="R592" s="14">
        <v>46800</v>
      </c>
      <c r="Y592" s="14"/>
      <c r="Z592" s="14"/>
      <c r="AG592" s="14"/>
      <c r="AH592" s="14"/>
      <c r="AI592" t="s">
        <v>922</v>
      </c>
      <c r="AJ592" t="s">
        <v>923</v>
      </c>
      <c r="AK592" t="s">
        <v>924</v>
      </c>
      <c r="AL592">
        <v>0</v>
      </c>
      <c r="AM592" t="s">
        <v>925</v>
      </c>
      <c r="AN592" t="s">
        <v>926</v>
      </c>
      <c r="AO592" t="s">
        <v>125</v>
      </c>
      <c r="AP592" t="s">
        <v>927</v>
      </c>
      <c r="AQ592" s="15">
        <v>46217</v>
      </c>
      <c r="AR592" s="15">
        <v>46217</v>
      </c>
      <c r="AS592" t="s">
        <v>145</v>
      </c>
      <c r="AT592">
        <v>3</v>
      </c>
      <c r="AU592">
        <v>30000</v>
      </c>
      <c r="AV592">
        <v>0</v>
      </c>
      <c r="AW592">
        <v>0</v>
      </c>
      <c r="AX592" s="14">
        <v>30000</v>
      </c>
      <c r="AY592" s="14">
        <v>30000</v>
      </c>
      <c r="AZ592" s="14">
        <v>0</v>
      </c>
      <c r="BA592">
        <v>0</v>
      </c>
      <c r="BB592" t="s">
        <v>23</v>
      </c>
      <c r="BC592" t="s">
        <v>128</v>
      </c>
      <c r="BD592" t="s">
        <v>434</v>
      </c>
      <c r="BE592" t="s">
        <v>130</v>
      </c>
      <c r="BG592" t="s">
        <v>1608</v>
      </c>
      <c r="BH592" t="s">
        <v>132</v>
      </c>
      <c r="BJ592">
        <v>4</v>
      </c>
      <c r="BK592" t="s">
        <v>133</v>
      </c>
      <c r="BV592" t="s">
        <v>134</v>
      </c>
      <c r="BW592" s="16">
        <v>46032.381944444453</v>
      </c>
      <c r="BX592" t="s">
        <v>143</v>
      </c>
      <c r="BZ592">
        <v>4</v>
      </c>
      <c r="CA592" t="s">
        <v>1609</v>
      </c>
      <c r="CB592">
        <v>0</v>
      </c>
      <c r="CF592" t="s">
        <v>1087</v>
      </c>
      <c r="CG592">
        <v>2026</v>
      </c>
      <c r="CH592" t="s">
        <v>138</v>
      </c>
      <c r="CI592" t="s">
        <v>139</v>
      </c>
    </row>
    <row r="593" spans="1:87" x14ac:dyDescent="0.3">
      <c r="A593" t="s">
        <v>426</v>
      </c>
      <c r="B593" t="s">
        <v>116</v>
      </c>
      <c r="C593" t="s">
        <v>117</v>
      </c>
      <c r="D593" t="s">
        <v>118</v>
      </c>
      <c r="E593" t="s">
        <v>14</v>
      </c>
      <c r="F593" t="s">
        <v>190</v>
      </c>
      <c r="G593">
        <v>61</v>
      </c>
      <c r="H593">
        <v>0</v>
      </c>
      <c r="I593" s="14">
        <v>386000</v>
      </c>
      <c r="J593" s="14">
        <v>386000</v>
      </c>
      <c r="K593" t="s">
        <v>117</v>
      </c>
      <c r="L593" t="s">
        <v>118</v>
      </c>
      <c r="M593" t="s">
        <v>140</v>
      </c>
      <c r="N593" t="s">
        <v>921</v>
      </c>
      <c r="O593">
        <v>13.5</v>
      </c>
      <c r="P593">
        <v>0</v>
      </c>
      <c r="Q593" s="14">
        <v>46800</v>
      </c>
      <c r="R593" s="14">
        <v>46800</v>
      </c>
      <c r="Y593" s="14"/>
      <c r="Z593" s="14"/>
      <c r="AG593" s="14"/>
      <c r="AH593" s="14"/>
      <c r="AI593" t="s">
        <v>922</v>
      </c>
      <c r="AJ593" t="s">
        <v>923</v>
      </c>
      <c r="AK593" t="s">
        <v>924</v>
      </c>
      <c r="AL593">
        <v>0</v>
      </c>
      <c r="AM593" t="s">
        <v>925</v>
      </c>
      <c r="AN593" t="s">
        <v>926</v>
      </c>
      <c r="AO593" t="s">
        <v>125</v>
      </c>
      <c r="AP593" t="s">
        <v>927</v>
      </c>
      <c r="AQ593" s="15">
        <v>46224</v>
      </c>
      <c r="AR593" s="15">
        <v>45859</v>
      </c>
      <c r="AS593" t="s">
        <v>145</v>
      </c>
      <c r="AT593">
        <v>4</v>
      </c>
      <c r="AU593">
        <v>13280</v>
      </c>
      <c r="AV593">
        <v>0</v>
      </c>
      <c r="AW593">
        <v>0</v>
      </c>
      <c r="AX593" s="14">
        <v>13280</v>
      </c>
      <c r="AY593" s="14">
        <v>13280</v>
      </c>
      <c r="AZ593" s="14">
        <v>0</v>
      </c>
      <c r="BA593">
        <v>0</v>
      </c>
      <c r="BB593" t="s">
        <v>23</v>
      </c>
      <c r="BC593" t="s">
        <v>128</v>
      </c>
      <c r="BD593" t="s">
        <v>434</v>
      </c>
      <c r="BE593" t="s">
        <v>130</v>
      </c>
      <c r="BG593" t="s">
        <v>1610</v>
      </c>
      <c r="BH593" t="s">
        <v>132</v>
      </c>
      <c r="BJ593">
        <v>4</v>
      </c>
      <c r="BK593" t="s">
        <v>133</v>
      </c>
      <c r="BV593" t="s">
        <v>134</v>
      </c>
      <c r="BW593" s="16">
        <v>46032.381944444453</v>
      </c>
      <c r="BX593" t="s">
        <v>143</v>
      </c>
      <c r="BZ593">
        <v>4</v>
      </c>
      <c r="CA593" t="s">
        <v>1611</v>
      </c>
      <c r="CB593">
        <v>0</v>
      </c>
      <c r="CF593" t="s">
        <v>1087</v>
      </c>
      <c r="CG593">
        <v>2026</v>
      </c>
      <c r="CH593" t="s">
        <v>138</v>
      </c>
      <c r="CI593" t="s">
        <v>139</v>
      </c>
    </row>
    <row r="594" spans="1:87" x14ac:dyDescent="0.3">
      <c r="A594" t="s">
        <v>426</v>
      </c>
      <c r="B594" t="s">
        <v>116</v>
      </c>
      <c r="C594" t="s">
        <v>117</v>
      </c>
      <c r="D594" t="s">
        <v>118</v>
      </c>
      <c r="E594" t="s">
        <v>14</v>
      </c>
      <c r="F594" t="s">
        <v>190</v>
      </c>
      <c r="G594">
        <v>61</v>
      </c>
      <c r="H594">
        <v>0</v>
      </c>
      <c r="I594" s="14">
        <v>386000</v>
      </c>
      <c r="J594" s="14">
        <v>386000</v>
      </c>
      <c r="K594" t="s">
        <v>117</v>
      </c>
      <c r="L594" t="s">
        <v>118</v>
      </c>
      <c r="M594" t="s">
        <v>140</v>
      </c>
      <c r="N594" t="s">
        <v>921</v>
      </c>
      <c r="O594">
        <v>13.5</v>
      </c>
      <c r="P594">
        <v>0</v>
      </c>
      <c r="Q594" s="14">
        <v>46800</v>
      </c>
      <c r="R594" s="14">
        <v>46800</v>
      </c>
      <c r="Y594" s="14"/>
      <c r="Z594" s="14"/>
      <c r="AG594" s="14"/>
      <c r="AH594" s="14"/>
      <c r="AI594" t="s">
        <v>922</v>
      </c>
      <c r="AJ594" t="s">
        <v>923</v>
      </c>
      <c r="AK594" t="s">
        <v>924</v>
      </c>
      <c r="AL594">
        <v>0</v>
      </c>
      <c r="AM594" t="s">
        <v>925</v>
      </c>
      <c r="AN594" t="s">
        <v>926</v>
      </c>
      <c r="AO594" t="s">
        <v>125</v>
      </c>
      <c r="AP594" t="s">
        <v>927</v>
      </c>
      <c r="AQ594" s="15">
        <v>46264</v>
      </c>
      <c r="AR594" s="15"/>
      <c r="AS594" t="s">
        <v>227</v>
      </c>
      <c r="AT594">
        <v>1</v>
      </c>
      <c r="AU594">
        <v>346240</v>
      </c>
      <c r="AV594">
        <v>0</v>
      </c>
      <c r="AW594">
        <v>0</v>
      </c>
      <c r="AX594" s="14">
        <v>346240</v>
      </c>
      <c r="AY594" s="14">
        <v>0</v>
      </c>
      <c r="AZ594" s="14">
        <v>346240</v>
      </c>
      <c r="BB594" t="s">
        <v>23</v>
      </c>
      <c r="BH594" t="s">
        <v>132</v>
      </c>
      <c r="BK594" t="s">
        <v>550</v>
      </c>
      <c r="BV594" t="s">
        <v>132</v>
      </c>
      <c r="BW594" s="16">
        <v>46032.381944444453</v>
      </c>
      <c r="BX594" t="s">
        <v>143</v>
      </c>
      <c r="BZ594">
        <v>4</v>
      </c>
      <c r="CB594">
        <v>0</v>
      </c>
      <c r="CF594" t="s">
        <v>1087</v>
      </c>
      <c r="CG594">
        <v>2026</v>
      </c>
      <c r="CH594" t="s">
        <v>138</v>
      </c>
      <c r="CI594" t="s">
        <v>139</v>
      </c>
    </row>
    <row r="595" spans="1:87" x14ac:dyDescent="0.3">
      <c r="A595" t="s">
        <v>115</v>
      </c>
      <c r="B595" t="s">
        <v>116</v>
      </c>
      <c r="C595" t="s">
        <v>117</v>
      </c>
      <c r="D595" t="s">
        <v>118</v>
      </c>
      <c r="E595" t="s">
        <v>14</v>
      </c>
      <c r="F595" t="s">
        <v>1612</v>
      </c>
      <c r="G595">
        <v>60.93</v>
      </c>
      <c r="H595">
        <v>0</v>
      </c>
      <c r="I595" s="14">
        <v>417700</v>
      </c>
      <c r="J595" s="14">
        <v>417700</v>
      </c>
      <c r="Q595" s="14"/>
      <c r="R595" s="14"/>
      <c r="Y595" s="14"/>
      <c r="Z595" s="14"/>
      <c r="AG595" s="14"/>
      <c r="AH595" s="14"/>
      <c r="AI595" t="s">
        <v>1613</v>
      </c>
      <c r="AJ595" t="s">
        <v>1614</v>
      </c>
      <c r="AK595" t="s">
        <v>1615</v>
      </c>
      <c r="AM595" t="s">
        <v>1616</v>
      </c>
      <c r="AN595" t="s">
        <v>1617</v>
      </c>
      <c r="AO595" t="s">
        <v>125</v>
      </c>
      <c r="AP595" t="s">
        <v>152</v>
      </c>
      <c r="AQ595" s="15">
        <v>46090</v>
      </c>
      <c r="AR595" s="15">
        <v>46090</v>
      </c>
      <c r="AS595" t="s">
        <v>127</v>
      </c>
      <c r="AT595">
        <v>1</v>
      </c>
      <c r="AU595">
        <v>3000</v>
      </c>
      <c r="AV595">
        <v>0</v>
      </c>
      <c r="AW595">
        <v>0</v>
      </c>
      <c r="AX595" s="14">
        <v>3000</v>
      </c>
      <c r="AY595" s="14">
        <v>3000</v>
      </c>
      <c r="AZ595" s="14">
        <v>0</v>
      </c>
      <c r="BA595">
        <v>0</v>
      </c>
      <c r="BB595" t="s">
        <v>24</v>
      </c>
      <c r="BC595" t="s">
        <v>128</v>
      </c>
      <c r="BD595" t="s">
        <v>129</v>
      </c>
      <c r="BE595" t="s">
        <v>130</v>
      </c>
      <c r="BF595" t="s">
        <v>1614</v>
      </c>
      <c r="BG595" t="s">
        <v>1618</v>
      </c>
      <c r="BH595" t="s">
        <v>132</v>
      </c>
      <c r="BI595" t="s">
        <v>154</v>
      </c>
      <c r="BJ595">
        <v>1</v>
      </c>
      <c r="BK595" t="s">
        <v>133</v>
      </c>
      <c r="BV595" t="s">
        <v>134</v>
      </c>
      <c r="BW595" s="16">
        <v>46139.739583333343</v>
      </c>
      <c r="BX595" t="s">
        <v>178</v>
      </c>
      <c r="BZ595">
        <v>20</v>
      </c>
      <c r="CA595" t="s">
        <v>224</v>
      </c>
      <c r="CB595">
        <v>0</v>
      </c>
      <c r="CF595" t="s">
        <v>1087</v>
      </c>
      <c r="CG595">
        <v>2026</v>
      </c>
      <c r="CH595" t="s">
        <v>138</v>
      </c>
      <c r="CI595" t="s">
        <v>139</v>
      </c>
    </row>
    <row r="596" spans="1:87" x14ac:dyDescent="0.3">
      <c r="A596" t="s">
        <v>115</v>
      </c>
      <c r="B596" t="s">
        <v>116</v>
      </c>
      <c r="C596" t="s">
        <v>117</v>
      </c>
      <c r="D596" t="s">
        <v>118</v>
      </c>
      <c r="E596" t="s">
        <v>14</v>
      </c>
      <c r="F596" t="s">
        <v>1612</v>
      </c>
      <c r="G596">
        <v>60.93</v>
      </c>
      <c r="H596">
        <v>0</v>
      </c>
      <c r="I596" s="14">
        <v>417700</v>
      </c>
      <c r="J596" s="14">
        <v>417700</v>
      </c>
      <c r="Q596" s="14"/>
      <c r="R596" s="14"/>
      <c r="Y596" s="14"/>
      <c r="Z596" s="14"/>
      <c r="AG596" s="14"/>
      <c r="AH596" s="14"/>
      <c r="AI596" t="s">
        <v>1613</v>
      </c>
      <c r="AJ596" t="s">
        <v>1614</v>
      </c>
      <c r="AK596" t="s">
        <v>1615</v>
      </c>
      <c r="AM596" t="s">
        <v>1616</v>
      </c>
      <c r="AN596" t="s">
        <v>1617</v>
      </c>
      <c r="AO596" t="s">
        <v>125</v>
      </c>
      <c r="AP596" t="s">
        <v>152</v>
      </c>
      <c r="AQ596" s="15">
        <v>46233</v>
      </c>
      <c r="AR596" s="15">
        <v>46139</v>
      </c>
      <c r="AS596" t="s">
        <v>145</v>
      </c>
      <c r="AT596">
        <v>2</v>
      </c>
      <c r="AU596">
        <v>40770</v>
      </c>
      <c r="AV596">
        <v>0</v>
      </c>
      <c r="AW596">
        <v>0</v>
      </c>
      <c r="AX596" s="14">
        <v>40770</v>
      </c>
      <c r="AY596" s="14">
        <v>20770</v>
      </c>
      <c r="AZ596" s="14">
        <v>20000</v>
      </c>
      <c r="BA596">
        <v>0</v>
      </c>
      <c r="BB596" t="s">
        <v>24</v>
      </c>
      <c r="BC596" t="s">
        <v>128</v>
      </c>
      <c r="BD596" t="s">
        <v>129</v>
      </c>
      <c r="BE596" t="s">
        <v>130</v>
      </c>
      <c r="BF596" t="s">
        <v>1614</v>
      </c>
      <c r="BG596" t="s">
        <v>1619</v>
      </c>
      <c r="BH596" t="s">
        <v>132</v>
      </c>
      <c r="BI596" t="s">
        <v>154</v>
      </c>
      <c r="BJ596">
        <v>4</v>
      </c>
      <c r="BK596" t="s">
        <v>534</v>
      </c>
      <c r="BV596" t="s">
        <v>134</v>
      </c>
      <c r="BW596" s="16">
        <v>46139.739583333343</v>
      </c>
      <c r="BX596" t="s">
        <v>178</v>
      </c>
      <c r="BZ596">
        <v>20</v>
      </c>
      <c r="CA596" t="s">
        <v>1620</v>
      </c>
      <c r="CB596">
        <v>0</v>
      </c>
      <c r="CF596" t="s">
        <v>1087</v>
      </c>
      <c r="CG596">
        <v>2026</v>
      </c>
      <c r="CH596" t="s">
        <v>138</v>
      </c>
      <c r="CI596" t="s">
        <v>139</v>
      </c>
    </row>
    <row r="597" spans="1:87" x14ac:dyDescent="0.3">
      <c r="A597" t="s">
        <v>115</v>
      </c>
      <c r="B597" t="s">
        <v>116</v>
      </c>
      <c r="C597" t="s">
        <v>117</v>
      </c>
      <c r="D597" t="s">
        <v>118</v>
      </c>
      <c r="E597" t="s">
        <v>14</v>
      </c>
      <c r="F597" t="s">
        <v>1612</v>
      </c>
      <c r="G597">
        <v>60.93</v>
      </c>
      <c r="H597">
        <v>0</v>
      </c>
      <c r="I597" s="14">
        <v>417700</v>
      </c>
      <c r="J597" s="14">
        <v>417700</v>
      </c>
      <c r="Q597" s="14"/>
      <c r="R597" s="14"/>
      <c r="Y597" s="14"/>
      <c r="Z597" s="14"/>
      <c r="AG597" s="14"/>
      <c r="AH597" s="14"/>
      <c r="AI597" t="s">
        <v>1613</v>
      </c>
      <c r="AJ597" t="s">
        <v>1614</v>
      </c>
      <c r="AK597" t="s">
        <v>1615</v>
      </c>
      <c r="AM597" t="s">
        <v>1616</v>
      </c>
      <c r="AN597" t="s">
        <v>1617</v>
      </c>
      <c r="AO597" t="s">
        <v>125</v>
      </c>
      <c r="AP597" t="s">
        <v>152</v>
      </c>
      <c r="AQ597" s="15">
        <v>46264</v>
      </c>
      <c r="AR597" s="15"/>
      <c r="AS597" t="s">
        <v>227</v>
      </c>
      <c r="AT597">
        <v>3</v>
      </c>
      <c r="AU597">
        <v>373930</v>
      </c>
      <c r="AV597">
        <v>0</v>
      </c>
      <c r="AW597">
        <v>0</v>
      </c>
      <c r="AX597" s="14">
        <v>373930</v>
      </c>
      <c r="AY597" s="14">
        <v>0</v>
      </c>
      <c r="AZ597" s="14">
        <v>373930</v>
      </c>
      <c r="BB597" t="s">
        <v>24</v>
      </c>
      <c r="BH597" t="s">
        <v>132</v>
      </c>
      <c r="BK597" t="s">
        <v>550</v>
      </c>
      <c r="BV597" t="s">
        <v>132</v>
      </c>
      <c r="BW597" s="16">
        <v>46139.739583333343</v>
      </c>
      <c r="BX597" t="s">
        <v>178</v>
      </c>
      <c r="BZ597">
        <v>20</v>
      </c>
      <c r="CB597">
        <v>0</v>
      </c>
      <c r="CF597" t="s">
        <v>1087</v>
      </c>
      <c r="CG597">
        <v>2026</v>
      </c>
      <c r="CH597" t="s">
        <v>138</v>
      </c>
      <c r="CI597" t="s">
        <v>139</v>
      </c>
    </row>
    <row r="598" spans="1:87" x14ac:dyDescent="0.3">
      <c r="A598" t="s">
        <v>165</v>
      </c>
      <c r="B598" t="s">
        <v>116</v>
      </c>
      <c r="C598" t="s">
        <v>117</v>
      </c>
      <c r="D598" t="s">
        <v>118</v>
      </c>
      <c r="E598" t="s">
        <v>14</v>
      </c>
      <c r="F598" t="s">
        <v>241</v>
      </c>
      <c r="G598">
        <v>72</v>
      </c>
      <c r="H598">
        <v>0</v>
      </c>
      <c r="I598" s="14">
        <v>532100</v>
      </c>
      <c r="J598" s="14">
        <v>495000</v>
      </c>
      <c r="Q598" s="14"/>
      <c r="R598" s="14"/>
      <c r="Y598" s="14"/>
      <c r="Z598" s="14"/>
      <c r="AG598" s="14"/>
      <c r="AH598" s="14"/>
      <c r="AI598" t="s">
        <v>936</v>
      </c>
      <c r="AJ598" t="s">
        <v>937</v>
      </c>
      <c r="AK598" t="s">
        <v>938</v>
      </c>
      <c r="AL598">
        <v>0</v>
      </c>
      <c r="AM598" t="s">
        <v>939</v>
      </c>
      <c r="AN598" t="s">
        <v>940</v>
      </c>
      <c r="AO598" t="s">
        <v>125</v>
      </c>
      <c r="AP598" t="s">
        <v>152</v>
      </c>
      <c r="AQ598" s="15">
        <v>46158</v>
      </c>
      <c r="AR598" s="15">
        <v>45868</v>
      </c>
      <c r="AS598" t="s">
        <v>145</v>
      </c>
      <c r="AT598">
        <v>1</v>
      </c>
      <c r="AU598">
        <v>50000</v>
      </c>
      <c r="AV598">
        <v>0</v>
      </c>
      <c r="AW598">
        <v>0</v>
      </c>
      <c r="AX598" s="14">
        <v>50000</v>
      </c>
      <c r="AY598" s="14">
        <v>50000</v>
      </c>
      <c r="AZ598" s="14">
        <v>0</v>
      </c>
      <c r="BA598">
        <v>0</v>
      </c>
      <c r="BB598" t="s">
        <v>23</v>
      </c>
      <c r="BC598" t="s">
        <v>175</v>
      </c>
      <c r="BD598" t="s">
        <v>176</v>
      </c>
      <c r="BE598" t="s">
        <v>130</v>
      </c>
      <c r="BG598" t="s">
        <v>1621</v>
      </c>
      <c r="BH598" t="s">
        <v>132</v>
      </c>
      <c r="BJ598">
        <v>4</v>
      </c>
      <c r="BK598" t="s">
        <v>133</v>
      </c>
      <c r="BV598" t="s">
        <v>134</v>
      </c>
      <c r="BW598" s="16">
        <v>45868.407638888893</v>
      </c>
      <c r="BX598" t="s">
        <v>178</v>
      </c>
      <c r="BZ598">
        <v>22</v>
      </c>
      <c r="CA598" t="s">
        <v>1622</v>
      </c>
      <c r="CB598">
        <v>0</v>
      </c>
      <c r="CF598" t="s">
        <v>1087</v>
      </c>
      <c r="CG598">
        <v>2026</v>
      </c>
      <c r="CH598" t="s">
        <v>138</v>
      </c>
      <c r="CI598" t="s">
        <v>139</v>
      </c>
    </row>
    <row r="599" spans="1:87" x14ac:dyDescent="0.3">
      <c r="A599" t="s">
        <v>165</v>
      </c>
      <c r="B599" t="s">
        <v>116</v>
      </c>
      <c r="C599" t="s">
        <v>117</v>
      </c>
      <c r="D599" t="s">
        <v>118</v>
      </c>
      <c r="E599" t="s">
        <v>14</v>
      </c>
      <c r="F599" t="s">
        <v>241</v>
      </c>
      <c r="G599">
        <v>72</v>
      </c>
      <c r="H599">
        <v>0</v>
      </c>
      <c r="I599" s="14">
        <v>532100</v>
      </c>
      <c r="J599" s="14">
        <v>495000</v>
      </c>
      <c r="Q599" s="14"/>
      <c r="R599" s="14"/>
      <c r="Y599" s="14"/>
      <c r="Z599" s="14"/>
      <c r="AG599" s="14"/>
      <c r="AH599" s="14"/>
      <c r="AI599" t="s">
        <v>936</v>
      </c>
      <c r="AJ599" t="s">
        <v>937</v>
      </c>
      <c r="AK599" t="s">
        <v>938</v>
      </c>
      <c r="AL599">
        <v>0</v>
      </c>
      <c r="AM599" t="s">
        <v>939</v>
      </c>
      <c r="AN599" t="s">
        <v>940</v>
      </c>
      <c r="AO599" t="s">
        <v>125</v>
      </c>
      <c r="AP599" t="s">
        <v>152</v>
      </c>
      <c r="AQ599" s="15">
        <v>46253</v>
      </c>
      <c r="AR599" s="15">
        <v>46253</v>
      </c>
      <c r="AS599" t="s">
        <v>145</v>
      </c>
      <c r="AT599">
        <v>2</v>
      </c>
      <c r="AU599">
        <v>37000</v>
      </c>
      <c r="AV599">
        <v>0</v>
      </c>
      <c r="AW599">
        <v>0</v>
      </c>
      <c r="AX599" s="14">
        <v>37000</v>
      </c>
      <c r="AY599" s="14">
        <v>37000</v>
      </c>
      <c r="AZ599" s="14">
        <v>0</v>
      </c>
      <c r="BA599">
        <v>0</v>
      </c>
      <c r="BB599" t="s">
        <v>23</v>
      </c>
      <c r="BC599" t="s">
        <v>175</v>
      </c>
      <c r="BD599" t="s">
        <v>176</v>
      </c>
      <c r="BE599" t="s">
        <v>130</v>
      </c>
      <c r="BG599" t="s">
        <v>1623</v>
      </c>
      <c r="BH599" t="s">
        <v>132</v>
      </c>
      <c r="BI599" t="s">
        <v>873</v>
      </c>
      <c r="BJ599">
        <v>4</v>
      </c>
      <c r="BK599" t="s">
        <v>133</v>
      </c>
      <c r="BV599" t="s">
        <v>134</v>
      </c>
      <c r="BW599" s="16">
        <v>45868.407638888893</v>
      </c>
      <c r="BX599" t="s">
        <v>178</v>
      </c>
      <c r="BZ599">
        <v>22</v>
      </c>
      <c r="CA599" t="s">
        <v>1624</v>
      </c>
      <c r="CB599">
        <v>0</v>
      </c>
      <c r="CF599" t="s">
        <v>1087</v>
      </c>
      <c r="CG599">
        <v>2026</v>
      </c>
      <c r="CH599" t="s">
        <v>138</v>
      </c>
      <c r="CI599" t="s">
        <v>139</v>
      </c>
    </row>
    <row r="600" spans="1:87" x14ac:dyDescent="0.3">
      <c r="A600" t="s">
        <v>165</v>
      </c>
      <c r="B600" t="s">
        <v>116</v>
      </c>
      <c r="C600" t="s">
        <v>117</v>
      </c>
      <c r="D600" t="s">
        <v>118</v>
      </c>
      <c r="E600" t="s">
        <v>14</v>
      </c>
      <c r="F600" t="s">
        <v>241</v>
      </c>
      <c r="G600">
        <v>72</v>
      </c>
      <c r="H600">
        <v>0</v>
      </c>
      <c r="I600" s="14">
        <v>532100</v>
      </c>
      <c r="J600" s="14">
        <v>495000</v>
      </c>
      <c r="Q600" s="14"/>
      <c r="R600" s="14"/>
      <c r="Y600" s="14"/>
      <c r="Z600" s="14"/>
      <c r="AG600" s="14"/>
      <c r="AH600" s="14"/>
      <c r="AI600" t="s">
        <v>936</v>
      </c>
      <c r="AJ600" t="s">
        <v>937</v>
      </c>
      <c r="AK600" t="s">
        <v>938</v>
      </c>
      <c r="AL600">
        <v>0</v>
      </c>
      <c r="AM600" t="s">
        <v>939</v>
      </c>
      <c r="AN600" t="s">
        <v>940</v>
      </c>
      <c r="AO600" t="s">
        <v>125</v>
      </c>
      <c r="AP600" t="s">
        <v>152</v>
      </c>
      <c r="AQ600" s="15">
        <v>46253</v>
      </c>
      <c r="AR600" s="15">
        <v>46253</v>
      </c>
      <c r="AS600" t="s">
        <v>145</v>
      </c>
      <c r="AT600">
        <v>3</v>
      </c>
      <c r="AU600">
        <v>9000</v>
      </c>
      <c r="AV600">
        <v>0</v>
      </c>
      <c r="AW600">
        <v>0</v>
      </c>
      <c r="AX600" s="14">
        <v>9000</v>
      </c>
      <c r="AY600" s="14">
        <v>9000</v>
      </c>
      <c r="AZ600" s="14">
        <v>0</v>
      </c>
      <c r="BA600">
        <v>0</v>
      </c>
      <c r="BB600" t="s">
        <v>23</v>
      </c>
      <c r="BC600" t="s">
        <v>175</v>
      </c>
      <c r="BD600" t="s">
        <v>176</v>
      </c>
      <c r="BE600" t="s">
        <v>130</v>
      </c>
      <c r="BG600" t="s">
        <v>1625</v>
      </c>
      <c r="BH600" t="s">
        <v>132</v>
      </c>
      <c r="BJ600">
        <v>4</v>
      </c>
      <c r="BK600" t="s">
        <v>133</v>
      </c>
      <c r="BV600" t="s">
        <v>134</v>
      </c>
      <c r="BW600" s="16">
        <v>45868.407638888893</v>
      </c>
      <c r="BX600" t="s">
        <v>178</v>
      </c>
      <c r="BZ600">
        <v>22</v>
      </c>
      <c r="CA600" t="s">
        <v>1626</v>
      </c>
      <c r="CB600">
        <v>0</v>
      </c>
      <c r="CF600" t="s">
        <v>1087</v>
      </c>
      <c r="CG600">
        <v>2026</v>
      </c>
      <c r="CH600" t="s">
        <v>138</v>
      </c>
      <c r="CI600" t="s">
        <v>139</v>
      </c>
    </row>
    <row r="601" spans="1:87" x14ac:dyDescent="0.3">
      <c r="A601" t="s">
        <v>165</v>
      </c>
      <c r="B601" t="s">
        <v>116</v>
      </c>
      <c r="C601" t="s">
        <v>117</v>
      </c>
      <c r="D601" t="s">
        <v>118</v>
      </c>
      <c r="E601" t="s">
        <v>14</v>
      </c>
      <c r="F601" t="s">
        <v>241</v>
      </c>
      <c r="G601">
        <v>72</v>
      </c>
      <c r="H601">
        <v>0</v>
      </c>
      <c r="I601" s="14">
        <v>532100</v>
      </c>
      <c r="J601" s="14">
        <v>495000</v>
      </c>
      <c r="Q601" s="14"/>
      <c r="R601" s="14"/>
      <c r="Y601" s="14"/>
      <c r="Z601" s="14"/>
      <c r="AG601" s="14"/>
      <c r="AH601" s="14"/>
      <c r="AI601" t="s">
        <v>936</v>
      </c>
      <c r="AJ601" t="s">
        <v>937</v>
      </c>
      <c r="AK601" t="s">
        <v>938</v>
      </c>
      <c r="AL601">
        <v>0</v>
      </c>
      <c r="AM601" t="s">
        <v>939</v>
      </c>
      <c r="AN601" t="s">
        <v>940</v>
      </c>
      <c r="AO601" t="s">
        <v>125</v>
      </c>
      <c r="AP601" t="s">
        <v>152</v>
      </c>
      <c r="AQ601" s="15">
        <v>46234</v>
      </c>
      <c r="AR601" s="15"/>
      <c r="AS601" t="s">
        <v>227</v>
      </c>
      <c r="AT601">
        <v>1</v>
      </c>
      <c r="AU601">
        <v>396000</v>
      </c>
      <c r="AV601">
        <v>0</v>
      </c>
      <c r="AW601">
        <v>0</v>
      </c>
      <c r="AX601" s="14">
        <v>396000</v>
      </c>
      <c r="AY601" s="14">
        <v>0</v>
      </c>
      <c r="AZ601" s="14">
        <v>396000</v>
      </c>
      <c r="BB601" t="s">
        <v>23</v>
      </c>
      <c r="BH601" t="s">
        <v>132</v>
      </c>
      <c r="BK601" t="s">
        <v>550</v>
      </c>
      <c r="BV601" t="s">
        <v>132</v>
      </c>
      <c r="BW601" s="16">
        <v>45868.407638888893</v>
      </c>
      <c r="BX601" t="s">
        <v>178</v>
      </c>
      <c r="BZ601">
        <v>22</v>
      </c>
      <c r="CB601">
        <v>0</v>
      </c>
      <c r="CF601" t="s">
        <v>1087</v>
      </c>
      <c r="CG601">
        <v>2026</v>
      </c>
      <c r="CH601" t="s">
        <v>138</v>
      </c>
      <c r="CI601" t="s">
        <v>139</v>
      </c>
    </row>
    <row r="602" spans="1:87" x14ac:dyDescent="0.3">
      <c r="A602" t="s">
        <v>165</v>
      </c>
      <c r="B602" t="s">
        <v>116</v>
      </c>
      <c r="C602" t="s">
        <v>117</v>
      </c>
      <c r="D602" t="s">
        <v>118</v>
      </c>
      <c r="E602" t="s">
        <v>14</v>
      </c>
      <c r="F602" t="s">
        <v>497</v>
      </c>
      <c r="G602">
        <v>57</v>
      </c>
      <c r="H602">
        <v>0</v>
      </c>
      <c r="I602" s="14">
        <v>469000</v>
      </c>
      <c r="J602" s="14">
        <v>429000</v>
      </c>
      <c r="Q602" s="14"/>
      <c r="R602" s="14"/>
      <c r="Y602" s="14"/>
      <c r="Z602" s="14"/>
      <c r="AG602" s="14"/>
      <c r="AH602" s="14"/>
      <c r="AI602" t="s">
        <v>1627</v>
      </c>
      <c r="AJ602" t="s">
        <v>1628</v>
      </c>
      <c r="AK602" t="s">
        <v>1629</v>
      </c>
      <c r="AL602">
        <v>0</v>
      </c>
      <c r="AM602" t="s">
        <v>1630</v>
      </c>
      <c r="AN602" t="s">
        <v>1631</v>
      </c>
      <c r="AO602" t="s">
        <v>125</v>
      </c>
      <c r="AP602" t="s">
        <v>152</v>
      </c>
      <c r="AQ602" s="15">
        <v>46174</v>
      </c>
      <c r="AR602" s="15">
        <v>46174</v>
      </c>
      <c r="AS602" t="s">
        <v>127</v>
      </c>
      <c r="AT602">
        <v>1</v>
      </c>
      <c r="AU602">
        <v>3000</v>
      </c>
      <c r="AV602">
        <v>0</v>
      </c>
      <c r="AW602">
        <v>0</v>
      </c>
      <c r="AX602" s="14">
        <v>3000</v>
      </c>
      <c r="AY602" s="14">
        <v>3000</v>
      </c>
      <c r="AZ602" s="14">
        <v>0</v>
      </c>
      <c r="BA602">
        <v>0</v>
      </c>
      <c r="BB602" t="s">
        <v>24</v>
      </c>
      <c r="BC602" t="s">
        <v>175</v>
      </c>
      <c r="BD602" t="s">
        <v>176</v>
      </c>
      <c r="BE602" t="s">
        <v>130</v>
      </c>
      <c r="BG602" t="s">
        <v>1632</v>
      </c>
      <c r="BH602" t="s">
        <v>132</v>
      </c>
      <c r="BJ602">
        <v>4</v>
      </c>
      <c r="BK602" t="s">
        <v>133</v>
      </c>
      <c r="BV602" t="s">
        <v>134</v>
      </c>
      <c r="BW602" s="16">
        <v>46191.396527777782</v>
      </c>
      <c r="BX602" t="s">
        <v>135</v>
      </c>
      <c r="BZ602">
        <v>45</v>
      </c>
      <c r="CA602" t="s">
        <v>1633</v>
      </c>
      <c r="CB602">
        <v>0</v>
      </c>
      <c r="CF602" t="s">
        <v>1087</v>
      </c>
      <c r="CG602">
        <v>2026</v>
      </c>
      <c r="CH602" t="s">
        <v>138</v>
      </c>
      <c r="CI602" t="s">
        <v>139</v>
      </c>
    </row>
    <row r="603" spans="1:87" x14ac:dyDescent="0.3">
      <c r="A603" t="s">
        <v>165</v>
      </c>
      <c r="B603" t="s">
        <v>116</v>
      </c>
      <c r="C603" t="s">
        <v>117</v>
      </c>
      <c r="D603" t="s">
        <v>118</v>
      </c>
      <c r="E603" t="s">
        <v>14</v>
      </c>
      <c r="F603" t="s">
        <v>497</v>
      </c>
      <c r="G603">
        <v>57</v>
      </c>
      <c r="H603">
        <v>0</v>
      </c>
      <c r="I603" s="14">
        <v>469000</v>
      </c>
      <c r="J603" s="14">
        <v>429000</v>
      </c>
      <c r="Q603" s="14"/>
      <c r="R603" s="14"/>
      <c r="Y603" s="14"/>
      <c r="Z603" s="14"/>
      <c r="AG603" s="14"/>
      <c r="AH603" s="14"/>
      <c r="AI603" t="s">
        <v>1627</v>
      </c>
      <c r="AJ603" t="s">
        <v>1628</v>
      </c>
      <c r="AK603" t="s">
        <v>1629</v>
      </c>
      <c r="AL603">
        <v>0</v>
      </c>
      <c r="AM603" t="s">
        <v>1630</v>
      </c>
      <c r="AN603" t="s">
        <v>1631</v>
      </c>
      <c r="AO603" t="s">
        <v>125</v>
      </c>
      <c r="AP603" t="s">
        <v>152</v>
      </c>
      <c r="AQ603" s="15">
        <v>46181</v>
      </c>
      <c r="AR603" s="15">
        <v>46181</v>
      </c>
      <c r="AS603" t="s">
        <v>145</v>
      </c>
      <c r="AT603">
        <v>1</v>
      </c>
      <c r="AU603">
        <v>18450</v>
      </c>
      <c r="AV603">
        <v>0</v>
      </c>
      <c r="AW603">
        <v>0</v>
      </c>
      <c r="AX603" s="14">
        <v>18450</v>
      </c>
      <c r="AY603" s="14">
        <v>18450</v>
      </c>
      <c r="AZ603" s="14">
        <v>0</v>
      </c>
      <c r="BA603">
        <v>0</v>
      </c>
      <c r="BB603" t="s">
        <v>24</v>
      </c>
      <c r="BC603" t="s">
        <v>175</v>
      </c>
      <c r="BD603" t="s">
        <v>176</v>
      </c>
      <c r="BE603" t="s">
        <v>130</v>
      </c>
      <c r="BG603" t="s">
        <v>1634</v>
      </c>
      <c r="BH603" t="s">
        <v>132</v>
      </c>
      <c r="BJ603">
        <v>4</v>
      </c>
      <c r="BK603" t="s">
        <v>133</v>
      </c>
      <c r="BV603" t="s">
        <v>134</v>
      </c>
      <c r="BW603" s="16">
        <v>46191.396527777782</v>
      </c>
      <c r="BX603" t="s">
        <v>135</v>
      </c>
      <c r="BZ603">
        <v>45</v>
      </c>
      <c r="CA603" t="s">
        <v>1635</v>
      </c>
      <c r="CB603">
        <v>0</v>
      </c>
      <c r="CF603" t="s">
        <v>1087</v>
      </c>
      <c r="CG603">
        <v>2026</v>
      </c>
      <c r="CH603" t="s">
        <v>138</v>
      </c>
      <c r="CI603" t="s">
        <v>139</v>
      </c>
    </row>
    <row r="604" spans="1:87" x14ac:dyDescent="0.3">
      <c r="A604" t="s">
        <v>165</v>
      </c>
      <c r="B604" t="s">
        <v>116</v>
      </c>
      <c r="C604" t="s">
        <v>117</v>
      </c>
      <c r="D604" t="s">
        <v>118</v>
      </c>
      <c r="E604" t="s">
        <v>14</v>
      </c>
      <c r="F604" t="s">
        <v>497</v>
      </c>
      <c r="G604">
        <v>57</v>
      </c>
      <c r="H604">
        <v>0</v>
      </c>
      <c r="I604" s="14">
        <v>469000</v>
      </c>
      <c r="J604" s="14">
        <v>429000</v>
      </c>
      <c r="Q604" s="14"/>
      <c r="R604" s="14"/>
      <c r="Y604" s="14"/>
      <c r="Z604" s="14"/>
      <c r="AG604" s="14"/>
      <c r="AH604" s="14"/>
      <c r="AI604" t="s">
        <v>1627</v>
      </c>
      <c r="AJ604" t="s">
        <v>1628</v>
      </c>
      <c r="AK604" t="s">
        <v>1629</v>
      </c>
      <c r="AL604">
        <v>0</v>
      </c>
      <c r="AM604" t="s">
        <v>1630</v>
      </c>
      <c r="AN604" t="s">
        <v>1631</v>
      </c>
      <c r="AO604" t="s">
        <v>125</v>
      </c>
      <c r="AP604" t="s">
        <v>152</v>
      </c>
      <c r="AQ604" s="15">
        <v>46356</v>
      </c>
      <c r="AR604" s="15"/>
      <c r="AS604" t="s">
        <v>145</v>
      </c>
      <c r="AT604">
        <v>2</v>
      </c>
      <c r="AU604">
        <v>21450</v>
      </c>
      <c r="AV604">
        <v>0</v>
      </c>
      <c r="AW604">
        <v>0</v>
      </c>
      <c r="AX604" s="14">
        <v>21450</v>
      </c>
      <c r="AY604" s="14">
        <v>0</v>
      </c>
      <c r="AZ604" s="14">
        <v>21450</v>
      </c>
      <c r="BB604" t="s">
        <v>24</v>
      </c>
      <c r="BH604" t="s">
        <v>132</v>
      </c>
      <c r="BK604" t="s">
        <v>1100</v>
      </c>
      <c r="BV604" t="s">
        <v>132</v>
      </c>
      <c r="BW604" s="16">
        <v>46191.396527777782</v>
      </c>
      <c r="BX604" t="s">
        <v>135</v>
      </c>
      <c r="BZ604">
        <v>45</v>
      </c>
      <c r="CB604">
        <v>0</v>
      </c>
      <c r="CF604" t="s">
        <v>1087</v>
      </c>
      <c r="CG604">
        <v>2026</v>
      </c>
      <c r="CH604" t="s">
        <v>138</v>
      </c>
      <c r="CI604" t="s">
        <v>139</v>
      </c>
    </row>
    <row r="605" spans="1:87" x14ac:dyDescent="0.3">
      <c r="A605" t="s">
        <v>165</v>
      </c>
      <c r="B605" t="s">
        <v>116</v>
      </c>
      <c r="C605" t="s">
        <v>117</v>
      </c>
      <c r="D605" t="s">
        <v>118</v>
      </c>
      <c r="E605" t="s">
        <v>14</v>
      </c>
      <c r="F605" t="s">
        <v>1636</v>
      </c>
      <c r="G605">
        <v>57</v>
      </c>
      <c r="H605">
        <v>0</v>
      </c>
      <c r="I605" s="14">
        <v>430000</v>
      </c>
      <c r="J605" s="14">
        <v>369000</v>
      </c>
      <c r="K605" t="s">
        <v>117</v>
      </c>
      <c r="L605" t="s">
        <v>118</v>
      </c>
      <c r="M605" t="s">
        <v>140</v>
      </c>
      <c r="N605" t="s">
        <v>1637</v>
      </c>
      <c r="O605">
        <v>12.5</v>
      </c>
      <c r="P605">
        <v>0</v>
      </c>
      <c r="Q605" s="14">
        <v>43200</v>
      </c>
      <c r="R605" s="14">
        <v>43200</v>
      </c>
      <c r="Y605" s="14"/>
      <c r="Z605" s="14"/>
      <c r="AG605" s="14"/>
      <c r="AH605" s="14"/>
      <c r="AI605" t="s">
        <v>1638</v>
      </c>
      <c r="AJ605" t="s">
        <v>1639</v>
      </c>
      <c r="AK605" t="s">
        <v>1640</v>
      </c>
      <c r="AL605">
        <v>0</v>
      </c>
      <c r="AM605" t="s">
        <v>1641</v>
      </c>
      <c r="AN605" t="s">
        <v>1642</v>
      </c>
      <c r="AO605" t="s">
        <v>125</v>
      </c>
      <c r="AP605" t="s">
        <v>758</v>
      </c>
      <c r="AQ605" s="15">
        <v>46036</v>
      </c>
      <c r="AR605" s="15">
        <v>46036</v>
      </c>
      <c r="AS605" t="s">
        <v>127</v>
      </c>
      <c r="AT605">
        <v>1</v>
      </c>
      <c r="AU605">
        <v>3000</v>
      </c>
      <c r="AV605">
        <v>0</v>
      </c>
      <c r="AW605">
        <v>0</v>
      </c>
      <c r="AX605" s="14">
        <v>3000</v>
      </c>
      <c r="AY605" s="14">
        <v>3000</v>
      </c>
      <c r="AZ605" s="14">
        <v>0</v>
      </c>
      <c r="BA605">
        <v>0</v>
      </c>
      <c r="BB605" t="s">
        <v>22</v>
      </c>
      <c r="BC605" t="s">
        <v>175</v>
      </c>
      <c r="BD605" t="s">
        <v>176</v>
      </c>
      <c r="BE605" t="s">
        <v>130</v>
      </c>
      <c r="BG605" t="s">
        <v>1643</v>
      </c>
      <c r="BH605" t="s">
        <v>132</v>
      </c>
      <c r="BJ605">
        <v>4</v>
      </c>
      <c r="BK605" t="s">
        <v>133</v>
      </c>
      <c r="BV605" t="s">
        <v>134</v>
      </c>
      <c r="BW605" s="16">
        <v>46046.473611111112</v>
      </c>
      <c r="BX605" t="s">
        <v>178</v>
      </c>
      <c r="BZ605">
        <v>10</v>
      </c>
      <c r="CA605" t="s">
        <v>1644</v>
      </c>
      <c r="CB605">
        <v>0</v>
      </c>
      <c r="CF605" t="s">
        <v>1087</v>
      </c>
      <c r="CG605">
        <v>2026</v>
      </c>
      <c r="CH605" t="s">
        <v>138</v>
      </c>
      <c r="CI605" t="s">
        <v>139</v>
      </c>
    </row>
    <row r="606" spans="1:87" x14ac:dyDescent="0.3">
      <c r="A606" t="s">
        <v>165</v>
      </c>
      <c r="B606" t="s">
        <v>116</v>
      </c>
      <c r="C606" t="s">
        <v>117</v>
      </c>
      <c r="D606" t="s">
        <v>118</v>
      </c>
      <c r="E606" t="s">
        <v>14</v>
      </c>
      <c r="F606" t="s">
        <v>1636</v>
      </c>
      <c r="G606">
        <v>57</v>
      </c>
      <c r="H606">
        <v>0</v>
      </c>
      <c r="I606" s="14">
        <v>430000</v>
      </c>
      <c r="J606" s="14">
        <v>369000</v>
      </c>
      <c r="K606" t="s">
        <v>117</v>
      </c>
      <c r="L606" t="s">
        <v>118</v>
      </c>
      <c r="M606" t="s">
        <v>140</v>
      </c>
      <c r="N606" t="s">
        <v>1637</v>
      </c>
      <c r="O606">
        <v>12.5</v>
      </c>
      <c r="P606">
        <v>0</v>
      </c>
      <c r="Q606" s="14">
        <v>43200</v>
      </c>
      <c r="R606" s="14">
        <v>43200</v>
      </c>
      <c r="Y606" s="14"/>
      <c r="Z606" s="14"/>
      <c r="AG606" s="14"/>
      <c r="AH606" s="14"/>
      <c r="AI606" t="s">
        <v>1638</v>
      </c>
      <c r="AJ606" t="s">
        <v>1639</v>
      </c>
      <c r="AK606" t="s">
        <v>1640</v>
      </c>
      <c r="AL606">
        <v>0</v>
      </c>
      <c r="AM606" t="s">
        <v>1641</v>
      </c>
      <c r="AN606" t="s">
        <v>1642</v>
      </c>
      <c r="AO606" t="s">
        <v>125</v>
      </c>
      <c r="AP606" t="s">
        <v>758</v>
      </c>
      <c r="AQ606" s="15">
        <v>46046</v>
      </c>
      <c r="AR606" s="15">
        <v>46046</v>
      </c>
      <c r="AS606" t="s">
        <v>145</v>
      </c>
      <c r="AT606">
        <v>1</v>
      </c>
      <c r="AU606">
        <v>30000</v>
      </c>
      <c r="AV606">
        <v>0</v>
      </c>
      <c r="AW606">
        <v>0</v>
      </c>
      <c r="AX606" s="14">
        <v>30000</v>
      </c>
      <c r="AY606" s="14">
        <v>30000</v>
      </c>
      <c r="AZ606" s="14">
        <v>0</v>
      </c>
      <c r="BA606">
        <v>0</v>
      </c>
      <c r="BB606" t="s">
        <v>22</v>
      </c>
      <c r="BC606" t="s">
        <v>175</v>
      </c>
      <c r="BD606" t="s">
        <v>176</v>
      </c>
      <c r="BE606" t="s">
        <v>130</v>
      </c>
      <c r="BG606" t="s">
        <v>1645</v>
      </c>
      <c r="BH606" t="s">
        <v>132</v>
      </c>
      <c r="BJ606">
        <v>4</v>
      </c>
      <c r="BK606" t="s">
        <v>133</v>
      </c>
      <c r="BV606" t="s">
        <v>134</v>
      </c>
      <c r="BW606" s="16">
        <v>46046.473611111112</v>
      </c>
      <c r="BX606" t="s">
        <v>178</v>
      </c>
      <c r="BZ606">
        <v>10</v>
      </c>
      <c r="CA606" t="s">
        <v>1646</v>
      </c>
      <c r="CB606">
        <v>0</v>
      </c>
      <c r="CF606" t="s">
        <v>1087</v>
      </c>
      <c r="CG606">
        <v>2026</v>
      </c>
      <c r="CH606" t="s">
        <v>138</v>
      </c>
      <c r="CI606" t="s">
        <v>139</v>
      </c>
    </row>
    <row r="607" spans="1:87" x14ac:dyDescent="0.3">
      <c r="A607" t="s">
        <v>165</v>
      </c>
      <c r="B607" t="s">
        <v>116</v>
      </c>
      <c r="C607" t="s">
        <v>117</v>
      </c>
      <c r="D607" t="s">
        <v>118</v>
      </c>
      <c r="E607" t="s">
        <v>14</v>
      </c>
      <c r="F607" t="s">
        <v>1636</v>
      </c>
      <c r="G607">
        <v>57</v>
      </c>
      <c r="H607">
        <v>0</v>
      </c>
      <c r="I607" s="14">
        <v>430000</v>
      </c>
      <c r="J607" s="14">
        <v>369000</v>
      </c>
      <c r="K607" t="s">
        <v>117</v>
      </c>
      <c r="L607" t="s">
        <v>118</v>
      </c>
      <c r="M607" t="s">
        <v>140</v>
      </c>
      <c r="N607" t="s">
        <v>1637</v>
      </c>
      <c r="O607">
        <v>12.5</v>
      </c>
      <c r="P607">
        <v>0</v>
      </c>
      <c r="Q607" s="14">
        <v>43200</v>
      </c>
      <c r="R607" s="14">
        <v>43200</v>
      </c>
      <c r="Y607" s="14"/>
      <c r="Z607" s="14"/>
      <c r="AG607" s="14"/>
      <c r="AH607" s="14"/>
      <c r="AI607" t="s">
        <v>1638</v>
      </c>
      <c r="AJ607" t="s">
        <v>1639</v>
      </c>
      <c r="AK607" t="s">
        <v>1640</v>
      </c>
      <c r="AL607">
        <v>0</v>
      </c>
      <c r="AM607" t="s">
        <v>1641</v>
      </c>
      <c r="AN607" t="s">
        <v>1642</v>
      </c>
      <c r="AO607" t="s">
        <v>125</v>
      </c>
      <c r="AP607" t="s">
        <v>758</v>
      </c>
      <c r="AQ607" s="15">
        <v>46048</v>
      </c>
      <c r="AR607" s="15">
        <v>46048</v>
      </c>
      <c r="AS607" t="s">
        <v>145</v>
      </c>
      <c r="AT607">
        <v>2</v>
      </c>
      <c r="AU607">
        <v>70000</v>
      </c>
      <c r="AV607">
        <v>0</v>
      </c>
      <c r="AW607">
        <v>0</v>
      </c>
      <c r="AX607" s="14">
        <v>70000</v>
      </c>
      <c r="AY607" s="14">
        <v>70000</v>
      </c>
      <c r="AZ607" s="14">
        <v>0</v>
      </c>
      <c r="BA607">
        <v>0</v>
      </c>
      <c r="BB607" t="s">
        <v>22</v>
      </c>
      <c r="BC607" t="s">
        <v>175</v>
      </c>
      <c r="BD607" t="s">
        <v>176</v>
      </c>
      <c r="BE607" t="s">
        <v>130</v>
      </c>
      <c r="BG607" t="s">
        <v>1647</v>
      </c>
      <c r="BH607" t="s">
        <v>132</v>
      </c>
      <c r="BJ607">
        <v>4</v>
      </c>
      <c r="BK607" t="s">
        <v>133</v>
      </c>
      <c r="BV607" t="s">
        <v>134</v>
      </c>
      <c r="BW607" s="16">
        <v>46046.473611111112</v>
      </c>
      <c r="BX607" t="s">
        <v>178</v>
      </c>
      <c r="BZ607">
        <v>10</v>
      </c>
      <c r="CA607" t="s">
        <v>1646</v>
      </c>
      <c r="CB607">
        <v>0</v>
      </c>
      <c r="CF607" t="s">
        <v>1087</v>
      </c>
      <c r="CG607">
        <v>2026</v>
      </c>
      <c r="CH607" t="s">
        <v>138</v>
      </c>
      <c r="CI607" t="s">
        <v>139</v>
      </c>
    </row>
    <row r="608" spans="1:87" x14ac:dyDescent="0.3">
      <c r="A608" t="s">
        <v>165</v>
      </c>
      <c r="B608" t="s">
        <v>116</v>
      </c>
      <c r="C608" t="s">
        <v>117</v>
      </c>
      <c r="D608" t="s">
        <v>118</v>
      </c>
      <c r="E608" t="s">
        <v>14</v>
      </c>
      <c r="F608" t="s">
        <v>1636</v>
      </c>
      <c r="G608">
        <v>57</v>
      </c>
      <c r="H608">
        <v>0</v>
      </c>
      <c r="I608" s="14">
        <v>430000</v>
      </c>
      <c r="J608" s="14">
        <v>369000</v>
      </c>
      <c r="K608" t="s">
        <v>117</v>
      </c>
      <c r="L608" t="s">
        <v>118</v>
      </c>
      <c r="M608" t="s">
        <v>140</v>
      </c>
      <c r="N608" t="s">
        <v>1637</v>
      </c>
      <c r="O608">
        <v>12.5</v>
      </c>
      <c r="P608">
        <v>0</v>
      </c>
      <c r="Q608" s="14">
        <v>43200</v>
      </c>
      <c r="R608" s="14">
        <v>43200</v>
      </c>
      <c r="Y608" s="14"/>
      <c r="Z608" s="14"/>
      <c r="AG608" s="14"/>
      <c r="AH608" s="14"/>
      <c r="AI608" t="s">
        <v>1638</v>
      </c>
      <c r="AJ608" t="s">
        <v>1639</v>
      </c>
      <c r="AK608" t="s">
        <v>1640</v>
      </c>
      <c r="AL608">
        <v>0</v>
      </c>
      <c r="AM608" t="s">
        <v>1641</v>
      </c>
      <c r="AN608" t="s">
        <v>1642</v>
      </c>
      <c r="AO608" t="s">
        <v>125</v>
      </c>
      <c r="AP608" t="s">
        <v>758</v>
      </c>
      <c r="AQ608" s="15">
        <v>46142</v>
      </c>
      <c r="AR608" s="15">
        <v>46142</v>
      </c>
      <c r="AS608" t="s">
        <v>145</v>
      </c>
      <c r="AT608">
        <v>3</v>
      </c>
      <c r="AU608">
        <v>41270</v>
      </c>
      <c r="AV608">
        <v>0</v>
      </c>
      <c r="AW608">
        <v>0</v>
      </c>
      <c r="AX608" s="14">
        <v>41270</v>
      </c>
      <c r="AY608" s="14">
        <v>41270</v>
      </c>
      <c r="AZ608" s="14">
        <v>0</v>
      </c>
      <c r="BA608">
        <v>0</v>
      </c>
      <c r="BB608" t="s">
        <v>22</v>
      </c>
      <c r="BC608" t="s">
        <v>175</v>
      </c>
      <c r="BD608" t="s">
        <v>176</v>
      </c>
      <c r="BE608" t="s">
        <v>130</v>
      </c>
      <c r="BG608" t="s">
        <v>1648</v>
      </c>
      <c r="BH608" t="s">
        <v>132</v>
      </c>
      <c r="BJ608">
        <v>4</v>
      </c>
      <c r="BK608" t="s">
        <v>133</v>
      </c>
      <c r="BV608" t="s">
        <v>134</v>
      </c>
      <c r="BW608" s="16">
        <v>46046.473611111112</v>
      </c>
      <c r="BX608" t="s">
        <v>178</v>
      </c>
      <c r="BZ608">
        <v>10</v>
      </c>
      <c r="CA608" t="s">
        <v>1649</v>
      </c>
      <c r="CB608">
        <v>0</v>
      </c>
      <c r="CF608" t="s">
        <v>1087</v>
      </c>
      <c r="CG608">
        <v>2026</v>
      </c>
      <c r="CH608" t="s">
        <v>138</v>
      </c>
      <c r="CI608" t="s">
        <v>139</v>
      </c>
    </row>
    <row r="609" spans="1:87" x14ac:dyDescent="0.3">
      <c r="A609" t="s">
        <v>165</v>
      </c>
      <c r="B609" t="s">
        <v>116</v>
      </c>
      <c r="C609" t="s">
        <v>117</v>
      </c>
      <c r="D609" t="s">
        <v>118</v>
      </c>
      <c r="E609" t="s">
        <v>14</v>
      </c>
      <c r="F609" t="s">
        <v>1636</v>
      </c>
      <c r="G609">
        <v>57</v>
      </c>
      <c r="H609">
        <v>0</v>
      </c>
      <c r="I609" s="14">
        <v>430000</v>
      </c>
      <c r="J609" s="14">
        <v>369000</v>
      </c>
      <c r="K609" t="s">
        <v>117</v>
      </c>
      <c r="L609" t="s">
        <v>118</v>
      </c>
      <c r="M609" t="s">
        <v>140</v>
      </c>
      <c r="N609" t="s">
        <v>1637</v>
      </c>
      <c r="O609">
        <v>12.5</v>
      </c>
      <c r="P609">
        <v>0</v>
      </c>
      <c r="Q609" s="14">
        <v>43200</v>
      </c>
      <c r="R609" s="14">
        <v>43200</v>
      </c>
      <c r="Y609" s="14"/>
      <c r="Z609" s="14"/>
      <c r="AG609" s="14"/>
      <c r="AH609" s="14"/>
      <c r="AI609" t="s">
        <v>1638</v>
      </c>
      <c r="AJ609" t="s">
        <v>1639</v>
      </c>
      <c r="AK609" t="s">
        <v>1640</v>
      </c>
      <c r="AL609">
        <v>0</v>
      </c>
      <c r="AM609" t="s">
        <v>1641</v>
      </c>
      <c r="AN609" t="s">
        <v>1642</v>
      </c>
      <c r="AO609" t="s">
        <v>125</v>
      </c>
      <c r="AP609" t="s">
        <v>758</v>
      </c>
      <c r="AQ609" s="15">
        <v>46172</v>
      </c>
      <c r="AR609" s="15">
        <v>46171</v>
      </c>
      <c r="AS609" t="s">
        <v>227</v>
      </c>
      <c r="AT609">
        <v>1</v>
      </c>
      <c r="AU609">
        <v>12000</v>
      </c>
      <c r="AV609">
        <v>0</v>
      </c>
      <c r="AW609">
        <v>0</v>
      </c>
      <c r="AX609" s="14">
        <v>12000</v>
      </c>
      <c r="AY609" s="14">
        <v>12000</v>
      </c>
      <c r="AZ609" s="14">
        <v>0</v>
      </c>
      <c r="BA609">
        <v>0</v>
      </c>
      <c r="BB609" t="s">
        <v>22</v>
      </c>
      <c r="BC609" t="s">
        <v>175</v>
      </c>
      <c r="BD609" t="s">
        <v>176</v>
      </c>
      <c r="BE609" t="s">
        <v>130</v>
      </c>
      <c r="BG609" t="s">
        <v>1650</v>
      </c>
      <c r="BH609" t="s">
        <v>132</v>
      </c>
      <c r="BJ609">
        <v>4</v>
      </c>
      <c r="BK609" t="s">
        <v>133</v>
      </c>
      <c r="BV609" t="s">
        <v>134</v>
      </c>
      <c r="BW609" s="16">
        <v>46046.473611111112</v>
      </c>
      <c r="BX609" t="s">
        <v>178</v>
      </c>
      <c r="BZ609">
        <v>10</v>
      </c>
      <c r="CA609" t="s">
        <v>1651</v>
      </c>
      <c r="CB609">
        <v>0</v>
      </c>
      <c r="CF609" t="s">
        <v>1087</v>
      </c>
      <c r="CG609">
        <v>2026</v>
      </c>
      <c r="CH609" t="s">
        <v>138</v>
      </c>
      <c r="CI609" t="s">
        <v>139</v>
      </c>
    </row>
    <row r="610" spans="1:87" x14ac:dyDescent="0.3">
      <c r="A610" t="s">
        <v>165</v>
      </c>
      <c r="B610" t="s">
        <v>116</v>
      </c>
      <c r="C610" t="s">
        <v>117</v>
      </c>
      <c r="D610" t="s">
        <v>118</v>
      </c>
      <c r="E610" t="s">
        <v>14</v>
      </c>
      <c r="F610" t="s">
        <v>1636</v>
      </c>
      <c r="G610">
        <v>57</v>
      </c>
      <c r="H610">
        <v>0</v>
      </c>
      <c r="I610" s="14">
        <v>430000</v>
      </c>
      <c r="J610" s="14">
        <v>369000</v>
      </c>
      <c r="K610" t="s">
        <v>117</v>
      </c>
      <c r="L610" t="s">
        <v>118</v>
      </c>
      <c r="M610" t="s">
        <v>140</v>
      </c>
      <c r="N610" t="s">
        <v>1637</v>
      </c>
      <c r="O610">
        <v>12.5</v>
      </c>
      <c r="P610">
        <v>0</v>
      </c>
      <c r="Q610" s="14">
        <v>43200</v>
      </c>
      <c r="R610" s="14">
        <v>43200</v>
      </c>
      <c r="Y610" s="14"/>
      <c r="Z610" s="14"/>
      <c r="AG610" s="14"/>
      <c r="AH610" s="14"/>
      <c r="AI610" t="s">
        <v>1638</v>
      </c>
      <c r="AJ610" t="s">
        <v>1639</v>
      </c>
      <c r="AK610" t="s">
        <v>1640</v>
      </c>
      <c r="AL610">
        <v>0</v>
      </c>
      <c r="AM610" t="s">
        <v>1641</v>
      </c>
      <c r="AN610" t="s">
        <v>1642</v>
      </c>
      <c r="AO610" t="s">
        <v>125</v>
      </c>
      <c r="AP610" t="s">
        <v>758</v>
      </c>
      <c r="AQ610" s="15">
        <v>46203</v>
      </c>
      <c r="AR610" s="15">
        <v>46202</v>
      </c>
      <c r="AS610" t="s">
        <v>227</v>
      </c>
      <c r="AT610">
        <v>2</v>
      </c>
      <c r="AU610">
        <v>12000</v>
      </c>
      <c r="AV610">
        <v>0</v>
      </c>
      <c r="AW610">
        <v>0</v>
      </c>
      <c r="AX610" s="14">
        <v>12000</v>
      </c>
      <c r="AY610" s="14">
        <v>12000</v>
      </c>
      <c r="AZ610" s="14">
        <v>0</v>
      </c>
      <c r="BA610">
        <v>0</v>
      </c>
      <c r="BB610" t="s">
        <v>22</v>
      </c>
      <c r="BC610" t="s">
        <v>175</v>
      </c>
      <c r="BD610" t="s">
        <v>176</v>
      </c>
      <c r="BE610" t="s">
        <v>130</v>
      </c>
      <c r="BG610" t="s">
        <v>1652</v>
      </c>
      <c r="BH610" t="s">
        <v>132</v>
      </c>
      <c r="BJ610">
        <v>4</v>
      </c>
      <c r="BK610" t="s">
        <v>133</v>
      </c>
      <c r="BV610" t="s">
        <v>134</v>
      </c>
      <c r="BW610" s="16">
        <v>46046.473611111112</v>
      </c>
      <c r="BX610" t="s">
        <v>178</v>
      </c>
      <c r="BZ610">
        <v>10</v>
      </c>
      <c r="CA610" t="s">
        <v>1653</v>
      </c>
      <c r="CB610">
        <v>0</v>
      </c>
      <c r="CF610" t="s">
        <v>1087</v>
      </c>
      <c r="CG610">
        <v>2026</v>
      </c>
      <c r="CH610" t="s">
        <v>138</v>
      </c>
      <c r="CI610" t="s">
        <v>139</v>
      </c>
    </row>
    <row r="611" spans="1:87" x14ac:dyDescent="0.3">
      <c r="A611" t="s">
        <v>165</v>
      </c>
      <c r="B611" t="s">
        <v>116</v>
      </c>
      <c r="C611" t="s">
        <v>117</v>
      </c>
      <c r="D611" t="s">
        <v>118</v>
      </c>
      <c r="E611" t="s">
        <v>14</v>
      </c>
      <c r="F611" t="s">
        <v>1636</v>
      </c>
      <c r="G611">
        <v>57</v>
      </c>
      <c r="H611">
        <v>0</v>
      </c>
      <c r="I611" s="14">
        <v>430000</v>
      </c>
      <c r="J611" s="14">
        <v>369000</v>
      </c>
      <c r="K611" t="s">
        <v>117</v>
      </c>
      <c r="L611" t="s">
        <v>118</v>
      </c>
      <c r="M611" t="s">
        <v>140</v>
      </c>
      <c r="N611" t="s">
        <v>1637</v>
      </c>
      <c r="O611">
        <v>12.5</v>
      </c>
      <c r="P611">
        <v>0</v>
      </c>
      <c r="Q611" s="14">
        <v>43200</v>
      </c>
      <c r="R611" s="14">
        <v>43200</v>
      </c>
      <c r="Y611" s="14"/>
      <c r="Z611" s="14"/>
      <c r="AG611" s="14"/>
      <c r="AH611" s="14"/>
      <c r="AI611" t="s">
        <v>1638</v>
      </c>
      <c r="AJ611" t="s">
        <v>1639</v>
      </c>
      <c r="AK611" t="s">
        <v>1640</v>
      </c>
      <c r="AL611">
        <v>0</v>
      </c>
      <c r="AM611" t="s">
        <v>1641</v>
      </c>
      <c r="AN611" t="s">
        <v>1642</v>
      </c>
      <c r="AO611" t="s">
        <v>125</v>
      </c>
      <c r="AP611" t="s">
        <v>758</v>
      </c>
      <c r="AQ611" s="15">
        <v>46233</v>
      </c>
      <c r="AR611" s="15">
        <v>46234</v>
      </c>
      <c r="AS611" t="s">
        <v>227</v>
      </c>
      <c r="AT611">
        <v>3</v>
      </c>
      <c r="AU611">
        <v>12000</v>
      </c>
      <c r="AV611">
        <v>0</v>
      </c>
      <c r="AW611">
        <v>0</v>
      </c>
      <c r="AX611" s="14">
        <v>12000</v>
      </c>
      <c r="AY611" s="14">
        <v>12000</v>
      </c>
      <c r="AZ611" s="14">
        <v>0</v>
      </c>
      <c r="BA611">
        <v>0</v>
      </c>
      <c r="BB611" t="s">
        <v>22</v>
      </c>
      <c r="BC611" t="s">
        <v>175</v>
      </c>
      <c r="BD611" t="s">
        <v>176</v>
      </c>
      <c r="BE611" t="s">
        <v>130</v>
      </c>
      <c r="BG611" t="s">
        <v>1654</v>
      </c>
      <c r="BH611" t="s">
        <v>132</v>
      </c>
      <c r="BJ611">
        <v>4</v>
      </c>
      <c r="BK611" t="s">
        <v>133</v>
      </c>
      <c r="BV611" t="s">
        <v>134</v>
      </c>
      <c r="BW611" s="16">
        <v>46046.473611111112</v>
      </c>
      <c r="BX611" t="s">
        <v>178</v>
      </c>
      <c r="BZ611">
        <v>10</v>
      </c>
      <c r="CA611" t="s">
        <v>1653</v>
      </c>
      <c r="CB611">
        <v>0</v>
      </c>
      <c r="CF611" t="s">
        <v>1087</v>
      </c>
      <c r="CG611">
        <v>2026</v>
      </c>
      <c r="CH611" t="s">
        <v>138</v>
      </c>
      <c r="CI611" t="s">
        <v>139</v>
      </c>
    </row>
    <row r="612" spans="1:87" x14ac:dyDescent="0.3">
      <c r="A612" t="s">
        <v>165</v>
      </c>
      <c r="B612" t="s">
        <v>116</v>
      </c>
      <c r="C612" t="s">
        <v>117</v>
      </c>
      <c r="D612" t="s">
        <v>118</v>
      </c>
      <c r="E612" t="s">
        <v>14</v>
      </c>
      <c r="F612" t="s">
        <v>1636</v>
      </c>
      <c r="G612">
        <v>57</v>
      </c>
      <c r="H612">
        <v>0</v>
      </c>
      <c r="I612" s="14">
        <v>430000</v>
      </c>
      <c r="J612" s="14">
        <v>369000</v>
      </c>
      <c r="K612" t="s">
        <v>117</v>
      </c>
      <c r="L612" t="s">
        <v>118</v>
      </c>
      <c r="M612" t="s">
        <v>140</v>
      </c>
      <c r="N612" t="s">
        <v>1637</v>
      </c>
      <c r="O612">
        <v>12.5</v>
      </c>
      <c r="P612">
        <v>0</v>
      </c>
      <c r="Q612" s="14">
        <v>43200</v>
      </c>
      <c r="R612" s="14">
        <v>43200</v>
      </c>
      <c r="Y612" s="14"/>
      <c r="Z612" s="14"/>
      <c r="AG612" s="14"/>
      <c r="AH612" s="14"/>
      <c r="AI612" t="s">
        <v>1638</v>
      </c>
      <c r="AJ612" t="s">
        <v>1639</v>
      </c>
      <c r="AK612" t="s">
        <v>1640</v>
      </c>
      <c r="AL612">
        <v>0</v>
      </c>
      <c r="AM612" t="s">
        <v>1641</v>
      </c>
      <c r="AN612" t="s">
        <v>1642</v>
      </c>
      <c r="AO612" t="s">
        <v>125</v>
      </c>
      <c r="AP612" t="s">
        <v>758</v>
      </c>
      <c r="AQ612" s="15">
        <v>46264</v>
      </c>
      <c r="AR612" s="15"/>
      <c r="AS612" t="s">
        <v>227</v>
      </c>
      <c r="AT612">
        <v>4</v>
      </c>
      <c r="AU612">
        <v>12000</v>
      </c>
      <c r="AV612">
        <v>0</v>
      </c>
      <c r="AW612">
        <v>0</v>
      </c>
      <c r="AX612" s="14">
        <v>12000</v>
      </c>
      <c r="AY612" s="14">
        <v>0</v>
      </c>
      <c r="AZ612" s="14">
        <v>12000</v>
      </c>
      <c r="BB612" t="s">
        <v>22</v>
      </c>
      <c r="BH612" t="s">
        <v>132</v>
      </c>
      <c r="BK612" t="s">
        <v>550</v>
      </c>
      <c r="BV612" t="s">
        <v>132</v>
      </c>
      <c r="BW612" s="16">
        <v>46046.473611111112</v>
      </c>
      <c r="BX612" t="s">
        <v>178</v>
      </c>
      <c r="BZ612">
        <v>10</v>
      </c>
      <c r="CB612">
        <v>0</v>
      </c>
      <c r="CF612" t="s">
        <v>1087</v>
      </c>
      <c r="CG612">
        <v>2026</v>
      </c>
      <c r="CH612" t="s">
        <v>138</v>
      </c>
      <c r="CI612" t="s">
        <v>139</v>
      </c>
    </row>
    <row r="613" spans="1:87" x14ac:dyDescent="0.3">
      <c r="A613" t="s">
        <v>165</v>
      </c>
      <c r="B613" t="s">
        <v>116</v>
      </c>
      <c r="C613" t="s">
        <v>117</v>
      </c>
      <c r="D613" t="s">
        <v>118</v>
      </c>
      <c r="E613" t="s">
        <v>14</v>
      </c>
      <c r="F613" t="s">
        <v>1636</v>
      </c>
      <c r="G613">
        <v>57</v>
      </c>
      <c r="H613">
        <v>0</v>
      </c>
      <c r="I613" s="14">
        <v>430000</v>
      </c>
      <c r="J613" s="14">
        <v>369000</v>
      </c>
      <c r="K613" t="s">
        <v>117</v>
      </c>
      <c r="L613" t="s">
        <v>118</v>
      </c>
      <c r="M613" t="s">
        <v>140</v>
      </c>
      <c r="N613" t="s">
        <v>1637</v>
      </c>
      <c r="O613">
        <v>12.5</v>
      </c>
      <c r="P613">
        <v>0</v>
      </c>
      <c r="Q613" s="14">
        <v>43200</v>
      </c>
      <c r="R613" s="14">
        <v>43200</v>
      </c>
      <c r="Y613" s="14"/>
      <c r="Z613" s="14"/>
      <c r="AG613" s="14"/>
      <c r="AH613" s="14"/>
      <c r="AI613" t="s">
        <v>1638</v>
      </c>
      <c r="AJ613" t="s">
        <v>1639</v>
      </c>
      <c r="AK613" t="s">
        <v>1640</v>
      </c>
      <c r="AL613">
        <v>0</v>
      </c>
      <c r="AM613" t="s">
        <v>1641</v>
      </c>
      <c r="AN613" t="s">
        <v>1642</v>
      </c>
      <c r="AO613" t="s">
        <v>125</v>
      </c>
      <c r="AP613" t="s">
        <v>758</v>
      </c>
      <c r="AQ613" s="15">
        <v>46295</v>
      </c>
      <c r="AR613" s="15"/>
      <c r="AS613" t="s">
        <v>227</v>
      </c>
      <c r="AT613">
        <v>5</v>
      </c>
      <c r="AU613">
        <v>12000</v>
      </c>
      <c r="AV613">
        <v>0</v>
      </c>
      <c r="AW613">
        <v>0</v>
      </c>
      <c r="AX613" s="14">
        <v>12000</v>
      </c>
      <c r="AY613" s="14">
        <v>0</v>
      </c>
      <c r="AZ613" s="14">
        <v>12000</v>
      </c>
      <c r="BB613" t="s">
        <v>22</v>
      </c>
      <c r="BH613" t="s">
        <v>132</v>
      </c>
      <c r="BK613" t="s">
        <v>1100</v>
      </c>
      <c r="BV613" t="s">
        <v>132</v>
      </c>
      <c r="BW613" s="16">
        <v>46046.473611111112</v>
      </c>
      <c r="BX613" t="s">
        <v>178</v>
      </c>
      <c r="BZ613">
        <v>10</v>
      </c>
      <c r="CB613">
        <v>0</v>
      </c>
      <c r="CF613" t="s">
        <v>1087</v>
      </c>
      <c r="CG613">
        <v>2026</v>
      </c>
      <c r="CH613" t="s">
        <v>138</v>
      </c>
      <c r="CI613" t="s">
        <v>139</v>
      </c>
    </row>
    <row r="614" spans="1:87" x14ac:dyDescent="0.3">
      <c r="A614" t="s">
        <v>165</v>
      </c>
      <c r="B614" t="s">
        <v>116</v>
      </c>
      <c r="C614" t="s">
        <v>117</v>
      </c>
      <c r="D614" t="s">
        <v>118</v>
      </c>
      <c r="E614" t="s">
        <v>14</v>
      </c>
      <c r="F614" t="s">
        <v>1636</v>
      </c>
      <c r="G614">
        <v>57</v>
      </c>
      <c r="H614">
        <v>0</v>
      </c>
      <c r="I614" s="14">
        <v>430000</v>
      </c>
      <c r="J614" s="14">
        <v>369000</v>
      </c>
      <c r="K614" t="s">
        <v>117</v>
      </c>
      <c r="L614" t="s">
        <v>118</v>
      </c>
      <c r="M614" t="s">
        <v>140</v>
      </c>
      <c r="N614" t="s">
        <v>1637</v>
      </c>
      <c r="O614">
        <v>12.5</v>
      </c>
      <c r="P614">
        <v>0</v>
      </c>
      <c r="Q614" s="14">
        <v>43200</v>
      </c>
      <c r="R614" s="14">
        <v>43200</v>
      </c>
      <c r="Y614" s="14"/>
      <c r="Z614" s="14"/>
      <c r="AG614" s="14"/>
      <c r="AH614" s="14"/>
      <c r="AI614" t="s">
        <v>1638</v>
      </c>
      <c r="AJ614" t="s">
        <v>1639</v>
      </c>
      <c r="AK614" t="s">
        <v>1640</v>
      </c>
      <c r="AL614">
        <v>0</v>
      </c>
      <c r="AM614" t="s">
        <v>1641</v>
      </c>
      <c r="AN614" t="s">
        <v>1642</v>
      </c>
      <c r="AO614" t="s">
        <v>125</v>
      </c>
      <c r="AP614" t="s">
        <v>758</v>
      </c>
      <c r="AQ614" s="15">
        <v>46325</v>
      </c>
      <c r="AR614" s="15"/>
      <c r="AS614" t="s">
        <v>227</v>
      </c>
      <c r="AT614">
        <v>6</v>
      </c>
      <c r="AU614">
        <v>12000</v>
      </c>
      <c r="AV614">
        <v>0</v>
      </c>
      <c r="AW614">
        <v>0</v>
      </c>
      <c r="AX614" s="14">
        <v>12000</v>
      </c>
      <c r="AY614" s="14">
        <v>0</v>
      </c>
      <c r="AZ614" s="14">
        <v>12000</v>
      </c>
      <c r="BB614" t="s">
        <v>22</v>
      </c>
      <c r="BH614" t="s">
        <v>132</v>
      </c>
      <c r="BK614" t="s">
        <v>1100</v>
      </c>
      <c r="BV614" t="s">
        <v>132</v>
      </c>
      <c r="BW614" s="16">
        <v>46046.473611111112</v>
      </c>
      <c r="BX614" t="s">
        <v>178</v>
      </c>
      <c r="BZ614">
        <v>10</v>
      </c>
      <c r="CB614">
        <v>0</v>
      </c>
      <c r="CF614" t="s">
        <v>1087</v>
      </c>
      <c r="CG614">
        <v>2026</v>
      </c>
      <c r="CH614" t="s">
        <v>138</v>
      </c>
      <c r="CI614" t="s">
        <v>139</v>
      </c>
    </row>
    <row r="615" spans="1:87" x14ac:dyDescent="0.3">
      <c r="A615" t="s">
        <v>165</v>
      </c>
      <c r="B615" t="s">
        <v>116</v>
      </c>
      <c r="C615" t="s">
        <v>117</v>
      </c>
      <c r="D615" t="s">
        <v>118</v>
      </c>
      <c r="E615" t="s">
        <v>14</v>
      </c>
      <c r="F615" t="s">
        <v>1636</v>
      </c>
      <c r="G615">
        <v>57</v>
      </c>
      <c r="H615">
        <v>0</v>
      </c>
      <c r="I615" s="14">
        <v>430000</v>
      </c>
      <c r="J615" s="14">
        <v>369000</v>
      </c>
      <c r="K615" t="s">
        <v>117</v>
      </c>
      <c r="L615" t="s">
        <v>118</v>
      </c>
      <c r="M615" t="s">
        <v>140</v>
      </c>
      <c r="N615" t="s">
        <v>1637</v>
      </c>
      <c r="O615">
        <v>12.5</v>
      </c>
      <c r="P615">
        <v>0</v>
      </c>
      <c r="Q615" s="14">
        <v>43200</v>
      </c>
      <c r="R615" s="14">
        <v>43200</v>
      </c>
      <c r="Y615" s="14"/>
      <c r="Z615" s="14"/>
      <c r="AG615" s="14"/>
      <c r="AH615" s="14"/>
      <c r="AI615" t="s">
        <v>1638</v>
      </c>
      <c r="AJ615" t="s">
        <v>1639</v>
      </c>
      <c r="AK615" t="s">
        <v>1640</v>
      </c>
      <c r="AL615">
        <v>0</v>
      </c>
      <c r="AM615" t="s">
        <v>1641</v>
      </c>
      <c r="AN615" t="s">
        <v>1642</v>
      </c>
      <c r="AO615" t="s">
        <v>125</v>
      </c>
      <c r="AP615" t="s">
        <v>758</v>
      </c>
      <c r="AQ615" s="15">
        <v>46356</v>
      </c>
      <c r="AR615" s="15"/>
      <c r="AS615" t="s">
        <v>227</v>
      </c>
      <c r="AT615">
        <v>7</v>
      </c>
      <c r="AU615">
        <v>12000</v>
      </c>
      <c r="AV615">
        <v>0</v>
      </c>
      <c r="AW615">
        <v>0</v>
      </c>
      <c r="AX615" s="14">
        <v>12000</v>
      </c>
      <c r="AY615" s="14">
        <v>0</v>
      </c>
      <c r="AZ615" s="14">
        <v>12000</v>
      </c>
      <c r="BB615" t="s">
        <v>22</v>
      </c>
      <c r="BH615" t="s">
        <v>132</v>
      </c>
      <c r="BK615" t="s">
        <v>1100</v>
      </c>
      <c r="BV615" t="s">
        <v>132</v>
      </c>
      <c r="BW615" s="16">
        <v>46046.473611111112</v>
      </c>
      <c r="BX615" t="s">
        <v>178</v>
      </c>
      <c r="BZ615">
        <v>10</v>
      </c>
      <c r="CB615">
        <v>0</v>
      </c>
      <c r="CF615" t="s">
        <v>1087</v>
      </c>
      <c r="CG615">
        <v>2026</v>
      </c>
      <c r="CH615" t="s">
        <v>138</v>
      </c>
      <c r="CI615" t="s">
        <v>139</v>
      </c>
    </row>
    <row r="616" spans="1:87" x14ac:dyDescent="0.3">
      <c r="A616" t="s">
        <v>165</v>
      </c>
      <c r="B616" t="s">
        <v>116</v>
      </c>
      <c r="C616" t="s">
        <v>117</v>
      </c>
      <c r="D616" t="s">
        <v>118</v>
      </c>
      <c r="E616" t="s">
        <v>14</v>
      </c>
      <c r="F616" t="s">
        <v>1636</v>
      </c>
      <c r="G616">
        <v>57</v>
      </c>
      <c r="H616">
        <v>0</v>
      </c>
      <c r="I616" s="14">
        <v>430000</v>
      </c>
      <c r="J616" s="14">
        <v>369000</v>
      </c>
      <c r="K616" t="s">
        <v>117</v>
      </c>
      <c r="L616" t="s">
        <v>118</v>
      </c>
      <c r="M616" t="s">
        <v>140</v>
      </c>
      <c r="N616" t="s">
        <v>1637</v>
      </c>
      <c r="O616">
        <v>12.5</v>
      </c>
      <c r="P616">
        <v>0</v>
      </c>
      <c r="Q616" s="14">
        <v>43200</v>
      </c>
      <c r="R616" s="14">
        <v>43200</v>
      </c>
      <c r="Y616" s="14"/>
      <c r="Z616" s="14"/>
      <c r="AG616" s="14"/>
      <c r="AH616" s="14"/>
      <c r="AI616" t="s">
        <v>1638</v>
      </c>
      <c r="AJ616" t="s">
        <v>1639</v>
      </c>
      <c r="AK616" t="s">
        <v>1640</v>
      </c>
      <c r="AL616">
        <v>0</v>
      </c>
      <c r="AM616" t="s">
        <v>1641</v>
      </c>
      <c r="AN616" t="s">
        <v>1642</v>
      </c>
      <c r="AO616" t="s">
        <v>125</v>
      </c>
      <c r="AP616" t="s">
        <v>758</v>
      </c>
      <c r="AQ616" s="15">
        <v>46386</v>
      </c>
      <c r="AR616" s="15"/>
      <c r="AS616" t="s">
        <v>227</v>
      </c>
      <c r="AT616">
        <v>8</v>
      </c>
      <c r="AU616">
        <v>12000</v>
      </c>
      <c r="AV616">
        <v>0</v>
      </c>
      <c r="AW616">
        <v>0</v>
      </c>
      <c r="AX616" s="14">
        <v>12000</v>
      </c>
      <c r="AY616" s="14">
        <v>0</v>
      </c>
      <c r="AZ616" s="14">
        <v>12000</v>
      </c>
      <c r="BB616" t="s">
        <v>22</v>
      </c>
      <c r="BH616" t="s">
        <v>132</v>
      </c>
      <c r="BK616" t="s">
        <v>1100</v>
      </c>
      <c r="BV616" t="s">
        <v>132</v>
      </c>
      <c r="BW616" s="16">
        <v>46046.473611111112</v>
      </c>
      <c r="BX616" t="s">
        <v>178</v>
      </c>
      <c r="BZ616">
        <v>10</v>
      </c>
      <c r="CB616">
        <v>0</v>
      </c>
      <c r="CF616" t="s">
        <v>1087</v>
      </c>
      <c r="CG616">
        <v>2026</v>
      </c>
      <c r="CH616" t="s">
        <v>138</v>
      </c>
      <c r="CI616" t="s">
        <v>139</v>
      </c>
    </row>
    <row r="617" spans="1:87" x14ac:dyDescent="0.3">
      <c r="A617" t="s">
        <v>165</v>
      </c>
      <c r="B617" t="s">
        <v>116</v>
      </c>
      <c r="C617" t="s">
        <v>117</v>
      </c>
      <c r="D617" t="s">
        <v>118</v>
      </c>
      <c r="E617" t="s">
        <v>14</v>
      </c>
      <c r="F617" t="s">
        <v>1655</v>
      </c>
      <c r="G617">
        <v>68</v>
      </c>
      <c r="H617">
        <v>0</v>
      </c>
      <c r="I617" s="14">
        <v>493700</v>
      </c>
      <c r="J617" s="14">
        <v>436200</v>
      </c>
      <c r="K617" t="s">
        <v>117</v>
      </c>
      <c r="L617" t="s">
        <v>118</v>
      </c>
      <c r="M617" t="s">
        <v>140</v>
      </c>
      <c r="N617" t="s">
        <v>1656</v>
      </c>
      <c r="O617">
        <v>12.5</v>
      </c>
      <c r="P617">
        <v>2.4</v>
      </c>
      <c r="Q617" s="14">
        <v>53800</v>
      </c>
      <c r="R617" s="14">
        <v>53800</v>
      </c>
      <c r="Y617" s="14"/>
      <c r="Z617" s="14"/>
      <c r="AG617" s="14"/>
      <c r="AH617" s="14"/>
      <c r="AI617" t="s">
        <v>1657</v>
      </c>
      <c r="AJ617" t="s">
        <v>1658</v>
      </c>
      <c r="AK617" t="s">
        <v>1659</v>
      </c>
      <c r="AL617">
        <v>0</v>
      </c>
      <c r="AM617" t="s">
        <v>1660</v>
      </c>
      <c r="AN617" t="s">
        <v>1661</v>
      </c>
      <c r="AO617" t="s">
        <v>125</v>
      </c>
      <c r="AP617" t="s">
        <v>750</v>
      </c>
      <c r="AQ617" s="15">
        <v>46132</v>
      </c>
      <c r="AR617" s="15">
        <v>46132</v>
      </c>
      <c r="AS617" t="s">
        <v>127</v>
      </c>
      <c r="AT617">
        <v>1</v>
      </c>
      <c r="AU617">
        <v>3000</v>
      </c>
      <c r="AV617">
        <v>0</v>
      </c>
      <c r="AW617">
        <v>0</v>
      </c>
      <c r="AX617" s="14">
        <v>3000</v>
      </c>
      <c r="AY617" s="14">
        <v>3000</v>
      </c>
      <c r="AZ617" s="14">
        <v>0</v>
      </c>
      <c r="BA617">
        <v>0</v>
      </c>
      <c r="BB617" t="s">
        <v>22</v>
      </c>
      <c r="BC617" t="s">
        <v>175</v>
      </c>
      <c r="BD617" t="s">
        <v>176</v>
      </c>
      <c r="BE617" t="s">
        <v>222</v>
      </c>
      <c r="BG617" t="s">
        <v>1662</v>
      </c>
      <c r="BH617" t="s">
        <v>132</v>
      </c>
      <c r="BJ617">
        <v>4</v>
      </c>
      <c r="BK617" t="s">
        <v>133</v>
      </c>
      <c r="BV617" t="s">
        <v>134</v>
      </c>
      <c r="BW617" s="16">
        <v>46181.477777777778</v>
      </c>
      <c r="BX617" t="s">
        <v>178</v>
      </c>
      <c r="BZ617">
        <v>9</v>
      </c>
      <c r="CA617" t="s">
        <v>1663</v>
      </c>
      <c r="CB617">
        <v>0</v>
      </c>
      <c r="CF617" t="s">
        <v>1087</v>
      </c>
      <c r="CG617">
        <v>2026</v>
      </c>
      <c r="CH617" t="s">
        <v>138</v>
      </c>
      <c r="CI617" t="s">
        <v>139</v>
      </c>
    </row>
    <row r="618" spans="1:87" x14ac:dyDescent="0.3">
      <c r="A618" t="s">
        <v>165</v>
      </c>
      <c r="B618" t="s">
        <v>116</v>
      </c>
      <c r="C618" t="s">
        <v>117</v>
      </c>
      <c r="D618" t="s">
        <v>118</v>
      </c>
      <c r="E618" t="s">
        <v>14</v>
      </c>
      <c r="F618" t="s">
        <v>1655</v>
      </c>
      <c r="G618">
        <v>68</v>
      </c>
      <c r="H618">
        <v>0</v>
      </c>
      <c r="I618" s="14">
        <v>493700</v>
      </c>
      <c r="J618" s="14">
        <v>436200</v>
      </c>
      <c r="K618" t="s">
        <v>117</v>
      </c>
      <c r="L618" t="s">
        <v>118</v>
      </c>
      <c r="M618" t="s">
        <v>140</v>
      </c>
      <c r="N618" t="s">
        <v>1656</v>
      </c>
      <c r="O618">
        <v>12.5</v>
      </c>
      <c r="P618">
        <v>2.4</v>
      </c>
      <c r="Q618" s="14">
        <v>53800</v>
      </c>
      <c r="R618" s="14">
        <v>53800</v>
      </c>
      <c r="Y618" s="14"/>
      <c r="Z618" s="14"/>
      <c r="AG618" s="14"/>
      <c r="AH618" s="14"/>
      <c r="AI618" t="s">
        <v>1657</v>
      </c>
      <c r="AJ618" t="s">
        <v>1658</v>
      </c>
      <c r="AK618" t="s">
        <v>1659</v>
      </c>
      <c r="AL618">
        <v>0</v>
      </c>
      <c r="AM618" t="s">
        <v>1660</v>
      </c>
      <c r="AN618" t="s">
        <v>1661</v>
      </c>
      <c r="AO618" t="s">
        <v>125</v>
      </c>
      <c r="AP618" t="s">
        <v>750</v>
      </c>
      <c r="AQ618" s="15">
        <v>46135</v>
      </c>
      <c r="AR618" s="15">
        <v>46135</v>
      </c>
      <c r="AS618" t="s">
        <v>145</v>
      </c>
      <c r="AT618">
        <v>1</v>
      </c>
      <c r="AU618">
        <v>175.5</v>
      </c>
      <c r="AV618">
        <v>0</v>
      </c>
      <c r="AW618">
        <v>0</v>
      </c>
      <c r="AX618" s="14">
        <v>175.5</v>
      </c>
      <c r="AY618" s="14">
        <v>175.5</v>
      </c>
      <c r="AZ618" s="14">
        <v>0</v>
      </c>
      <c r="BA618">
        <v>0</v>
      </c>
      <c r="BB618" t="s">
        <v>22</v>
      </c>
      <c r="BC618" t="s">
        <v>175</v>
      </c>
      <c r="BD618" t="s">
        <v>176</v>
      </c>
      <c r="BE618" t="s">
        <v>130</v>
      </c>
      <c r="BG618" t="s">
        <v>1664</v>
      </c>
      <c r="BH618" t="s">
        <v>132</v>
      </c>
      <c r="BJ618">
        <v>3.51</v>
      </c>
      <c r="BK618" t="s">
        <v>133</v>
      </c>
      <c r="BV618" t="s">
        <v>134</v>
      </c>
      <c r="BW618" s="16">
        <v>46181.477777777778</v>
      </c>
      <c r="BX618" t="s">
        <v>178</v>
      </c>
      <c r="BZ618">
        <v>9</v>
      </c>
      <c r="CA618" t="s">
        <v>1665</v>
      </c>
      <c r="CB618">
        <v>0</v>
      </c>
      <c r="CF618" t="s">
        <v>1087</v>
      </c>
      <c r="CG618">
        <v>2026</v>
      </c>
      <c r="CH618" t="s">
        <v>138</v>
      </c>
      <c r="CI618" t="s">
        <v>139</v>
      </c>
    </row>
    <row r="619" spans="1:87" x14ac:dyDescent="0.3">
      <c r="A619" t="s">
        <v>165</v>
      </c>
      <c r="B619" t="s">
        <v>116</v>
      </c>
      <c r="C619" t="s">
        <v>117</v>
      </c>
      <c r="D619" t="s">
        <v>118</v>
      </c>
      <c r="E619" t="s">
        <v>14</v>
      </c>
      <c r="F619" t="s">
        <v>1655</v>
      </c>
      <c r="G619">
        <v>68</v>
      </c>
      <c r="H619">
        <v>0</v>
      </c>
      <c r="I619" s="14">
        <v>493700</v>
      </c>
      <c r="J619" s="14">
        <v>436200</v>
      </c>
      <c r="K619" t="s">
        <v>117</v>
      </c>
      <c r="L619" t="s">
        <v>118</v>
      </c>
      <c r="M619" t="s">
        <v>140</v>
      </c>
      <c r="N619" t="s">
        <v>1656</v>
      </c>
      <c r="O619">
        <v>12.5</v>
      </c>
      <c r="P619">
        <v>2.4</v>
      </c>
      <c r="Q619" s="14">
        <v>53800</v>
      </c>
      <c r="R619" s="14">
        <v>53800</v>
      </c>
      <c r="Y619" s="14"/>
      <c r="Z619" s="14"/>
      <c r="AG619" s="14"/>
      <c r="AH619" s="14"/>
      <c r="AI619" t="s">
        <v>1657</v>
      </c>
      <c r="AJ619" t="s">
        <v>1658</v>
      </c>
      <c r="AK619" t="s">
        <v>1659</v>
      </c>
      <c r="AL619">
        <v>0</v>
      </c>
      <c r="AM619" t="s">
        <v>1660</v>
      </c>
      <c r="AN619" t="s">
        <v>1661</v>
      </c>
      <c r="AO619" t="s">
        <v>125</v>
      </c>
      <c r="AP619" t="s">
        <v>750</v>
      </c>
      <c r="AQ619" s="15">
        <v>46172</v>
      </c>
      <c r="AR619" s="15">
        <v>46142</v>
      </c>
      <c r="AS619" t="s">
        <v>145</v>
      </c>
      <c r="AT619">
        <v>2</v>
      </c>
      <c r="AU619">
        <v>306745.71000000002</v>
      </c>
      <c r="AV619">
        <v>0</v>
      </c>
      <c r="AW619">
        <v>0</v>
      </c>
      <c r="AX619" s="14">
        <v>306745.71000000002</v>
      </c>
      <c r="AY619" s="14">
        <v>306745.71000000002</v>
      </c>
      <c r="AZ619" s="14">
        <v>0</v>
      </c>
      <c r="BA619">
        <v>0</v>
      </c>
      <c r="BB619" t="s">
        <v>22</v>
      </c>
      <c r="BC619" t="s">
        <v>175</v>
      </c>
      <c r="BD619" t="s">
        <v>176</v>
      </c>
      <c r="BE619" t="s">
        <v>130</v>
      </c>
      <c r="BG619" t="s">
        <v>1666</v>
      </c>
      <c r="BH619" t="s">
        <v>132</v>
      </c>
      <c r="BJ619">
        <v>3.51</v>
      </c>
      <c r="BK619" t="s">
        <v>133</v>
      </c>
      <c r="BV619" t="s">
        <v>134</v>
      </c>
      <c r="BW619" s="16">
        <v>46181.477777777778</v>
      </c>
      <c r="BX619" t="s">
        <v>178</v>
      </c>
      <c r="BZ619">
        <v>9</v>
      </c>
      <c r="CA619" t="s">
        <v>1667</v>
      </c>
      <c r="CB619">
        <v>0</v>
      </c>
      <c r="CF619" t="s">
        <v>1087</v>
      </c>
      <c r="CG619">
        <v>2026</v>
      </c>
      <c r="CH619" t="s">
        <v>138</v>
      </c>
      <c r="CI619" t="s">
        <v>139</v>
      </c>
    </row>
    <row r="620" spans="1:87" x14ac:dyDescent="0.3">
      <c r="A620" t="s">
        <v>165</v>
      </c>
      <c r="B620" t="s">
        <v>116</v>
      </c>
      <c r="C620" t="s">
        <v>117</v>
      </c>
      <c r="D620" t="s">
        <v>118</v>
      </c>
      <c r="E620" t="s">
        <v>14</v>
      </c>
      <c r="F620" t="s">
        <v>1655</v>
      </c>
      <c r="G620">
        <v>68</v>
      </c>
      <c r="H620">
        <v>0</v>
      </c>
      <c r="I620" s="14">
        <v>493700</v>
      </c>
      <c r="J620" s="14">
        <v>436200</v>
      </c>
      <c r="K620" t="s">
        <v>117</v>
      </c>
      <c r="L620" t="s">
        <v>118</v>
      </c>
      <c r="M620" t="s">
        <v>140</v>
      </c>
      <c r="N620" t="s">
        <v>1656</v>
      </c>
      <c r="O620">
        <v>12.5</v>
      </c>
      <c r="P620">
        <v>2.4</v>
      </c>
      <c r="Q620" s="14">
        <v>53800</v>
      </c>
      <c r="R620" s="14">
        <v>53800</v>
      </c>
      <c r="Y620" s="14"/>
      <c r="Z620" s="14"/>
      <c r="AG620" s="14"/>
      <c r="AH620" s="14"/>
      <c r="AI620" t="s">
        <v>1657</v>
      </c>
      <c r="AJ620" t="s">
        <v>1658</v>
      </c>
      <c r="AK620" t="s">
        <v>1659</v>
      </c>
      <c r="AL620">
        <v>0</v>
      </c>
      <c r="AM620" t="s">
        <v>1660</v>
      </c>
      <c r="AN620" t="s">
        <v>1661</v>
      </c>
      <c r="AO620" t="s">
        <v>125</v>
      </c>
      <c r="AP620" t="s">
        <v>750</v>
      </c>
      <c r="AQ620" s="15">
        <v>46265</v>
      </c>
      <c r="AR620" s="15">
        <v>46244</v>
      </c>
      <c r="AS620" t="s">
        <v>227</v>
      </c>
      <c r="AT620">
        <v>1</v>
      </c>
      <c r="AU620">
        <v>20008.75</v>
      </c>
      <c r="AV620">
        <v>0</v>
      </c>
      <c r="AW620">
        <v>0</v>
      </c>
      <c r="AX620" s="14">
        <v>20008.75</v>
      </c>
      <c r="AY620" s="14">
        <v>20008.75</v>
      </c>
      <c r="AZ620" s="14">
        <v>0</v>
      </c>
      <c r="BA620">
        <v>0</v>
      </c>
      <c r="BB620" t="s">
        <v>22</v>
      </c>
      <c r="BC620" t="s">
        <v>175</v>
      </c>
      <c r="BD620" t="s">
        <v>176</v>
      </c>
      <c r="BE620" t="s">
        <v>130</v>
      </c>
      <c r="BH620" t="s">
        <v>132</v>
      </c>
      <c r="BJ620">
        <v>3.51</v>
      </c>
      <c r="BK620" t="s">
        <v>133</v>
      </c>
      <c r="BV620" t="s">
        <v>134</v>
      </c>
      <c r="BW620" s="16">
        <v>46181.477777777778</v>
      </c>
      <c r="BX620" t="s">
        <v>178</v>
      </c>
      <c r="BZ620">
        <v>9</v>
      </c>
      <c r="CA620" t="s">
        <v>1668</v>
      </c>
      <c r="CB620">
        <v>0</v>
      </c>
      <c r="CF620" t="s">
        <v>1087</v>
      </c>
      <c r="CG620">
        <v>2026</v>
      </c>
      <c r="CH620" t="s">
        <v>138</v>
      </c>
      <c r="CI620" t="s">
        <v>139</v>
      </c>
    </row>
    <row r="621" spans="1:87" x14ac:dyDescent="0.3">
      <c r="A621" t="s">
        <v>165</v>
      </c>
      <c r="B621" t="s">
        <v>116</v>
      </c>
      <c r="C621" t="s">
        <v>117</v>
      </c>
      <c r="D621" t="s">
        <v>118</v>
      </c>
      <c r="E621" t="s">
        <v>14</v>
      </c>
      <c r="F621" t="s">
        <v>1655</v>
      </c>
      <c r="G621">
        <v>68</v>
      </c>
      <c r="H621">
        <v>0</v>
      </c>
      <c r="I621" s="14">
        <v>493700</v>
      </c>
      <c r="J621" s="14">
        <v>436200</v>
      </c>
      <c r="K621" t="s">
        <v>117</v>
      </c>
      <c r="L621" t="s">
        <v>118</v>
      </c>
      <c r="M621" t="s">
        <v>140</v>
      </c>
      <c r="N621" t="s">
        <v>1656</v>
      </c>
      <c r="O621">
        <v>12.5</v>
      </c>
      <c r="P621">
        <v>2.4</v>
      </c>
      <c r="Q621" s="14">
        <v>53800</v>
      </c>
      <c r="R621" s="14">
        <v>53800</v>
      </c>
      <c r="Y621" s="14"/>
      <c r="Z621" s="14"/>
      <c r="AG621" s="14"/>
      <c r="AH621" s="14"/>
      <c r="AI621" t="s">
        <v>1657</v>
      </c>
      <c r="AJ621" t="s">
        <v>1658</v>
      </c>
      <c r="AK621" t="s">
        <v>1659</v>
      </c>
      <c r="AL621">
        <v>0</v>
      </c>
      <c r="AM621" t="s">
        <v>1660</v>
      </c>
      <c r="AN621" t="s">
        <v>1661</v>
      </c>
      <c r="AO621" t="s">
        <v>125</v>
      </c>
      <c r="AP621" t="s">
        <v>750</v>
      </c>
      <c r="AQ621" s="15">
        <v>46295</v>
      </c>
      <c r="AR621" s="15"/>
      <c r="AS621" t="s">
        <v>227</v>
      </c>
      <c r="AT621">
        <v>2</v>
      </c>
      <c r="AU621">
        <v>20008.75</v>
      </c>
      <c r="AV621">
        <v>0</v>
      </c>
      <c r="AW621">
        <v>0</v>
      </c>
      <c r="AX621" s="14">
        <v>20008.75</v>
      </c>
      <c r="AY621" s="14">
        <v>0</v>
      </c>
      <c r="AZ621" s="14">
        <v>20008.75</v>
      </c>
      <c r="BB621" t="s">
        <v>22</v>
      </c>
      <c r="BH621" t="s">
        <v>132</v>
      </c>
      <c r="BK621" t="s">
        <v>1100</v>
      </c>
      <c r="BV621" t="s">
        <v>132</v>
      </c>
      <c r="BW621" s="16">
        <v>46181.477777777778</v>
      </c>
      <c r="BX621" t="s">
        <v>178</v>
      </c>
      <c r="BZ621">
        <v>9</v>
      </c>
      <c r="CB621">
        <v>0</v>
      </c>
      <c r="CF621" t="s">
        <v>1087</v>
      </c>
      <c r="CG621">
        <v>2026</v>
      </c>
      <c r="CH621" t="s">
        <v>138</v>
      </c>
      <c r="CI621" t="s">
        <v>139</v>
      </c>
    </row>
    <row r="622" spans="1:87" x14ac:dyDescent="0.3">
      <c r="A622" t="s">
        <v>165</v>
      </c>
      <c r="B622" t="s">
        <v>116</v>
      </c>
      <c r="C622" t="s">
        <v>117</v>
      </c>
      <c r="D622" t="s">
        <v>118</v>
      </c>
      <c r="E622" t="s">
        <v>14</v>
      </c>
      <c r="F622" t="s">
        <v>1655</v>
      </c>
      <c r="G622">
        <v>68</v>
      </c>
      <c r="H622">
        <v>0</v>
      </c>
      <c r="I622" s="14">
        <v>493700</v>
      </c>
      <c r="J622" s="14">
        <v>436200</v>
      </c>
      <c r="K622" t="s">
        <v>117</v>
      </c>
      <c r="L622" t="s">
        <v>118</v>
      </c>
      <c r="M622" t="s">
        <v>140</v>
      </c>
      <c r="N622" t="s">
        <v>1656</v>
      </c>
      <c r="O622">
        <v>12.5</v>
      </c>
      <c r="P622">
        <v>2.4</v>
      </c>
      <c r="Q622" s="14">
        <v>53800</v>
      </c>
      <c r="R622" s="14">
        <v>53800</v>
      </c>
      <c r="Y622" s="14"/>
      <c r="Z622" s="14"/>
      <c r="AG622" s="14"/>
      <c r="AH622" s="14"/>
      <c r="AI622" t="s">
        <v>1657</v>
      </c>
      <c r="AJ622" t="s">
        <v>1658</v>
      </c>
      <c r="AK622" t="s">
        <v>1659</v>
      </c>
      <c r="AL622">
        <v>0</v>
      </c>
      <c r="AM622" t="s">
        <v>1660</v>
      </c>
      <c r="AN622" t="s">
        <v>1661</v>
      </c>
      <c r="AO622" t="s">
        <v>125</v>
      </c>
      <c r="AP622" t="s">
        <v>750</v>
      </c>
      <c r="AQ622" s="15">
        <v>46326</v>
      </c>
      <c r="AR622" s="15"/>
      <c r="AS622" t="s">
        <v>227</v>
      </c>
      <c r="AT622">
        <v>3</v>
      </c>
      <c r="AU622">
        <v>20008.75</v>
      </c>
      <c r="AV622">
        <v>0</v>
      </c>
      <c r="AW622">
        <v>0</v>
      </c>
      <c r="AX622" s="14">
        <v>20008.75</v>
      </c>
      <c r="AY622" s="14">
        <v>0</v>
      </c>
      <c r="AZ622" s="14">
        <v>20008.75</v>
      </c>
      <c r="BB622" t="s">
        <v>22</v>
      </c>
      <c r="BH622" t="s">
        <v>132</v>
      </c>
      <c r="BK622" t="s">
        <v>1100</v>
      </c>
      <c r="BV622" t="s">
        <v>132</v>
      </c>
      <c r="BW622" s="16">
        <v>46181.477777777778</v>
      </c>
      <c r="BX622" t="s">
        <v>178</v>
      </c>
      <c r="BZ622">
        <v>9</v>
      </c>
      <c r="CB622">
        <v>0</v>
      </c>
      <c r="CF622" t="s">
        <v>1087</v>
      </c>
      <c r="CG622">
        <v>2026</v>
      </c>
      <c r="CH622" t="s">
        <v>138</v>
      </c>
      <c r="CI622" t="s">
        <v>139</v>
      </c>
    </row>
    <row r="623" spans="1:87" x14ac:dyDescent="0.3">
      <c r="A623" t="s">
        <v>165</v>
      </c>
      <c r="B623" t="s">
        <v>116</v>
      </c>
      <c r="C623" t="s">
        <v>117</v>
      </c>
      <c r="D623" t="s">
        <v>118</v>
      </c>
      <c r="E623" t="s">
        <v>14</v>
      </c>
      <c r="F623" t="s">
        <v>1655</v>
      </c>
      <c r="G623">
        <v>68</v>
      </c>
      <c r="H623">
        <v>0</v>
      </c>
      <c r="I623" s="14">
        <v>493700</v>
      </c>
      <c r="J623" s="14">
        <v>436200</v>
      </c>
      <c r="K623" t="s">
        <v>117</v>
      </c>
      <c r="L623" t="s">
        <v>118</v>
      </c>
      <c r="M623" t="s">
        <v>140</v>
      </c>
      <c r="N623" t="s">
        <v>1656</v>
      </c>
      <c r="O623">
        <v>12.5</v>
      </c>
      <c r="P623">
        <v>2.4</v>
      </c>
      <c r="Q623" s="14">
        <v>53800</v>
      </c>
      <c r="R623" s="14">
        <v>53800</v>
      </c>
      <c r="Y623" s="14"/>
      <c r="Z623" s="14"/>
      <c r="AG623" s="14"/>
      <c r="AH623" s="14"/>
      <c r="AI623" t="s">
        <v>1657</v>
      </c>
      <c r="AJ623" t="s">
        <v>1658</v>
      </c>
      <c r="AK623" t="s">
        <v>1659</v>
      </c>
      <c r="AL623">
        <v>0</v>
      </c>
      <c r="AM623" t="s">
        <v>1660</v>
      </c>
      <c r="AN623" t="s">
        <v>1661</v>
      </c>
      <c r="AO623" t="s">
        <v>125</v>
      </c>
      <c r="AP623" t="s">
        <v>750</v>
      </c>
      <c r="AQ623" s="15">
        <v>46356</v>
      </c>
      <c r="AR623" s="15"/>
      <c r="AS623" t="s">
        <v>227</v>
      </c>
      <c r="AT623">
        <v>4</v>
      </c>
      <c r="AU623">
        <v>20008.75</v>
      </c>
      <c r="AV623">
        <v>0</v>
      </c>
      <c r="AW623">
        <v>0</v>
      </c>
      <c r="AX623" s="14">
        <v>20008.75</v>
      </c>
      <c r="AY623" s="14">
        <v>0</v>
      </c>
      <c r="AZ623" s="14">
        <v>20008.75</v>
      </c>
      <c r="BB623" t="s">
        <v>22</v>
      </c>
      <c r="BH623" t="s">
        <v>132</v>
      </c>
      <c r="BK623" t="s">
        <v>1100</v>
      </c>
      <c r="BV623" t="s">
        <v>132</v>
      </c>
      <c r="BW623" s="16">
        <v>46181.477777777778</v>
      </c>
      <c r="BX623" t="s">
        <v>178</v>
      </c>
      <c r="BZ623">
        <v>9</v>
      </c>
      <c r="CB623">
        <v>0</v>
      </c>
      <c r="CF623" t="s">
        <v>1087</v>
      </c>
      <c r="CG623">
        <v>2026</v>
      </c>
      <c r="CH623" t="s">
        <v>138</v>
      </c>
      <c r="CI623" t="s">
        <v>139</v>
      </c>
    </row>
    <row r="624" spans="1:87" x14ac:dyDescent="0.3">
      <c r="A624" t="s">
        <v>165</v>
      </c>
      <c r="B624" t="s">
        <v>116</v>
      </c>
      <c r="C624" t="s">
        <v>117</v>
      </c>
      <c r="D624" t="s">
        <v>118</v>
      </c>
      <c r="E624" t="s">
        <v>14</v>
      </c>
      <c r="F624" t="s">
        <v>1655</v>
      </c>
      <c r="G624">
        <v>68</v>
      </c>
      <c r="H624">
        <v>0</v>
      </c>
      <c r="I624" s="14">
        <v>493700</v>
      </c>
      <c r="J624" s="14">
        <v>436200</v>
      </c>
      <c r="K624" t="s">
        <v>117</v>
      </c>
      <c r="L624" t="s">
        <v>118</v>
      </c>
      <c r="M624" t="s">
        <v>140</v>
      </c>
      <c r="N624" t="s">
        <v>1656</v>
      </c>
      <c r="O624">
        <v>12.5</v>
      </c>
      <c r="P624">
        <v>2.4</v>
      </c>
      <c r="Q624" s="14">
        <v>53800</v>
      </c>
      <c r="R624" s="14">
        <v>53800</v>
      </c>
      <c r="Y624" s="14"/>
      <c r="Z624" s="14"/>
      <c r="AG624" s="14"/>
      <c r="AH624" s="14"/>
      <c r="AI624" t="s">
        <v>1657</v>
      </c>
      <c r="AJ624" t="s">
        <v>1658</v>
      </c>
      <c r="AK624" t="s">
        <v>1659</v>
      </c>
      <c r="AL624">
        <v>0</v>
      </c>
      <c r="AM624" t="s">
        <v>1660</v>
      </c>
      <c r="AN624" t="s">
        <v>1661</v>
      </c>
      <c r="AO624" t="s">
        <v>125</v>
      </c>
      <c r="AP624" t="s">
        <v>750</v>
      </c>
      <c r="AQ624" s="15">
        <v>46387</v>
      </c>
      <c r="AR624" s="15"/>
      <c r="AS624" t="s">
        <v>227</v>
      </c>
      <c r="AT624">
        <v>5</v>
      </c>
      <c r="AU624">
        <v>20008.75</v>
      </c>
      <c r="AV624">
        <v>0</v>
      </c>
      <c r="AW624">
        <v>0</v>
      </c>
      <c r="AX624" s="14">
        <v>20008.75</v>
      </c>
      <c r="AY624" s="14">
        <v>0</v>
      </c>
      <c r="AZ624" s="14">
        <v>20008.75</v>
      </c>
      <c r="BB624" t="s">
        <v>22</v>
      </c>
      <c r="BH624" t="s">
        <v>132</v>
      </c>
      <c r="BK624" t="s">
        <v>1100</v>
      </c>
      <c r="BV624" t="s">
        <v>132</v>
      </c>
      <c r="BW624" s="16">
        <v>46181.477777777778</v>
      </c>
      <c r="BX624" t="s">
        <v>178</v>
      </c>
      <c r="BZ624">
        <v>9</v>
      </c>
      <c r="CB624">
        <v>0</v>
      </c>
      <c r="CF624" t="s">
        <v>1087</v>
      </c>
      <c r="CG624">
        <v>2026</v>
      </c>
      <c r="CH624" t="s">
        <v>138</v>
      </c>
      <c r="CI624" t="s">
        <v>139</v>
      </c>
    </row>
    <row r="625" spans="1:87" x14ac:dyDescent="0.3">
      <c r="A625" t="s">
        <v>426</v>
      </c>
      <c r="B625" t="s">
        <v>116</v>
      </c>
      <c r="C625" t="s">
        <v>117</v>
      </c>
      <c r="D625" t="s">
        <v>118</v>
      </c>
      <c r="E625" t="s">
        <v>14</v>
      </c>
      <c r="F625" t="s">
        <v>943</v>
      </c>
      <c r="G625">
        <v>58</v>
      </c>
      <c r="H625">
        <v>0</v>
      </c>
      <c r="I625" s="14">
        <v>372000</v>
      </c>
      <c r="J625" s="14">
        <v>372000</v>
      </c>
      <c r="Q625" s="14"/>
      <c r="R625" s="14"/>
      <c r="Y625" s="14"/>
      <c r="Z625" s="14"/>
      <c r="AG625" s="14"/>
      <c r="AH625" s="14"/>
      <c r="AI625" t="s">
        <v>944</v>
      </c>
      <c r="AJ625" t="s">
        <v>945</v>
      </c>
      <c r="AK625" t="s">
        <v>946</v>
      </c>
      <c r="AL625">
        <v>0</v>
      </c>
      <c r="AM625" t="s">
        <v>947</v>
      </c>
      <c r="AN625" t="s">
        <v>948</v>
      </c>
      <c r="AO625" t="s">
        <v>125</v>
      </c>
      <c r="AP625" t="s">
        <v>949</v>
      </c>
      <c r="AQ625" s="15">
        <v>46142</v>
      </c>
      <c r="AR625" s="15">
        <v>46116</v>
      </c>
      <c r="AS625" t="s">
        <v>1055</v>
      </c>
      <c r="AT625">
        <v>1</v>
      </c>
      <c r="AU625">
        <v>18600</v>
      </c>
      <c r="AV625">
        <v>0</v>
      </c>
      <c r="AW625">
        <v>0</v>
      </c>
      <c r="AX625" s="14">
        <v>18600</v>
      </c>
      <c r="AY625" s="14">
        <v>18600</v>
      </c>
      <c r="AZ625" s="14">
        <v>0</v>
      </c>
      <c r="BA625">
        <v>0</v>
      </c>
      <c r="BB625" t="s">
        <v>23</v>
      </c>
      <c r="BC625" t="s">
        <v>128</v>
      </c>
      <c r="BD625" t="s">
        <v>434</v>
      </c>
      <c r="BE625" t="s">
        <v>130</v>
      </c>
      <c r="BG625" t="s">
        <v>1669</v>
      </c>
      <c r="BH625" t="s">
        <v>132</v>
      </c>
      <c r="BJ625">
        <v>4</v>
      </c>
      <c r="BK625" t="s">
        <v>133</v>
      </c>
      <c r="BV625" t="s">
        <v>134</v>
      </c>
      <c r="BW625" s="16">
        <v>45878.92083333333</v>
      </c>
      <c r="BX625" t="s">
        <v>143</v>
      </c>
      <c r="BZ625">
        <v>15</v>
      </c>
      <c r="CA625" t="s">
        <v>1670</v>
      </c>
      <c r="CB625">
        <v>0</v>
      </c>
      <c r="CF625" t="s">
        <v>1087</v>
      </c>
      <c r="CG625">
        <v>2026</v>
      </c>
      <c r="CH625" t="s">
        <v>138</v>
      </c>
      <c r="CI625" t="s">
        <v>139</v>
      </c>
    </row>
    <row r="626" spans="1:87" x14ac:dyDescent="0.3">
      <c r="A626" t="s">
        <v>426</v>
      </c>
      <c r="B626" t="s">
        <v>116</v>
      </c>
      <c r="C626" t="s">
        <v>117</v>
      </c>
      <c r="D626" t="s">
        <v>118</v>
      </c>
      <c r="E626" t="s">
        <v>14</v>
      </c>
      <c r="F626" t="s">
        <v>943</v>
      </c>
      <c r="G626">
        <v>58</v>
      </c>
      <c r="H626">
        <v>0</v>
      </c>
      <c r="I626" s="14">
        <v>372000</v>
      </c>
      <c r="J626" s="14">
        <v>372000</v>
      </c>
      <c r="Q626" s="14"/>
      <c r="R626" s="14"/>
      <c r="Y626" s="14"/>
      <c r="Z626" s="14"/>
      <c r="AG626" s="14"/>
      <c r="AH626" s="14"/>
      <c r="AI626" t="s">
        <v>944</v>
      </c>
      <c r="AJ626" t="s">
        <v>945</v>
      </c>
      <c r="AK626" t="s">
        <v>946</v>
      </c>
      <c r="AL626">
        <v>0</v>
      </c>
      <c r="AM626" t="s">
        <v>947</v>
      </c>
      <c r="AN626" t="s">
        <v>948</v>
      </c>
      <c r="AO626" t="s">
        <v>125</v>
      </c>
      <c r="AP626" t="s">
        <v>949</v>
      </c>
      <c r="AQ626" s="15">
        <v>46203</v>
      </c>
      <c r="AR626" s="15">
        <v>46172</v>
      </c>
      <c r="AS626" t="s">
        <v>227</v>
      </c>
      <c r="AT626">
        <v>1</v>
      </c>
      <c r="AU626">
        <v>334800</v>
      </c>
      <c r="AV626">
        <v>0</v>
      </c>
      <c r="AW626">
        <v>0</v>
      </c>
      <c r="AX626" s="14">
        <v>334800</v>
      </c>
      <c r="AY626" s="14">
        <v>334800</v>
      </c>
      <c r="AZ626" s="14">
        <v>0</v>
      </c>
      <c r="BA626">
        <v>0</v>
      </c>
      <c r="BB626" t="s">
        <v>23</v>
      </c>
      <c r="BC626" t="s">
        <v>128</v>
      </c>
      <c r="BD626" t="s">
        <v>434</v>
      </c>
      <c r="BE626" t="s">
        <v>130</v>
      </c>
      <c r="BH626" t="s">
        <v>132</v>
      </c>
      <c r="BJ626">
        <v>4</v>
      </c>
      <c r="BK626" t="s">
        <v>133</v>
      </c>
      <c r="BV626" t="s">
        <v>134</v>
      </c>
      <c r="BW626" s="16">
        <v>45878.92083333333</v>
      </c>
      <c r="BX626" t="s">
        <v>143</v>
      </c>
      <c r="BZ626">
        <v>15</v>
      </c>
      <c r="CA626" t="s">
        <v>1671</v>
      </c>
      <c r="CB626">
        <v>0</v>
      </c>
      <c r="CF626" t="s">
        <v>1087</v>
      </c>
      <c r="CG626">
        <v>2026</v>
      </c>
      <c r="CH626" t="s">
        <v>138</v>
      </c>
      <c r="CI626" t="s">
        <v>139</v>
      </c>
    </row>
    <row r="627" spans="1:87" x14ac:dyDescent="0.3">
      <c r="A627" t="s">
        <v>426</v>
      </c>
      <c r="B627" t="s">
        <v>116</v>
      </c>
      <c r="C627" t="s">
        <v>117</v>
      </c>
      <c r="D627" t="s">
        <v>118</v>
      </c>
      <c r="E627" t="s">
        <v>14</v>
      </c>
      <c r="F627" t="s">
        <v>483</v>
      </c>
      <c r="G627">
        <v>78</v>
      </c>
      <c r="H627">
        <v>0</v>
      </c>
      <c r="I627" s="14">
        <v>545000</v>
      </c>
      <c r="J627" s="14">
        <v>545000</v>
      </c>
      <c r="K627" t="s">
        <v>117</v>
      </c>
      <c r="L627" t="s">
        <v>118</v>
      </c>
      <c r="M627" t="s">
        <v>140</v>
      </c>
      <c r="N627" t="s">
        <v>952</v>
      </c>
      <c r="O627">
        <v>14.25</v>
      </c>
      <c r="P627">
        <v>0</v>
      </c>
      <c r="Q627" s="14">
        <v>50800</v>
      </c>
      <c r="R627" s="14">
        <v>50800</v>
      </c>
      <c r="Y627" s="14"/>
      <c r="Z627" s="14"/>
      <c r="AG627" s="14"/>
      <c r="AH627" s="14"/>
      <c r="AI627" t="s">
        <v>953</v>
      </c>
      <c r="AJ627" t="s">
        <v>954</v>
      </c>
      <c r="AK627" t="s">
        <v>955</v>
      </c>
      <c r="AL627">
        <v>0</v>
      </c>
      <c r="AM627" t="s">
        <v>956</v>
      </c>
      <c r="AN627" t="s">
        <v>957</v>
      </c>
      <c r="AO627" t="s">
        <v>125</v>
      </c>
      <c r="AP627" t="s">
        <v>958</v>
      </c>
      <c r="AQ627" s="15">
        <v>46052</v>
      </c>
      <c r="AR627" s="15">
        <v>46021</v>
      </c>
      <c r="AS627" t="s">
        <v>227</v>
      </c>
      <c r="AT627">
        <v>5</v>
      </c>
      <c r="AU627">
        <v>6000</v>
      </c>
      <c r="AV627">
        <v>0</v>
      </c>
      <c r="AW627">
        <v>0</v>
      </c>
      <c r="AX627" s="14">
        <v>6000</v>
      </c>
      <c r="AY627" s="14">
        <v>6000</v>
      </c>
      <c r="AZ627" s="14">
        <v>0</v>
      </c>
      <c r="BA627">
        <v>0</v>
      </c>
      <c r="BB627" t="s">
        <v>22</v>
      </c>
      <c r="BC627" t="s">
        <v>128</v>
      </c>
      <c r="BD627" t="s">
        <v>434</v>
      </c>
      <c r="BE627" t="s">
        <v>287</v>
      </c>
      <c r="BG627" t="s">
        <v>1672</v>
      </c>
      <c r="BH627" t="s">
        <v>132</v>
      </c>
      <c r="BJ627">
        <v>4</v>
      </c>
      <c r="BK627" t="s">
        <v>133</v>
      </c>
      <c r="BV627" t="s">
        <v>134</v>
      </c>
      <c r="BW627" s="16">
        <v>45857.519444444442</v>
      </c>
      <c r="BX627" t="s">
        <v>143</v>
      </c>
      <c r="BZ627">
        <v>11</v>
      </c>
      <c r="CA627" t="s">
        <v>1673</v>
      </c>
      <c r="CB627">
        <v>0</v>
      </c>
      <c r="CF627" t="s">
        <v>1087</v>
      </c>
      <c r="CG627">
        <v>2026</v>
      </c>
      <c r="CH627" t="s">
        <v>138</v>
      </c>
      <c r="CI627" t="s">
        <v>139</v>
      </c>
    </row>
    <row r="628" spans="1:87" x14ac:dyDescent="0.3">
      <c r="A628" t="s">
        <v>426</v>
      </c>
      <c r="B628" t="s">
        <v>116</v>
      </c>
      <c r="C628" t="s">
        <v>117</v>
      </c>
      <c r="D628" t="s">
        <v>118</v>
      </c>
      <c r="E628" t="s">
        <v>14</v>
      </c>
      <c r="F628" t="s">
        <v>483</v>
      </c>
      <c r="G628">
        <v>78</v>
      </c>
      <c r="H628">
        <v>0</v>
      </c>
      <c r="I628" s="14">
        <v>545000</v>
      </c>
      <c r="J628" s="14">
        <v>545000</v>
      </c>
      <c r="K628" t="s">
        <v>117</v>
      </c>
      <c r="L628" t="s">
        <v>118</v>
      </c>
      <c r="M628" t="s">
        <v>140</v>
      </c>
      <c r="N628" t="s">
        <v>952</v>
      </c>
      <c r="O628">
        <v>14.25</v>
      </c>
      <c r="P628">
        <v>0</v>
      </c>
      <c r="Q628" s="14">
        <v>50800</v>
      </c>
      <c r="R628" s="14">
        <v>50800</v>
      </c>
      <c r="Y628" s="14"/>
      <c r="Z628" s="14"/>
      <c r="AG628" s="14"/>
      <c r="AH628" s="14"/>
      <c r="AI628" t="s">
        <v>953</v>
      </c>
      <c r="AJ628" t="s">
        <v>954</v>
      </c>
      <c r="AK628" t="s">
        <v>955</v>
      </c>
      <c r="AL628">
        <v>0</v>
      </c>
      <c r="AM628" t="s">
        <v>956</v>
      </c>
      <c r="AN628" t="s">
        <v>957</v>
      </c>
      <c r="AO628" t="s">
        <v>125</v>
      </c>
      <c r="AP628" t="s">
        <v>958</v>
      </c>
      <c r="AQ628" s="15">
        <v>46081</v>
      </c>
      <c r="AR628" s="15">
        <v>46050</v>
      </c>
      <c r="AS628" t="s">
        <v>227</v>
      </c>
      <c r="AT628">
        <v>6</v>
      </c>
      <c r="AU628">
        <v>6000</v>
      </c>
      <c r="AV628">
        <v>0</v>
      </c>
      <c r="AW628">
        <v>0</v>
      </c>
      <c r="AX628" s="14">
        <v>6000</v>
      </c>
      <c r="AY628" s="14">
        <v>6000</v>
      </c>
      <c r="AZ628" s="14">
        <v>0</v>
      </c>
      <c r="BA628">
        <v>0</v>
      </c>
      <c r="BB628" t="s">
        <v>22</v>
      </c>
      <c r="BC628" t="s">
        <v>128</v>
      </c>
      <c r="BD628" t="s">
        <v>434</v>
      </c>
      <c r="BE628" t="s">
        <v>287</v>
      </c>
      <c r="BG628" t="s">
        <v>1674</v>
      </c>
      <c r="BH628" t="s">
        <v>132</v>
      </c>
      <c r="BJ628">
        <v>4</v>
      </c>
      <c r="BK628" t="s">
        <v>133</v>
      </c>
      <c r="BV628" t="s">
        <v>134</v>
      </c>
      <c r="BW628" s="16">
        <v>45857.519444444442</v>
      </c>
      <c r="BX628" t="s">
        <v>143</v>
      </c>
      <c r="BZ628">
        <v>11</v>
      </c>
      <c r="CA628" t="s">
        <v>1675</v>
      </c>
      <c r="CB628">
        <v>0</v>
      </c>
      <c r="CF628" t="s">
        <v>1087</v>
      </c>
      <c r="CG628">
        <v>2026</v>
      </c>
      <c r="CH628" t="s">
        <v>138</v>
      </c>
      <c r="CI628" t="s">
        <v>139</v>
      </c>
    </row>
    <row r="629" spans="1:87" x14ac:dyDescent="0.3">
      <c r="A629" t="s">
        <v>426</v>
      </c>
      <c r="B629" t="s">
        <v>116</v>
      </c>
      <c r="C629" t="s">
        <v>117</v>
      </c>
      <c r="D629" t="s">
        <v>118</v>
      </c>
      <c r="E629" t="s">
        <v>14</v>
      </c>
      <c r="F629" t="s">
        <v>483</v>
      </c>
      <c r="G629">
        <v>78</v>
      </c>
      <c r="H629">
        <v>0</v>
      </c>
      <c r="I629" s="14">
        <v>545000</v>
      </c>
      <c r="J629" s="14">
        <v>545000</v>
      </c>
      <c r="K629" t="s">
        <v>117</v>
      </c>
      <c r="L629" t="s">
        <v>118</v>
      </c>
      <c r="M629" t="s">
        <v>140</v>
      </c>
      <c r="N629" t="s">
        <v>952</v>
      </c>
      <c r="O629">
        <v>14.25</v>
      </c>
      <c r="P629">
        <v>0</v>
      </c>
      <c r="Q629" s="14">
        <v>50800</v>
      </c>
      <c r="R629" s="14">
        <v>50800</v>
      </c>
      <c r="Y629" s="14"/>
      <c r="Z629" s="14"/>
      <c r="AG629" s="14"/>
      <c r="AH629" s="14"/>
      <c r="AI629" t="s">
        <v>953</v>
      </c>
      <c r="AJ629" t="s">
        <v>954</v>
      </c>
      <c r="AK629" t="s">
        <v>955</v>
      </c>
      <c r="AL629">
        <v>0</v>
      </c>
      <c r="AM629" t="s">
        <v>956</v>
      </c>
      <c r="AN629" t="s">
        <v>957</v>
      </c>
      <c r="AO629" t="s">
        <v>125</v>
      </c>
      <c r="AP629" t="s">
        <v>958</v>
      </c>
      <c r="AQ629" s="15">
        <v>46111</v>
      </c>
      <c r="AR629" s="15"/>
      <c r="AS629" t="s">
        <v>227</v>
      </c>
      <c r="AT629">
        <v>7</v>
      </c>
      <c r="AU629">
        <v>6000</v>
      </c>
      <c r="AV629">
        <v>0</v>
      </c>
      <c r="AW629">
        <v>0</v>
      </c>
      <c r="AX629" s="14">
        <v>6000</v>
      </c>
      <c r="AY629" s="14">
        <v>0</v>
      </c>
      <c r="AZ629" s="14">
        <v>6000</v>
      </c>
      <c r="BB629" t="s">
        <v>22</v>
      </c>
      <c r="BH629" t="s">
        <v>132</v>
      </c>
      <c r="BK629" t="s">
        <v>550</v>
      </c>
      <c r="BV629" t="s">
        <v>132</v>
      </c>
      <c r="BW629" s="16">
        <v>45857.519444444442</v>
      </c>
      <c r="BX629" t="s">
        <v>143</v>
      </c>
      <c r="BZ629">
        <v>11</v>
      </c>
      <c r="CB629">
        <v>0</v>
      </c>
      <c r="CF629" t="s">
        <v>1087</v>
      </c>
      <c r="CG629">
        <v>2026</v>
      </c>
      <c r="CH629" t="s">
        <v>138</v>
      </c>
      <c r="CI629" t="s">
        <v>139</v>
      </c>
    </row>
    <row r="630" spans="1:87" x14ac:dyDescent="0.3">
      <c r="A630" t="s">
        <v>426</v>
      </c>
      <c r="B630" t="s">
        <v>116</v>
      </c>
      <c r="C630" t="s">
        <v>117</v>
      </c>
      <c r="D630" t="s">
        <v>118</v>
      </c>
      <c r="E630" t="s">
        <v>14</v>
      </c>
      <c r="F630" t="s">
        <v>483</v>
      </c>
      <c r="G630">
        <v>78</v>
      </c>
      <c r="H630">
        <v>0</v>
      </c>
      <c r="I630" s="14">
        <v>545000</v>
      </c>
      <c r="J630" s="14">
        <v>545000</v>
      </c>
      <c r="K630" t="s">
        <v>117</v>
      </c>
      <c r="L630" t="s">
        <v>118</v>
      </c>
      <c r="M630" t="s">
        <v>140</v>
      </c>
      <c r="N630" t="s">
        <v>952</v>
      </c>
      <c r="O630">
        <v>14.25</v>
      </c>
      <c r="P630">
        <v>0</v>
      </c>
      <c r="Q630" s="14">
        <v>50800</v>
      </c>
      <c r="R630" s="14">
        <v>50800</v>
      </c>
      <c r="Y630" s="14"/>
      <c r="Z630" s="14"/>
      <c r="AG630" s="14"/>
      <c r="AH630" s="14"/>
      <c r="AI630" t="s">
        <v>953</v>
      </c>
      <c r="AJ630" t="s">
        <v>954</v>
      </c>
      <c r="AK630" t="s">
        <v>955</v>
      </c>
      <c r="AL630">
        <v>0</v>
      </c>
      <c r="AM630" t="s">
        <v>956</v>
      </c>
      <c r="AN630" t="s">
        <v>957</v>
      </c>
      <c r="AO630" t="s">
        <v>125</v>
      </c>
      <c r="AP630" t="s">
        <v>958</v>
      </c>
      <c r="AQ630" s="15">
        <v>46142</v>
      </c>
      <c r="AR630" s="15"/>
      <c r="AS630" t="s">
        <v>227</v>
      </c>
      <c r="AT630">
        <v>8</v>
      </c>
      <c r="AU630">
        <v>6000</v>
      </c>
      <c r="AV630">
        <v>0</v>
      </c>
      <c r="AW630">
        <v>0</v>
      </c>
      <c r="AX630" s="14">
        <v>6000</v>
      </c>
      <c r="AY630" s="14">
        <v>0</v>
      </c>
      <c r="AZ630" s="14">
        <v>6000</v>
      </c>
      <c r="BB630" t="s">
        <v>22</v>
      </c>
      <c r="BH630" t="s">
        <v>132</v>
      </c>
      <c r="BK630" t="s">
        <v>550</v>
      </c>
      <c r="BV630" t="s">
        <v>132</v>
      </c>
      <c r="BW630" s="16">
        <v>45857.519444444442</v>
      </c>
      <c r="BX630" t="s">
        <v>143</v>
      </c>
      <c r="BZ630">
        <v>11</v>
      </c>
      <c r="CB630">
        <v>0</v>
      </c>
      <c r="CF630" t="s">
        <v>1087</v>
      </c>
      <c r="CG630">
        <v>2026</v>
      </c>
      <c r="CH630" t="s">
        <v>138</v>
      </c>
      <c r="CI630" t="s">
        <v>139</v>
      </c>
    </row>
    <row r="631" spans="1:87" x14ac:dyDescent="0.3">
      <c r="A631" t="s">
        <v>426</v>
      </c>
      <c r="B631" t="s">
        <v>116</v>
      </c>
      <c r="C631" t="s">
        <v>117</v>
      </c>
      <c r="D631" t="s">
        <v>118</v>
      </c>
      <c r="E631" t="s">
        <v>14</v>
      </c>
      <c r="F631" t="s">
        <v>483</v>
      </c>
      <c r="G631">
        <v>78</v>
      </c>
      <c r="H631">
        <v>0</v>
      </c>
      <c r="I631" s="14">
        <v>545000</v>
      </c>
      <c r="J631" s="14">
        <v>545000</v>
      </c>
      <c r="K631" t="s">
        <v>117</v>
      </c>
      <c r="L631" t="s">
        <v>118</v>
      </c>
      <c r="M631" t="s">
        <v>140</v>
      </c>
      <c r="N631" t="s">
        <v>952</v>
      </c>
      <c r="O631">
        <v>14.25</v>
      </c>
      <c r="P631">
        <v>0</v>
      </c>
      <c r="Q631" s="14">
        <v>50800</v>
      </c>
      <c r="R631" s="14">
        <v>50800</v>
      </c>
      <c r="Y631" s="14"/>
      <c r="Z631" s="14"/>
      <c r="AG631" s="14"/>
      <c r="AH631" s="14"/>
      <c r="AI631" t="s">
        <v>953</v>
      </c>
      <c r="AJ631" t="s">
        <v>954</v>
      </c>
      <c r="AK631" t="s">
        <v>955</v>
      </c>
      <c r="AL631">
        <v>0</v>
      </c>
      <c r="AM631" t="s">
        <v>956</v>
      </c>
      <c r="AN631" t="s">
        <v>957</v>
      </c>
      <c r="AO631" t="s">
        <v>125</v>
      </c>
      <c r="AP631" t="s">
        <v>958</v>
      </c>
      <c r="AQ631" s="15">
        <v>46172</v>
      </c>
      <c r="AR631" s="15"/>
      <c r="AS631" t="s">
        <v>227</v>
      </c>
      <c r="AT631">
        <v>9</v>
      </c>
      <c r="AU631">
        <v>6000</v>
      </c>
      <c r="AV631">
        <v>0</v>
      </c>
      <c r="AW631">
        <v>0</v>
      </c>
      <c r="AX631" s="14">
        <v>6000</v>
      </c>
      <c r="AY631" s="14">
        <v>0</v>
      </c>
      <c r="AZ631" s="14">
        <v>6000</v>
      </c>
      <c r="BB631" t="s">
        <v>22</v>
      </c>
      <c r="BH631" t="s">
        <v>132</v>
      </c>
      <c r="BK631" t="s">
        <v>550</v>
      </c>
      <c r="BV631" t="s">
        <v>132</v>
      </c>
      <c r="BW631" s="16">
        <v>45857.519444444442</v>
      </c>
      <c r="BX631" t="s">
        <v>143</v>
      </c>
      <c r="BZ631">
        <v>11</v>
      </c>
      <c r="CB631">
        <v>0</v>
      </c>
      <c r="CF631" t="s">
        <v>1087</v>
      </c>
      <c r="CG631">
        <v>2026</v>
      </c>
      <c r="CH631" t="s">
        <v>138</v>
      </c>
      <c r="CI631" t="s">
        <v>139</v>
      </c>
    </row>
    <row r="632" spans="1:87" x14ac:dyDescent="0.3">
      <c r="A632" t="s">
        <v>426</v>
      </c>
      <c r="B632" t="s">
        <v>116</v>
      </c>
      <c r="C632" t="s">
        <v>117</v>
      </c>
      <c r="D632" t="s">
        <v>118</v>
      </c>
      <c r="E632" t="s">
        <v>14</v>
      </c>
      <c r="F632" t="s">
        <v>483</v>
      </c>
      <c r="G632">
        <v>78</v>
      </c>
      <c r="H632">
        <v>0</v>
      </c>
      <c r="I632" s="14">
        <v>545000</v>
      </c>
      <c r="J632" s="14">
        <v>545000</v>
      </c>
      <c r="K632" t="s">
        <v>117</v>
      </c>
      <c r="L632" t="s">
        <v>118</v>
      </c>
      <c r="M632" t="s">
        <v>140</v>
      </c>
      <c r="N632" t="s">
        <v>952</v>
      </c>
      <c r="O632">
        <v>14.25</v>
      </c>
      <c r="P632">
        <v>0</v>
      </c>
      <c r="Q632" s="14">
        <v>50800</v>
      </c>
      <c r="R632" s="14">
        <v>50800</v>
      </c>
      <c r="Y632" s="14"/>
      <c r="Z632" s="14"/>
      <c r="AG632" s="14"/>
      <c r="AH632" s="14"/>
      <c r="AI632" t="s">
        <v>953</v>
      </c>
      <c r="AJ632" t="s">
        <v>954</v>
      </c>
      <c r="AK632" t="s">
        <v>955</v>
      </c>
      <c r="AL632">
        <v>0</v>
      </c>
      <c r="AM632" t="s">
        <v>956</v>
      </c>
      <c r="AN632" t="s">
        <v>957</v>
      </c>
      <c r="AO632" t="s">
        <v>125</v>
      </c>
      <c r="AP632" t="s">
        <v>958</v>
      </c>
      <c r="AQ632" s="15">
        <v>46203</v>
      </c>
      <c r="AR632" s="15"/>
      <c r="AS632" t="s">
        <v>227</v>
      </c>
      <c r="AT632">
        <v>10</v>
      </c>
      <c r="AU632">
        <v>6000</v>
      </c>
      <c r="AV632">
        <v>0</v>
      </c>
      <c r="AW632">
        <v>0</v>
      </c>
      <c r="AX632" s="14">
        <v>6000</v>
      </c>
      <c r="AY632" s="14">
        <v>0</v>
      </c>
      <c r="AZ632" s="14">
        <v>6000</v>
      </c>
      <c r="BB632" t="s">
        <v>22</v>
      </c>
      <c r="BH632" t="s">
        <v>132</v>
      </c>
      <c r="BK632" t="s">
        <v>550</v>
      </c>
      <c r="BV632" t="s">
        <v>132</v>
      </c>
      <c r="BW632" s="16">
        <v>45857.519444444442</v>
      </c>
      <c r="BX632" t="s">
        <v>143</v>
      </c>
      <c r="BZ632">
        <v>11</v>
      </c>
      <c r="CB632">
        <v>0</v>
      </c>
      <c r="CF632" t="s">
        <v>1087</v>
      </c>
      <c r="CG632">
        <v>2026</v>
      </c>
      <c r="CH632" t="s">
        <v>138</v>
      </c>
      <c r="CI632" t="s">
        <v>139</v>
      </c>
    </row>
    <row r="633" spans="1:87" x14ac:dyDescent="0.3">
      <c r="A633" t="s">
        <v>426</v>
      </c>
      <c r="B633" t="s">
        <v>116</v>
      </c>
      <c r="C633" t="s">
        <v>117</v>
      </c>
      <c r="D633" t="s">
        <v>118</v>
      </c>
      <c r="E633" t="s">
        <v>14</v>
      </c>
      <c r="F633" t="s">
        <v>483</v>
      </c>
      <c r="G633">
        <v>78</v>
      </c>
      <c r="H633">
        <v>0</v>
      </c>
      <c r="I633" s="14">
        <v>545000</v>
      </c>
      <c r="J633" s="14">
        <v>545000</v>
      </c>
      <c r="K633" t="s">
        <v>117</v>
      </c>
      <c r="L633" t="s">
        <v>118</v>
      </c>
      <c r="M633" t="s">
        <v>140</v>
      </c>
      <c r="N633" t="s">
        <v>952</v>
      </c>
      <c r="O633">
        <v>14.25</v>
      </c>
      <c r="P633">
        <v>0</v>
      </c>
      <c r="Q633" s="14">
        <v>50800</v>
      </c>
      <c r="R633" s="14">
        <v>50800</v>
      </c>
      <c r="Y633" s="14"/>
      <c r="Z633" s="14"/>
      <c r="AG633" s="14"/>
      <c r="AH633" s="14"/>
      <c r="AI633" t="s">
        <v>953</v>
      </c>
      <c r="AJ633" t="s">
        <v>954</v>
      </c>
      <c r="AK633" t="s">
        <v>955</v>
      </c>
      <c r="AL633">
        <v>0</v>
      </c>
      <c r="AM633" t="s">
        <v>956</v>
      </c>
      <c r="AN633" t="s">
        <v>957</v>
      </c>
      <c r="AO633" t="s">
        <v>125</v>
      </c>
      <c r="AP633" t="s">
        <v>958</v>
      </c>
      <c r="AQ633" s="15">
        <v>46233</v>
      </c>
      <c r="AR633" s="15"/>
      <c r="AS633" t="s">
        <v>227</v>
      </c>
      <c r="AT633">
        <v>11</v>
      </c>
      <c r="AU633">
        <v>6000</v>
      </c>
      <c r="AV633">
        <v>0</v>
      </c>
      <c r="AW633">
        <v>0</v>
      </c>
      <c r="AX633" s="14">
        <v>6000</v>
      </c>
      <c r="AY633" s="14">
        <v>0</v>
      </c>
      <c r="AZ633" s="14">
        <v>6000</v>
      </c>
      <c r="BB633" t="s">
        <v>22</v>
      </c>
      <c r="BH633" t="s">
        <v>132</v>
      </c>
      <c r="BK633" t="s">
        <v>550</v>
      </c>
      <c r="BV633" t="s">
        <v>132</v>
      </c>
      <c r="BW633" s="16">
        <v>45857.519444444442</v>
      </c>
      <c r="BX633" t="s">
        <v>143</v>
      </c>
      <c r="BZ633">
        <v>11</v>
      </c>
      <c r="CB633">
        <v>0</v>
      </c>
      <c r="CF633" t="s">
        <v>1087</v>
      </c>
      <c r="CG633">
        <v>2026</v>
      </c>
      <c r="CH633" t="s">
        <v>138</v>
      </c>
      <c r="CI633" t="s">
        <v>139</v>
      </c>
    </row>
    <row r="634" spans="1:87" x14ac:dyDescent="0.3">
      <c r="A634" t="s">
        <v>426</v>
      </c>
      <c r="B634" t="s">
        <v>116</v>
      </c>
      <c r="C634" t="s">
        <v>117</v>
      </c>
      <c r="D634" t="s">
        <v>118</v>
      </c>
      <c r="E634" t="s">
        <v>14</v>
      </c>
      <c r="F634" t="s">
        <v>483</v>
      </c>
      <c r="G634">
        <v>78</v>
      </c>
      <c r="H634">
        <v>0</v>
      </c>
      <c r="I634" s="14">
        <v>545000</v>
      </c>
      <c r="J634" s="14">
        <v>545000</v>
      </c>
      <c r="K634" t="s">
        <v>117</v>
      </c>
      <c r="L634" t="s">
        <v>118</v>
      </c>
      <c r="M634" t="s">
        <v>140</v>
      </c>
      <c r="N634" t="s">
        <v>952</v>
      </c>
      <c r="O634">
        <v>14.25</v>
      </c>
      <c r="P634">
        <v>0</v>
      </c>
      <c r="Q634" s="14">
        <v>50800</v>
      </c>
      <c r="R634" s="14">
        <v>50800</v>
      </c>
      <c r="Y634" s="14"/>
      <c r="Z634" s="14"/>
      <c r="AG634" s="14"/>
      <c r="AH634" s="14"/>
      <c r="AI634" t="s">
        <v>953</v>
      </c>
      <c r="AJ634" t="s">
        <v>954</v>
      </c>
      <c r="AK634" t="s">
        <v>955</v>
      </c>
      <c r="AL634">
        <v>0</v>
      </c>
      <c r="AM634" t="s">
        <v>956</v>
      </c>
      <c r="AN634" t="s">
        <v>957</v>
      </c>
      <c r="AO634" t="s">
        <v>125</v>
      </c>
      <c r="AP634" t="s">
        <v>958</v>
      </c>
      <c r="AQ634" s="15">
        <v>46264</v>
      </c>
      <c r="AR634" s="15"/>
      <c r="AS634" t="s">
        <v>227</v>
      </c>
      <c r="AT634">
        <v>12</v>
      </c>
      <c r="AU634">
        <v>6000</v>
      </c>
      <c r="AV634">
        <v>0</v>
      </c>
      <c r="AW634">
        <v>0</v>
      </c>
      <c r="AX634" s="14">
        <v>6000</v>
      </c>
      <c r="AY634" s="14">
        <v>0</v>
      </c>
      <c r="AZ634" s="14">
        <v>6000</v>
      </c>
      <c r="BB634" t="s">
        <v>22</v>
      </c>
      <c r="BH634" t="s">
        <v>132</v>
      </c>
      <c r="BK634" t="s">
        <v>550</v>
      </c>
      <c r="BV634" t="s">
        <v>132</v>
      </c>
      <c r="BW634" s="16">
        <v>45857.519444444442</v>
      </c>
      <c r="BX634" t="s">
        <v>143</v>
      </c>
      <c r="BZ634">
        <v>11</v>
      </c>
      <c r="CB634">
        <v>0</v>
      </c>
      <c r="CF634" t="s">
        <v>1087</v>
      </c>
      <c r="CG634">
        <v>2026</v>
      </c>
      <c r="CH634" t="s">
        <v>138</v>
      </c>
      <c r="CI634" t="s">
        <v>139</v>
      </c>
    </row>
    <row r="635" spans="1:87" x14ac:dyDescent="0.3">
      <c r="A635" t="s">
        <v>426</v>
      </c>
      <c r="B635" t="s">
        <v>116</v>
      </c>
      <c r="C635" t="s">
        <v>117</v>
      </c>
      <c r="D635" t="s">
        <v>118</v>
      </c>
      <c r="E635" t="s">
        <v>14</v>
      </c>
      <c r="F635" t="s">
        <v>483</v>
      </c>
      <c r="G635">
        <v>78</v>
      </c>
      <c r="H635">
        <v>0</v>
      </c>
      <c r="I635" s="14">
        <v>545000</v>
      </c>
      <c r="J635" s="14">
        <v>545000</v>
      </c>
      <c r="K635" t="s">
        <v>117</v>
      </c>
      <c r="L635" t="s">
        <v>118</v>
      </c>
      <c r="M635" t="s">
        <v>140</v>
      </c>
      <c r="N635" t="s">
        <v>952</v>
      </c>
      <c r="O635">
        <v>14.25</v>
      </c>
      <c r="P635">
        <v>0</v>
      </c>
      <c r="Q635" s="14">
        <v>50800</v>
      </c>
      <c r="R635" s="14">
        <v>50800</v>
      </c>
      <c r="Y635" s="14"/>
      <c r="Z635" s="14"/>
      <c r="AG635" s="14"/>
      <c r="AH635" s="14"/>
      <c r="AI635" t="s">
        <v>953</v>
      </c>
      <c r="AJ635" t="s">
        <v>954</v>
      </c>
      <c r="AK635" t="s">
        <v>955</v>
      </c>
      <c r="AL635">
        <v>0</v>
      </c>
      <c r="AM635" t="s">
        <v>956</v>
      </c>
      <c r="AN635" t="s">
        <v>957</v>
      </c>
      <c r="AO635" t="s">
        <v>125</v>
      </c>
      <c r="AP635" t="s">
        <v>958</v>
      </c>
      <c r="AQ635" s="15">
        <v>46295</v>
      </c>
      <c r="AR635" s="15"/>
      <c r="AS635" t="s">
        <v>227</v>
      </c>
      <c r="AT635">
        <v>13</v>
      </c>
      <c r="AU635">
        <v>6000</v>
      </c>
      <c r="AV635">
        <v>0</v>
      </c>
      <c r="AW635">
        <v>0</v>
      </c>
      <c r="AX635" s="14">
        <v>6000</v>
      </c>
      <c r="AY635" s="14">
        <v>0</v>
      </c>
      <c r="AZ635" s="14">
        <v>6000</v>
      </c>
      <c r="BB635" t="s">
        <v>22</v>
      </c>
      <c r="BH635" t="s">
        <v>132</v>
      </c>
      <c r="BK635" t="s">
        <v>1100</v>
      </c>
      <c r="BV635" t="s">
        <v>132</v>
      </c>
      <c r="BW635" s="16">
        <v>45857.519444444442</v>
      </c>
      <c r="BX635" t="s">
        <v>143</v>
      </c>
      <c r="BZ635">
        <v>11</v>
      </c>
      <c r="CB635">
        <v>0</v>
      </c>
      <c r="CF635" t="s">
        <v>1087</v>
      </c>
      <c r="CG635">
        <v>2026</v>
      </c>
      <c r="CH635" t="s">
        <v>138</v>
      </c>
      <c r="CI635" t="s">
        <v>139</v>
      </c>
    </row>
    <row r="636" spans="1:87" x14ac:dyDescent="0.3">
      <c r="A636" t="s">
        <v>426</v>
      </c>
      <c r="B636" t="s">
        <v>116</v>
      </c>
      <c r="C636" t="s">
        <v>117</v>
      </c>
      <c r="D636" t="s">
        <v>118</v>
      </c>
      <c r="E636" t="s">
        <v>14</v>
      </c>
      <c r="F636" t="s">
        <v>483</v>
      </c>
      <c r="G636">
        <v>78</v>
      </c>
      <c r="H636">
        <v>0</v>
      </c>
      <c r="I636" s="14">
        <v>545000</v>
      </c>
      <c r="J636" s="14">
        <v>545000</v>
      </c>
      <c r="K636" t="s">
        <v>117</v>
      </c>
      <c r="L636" t="s">
        <v>118</v>
      </c>
      <c r="M636" t="s">
        <v>140</v>
      </c>
      <c r="N636" t="s">
        <v>952</v>
      </c>
      <c r="O636">
        <v>14.25</v>
      </c>
      <c r="P636">
        <v>0</v>
      </c>
      <c r="Q636" s="14">
        <v>50800</v>
      </c>
      <c r="R636" s="14">
        <v>50800</v>
      </c>
      <c r="Y636" s="14"/>
      <c r="Z636" s="14"/>
      <c r="AG636" s="14"/>
      <c r="AH636" s="14"/>
      <c r="AI636" t="s">
        <v>953</v>
      </c>
      <c r="AJ636" t="s">
        <v>954</v>
      </c>
      <c r="AK636" t="s">
        <v>955</v>
      </c>
      <c r="AL636">
        <v>0</v>
      </c>
      <c r="AM636" t="s">
        <v>956</v>
      </c>
      <c r="AN636" t="s">
        <v>957</v>
      </c>
      <c r="AO636" t="s">
        <v>125</v>
      </c>
      <c r="AP636" t="s">
        <v>958</v>
      </c>
      <c r="AQ636" s="15">
        <v>46325</v>
      </c>
      <c r="AR636" s="15"/>
      <c r="AS636" t="s">
        <v>227</v>
      </c>
      <c r="AT636">
        <v>14</v>
      </c>
      <c r="AU636">
        <v>6000</v>
      </c>
      <c r="AV636">
        <v>0</v>
      </c>
      <c r="AW636">
        <v>0</v>
      </c>
      <c r="AX636" s="14">
        <v>6000</v>
      </c>
      <c r="AY636" s="14">
        <v>0</v>
      </c>
      <c r="AZ636" s="14">
        <v>6000</v>
      </c>
      <c r="BB636" t="s">
        <v>22</v>
      </c>
      <c r="BH636" t="s">
        <v>132</v>
      </c>
      <c r="BK636" t="s">
        <v>1100</v>
      </c>
      <c r="BV636" t="s">
        <v>132</v>
      </c>
      <c r="BW636" s="16">
        <v>45857.519444444442</v>
      </c>
      <c r="BX636" t="s">
        <v>143</v>
      </c>
      <c r="BZ636">
        <v>11</v>
      </c>
      <c r="CB636">
        <v>0</v>
      </c>
      <c r="CF636" t="s">
        <v>1087</v>
      </c>
      <c r="CG636">
        <v>2026</v>
      </c>
      <c r="CH636" t="s">
        <v>138</v>
      </c>
      <c r="CI636" t="s">
        <v>139</v>
      </c>
    </row>
    <row r="637" spans="1:87" x14ac:dyDescent="0.3">
      <c r="A637" t="s">
        <v>426</v>
      </c>
      <c r="B637" t="s">
        <v>116</v>
      </c>
      <c r="C637" t="s">
        <v>117</v>
      </c>
      <c r="D637" t="s">
        <v>118</v>
      </c>
      <c r="E637" t="s">
        <v>14</v>
      </c>
      <c r="F637" t="s">
        <v>483</v>
      </c>
      <c r="G637">
        <v>78</v>
      </c>
      <c r="H637">
        <v>0</v>
      </c>
      <c r="I637" s="14">
        <v>545000</v>
      </c>
      <c r="J637" s="14">
        <v>545000</v>
      </c>
      <c r="K637" t="s">
        <v>117</v>
      </c>
      <c r="L637" t="s">
        <v>118</v>
      </c>
      <c r="M637" t="s">
        <v>140</v>
      </c>
      <c r="N637" t="s">
        <v>952</v>
      </c>
      <c r="O637">
        <v>14.25</v>
      </c>
      <c r="P637">
        <v>0</v>
      </c>
      <c r="Q637" s="14">
        <v>50800</v>
      </c>
      <c r="R637" s="14">
        <v>50800</v>
      </c>
      <c r="Y637" s="14"/>
      <c r="Z637" s="14"/>
      <c r="AG637" s="14"/>
      <c r="AH637" s="14"/>
      <c r="AI637" t="s">
        <v>953</v>
      </c>
      <c r="AJ637" t="s">
        <v>954</v>
      </c>
      <c r="AK637" t="s">
        <v>955</v>
      </c>
      <c r="AL637">
        <v>0</v>
      </c>
      <c r="AM637" t="s">
        <v>956</v>
      </c>
      <c r="AN637" t="s">
        <v>957</v>
      </c>
      <c r="AO637" t="s">
        <v>125</v>
      </c>
      <c r="AP637" t="s">
        <v>958</v>
      </c>
      <c r="AQ637" s="15">
        <v>46356</v>
      </c>
      <c r="AR637" s="15"/>
      <c r="AS637" t="s">
        <v>227</v>
      </c>
      <c r="AT637">
        <v>15</v>
      </c>
      <c r="AU637">
        <v>6000</v>
      </c>
      <c r="AV637">
        <v>0</v>
      </c>
      <c r="AW637">
        <v>0</v>
      </c>
      <c r="AX637" s="14">
        <v>6000</v>
      </c>
      <c r="AY637" s="14">
        <v>0</v>
      </c>
      <c r="AZ637" s="14">
        <v>6000</v>
      </c>
      <c r="BB637" t="s">
        <v>22</v>
      </c>
      <c r="BH637" t="s">
        <v>132</v>
      </c>
      <c r="BK637" t="s">
        <v>1100</v>
      </c>
      <c r="BV637" t="s">
        <v>132</v>
      </c>
      <c r="BW637" s="16">
        <v>45857.519444444442</v>
      </c>
      <c r="BX637" t="s">
        <v>143</v>
      </c>
      <c r="BZ637">
        <v>11</v>
      </c>
      <c r="CB637">
        <v>0</v>
      </c>
      <c r="CF637" t="s">
        <v>1087</v>
      </c>
      <c r="CG637">
        <v>2026</v>
      </c>
      <c r="CH637" t="s">
        <v>138</v>
      </c>
      <c r="CI637" t="s">
        <v>139</v>
      </c>
    </row>
    <row r="638" spans="1:87" x14ac:dyDescent="0.3">
      <c r="A638" t="s">
        <v>426</v>
      </c>
      <c r="B638" t="s">
        <v>116</v>
      </c>
      <c r="C638" t="s">
        <v>117</v>
      </c>
      <c r="D638" t="s">
        <v>118</v>
      </c>
      <c r="E638" t="s">
        <v>14</v>
      </c>
      <c r="F638" t="s">
        <v>483</v>
      </c>
      <c r="G638">
        <v>78</v>
      </c>
      <c r="H638">
        <v>0</v>
      </c>
      <c r="I638" s="14">
        <v>545000</v>
      </c>
      <c r="J638" s="14">
        <v>545000</v>
      </c>
      <c r="K638" t="s">
        <v>117</v>
      </c>
      <c r="L638" t="s">
        <v>118</v>
      </c>
      <c r="M638" t="s">
        <v>140</v>
      </c>
      <c r="N638" t="s">
        <v>952</v>
      </c>
      <c r="O638">
        <v>14.25</v>
      </c>
      <c r="P638">
        <v>0</v>
      </c>
      <c r="Q638" s="14">
        <v>50800</v>
      </c>
      <c r="R638" s="14">
        <v>50800</v>
      </c>
      <c r="Y638" s="14"/>
      <c r="Z638" s="14"/>
      <c r="AG638" s="14"/>
      <c r="AH638" s="14"/>
      <c r="AI638" t="s">
        <v>953</v>
      </c>
      <c r="AJ638" t="s">
        <v>954</v>
      </c>
      <c r="AK638" t="s">
        <v>955</v>
      </c>
      <c r="AL638">
        <v>0</v>
      </c>
      <c r="AM638" t="s">
        <v>956</v>
      </c>
      <c r="AN638" t="s">
        <v>957</v>
      </c>
      <c r="AO638" t="s">
        <v>125</v>
      </c>
      <c r="AP638" t="s">
        <v>958</v>
      </c>
      <c r="AQ638" s="15">
        <v>46386</v>
      </c>
      <c r="AR638" s="15"/>
      <c r="AS638" t="s">
        <v>227</v>
      </c>
      <c r="AT638">
        <v>16</v>
      </c>
      <c r="AU638">
        <v>6000</v>
      </c>
      <c r="AV638">
        <v>0</v>
      </c>
      <c r="AW638">
        <v>0</v>
      </c>
      <c r="AX638" s="14">
        <v>6000</v>
      </c>
      <c r="AY638" s="14">
        <v>0</v>
      </c>
      <c r="AZ638" s="14">
        <v>6000</v>
      </c>
      <c r="BB638" t="s">
        <v>22</v>
      </c>
      <c r="BH638" t="s">
        <v>132</v>
      </c>
      <c r="BK638" t="s">
        <v>1100</v>
      </c>
      <c r="BV638" t="s">
        <v>132</v>
      </c>
      <c r="BW638" s="16">
        <v>45857.519444444442</v>
      </c>
      <c r="BX638" t="s">
        <v>143</v>
      </c>
      <c r="BZ638">
        <v>11</v>
      </c>
      <c r="CB638">
        <v>0</v>
      </c>
      <c r="CF638" t="s">
        <v>1087</v>
      </c>
      <c r="CG638">
        <v>2026</v>
      </c>
      <c r="CH638" t="s">
        <v>138</v>
      </c>
      <c r="CI638" t="s">
        <v>139</v>
      </c>
    </row>
    <row r="639" spans="1:87" x14ac:dyDescent="0.3">
      <c r="A639" t="s">
        <v>165</v>
      </c>
      <c r="B639" t="s">
        <v>116</v>
      </c>
      <c r="C639" t="s">
        <v>117</v>
      </c>
      <c r="D639" t="s">
        <v>118</v>
      </c>
      <c r="E639" t="s">
        <v>14</v>
      </c>
      <c r="F639" t="s">
        <v>1676</v>
      </c>
      <c r="G639">
        <v>57</v>
      </c>
      <c r="H639">
        <v>0</v>
      </c>
      <c r="I639" s="14">
        <v>422000</v>
      </c>
      <c r="J639" s="14">
        <v>370000</v>
      </c>
      <c r="Q639" s="14"/>
      <c r="R639" s="14"/>
      <c r="Y639" s="14"/>
      <c r="Z639" s="14"/>
      <c r="AG639" s="14"/>
      <c r="AH639" s="14"/>
      <c r="AI639" t="s">
        <v>1677</v>
      </c>
      <c r="AJ639" t="s">
        <v>1678</v>
      </c>
      <c r="AK639" t="s">
        <v>1679</v>
      </c>
      <c r="AL639">
        <v>0</v>
      </c>
      <c r="AM639" t="s">
        <v>1680</v>
      </c>
      <c r="AN639" t="s">
        <v>1681</v>
      </c>
      <c r="AO639" t="s">
        <v>125</v>
      </c>
      <c r="AP639" t="s">
        <v>1682</v>
      </c>
      <c r="AQ639" s="15">
        <v>46137</v>
      </c>
      <c r="AR639" s="15">
        <v>46137</v>
      </c>
      <c r="AS639" t="s">
        <v>127</v>
      </c>
      <c r="AT639">
        <v>1</v>
      </c>
      <c r="AU639">
        <v>3000</v>
      </c>
      <c r="AV639">
        <v>0</v>
      </c>
      <c r="AW639">
        <v>0</v>
      </c>
      <c r="AX639" s="14">
        <v>3000</v>
      </c>
      <c r="AY639" s="14">
        <v>3000</v>
      </c>
      <c r="AZ639" s="14">
        <v>0</v>
      </c>
      <c r="BA639">
        <v>0</v>
      </c>
      <c r="BB639" t="s">
        <v>24</v>
      </c>
      <c r="BC639" t="s">
        <v>175</v>
      </c>
      <c r="BD639" t="s">
        <v>176</v>
      </c>
      <c r="BE639" t="s">
        <v>222</v>
      </c>
      <c r="BG639" t="s">
        <v>1683</v>
      </c>
      <c r="BH639" t="s">
        <v>132</v>
      </c>
      <c r="BJ639">
        <v>4</v>
      </c>
      <c r="BK639" t="s">
        <v>133</v>
      </c>
      <c r="BV639" t="s">
        <v>134</v>
      </c>
      <c r="BW639" s="16">
        <v>46142.441666666673</v>
      </c>
      <c r="BX639" t="s">
        <v>143</v>
      </c>
      <c r="BZ639">
        <v>12</v>
      </c>
      <c r="CA639" t="s">
        <v>1684</v>
      </c>
      <c r="CB639">
        <v>0</v>
      </c>
      <c r="CF639" t="s">
        <v>1087</v>
      </c>
      <c r="CG639">
        <v>2026</v>
      </c>
      <c r="CH639" t="s">
        <v>138</v>
      </c>
      <c r="CI639" t="s">
        <v>139</v>
      </c>
    </row>
    <row r="640" spans="1:87" x14ac:dyDescent="0.3">
      <c r="A640" t="s">
        <v>165</v>
      </c>
      <c r="B640" t="s">
        <v>116</v>
      </c>
      <c r="C640" t="s">
        <v>117</v>
      </c>
      <c r="D640" t="s">
        <v>118</v>
      </c>
      <c r="E640" t="s">
        <v>14</v>
      </c>
      <c r="F640" t="s">
        <v>1676</v>
      </c>
      <c r="G640">
        <v>57</v>
      </c>
      <c r="H640">
        <v>0</v>
      </c>
      <c r="I640" s="14">
        <v>422000</v>
      </c>
      <c r="J640" s="14">
        <v>370000</v>
      </c>
      <c r="Q640" s="14"/>
      <c r="R640" s="14"/>
      <c r="Y640" s="14"/>
      <c r="Z640" s="14"/>
      <c r="AG640" s="14"/>
      <c r="AH640" s="14"/>
      <c r="AI640" t="s">
        <v>1677</v>
      </c>
      <c r="AJ640" t="s">
        <v>1678</v>
      </c>
      <c r="AK640" t="s">
        <v>1679</v>
      </c>
      <c r="AL640">
        <v>0</v>
      </c>
      <c r="AM640" t="s">
        <v>1680</v>
      </c>
      <c r="AN640" t="s">
        <v>1681</v>
      </c>
      <c r="AO640" t="s">
        <v>125</v>
      </c>
      <c r="AP640" t="s">
        <v>1682</v>
      </c>
      <c r="AQ640" s="15">
        <v>46142</v>
      </c>
      <c r="AR640" s="15">
        <v>46142</v>
      </c>
      <c r="AS640" t="s">
        <v>145</v>
      </c>
      <c r="AT640">
        <v>1</v>
      </c>
      <c r="AU640">
        <v>123500</v>
      </c>
      <c r="AV640">
        <v>0</v>
      </c>
      <c r="AW640">
        <v>0</v>
      </c>
      <c r="AX640" s="14">
        <v>123500</v>
      </c>
      <c r="AY640" s="14">
        <v>123500</v>
      </c>
      <c r="AZ640" s="14">
        <v>0</v>
      </c>
      <c r="BA640">
        <v>0</v>
      </c>
      <c r="BB640" t="s">
        <v>24</v>
      </c>
      <c r="BC640" t="s">
        <v>175</v>
      </c>
      <c r="BD640" t="s">
        <v>176</v>
      </c>
      <c r="BE640" t="s">
        <v>130</v>
      </c>
      <c r="BG640" t="s">
        <v>1685</v>
      </c>
      <c r="BH640" t="s">
        <v>132</v>
      </c>
      <c r="BJ640">
        <v>4</v>
      </c>
      <c r="BK640" t="s">
        <v>133</v>
      </c>
      <c r="BV640" t="s">
        <v>134</v>
      </c>
      <c r="BW640" s="16">
        <v>46142.441666666673</v>
      </c>
      <c r="BX640" t="s">
        <v>143</v>
      </c>
      <c r="BZ640">
        <v>12</v>
      </c>
      <c r="CA640" t="s">
        <v>1686</v>
      </c>
      <c r="CB640">
        <v>0</v>
      </c>
      <c r="CF640" t="s">
        <v>1087</v>
      </c>
      <c r="CG640">
        <v>2026</v>
      </c>
      <c r="CH640" t="s">
        <v>138</v>
      </c>
      <c r="CI640" t="s">
        <v>139</v>
      </c>
    </row>
    <row r="641" spans="1:87" x14ac:dyDescent="0.3">
      <c r="A641" t="s">
        <v>165</v>
      </c>
      <c r="B641" t="s">
        <v>116</v>
      </c>
      <c r="C641" t="s">
        <v>117</v>
      </c>
      <c r="D641" t="s">
        <v>118</v>
      </c>
      <c r="E641" t="s">
        <v>14</v>
      </c>
      <c r="F641" t="s">
        <v>1676</v>
      </c>
      <c r="G641">
        <v>57</v>
      </c>
      <c r="H641">
        <v>0</v>
      </c>
      <c r="I641" s="14">
        <v>422000</v>
      </c>
      <c r="J641" s="14">
        <v>370000</v>
      </c>
      <c r="Q641" s="14"/>
      <c r="R641" s="14"/>
      <c r="Y641" s="14"/>
      <c r="Z641" s="14"/>
      <c r="AG641" s="14"/>
      <c r="AH641" s="14"/>
      <c r="AI641" t="s">
        <v>1677</v>
      </c>
      <c r="AJ641" t="s">
        <v>1678</v>
      </c>
      <c r="AK641" t="s">
        <v>1679</v>
      </c>
      <c r="AL641">
        <v>0</v>
      </c>
      <c r="AM641" t="s">
        <v>1680</v>
      </c>
      <c r="AN641" t="s">
        <v>1681</v>
      </c>
      <c r="AO641" t="s">
        <v>125</v>
      </c>
      <c r="AP641" t="s">
        <v>1682</v>
      </c>
      <c r="AQ641" s="15">
        <v>46295</v>
      </c>
      <c r="AR641" s="15"/>
      <c r="AS641" t="s">
        <v>145</v>
      </c>
      <c r="AT641">
        <v>2</v>
      </c>
      <c r="AU641">
        <v>123500</v>
      </c>
      <c r="AV641">
        <v>0</v>
      </c>
      <c r="AW641">
        <v>0</v>
      </c>
      <c r="AX641" s="14">
        <v>123500</v>
      </c>
      <c r="AY641" s="14">
        <v>0</v>
      </c>
      <c r="AZ641" s="14">
        <v>123500</v>
      </c>
      <c r="BB641" t="s">
        <v>24</v>
      </c>
      <c r="BH641" t="s">
        <v>132</v>
      </c>
      <c r="BK641" t="s">
        <v>1100</v>
      </c>
      <c r="BV641" t="s">
        <v>132</v>
      </c>
      <c r="BW641" s="16">
        <v>46142.441666666673</v>
      </c>
      <c r="BX641" t="s">
        <v>143</v>
      </c>
      <c r="BZ641">
        <v>12</v>
      </c>
      <c r="CB641">
        <v>0</v>
      </c>
      <c r="CF641" t="s">
        <v>1087</v>
      </c>
      <c r="CG641">
        <v>2026</v>
      </c>
      <c r="CH641" t="s">
        <v>138</v>
      </c>
      <c r="CI641" t="s">
        <v>139</v>
      </c>
    </row>
    <row r="642" spans="1:87" x14ac:dyDescent="0.3">
      <c r="A642" t="s">
        <v>165</v>
      </c>
      <c r="B642" t="s">
        <v>116</v>
      </c>
      <c r="C642" t="s">
        <v>117</v>
      </c>
      <c r="D642" t="s">
        <v>118</v>
      </c>
      <c r="E642" t="s">
        <v>14</v>
      </c>
      <c r="F642" t="s">
        <v>1676</v>
      </c>
      <c r="G642">
        <v>57</v>
      </c>
      <c r="H642">
        <v>0</v>
      </c>
      <c r="I642" s="14">
        <v>422000</v>
      </c>
      <c r="J642" s="14">
        <v>370000</v>
      </c>
      <c r="Q642" s="14"/>
      <c r="R642" s="14"/>
      <c r="Y642" s="14"/>
      <c r="Z642" s="14"/>
      <c r="AG642" s="14"/>
      <c r="AH642" s="14"/>
      <c r="AI642" t="s">
        <v>1677</v>
      </c>
      <c r="AJ642" t="s">
        <v>1678</v>
      </c>
      <c r="AK642" t="s">
        <v>1679</v>
      </c>
      <c r="AL642">
        <v>0</v>
      </c>
      <c r="AM642" t="s">
        <v>1680</v>
      </c>
      <c r="AN642" t="s">
        <v>1681</v>
      </c>
      <c r="AO642" t="s">
        <v>125</v>
      </c>
      <c r="AP642" t="s">
        <v>1682</v>
      </c>
      <c r="AQ642" s="15">
        <v>46356</v>
      </c>
      <c r="AR642" s="15"/>
      <c r="AS642" t="s">
        <v>227</v>
      </c>
      <c r="AT642">
        <v>1</v>
      </c>
      <c r="AU642">
        <v>120000</v>
      </c>
      <c r="AV642">
        <v>0</v>
      </c>
      <c r="AW642">
        <v>0</v>
      </c>
      <c r="AX642" s="14">
        <v>120000</v>
      </c>
      <c r="AY642" s="14">
        <v>0</v>
      </c>
      <c r="AZ642" s="14">
        <v>120000</v>
      </c>
      <c r="BB642" t="s">
        <v>24</v>
      </c>
      <c r="BH642" t="s">
        <v>132</v>
      </c>
      <c r="BK642" t="s">
        <v>1100</v>
      </c>
      <c r="BV642" t="s">
        <v>132</v>
      </c>
      <c r="BW642" s="16">
        <v>46142.441666666673</v>
      </c>
      <c r="BX642" t="s">
        <v>143</v>
      </c>
      <c r="BZ642">
        <v>12</v>
      </c>
      <c r="CB642">
        <v>0</v>
      </c>
      <c r="CF642" t="s">
        <v>1087</v>
      </c>
      <c r="CG642">
        <v>2026</v>
      </c>
      <c r="CH642" t="s">
        <v>138</v>
      </c>
      <c r="CI642" t="s">
        <v>139</v>
      </c>
    </row>
    <row r="643" spans="1:87" x14ac:dyDescent="0.3">
      <c r="A643" t="s">
        <v>165</v>
      </c>
      <c r="B643" t="s">
        <v>116</v>
      </c>
      <c r="C643" t="s">
        <v>117</v>
      </c>
      <c r="D643" t="s">
        <v>118</v>
      </c>
      <c r="E643" t="s">
        <v>14</v>
      </c>
      <c r="F643" t="s">
        <v>974</v>
      </c>
      <c r="G643">
        <v>67</v>
      </c>
      <c r="H643">
        <v>0</v>
      </c>
      <c r="I643" s="14">
        <v>460000</v>
      </c>
      <c r="J643" s="14">
        <v>460000</v>
      </c>
      <c r="K643" t="s">
        <v>117</v>
      </c>
      <c r="L643" t="s">
        <v>118</v>
      </c>
      <c r="M643" t="s">
        <v>140</v>
      </c>
      <c r="N643" t="s">
        <v>952</v>
      </c>
      <c r="O643">
        <v>12.5</v>
      </c>
      <c r="P643">
        <v>0</v>
      </c>
      <c r="Q643" s="14">
        <v>47500</v>
      </c>
      <c r="R643" s="14">
        <v>47500</v>
      </c>
      <c r="S643" t="s">
        <v>117</v>
      </c>
      <c r="T643" t="s">
        <v>118</v>
      </c>
      <c r="U643" t="s">
        <v>168</v>
      </c>
      <c r="V643" t="s">
        <v>975</v>
      </c>
      <c r="W643">
        <v>6</v>
      </c>
      <c r="X643">
        <v>0</v>
      </c>
      <c r="Y643" s="14">
        <v>21700</v>
      </c>
      <c r="Z643" s="14">
        <v>21700</v>
      </c>
      <c r="AA643" t="s">
        <v>117</v>
      </c>
      <c r="AB643" t="s">
        <v>118</v>
      </c>
      <c r="AC643" t="s">
        <v>168</v>
      </c>
      <c r="AD643" t="s">
        <v>976</v>
      </c>
      <c r="AE643">
        <v>2.62</v>
      </c>
      <c r="AF643">
        <v>0</v>
      </c>
      <c r="AG643" s="14">
        <v>9500</v>
      </c>
      <c r="AH643" s="14">
        <v>9500</v>
      </c>
      <c r="AI643" t="s">
        <v>977</v>
      </c>
      <c r="AJ643" t="s">
        <v>978</v>
      </c>
      <c r="AK643" t="s">
        <v>979</v>
      </c>
      <c r="AM643" t="s">
        <v>980</v>
      </c>
      <c r="AN643" t="s">
        <v>981</v>
      </c>
      <c r="AO643" t="s">
        <v>125</v>
      </c>
      <c r="AP643" t="s">
        <v>318</v>
      </c>
      <c r="AQ643" s="15">
        <v>46258.473611111112</v>
      </c>
      <c r="AR643" s="15">
        <v>45876</v>
      </c>
      <c r="AS643" t="s">
        <v>227</v>
      </c>
      <c r="AT643">
        <v>8</v>
      </c>
      <c r="AU643">
        <v>190512</v>
      </c>
      <c r="AV643">
        <v>0</v>
      </c>
      <c r="AW643">
        <v>0</v>
      </c>
      <c r="AX643" s="14">
        <v>190512</v>
      </c>
      <c r="AY643" s="14">
        <v>21168</v>
      </c>
      <c r="AZ643" s="14">
        <v>21168</v>
      </c>
      <c r="BA643">
        <v>0</v>
      </c>
      <c r="BB643" t="s">
        <v>22</v>
      </c>
      <c r="BC643" t="s">
        <v>175</v>
      </c>
      <c r="BD643" t="s">
        <v>176</v>
      </c>
      <c r="BE643" t="s">
        <v>130</v>
      </c>
      <c r="BG643" t="s">
        <v>1687</v>
      </c>
      <c r="BH643" t="s">
        <v>132</v>
      </c>
      <c r="BJ643">
        <v>4</v>
      </c>
      <c r="BK643" t="s">
        <v>534</v>
      </c>
      <c r="BV643" t="s">
        <v>134</v>
      </c>
      <c r="BW643" s="16">
        <v>45761.406944444447</v>
      </c>
      <c r="BX643" t="s">
        <v>143</v>
      </c>
      <c r="BZ643">
        <v>38</v>
      </c>
      <c r="CA643" t="s">
        <v>1688</v>
      </c>
      <c r="CB643">
        <v>0</v>
      </c>
      <c r="CF643" t="s">
        <v>1087</v>
      </c>
      <c r="CG643">
        <v>2026</v>
      </c>
      <c r="CH643" t="s">
        <v>138</v>
      </c>
      <c r="CI643" t="s">
        <v>139</v>
      </c>
    </row>
    <row r="644" spans="1:87" x14ac:dyDescent="0.3">
      <c r="A644" t="s">
        <v>165</v>
      </c>
      <c r="B644" t="s">
        <v>116</v>
      </c>
      <c r="C644" t="s">
        <v>117</v>
      </c>
      <c r="D644" t="s">
        <v>118</v>
      </c>
      <c r="E644" t="s">
        <v>14</v>
      </c>
      <c r="F644" t="s">
        <v>974</v>
      </c>
      <c r="G644">
        <v>67</v>
      </c>
      <c r="H644">
        <v>0</v>
      </c>
      <c r="I644" s="14">
        <v>460000</v>
      </c>
      <c r="J644" s="14">
        <v>460000</v>
      </c>
      <c r="K644" t="s">
        <v>117</v>
      </c>
      <c r="L644" t="s">
        <v>118</v>
      </c>
      <c r="M644" t="s">
        <v>140</v>
      </c>
      <c r="N644" t="s">
        <v>952</v>
      </c>
      <c r="O644">
        <v>12.5</v>
      </c>
      <c r="P644">
        <v>0</v>
      </c>
      <c r="Q644" s="14">
        <v>47500</v>
      </c>
      <c r="R644" s="14">
        <v>47500</v>
      </c>
      <c r="S644" t="s">
        <v>117</v>
      </c>
      <c r="T644" t="s">
        <v>118</v>
      </c>
      <c r="U644" t="s">
        <v>168</v>
      </c>
      <c r="V644" t="s">
        <v>975</v>
      </c>
      <c r="W644">
        <v>6</v>
      </c>
      <c r="X644">
        <v>0</v>
      </c>
      <c r="Y644" s="14">
        <v>21700</v>
      </c>
      <c r="Z644" s="14">
        <v>21700</v>
      </c>
      <c r="AA644" t="s">
        <v>117</v>
      </c>
      <c r="AB644" t="s">
        <v>118</v>
      </c>
      <c r="AC644" t="s">
        <v>168</v>
      </c>
      <c r="AD644" t="s">
        <v>976</v>
      </c>
      <c r="AE644">
        <v>2.62</v>
      </c>
      <c r="AF644">
        <v>0</v>
      </c>
      <c r="AG644" s="14">
        <v>9500</v>
      </c>
      <c r="AH644" s="14">
        <v>9500</v>
      </c>
      <c r="AI644" t="s">
        <v>977</v>
      </c>
      <c r="AJ644" t="s">
        <v>978</v>
      </c>
      <c r="AK644" t="s">
        <v>979</v>
      </c>
      <c r="AM644" t="s">
        <v>980</v>
      </c>
      <c r="AN644" t="s">
        <v>981</v>
      </c>
      <c r="AO644" t="s">
        <v>125</v>
      </c>
      <c r="AP644" t="s">
        <v>318</v>
      </c>
      <c r="AQ644" s="15">
        <v>46258.473611111112</v>
      </c>
      <c r="AR644" s="15">
        <v>45934</v>
      </c>
      <c r="AS644" t="s">
        <v>227</v>
      </c>
      <c r="AT644">
        <v>8</v>
      </c>
      <c r="AU644">
        <v>0</v>
      </c>
      <c r="AV644">
        <v>0</v>
      </c>
      <c r="AW644">
        <v>0</v>
      </c>
      <c r="AX644" s="14">
        <v>0</v>
      </c>
      <c r="AY644" s="14">
        <v>21168</v>
      </c>
      <c r="AZ644" s="14">
        <v>0</v>
      </c>
      <c r="BA644">
        <v>0</v>
      </c>
      <c r="BB644" t="s">
        <v>22</v>
      </c>
      <c r="BC644" t="s">
        <v>175</v>
      </c>
      <c r="BD644" t="s">
        <v>176</v>
      </c>
      <c r="BE644" t="s">
        <v>130</v>
      </c>
      <c r="BG644" t="s">
        <v>1689</v>
      </c>
      <c r="BH644" t="s">
        <v>132</v>
      </c>
      <c r="BJ644">
        <v>4</v>
      </c>
      <c r="BK644" t="s">
        <v>550</v>
      </c>
      <c r="BV644" t="s">
        <v>134</v>
      </c>
      <c r="BW644" s="16">
        <v>45761.406944444447</v>
      </c>
      <c r="BX644" t="s">
        <v>143</v>
      </c>
      <c r="BZ644">
        <v>38</v>
      </c>
      <c r="CA644" t="s">
        <v>1690</v>
      </c>
      <c r="CB644">
        <v>0</v>
      </c>
      <c r="CF644" t="s">
        <v>1087</v>
      </c>
      <c r="CG644">
        <v>2026</v>
      </c>
      <c r="CH644" t="s">
        <v>138</v>
      </c>
      <c r="CI644" t="s">
        <v>139</v>
      </c>
    </row>
    <row r="645" spans="1:87" x14ac:dyDescent="0.3">
      <c r="A645" t="s">
        <v>165</v>
      </c>
      <c r="B645" t="s">
        <v>116</v>
      </c>
      <c r="C645" t="s">
        <v>117</v>
      </c>
      <c r="D645" t="s">
        <v>118</v>
      </c>
      <c r="E645" t="s">
        <v>14</v>
      </c>
      <c r="F645" t="s">
        <v>974</v>
      </c>
      <c r="G645">
        <v>67</v>
      </c>
      <c r="H645">
        <v>0</v>
      </c>
      <c r="I645" s="14">
        <v>460000</v>
      </c>
      <c r="J645" s="14">
        <v>460000</v>
      </c>
      <c r="K645" t="s">
        <v>117</v>
      </c>
      <c r="L645" t="s">
        <v>118</v>
      </c>
      <c r="M645" t="s">
        <v>140</v>
      </c>
      <c r="N645" t="s">
        <v>952</v>
      </c>
      <c r="O645">
        <v>12.5</v>
      </c>
      <c r="P645">
        <v>0</v>
      </c>
      <c r="Q645" s="14">
        <v>47500</v>
      </c>
      <c r="R645" s="14">
        <v>47500</v>
      </c>
      <c r="S645" t="s">
        <v>117</v>
      </c>
      <c r="T645" t="s">
        <v>118</v>
      </c>
      <c r="U645" t="s">
        <v>168</v>
      </c>
      <c r="V645" t="s">
        <v>975</v>
      </c>
      <c r="W645">
        <v>6</v>
      </c>
      <c r="X645">
        <v>0</v>
      </c>
      <c r="Y645" s="14">
        <v>21700</v>
      </c>
      <c r="Z645" s="14">
        <v>21700</v>
      </c>
      <c r="AA645" t="s">
        <v>117</v>
      </c>
      <c r="AB645" t="s">
        <v>118</v>
      </c>
      <c r="AC645" t="s">
        <v>168</v>
      </c>
      <c r="AD645" t="s">
        <v>976</v>
      </c>
      <c r="AE645">
        <v>2.62</v>
      </c>
      <c r="AF645">
        <v>0</v>
      </c>
      <c r="AG645" s="14">
        <v>9500</v>
      </c>
      <c r="AH645" s="14">
        <v>9500</v>
      </c>
      <c r="AI645" t="s">
        <v>977</v>
      </c>
      <c r="AJ645" t="s">
        <v>978</v>
      </c>
      <c r="AK645" t="s">
        <v>979</v>
      </c>
      <c r="AM645" t="s">
        <v>980</v>
      </c>
      <c r="AN645" t="s">
        <v>981</v>
      </c>
      <c r="AO645" t="s">
        <v>125</v>
      </c>
      <c r="AP645" t="s">
        <v>318</v>
      </c>
      <c r="AQ645" s="15">
        <v>46258.473611111112</v>
      </c>
      <c r="AR645" s="15">
        <v>46004</v>
      </c>
      <c r="AS645" t="s">
        <v>227</v>
      </c>
      <c r="AT645">
        <v>8</v>
      </c>
      <c r="AU645">
        <v>0</v>
      </c>
      <c r="AV645">
        <v>0</v>
      </c>
      <c r="AW645">
        <v>0</v>
      </c>
      <c r="AX645" s="14">
        <v>0</v>
      </c>
      <c r="AY645" s="14">
        <v>21168</v>
      </c>
      <c r="AZ645" s="14">
        <v>0</v>
      </c>
      <c r="BA645">
        <v>0</v>
      </c>
      <c r="BB645" t="s">
        <v>22</v>
      </c>
      <c r="BC645" t="s">
        <v>175</v>
      </c>
      <c r="BD645" t="s">
        <v>176</v>
      </c>
      <c r="BE645" t="s">
        <v>130</v>
      </c>
      <c r="BG645" t="s">
        <v>1691</v>
      </c>
      <c r="BH645" t="s">
        <v>132</v>
      </c>
      <c r="BJ645">
        <v>4</v>
      </c>
      <c r="BK645" t="s">
        <v>550</v>
      </c>
      <c r="BV645" t="s">
        <v>134</v>
      </c>
      <c r="BW645" s="16">
        <v>45761.406944444447</v>
      </c>
      <c r="BX645" t="s">
        <v>143</v>
      </c>
      <c r="BZ645">
        <v>38</v>
      </c>
      <c r="CA645" t="s">
        <v>1690</v>
      </c>
      <c r="CB645">
        <v>0</v>
      </c>
      <c r="CF645" t="s">
        <v>1087</v>
      </c>
      <c r="CG645">
        <v>2026</v>
      </c>
      <c r="CH645" t="s">
        <v>138</v>
      </c>
      <c r="CI645" t="s">
        <v>139</v>
      </c>
    </row>
    <row r="646" spans="1:87" x14ac:dyDescent="0.3">
      <c r="A646" t="s">
        <v>165</v>
      </c>
      <c r="B646" t="s">
        <v>116</v>
      </c>
      <c r="C646" t="s">
        <v>117</v>
      </c>
      <c r="D646" t="s">
        <v>118</v>
      </c>
      <c r="E646" t="s">
        <v>14</v>
      </c>
      <c r="F646" t="s">
        <v>974</v>
      </c>
      <c r="G646">
        <v>67</v>
      </c>
      <c r="H646">
        <v>0</v>
      </c>
      <c r="I646" s="14">
        <v>460000</v>
      </c>
      <c r="J646" s="14">
        <v>460000</v>
      </c>
      <c r="K646" t="s">
        <v>117</v>
      </c>
      <c r="L646" t="s">
        <v>118</v>
      </c>
      <c r="M646" t="s">
        <v>140</v>
      </c>
      <c r="N646" t="s">
        <v>952</v>
      </c>
      <c r="O646">
        <v>12.5</v>
      </c>
      <c r="P646">
        <v>0</v>
      </c>
      <c r="Q646" s="14">
        <v>47500</v>
      </c>
      <c r="R646" s="14">
        <v>47500</v>
      </c>
      <c r="S646" t="s">
        <v>117</v>
      </c>
      <c r="T646" t="s">
        <v>118</v>
      </c>
      <c r="U646" t="s">
        <v>168</v>
      </c>
      <c r="V646" t="s">
        <v>975</v>
      </c>
      <c r="W646">
        <v>6</v>
      </c>
      <c r="X646">
        <v>0</v>
      </c>
      <c r="Y646" s="14">
        <v>21700</v>
      </c>
      <c r="Z646" s="14">
        <v>21700</v>
      </c>
      <c r="AA646" t="s">
        <v>117</v>
      </c>
      <c r="AB646" t="s">
        <v>118</v>
      </c>
      <c r="AC646" t="s">
        <v>168</v>
      </c>
      <c r="AD646" t="s">
        <v>976</v>
      </c>
      <c r="AE646">
        <v>2.62</v>
      </c>
      <c r="AF646">
        <v>0</v>
      </c>
      <c r="AG646" s="14">
        <v>9500</v>
      </c>
      <c r="AH646" s="14">
        <v>9500</v>
      </c>
      <c r="AI646" t="s">
        <v>977</v>
      </c>
      <c r="AJ646" t="s">
        <v>978</v>
      </c>
      <c r="AK646" t="s">
        <v>979</v>
      </c>
      <c r="AM646" t="s">
        <v>980</v>
      </c>
      <c r="AN646" t="s">
        <v>981</v>
      </c>
      <c r="AO646" t="s">
        <v>125</v>
      </c>
      <c r="AP646" t="s">
        <v>318</v>
      </c>
      <c r="AQ646" s="15">
        <v>46258.473611111112</v>
      </c>
      <c r="AR646" s="15">
        <v>46004</v>
      </c>
      <c r="AS646" t="s">
        <v>227</v>
      </c>
      <c r="AT646">
        <v>8</v>
      </c>
      <c r="AU646">
        <v>0</v>
      </c>
      <c r="AV646">
        <v>0</v>
      </c>
      <c r="AW646">
        <v>0</v>
      </c>
      <c r="AX646" s="14">
        <v>0</v>
      </c>
      <c r="AY646" s="14">
        <v>21168</v>
      </c>
      <c r="AZ646" s="14">
        <v>0</v>
      </c>
      <c r="BA646">
        <v>0</v>
      </c>
      <c r="BB646" t="s">
        <v>22</v>
      </c>
      <c r="BC646" t="s">
        <v>175</v>
      </c>
      <c r="BD646" t="s">
        <v>176</v>
      </c>
      <c r="BE646" t="s">
        <v>130</v>
      </c>
      <c r="BG646" t="s">
        <v>1692</v>
      </c>
      <c r="BH646" t="s">
        <v>132</v>
      </c>
      <c r="BJ646">
        <v>4</v>
      </c>
      <c r="BK646" t="s">
        <v>550</v>
      </c>
      <c r="BV646" t="s">
        <v>134</v>
      </c>
      <c r="BW646" s="16">
        <v>45761.406944444447</v>
      </c>
      <c r="BX646" t="s">
        <v>143</v>
      </c>
      <c r="BZ646">
        <v>38</v>
      </c>
      <c r="CA646" t="s">
        <v>1693</v>
      </c>
      <c r="CB646">
        <v>0</v>
      </c>
      <c r="CF646" t="s">
        <v>1087</v>
      </c>
      <c r="CG646">
        <v>2026</v>
      </c>
      <c r="CH646" t="s">
        <v>138</v>
      </c>
      <c r="CI646" t="s">
        <v>139</v>
      </c>
    </row>
    <row r="647" spans="1:87" x14ac:dyDescent="0.3">
      <c r="A647" t="s">
        <v>165</v>
      </c>
      <c r="B647" t="s">
        <v>116</v>
      </c>
      <c r="C647" t="s">
        <v>117</v>
      </c>
      <c r="D647" t="s">
        <v>118</v>
      </c>
      <c r="E647" t="s">
        <v>14</v>
      </c>
      <c r="F647" t="s">
        <v>974</v>
      </c>
      <c r="G647">
        <v>67</v>
      </c>
      <c r="H647">
        <v>0</v>
      </c>
      <c r="I647" s="14">
        <v>460000</v>
      </c>
      <c r="J647" s="14">
        <v>460000</v>
      </c>
      <c r="K647" t="s">
        <v>117</v>
      </c>
      <c r="L647" t="s">
        <v>118</v>
      </c>
      <c r="M647" t="s">
        <v>140</v>
      </c>
      <c r="N647" t="s">
        <v>952</v>
      </c>
      <c r="O647">
        <v>12.5</v>
      </c>
      <c r="P647">
        <v>0</v>
      </c>
      <c r="Q647" s="14">
        <v>47500</v>
      </c>
      <c r="R647" s="14">
        <v>47500</v>
      </c>
      <c r="S647" t="s">
        <v>117</v>
      </c>
      <c r="T647" t="s">
        <v>118</v>
      </c>
      <c r="U647" t="s">
        <v>168</v>
      </c>
      <c r="V647" t="s">
        <v>975</v>
      </c>
      <c r="W647">
        <v>6</v>
      </c>
      <c r="X647">
        <v>0</v>
      </c>
      <c r="Y647" s="14">
        <v>21700</v>
      </c>
      <c r="Z647" s="14">
        <v>21700</v>
      </c>
      <c r="AA647" t="s">
        <v>117</v>
      </c>
      <c r="AB647" t="s">
        <v>118</v>
      </c>
      <c r="AC647" t="s">
        <v>168</v>
      </c>
      <c r="AD647" t="s">
        <v>976</v>
      </c>
      <c r="AE647">
        <v>2.62</v>
      </c>
      <c r="AF647">
        <v>0</v>
      </c>
      <c r="AG647" s="14">
        <v>9500</v>
      </c>
      <c r="AH647" s="14">
        <v>9500</v>
      </c>
      <c r="AI647" t="s">
        <v>977</v>
      </c>
      <c r="AJ647" t="s">
        <v>978</v>
      </c>
      <c r="AK647" t="s">
        <v>979</v>
      </c>
      <c r="AM647" t="s">
        <v>980</v>
      </c>
      <c r="AN647" t="s">
        <v>981</v>
      </c>
      <c r="AO647" t="s">
        <v>125</v>
      </c>
      <c r="AP647" t="s">
        <v>318</v>
      </c>
      <c r="AQ647" s="15">
        <v>46258.473611111112</v>
      </c>
      <c r="AR647" s="15">
        <v>46004</v>
      </c>
      <c r="AS647" t="s">
        <v>227</v>
      </c>
      <c r="AT647">
        <v>8</v>
      </c>
      <c r="AU647">
        <v>0</v>
      </c>
      <c r="AV647">
        <v>0</v>
      </c>
      <c r="AW647">
        <v>0</v>
      </c>
      <c r="AX647" s="14">
        <v>0</v>
      </c>
      <c r="AY647" s="14">
        <v>21168</v>
      </c>
      <c r="AZ647" s="14">
        <v>0</v>
      </c>
      <c r="BA647">
        <v>0</v>
      </c>
      <c r="BB647" t="s">
        <v>22</v>
      </c>
      <c r="BC647" t="s">
        <v>175</v>
      </c>
      <c r="BD647" t="s">
        <v>176</v>
      </c>
      <c r="BE647" t="s">
        <v>130</v>
      </c>
      <c r="BG647" t="s">
        <v>1694</v>
      </c>
      <c r="BH647" t="s">
        <v>132</v>
      </c>
      <c r="BJ647">
        <v>4</v>
      </c>
      <c r="BK647" t="s">
        <v>550</v>
      </c>
      <c r="BV647" t="s">
        <v>134</v>
      </c>
      <c r="BW647" s="16">
        <v>45761.406944444447</v>
      </c>
      <c r="BX647" t="s">
        <v>143</v>
      </c>
      <c r="BZ647">
        <v>38</v>
      </c>
      <c r="CA647" t="s">
        <v>1695</v>
      </c>
      <c r="CB647">
        <v>0</v>
      </c>
      <c r="CF647" t="s">
        <v>1087</v>
      </c>
      <c r="CG647">
        <v>2026</v>
      </c>
      <c r="CH647" t="s">
        <v>138</v>
      </c>
      <c r="CI647" t="s">
        <v>139</v>
      </c>
    </row>
    <row r="648" spans="1:87" x14ac:dyDescent="0.3">
      <c r="A648" t="s">
        <v>165</v>
      </c>
      <c r="B648" t="s">
        <v>116</v>
      </c>
      <c r="C648" t="s">
        <v>117</v>
      </c>
      <c r="D648" t="s">
        <v>118</v>
      </c>
      <c r="E648" t="s">
        <v>14</v>
      </c>
      <c r="F648" t="s">
        <v>974</v>
      </c>
      <c r="G648">
        <v>67</v>
      </c>
      <c r="H648">
        <v>0</v>
      </c>
      <c r="I648" s="14">
        <v>460000</v>
      </c>
      <c r="J648" s="14">
        <v>460000</v>
      </c>
      <c r="K648" t="s">
        <v>117</v>
      </c>
      <c r="L648" t="s">
        <v>118</v>
      </c>
      <c r="M648" t="s">
        <v>140</v>
      </c>
      <c r="N648" t="s">
        <v>952</v>
      </c>
      <c r="O648">
        <v>12.5</v>
      </c>
      <c r="P648">
        <v>0</v>
      </c>
      <c r="Q648" s="14">
        <v>47500</v>
      </c>
      <c r="R648" s="14">
        <v>47500</v>
      </c>
      <c r="S648" t="s">
        <v>117</v>
      </c>
      <c r="T648" t="s">
        <v>118</v>
      </c>
      <c r="U648" t="s">
        <v>168</v>
      </c>
      <c r="V648" t="s">
        <v>975</v>
      </c>
      <c r="W648">
        <v>6</v>
      </c>
      <c r="X648">
        <v>0</v>
      </c>
      <c r="Y648" s="14">
        <v>21700</v>
      </c>
      <c r="Z648" s="14">
        <v>21700</v>
      </c>
      <c r="AA648" t="s">
        <v>117</v>
      </c>
      <c r="AB648" t="s">
        <v>118</v>
      </c>
      <c r="AC648" t="s">
        <v>168</v>
      </c>
      <c r="AD648" t="s">
        <v>976</v>
      </c>
      <c r="AE648">
        <v>2.62</v>
      </c>
      <c r="AF648">
        <v>0</v>
      </c>
      <c r="AG648" s="14">
        <v>9500</v>
      </c>
      <c r="AH648" s="14">
        <v>9500</v>
      </c>
      <c r="AI648" t="s">
        <v>977</v>
      </c>
      <c r="AJ648" t="s">
        <v>978</v>
      </c>
      <c r="AK648" t="s">
        <v>979</v>
      </c>
      <c r="AM648" t="s">
        <v>980</v>
      </c>
      <c r="AN648" t="s">
        <v>981</v>
      </c>
      <c r="AO648" t="s">
        <v>125</v>
      </c>
      <c r="AP648" t="s">
        <v>318</v>
      </c>
      <c r="AQ648" s="15">
        <v>46258.473611111112</v>
      </c>
      <c r="AR648" s="15">
        <v>46004</v>
      </c>
      <c r="AS648" t="s">
        <v>227</v>
      </c>
      <c r="AT648">
        <v>8</v>
      </c>
      <c r="AU648">
        <v>0</v>
      </c>
      <c r="AV648">
        <v>0</v>
      </c>
      <c r="AW648">
        <v>0</v>
      </c>
      <c r="AX648" s="14">
        <v>0</v>
      </c>
      <c r="AY648" s="14">
        <v>21168</v>
      </c>
      <c r="AZ648" s="14">
        <v>0</v>
      </c>
      <c r="BA648">
        <v>0</v>
      </c>
      <c r="BB648" t="s">
        <v>22</v>
      </c>
      <c r="BC648" t="s">
        <v>175</v>
      </c>
      <c r="BD648" t="s">
        <v>176</v>
      </c>
      <c r="BE648" t="s">
        <v>130</v>
      </c>
      <c r="BG648" t="s">
        <v>1696</v>
      </c>
      <c r="BH648" t="s">
        <v>132</v>
      </c>
      <c r="BJ648">
        <v>4</v>
      </c>
      <c r="BK648" t="s">
        <v>550</v>
      </c>
      <c r="BV648" t="s">
        <v>134</v>
      </c>
      <c r="BW648" s="16">
        <v>45761.406944444447</v>
      </c>
      <c r="BX648" t="s">
        <v>143</v>
      </c>
      <c r="BZ648">
        <v>38</v>
      </c>
      <c r="CA648" t="s">
        <v>1695</v>
      </c>
      <c r="CB648">
        <v>0</v>
      </c>
      <c r="CF648" t="s">
        <v>1087</v>
      </c>
      <c r="CG648">
        <v>2026</v>
      </c>
      <c r="CH648" t="s">
        <v>138</v>
      </c>
      <c r="CI648" t="s">
        <v>139</v>
      </c>
    </row>
    <row r="649" spans="1:87" x14ac:dyDescent="0.3">
      <c r="A649" t="s">
        <v>165</v>
      </c>
      <c r="B649" t="s">
        <v>116</v>
      </c>
      <c r="C649" t="s">
        <v>117</v>
      </c>
      <c r="D649" t="s">
        <v>118</v>
      </c>
      <c r="E649" t="s">
        <v>14</v>
      </c>
      <c r="F649" t="s">
        <v>974</v>
      </c>
      <c r="G649">
        <v>67</v>
      </c>
      <c r="H649">
        <v>0</v>
      </c>
      <c r="I649" s="14">
        <v>460000</v>
      </c>
      <c r="J649" s="14">
        <v>460000</v>
      </c>
      <c r="K649" t="s">
        <v>117</v>
      </c>
      <c r="L649" t="s">
        <v>118</v>
      </c>
      <c r="M649" t="s">
        <v>140</v>
      </c>
      <c r="N649" t="s">
        <v>952</v>
      </c>
      <c r="O649">
        <v>12.5</v>
      </c>
      <c r="P649">
        <v>0</v>
      </c>
      <c r="Q649" s="14">
        <v>47500</v>
      </c>
      <c r="R649" s="14">
        <v>47500</v>
      </c>
      <c r="S649" t="s">
        <v>117</v>
      </c>
      <c r="T649" t="s">
        <v>118</v>
      </c>
      <c r="U649" t="s">
        <v>168</v>
      </c>
      <c r="V649" t="s">
        <v>975</v>
      </c>
      <c r="W649">
        <v>6</v>
      </c>
      <c r="X649">
        <v>0</v>
      </c>
      <c r="Y649" s="14">
        <v>21700</v>
      </c>
      <c r="Z649" s="14">
        <v>21700</v>
      </c>
      <c r="AA649" t="s">
        <v>117</v>
      </c>
      <c r="AB649" t="s">
        <v>118</v>
      </c>
      <c r="AC649" t="s">
        <v>168</v>
      </c>
      <c r="AD649" t="s">
        <v>976</v>
      </c>
      <c r="AE649">
        <v>2.62</v>
      </c>
      <c r="AF649">
        <v>0</v>
      </c>
      <c r="AG649" s="14">
        <v>9500</v>
      </c>
      <c r="AH649" s="14">
        <v>9500</v>
      </c>
      <c r="AI649" t="s">
        <v>977</v>
      </c>
      <c r="AJ649" t="s">
        <v>978</v>
      </c>
      <c r="AK649" t="s">
        <v>979</v>
      </c>
      <c r="AM649" t="s">
        <v>980</v>
      </c>
      <c r="AN649" t="s">
        <v>981</v>
      </c>
      <c r="AO649" t="s">
        <v>125</v>
      </c>
      <c r="AP649" t="s">
        <v>318</v>
      </c>
      <c r="AQ649" s="15">
        <v>46258.473611111112</v>
      </c>
      <c r="AR649" s="15">
        <v>46004</v>
      </c>
      <c r="AS649" t="s">
        <v>227</v>
      </c>
      <c r="AT649">
        <v>8</v>
      </c>
      <c r="AU649">
        <v>0</v>
      </c>
      <c r="AV649">
        <v>0</v>
      </c>
      <c r="AW649">
        <v>0</v>
      </c>
      <c r="AX649" s="14">
        <v>0</v>
      </c>
      <c r="AY649" s="14">
        <v>21168</v>
      </c>
      <c r="AZ649" s="14">
        <v>0</v>
      </c>
      <c r="BA649">
        <v>0</v>
      </c>
      <c r="BB649" t="s">
        <v>22</v>
      </c>
      <c r="BC649" t="s">
        <v>175</v>
      </c>
      <c r="BD649" t="s">
        <v>176</v>
      </c>
      <c r="BE649" t="s">
        <v>130</v>
      </c>
      <c r="BG649" t="s">
        <v>1697</v>
      </c>
      <c r="BH649" t="s">
        <v>132</v>
      </c>
      <c r="BJ649">
        <v>4</v>
      </c>
      <c r="BK649" t="s">
        <v>550</v>
      </c>
      <c r="BV649" t="s">
        <v>134</v>
      </c>
      <c r="BW649" s="16">
        <v>45761.406944444447</v>
      </c>
      <c r="BX649" t="s">
        <v>143</v>
      </c>
      <c r="BZ649">
        <v>38</v>
      </c>
      <c r="CA649" t="s">
        <v>1698</v>
      </c>
      <c r="CB649">
        <v>0</v>
      </c>
      <c r="CF649" t="s">
        <v>1087</v>
      </c>
      <c r="CG649">
        <v>2026</v>
      </c>
      <c r="CH649" t="s">
        <v>138</v>
      </c>
      <c r="CI649" t="s">
        <v>139</v>
      </c>
    </row>
    <row r="650" spans="1:87" x14ac:dyDescent="0.3">
      <c r="A650" t="s">
        <v>165</v>
      </c>
      <c r="B650" t="s">
        <v>116</v>
      </c>
      <c r="C650" t="s">
        <v>117</v>
      </c>
      <c r="D650" t="s">
        <v>118</v>
      </c>
      <c r="E650" t="s">
        <v>14</v>
      </c>
      <c r="F650" t="s">
        <v>974</v>
      </c>
      <c r="G650">
        <v>67</v>
      </c>
      <c r="H650">
        <v>0</v>
      </c>
      <c r="I650" s="14">
        <v>460000</v>
      </c>
      <c r="J650" s="14">
        <v>460000</v>
      </c>
      <c r="K650" t="s">
        <v>117</v>
      </c>
      <c r="L650" t="s">
        <v>118</v>
      </c>
      <c r="M650" t="s">
        <v>140</v>
      </c>
      <c r="N650" t="s">
        <v>952</v>
      </c>
      <c r="O650">
        <v>12.5</v>
      </c>
      <c r="P650">
        <v>0</v>
      </c>
      <c r="Q650" s="14">
        <v>47500</v>
      </c>
      <c r="R650" s="14">
        <v>47500</v>
      </c>
      <c r="S650" t="s">
        <v>117</v>
      </c>
      <c r="T650" t="s">
        <v>118</v>
      </c>
      <c r="U650" t="s">
        <v>168</v>
      </c>
      <c r="V650" t="s">
        <v>975</v>
      </c>
      <c r="W650">
        <v>6</v>
      </c>
      <c r="X650">
        <v>0</v>
      </c>
      <c r="Y650" s="14">
        <v>21700</v>
      </c>
      <c r="Z650" s="14">
        <v>21700</v>
      </c>
      <c r="AA650" t="s">
        <v>117</v>
      </c>
      <c r="AB650" t="s">
        <v>118</v>
      </c>
      <c r="AC650" t="s">
        <v>168</v>
      </c>
      <c r="AD650" t="s">
        <v>976</v>
      </c>
      <c r="AE650">
        <v>2.62</v>
      </c>
      <c r="AF650">
        <v>0</v>
      </c>
      <c r="AG650" s="14">
        <v>9500</v>
      </c>
      <c r="AH650" s="14">
        <v>9500</v>
      </c>
      <c r="AI650" t="s">
        <v>977</v>
      </c>
      <c r="AJ650" t="s">
        <v>978</v>
      </c>
      <c r="AK650" t="s">
        <v>979</v>
      </c>
      <c r="AM650" t="s">
        <v>980</v>
      </c>
      <c r="AN650" t="s">
        <v>981</v>
      </c>
      <c r="AO650" t="s">
        <v>125</v>
      </c>
      <c r="AP650" t="s">
        <v>318</v>
      </c>
      <c r="AQ650" s="15">
        <v>46258.473611111112</v>
      </c>
      <c r="AR650" s="15">
        <v>46141</v>
      </c>
      <c r="AS650" t="s">
        <v>227</v>
      </c>
      <c r="AT650">
        <v>8</v>
      </c>
      <c r="AU650">
        <v>0</v>
      </c>
      <c r="AV650">
        <v>0</v>
      </c>
      <c r="AW650">
        <v>0</v>
      </c>
      <c r="AX650" s="14">
        <v>0</v>
      </c>
      <c r="AY650" s="14">
        <v>21168</v>
      </c>
      <c r="AZ650" s="14">
        <v>0</v>
      </c>
      <c r="BA650">
        <v>0</v>
      </c>
      <c r="BB650" t="s">
        <v>22</v>
      </c>
      <c r="BC650" t="s">
        <v>175</v>
      </c>
      <c r="BD650" t="s">
        <v>176</v>
      </c>
      <c r="BE650" t="s">
        <v>130</v>
      </c>
      <c r="BG650" t="s">
        <v>1699</v>
      </c>
      <c r="BH650" t="s">
        <v>132</v>
      </c>
      <c r="BJ650">
        <v>4</v>
      </c>
      <c r="BK650" t="s">
        <v>550</v>
      </c>
      <c r="BV650" t="s">
        <v>134</v>
      </c>
      <c r="BW650" s="16">
        <v>45761.406944444447</v>
      </c>
      <c r="BX650" t="s">
        <v>143</v>
      </c>
      <c r="BZ650">
        <v>38</v>
      </c>
      <c r="CA650" t="s">
        <v>1698</v>
      </c>
      <c r="CB650">
        <v>0</v>
      </c>
      <c r="CF650" t="s">
        <v>1087</v>
      </c>
      <c r="CG650">
        <v>2026</v>
      </c>
      <c r="CH650" t="s">
        <v>138</v>
      </c>
      <c r="CI650" t="s">
        <v>139</v>
      </c>
    </row>
    <row r="651" spans="1:87" x14ac:dyDescent="0.3">
      <c r="A651" t="s">
        <v>426</v>
      </c>
      <c r="B651" t="s">
        <v>116</v>
      </c>
      <c r="C651" t="s">
        <v>117</v>
      </c>
      <c r="D651" t="s">
        <v>118</v>
      </c>
      <c r="E651" t="s">
        <v>14</v>
      </c>
      <c r="F651" t="s">
        <v>146</v>
      </c>
      <c r="G651">
        <v>83</v>
      </c>
      <c r="H651">
        <v>0</v>
      </c>
      <c r="I651" s="14">
        <v>623000</v>
      </c>
      <c r="J651" s="14">
        <v>600000</v>
      </c>
      <c r="Q651" s="14"/>
      <c r="R651" s="14"/>
      <c r="Y651" s="14"/>
      <c r="Z651" s="14"/>
      <c r="AG651" s="14"/>
      <c r="AH651" s="14"/>
      <c r="AI651" t="s">
        <v>1700</v>
      </c>
      <c r="AJ651" t="s">
        <v>1701</v>
      </c>
      <c r="AK651" t="s">
        <v>1702</v>
      </c>
      <c r="AL651">
        <v>0</v>
      </c>
      <c r="AM651" t="s">
        <v>1703</v>
      </c>
      <c r="AN651" t="s">
        <v>1704</v>
      </c>
      <c r="AO651" t="s">
        <v>125</v>
      </c>
      <c r="AP651" t="s">
        <v>196</v>
      </c>
      <c r="AQ651" s="15">
        <v>46109</v>
      </c>
      <c r="AR651" s="15">
        <v>46109</v>
      </c>
      <c r="AS651" t="s">
        <v>127</v>
      </c>
      <c r="AT651">
        <v>1</v>
      </c>
      <c r="AU651">
        <v>3000</v>
      </c>
      <c r="AV651">
        <v>0</v>
      </c>
      <c r="AW651">
        <v>0</v>
      </c>
      <c r="AX651" s="14">
        <v>3000</v>
      </c>
      <c r="AY651" s="14">
        <v>3000</v>
      </c>
      <c r="AZ651" s="14">
        <v>0</v>
      </c>
      <c r="BA651">
        <v>0</v>
      </c>
      <c r="BB651" t="s">
        <v>24</v>
      </c>
      <c r="BC651" t="s">
        <v>128</v>
      </c>
      <c r="BD651" t="s">
        <v>434</v>
      </c>
      <c r="BE651" t="s">
        <v>222</v>
      </c>
      <c r="BG651" t="s">
        <v>1705</v>
      </c>
      <c r="BH651" t="s">
        <v>134</v>
      </c>
      <c r="BI651" t="s">
        <v>873</v>
      </c>
      <c r="BJ651">
        <v>4</v>
      </c>
      <c r="BK651" t="s">
        <v>133</v>
      </c>
      <c r="BV651" t="s">
        <v>134</v>
      </c>
      <c r="BW651" s="16">
        <v>46081.338194444441</v>
      </c>
      <c r="BX651" t="s">
        <v>143</v>
      </c>
      <c r="BZ651">
        <v>1</v>
      </c>
      <c r="CA651" t="s">
        <v>1706</v>
      </c>
      <c r="CB651">
        <v>0</v>
      </c>
      <c r="CF651" t="s">
        <v>1087</v>
      </c>
      <c r="CG651">
        <v>2026</v>
      </c>
      <c r="CH651" t="s">
        <v>138</v>
      </c>
      <c r="CI651" t="s">
        <v>139</v>
      </c>
    </row>
    <row r="652" spans="1:87" x14ac:dyDescent="0.3">
      <c r="A652" t="s">
        <v>426</v>
      </c>
      <c r="B652" t="s">
        <v>116</v>
      </c>
      <c r="C652" t="s">
        <v>117</v>
      </c>
      <c r="D652" t="s">
        <v>118</v>
      </c>
      <c r="E652" t="s">
        <v>14</v>
      </c>
      <c r="F652" t="s">
        <v>146</v>
      </c>
      <c r="G652">
        <v>83</v>
      </c>
      <c r="H652">
        <v>0</v>
      </c>
      <c r="I652" s="14">
        <v>623000</v>
      </c>
      <c r="J652" s="14">
        <v>600000</v>
      </c>
      <c r="Q652" s="14"/>
      <c r="R652" s="14"/>
      <c r="Y652" s="14"/>
      <c r="Z652" s="14"/>
      <c r="AG652" s="14"/>
      <c r="AH652" s="14"/>
      <c r="AI652" t="s">
        <v>1700</v>
      </c>
      <c r="AJ652" t="s">
        <v>1701</v>
      </c>
      <c r="AK652" t="s">
        <v>1702</v>
      </c>
      <c r="AL652">
        <v>0</v>
      </c>
      <c r="AM652" t="s">
        <v>1703</v>
      </c>
      <c r="AN652" t="s">
        <v>1704</v>
      </c>
      <c r="AO652" t="s">
        <v>125</v>
      </c>
      <c r="AP652" t="s">
        <v>196</v>
      </c>
      <c r="AQ652" s="15">
        <v>46081</v>
      </c>
      <c r="AR652" s="15">
        <v>46081</v>
      </c>
      <c r="AS652" t="s">
        <v>145</v>
      </c>
      <c r="AT652">
        <v>1</v>
      </c>
      <c r="AU652">
        <v>10000</v>
      </c>
      <c r="AV652">
        <v>0</v>
      </c>
      <c r="AW652">
        <v>0</v>
      </c>
      <c r="AX652" s="14">
        <v>10000</v>
      </c>
      <c r="AY652" s="14">
        <v>10000</v>
      </c>
      <c r="AZ652" s="14">
        <v>0</v>
      </c>
      <c r="BA652">
        <v>0</v>
      </c>
      <c r="BB652" t="s">
        <v>24</v>
      </c>
      <c r="BC652" t="s">
        <v>128</v>
      </c>
      <c r="BD652" t="s">
        <v>434</v>
      </c>
      <c r="BE652" t="s">
        <v>130</v>
      </c>
      <c r="BG652" t="s">
        <v>1707</v>
      </c>
      <c r="BH652" t="s">
        <v>132</v>
      </c>
      <c r="BI652" t="s">
        <v>873</v>
      </c>
      <c r="BJ652">
        <v>4</v>
      </c>
      <c r="BK652" t="s">
        <v>133</v>
      </c>
      <c r="BV652" t="s">
        <v>134</v>
      </c>
      <c r="BW652" s="16">
        <v>46081.338194444441</v>
      </c>
      <c r="BX652" t="s">
        <v>143</v>
      </c>
      <c r="BZ652">
        <v>1</v>
      </c>
      <c r="CA652" t="s">
        <v>1708</v>
      </c>
      <c r="CB652">
        <v>0</v>
      </c>
      <c r="CF652" t="s">
        <v>1087</v>
      </c>
      <c r="CG652">
        <v>2026</v>
      </c>
      <c r="CH652" t="s">
        <v>138</v>
      </c>
      <c r="CI652" t="s">
        <v>139</v>
      </c>
    </row>
    <row r="653" spans="1:87" x14ac:dyDescent="0.3">
      <c r="A653" t="s">
        <v>426</v>
      </c>
      <c r="B653" t="s">
        <v>116</v>
      </c>
      <c r="C653" t="s">
        <v>117</v>
      </c>
      <c r="D653" t="s">
        <v>118</v>
      </c>
      <c r="E653" t="s">
        <v>14</v>
      </c>
      <c r="F653" t="s">
        <v>146</v>
      </c>
      <c r="G653">
        <v>83</v>
      </c>
      <c r="H653">
        <v>0</v>
      </c>
      <c r="I653" s="14">
        <v>623000</v>
      </c>
      <c r="J653" s="14">
        <v>600000</v>
      </c>
      <c r="Q653" s="14"/>
      <c r="R653" s="14"/>
      <c r="Y653" s="14"/>
      <c r="Z653" s="14"/>
      <c r="AG653" s="14"/>
      <c r="AH653" s="14"/>
      <c r="AI653" t="s">
        <v>1700</v>
      </c>
      <c r="AJ653" t="s">
        <v>1701</v>
      </c>
      <c r="AK653" t="s">
        <v>1702</v>
      </c>
      <c r="AL653">
        <v>0</v>
      </c>
      <c r="AM653" t="s">
        <v>1703</v>
      </c>
      <c r="AN653" t="s">
        <v>1704</v>
      </c>
      <c r="AO653" t="s">
        <v>125</v>
      </c>
      <c r="AP653" t="s">
        <v>196</v>
      </c>
      <c r="AQ653" s="15">
        <v>46109</v>
      </c>
      <c r="AR653" s="15">
        <v>46109</v>
      </c>
      <c r="AS653" t="s">
        <v>145</v>
      </c>
      <c r="AT653">
        <v>2</v>
      </c>
      <c r="AU653">
        <v>7000</v>
      </c>
      <c r="AV653">
        <v>0</v>
      </c>
      <c r="AW653">
        <v>0</v>
      </c>
      <c r="AX653" s="14">
        <v>7000</v>
      </c>
      <c r="AY653" s="14">
        <v>7000</v>
      </c>
      <c r="AZ653" s="14">
        <v>0</v>
      </c>
      <c r="BA653">
        <v>0</v>
      </c>
      <c r="BB653" t="s">
        <v>24</v>
      </c>
      <c r="BC653" t="s">
        <v>128</v>
      </c>
      <c r="BD653" t="s">
        <v>434</v>
      </c>
      <c r="BE653" t="s">
        <v>130</v>
      </c>
      <c r="BG653" t="s">
        <v>1709</v>
      </c>
      <c r="BH653" t="s">
        <v>134</v>
      </c>
      <c r="BI653" t="s">
        <v>873</v>
      </c>
      <c r="BJ653">
        <v>4</v>
      </c>
      <c r="BK653" t="s">
        <v>133</v>
      </c>
      <c r="BV653" t="s">
        <v>134</v>
      </c>
      <c r="BW653" s="16">
        <v>46081.338194444441</v>
      </c>
      <c r="BX653" t="s">
        <v>143</v>
      </c>
      <c r="BZ653">
        <v>1</v>
      </c>
      <c r="CA653" t="s">
        <v>1710</v>
      </c>
      <c r="CB653">
        <v>0</v>
      </c>
      <c r="CF653" t="s">
        <v>1087</v>
      </c>
      <c r="CG653">
        <v>2026</v>
      </c>
      <c r="CH653" t="s">
        <v>138</v>
      </c>
      <c r="CI653" t="s">
        <v>139</v>
      </c>
    </row>
    <row r="654" spans="1:87" x14ac:dyDescent="0.3">
      <c r="A654" t="s">
        <v>426</v>
      </c>
      <c r="B654" t="s">
        <v>116</v>
      </c>
      <c r="C654" t="s">
        <v>117</v>
      </c>
      <c r="D654" t="s">
        <v>118</v>
      </c>
      <c r="E654" t="s">
        <v>14</v>
      </c>
      <c r="F654" t="s">
        <v>146</v>
      </c>
      <c r="G654">
        <v>83</v>
      </c>
      <c r="H654">
        <v>0</v>
      </c>
      <c r="I654" s="14">
        <v>623000</v>
      </c>
      <c r="J654" s="14">
        <v>600000</v>
      </c>
      <c r="Q654" s="14"/>
      <c r="R654" s="14"/>
      <c r="Y654" s="14"/>
      <c r="Z654" s="14"/>
      <c r="AG654" s="14"/>
      <c r="AH654" s="14"/>
      <c r="AI654" t="s">
        <v>1700</v>
      </c>
      <c r="AJ654" t="s">
        <v>1701</v>
      </c>
      <c r="AK654" t="s">
        <v>1702</v>
      </c>
      <c r="AL654">
        <v>0</v>
      </c>
      <c r="AM654" t="s">
        <v>1703</v>
      </c>
      <c r="AN654" t="s">
        <v>1704</v>
      </c>
      <c r="AO654" t="s">
        <v>125</v>
      </c>
      <c r="AP654" t="s">
        <v>196</v>
      </c>
      <c r="AQ654" s="15">
        <v>46201</v>
      </c>
      <c r="AR654" s="15"/>
      <c r="AS654" t="s">
        <v>145</v>
      </c>
      <c r="AT654">
        <v>3</v>
      </c>
      <c r="AU654">
        <v>10000</v>
      </c>
      <c r="AV654">
        <v>0</v>
      </c>
      <c r="AW654">
        <v>0</v>
      </c>
      <c r="AX654" s="14">
        <v>10000</v>
      </c>
      <c r="AY654" s="14">
        <v>0</v>
      </c>
      <c r="AZ654" s="14">
        <v>10000</v>
      </c>
      <c r="BB654" t="s">
        <v>24</v>
      </c>
      <c r="BH654" t="s">
        <v>132</v>
      </c>
      <c r="BK654" t="s">
        <v>550</v>
      </c>
      <c r="BV654" t="s">
        <v>132</v>
      </c>
      <c r="BW654" s="16">
        <v>46081.338194444441</v>
      </c>
      <c r="BX654" t="s">
        <v>143</v>
      </c>
      <c r="BZ654">
        <v>1</v>
      </c>
      <c r="CB654">
        <v>0</v>
      </c>
      <c r="CF654" t="s">
        <v>1087</v>
      </c>
      <c r="CG654">
        <v>2026</v>
      </c>
      <c r="CH654" t="s">
        <v>138</v>
      </c>
      <c r="CI654" t="s">
        <v>139</v>
      </c>
    </row>
    <row r="655" spans="1:87" x14ac:dyDescent="0.3">
      <c r="A655" t="s">
        <v>426</v>
      </c>
      <c r="B655" t="s">
        <v>116</v>
      </c>
      <c r="C655" t="s">
        <v>117</v>
      </c>
      <c r="D655" t="s">
        <v>118</v>
      </c>
      <c r="E655" t="s">
        <v>14</v>
      </c>
      <c r="F655" t="s">
        <v>146</v>
      </c>
      <c r="G655">
        <v>83</v>
      </c>
      <c r="H655">
        <v>0</v>
      </c>
      <c r="I655" s="14">
        <v>623000</v>
      </c>
      <c r="J655" s="14">
        <v>600000</v>
      </c>
      <c r="Q655" s="14"/>
      <c r="R655" s="14"/>
      <c r="Y655" s="14"/>
      <c r="Z655" s="14"/>
      <c r="AG655" s="14"/>
      <c r="AH655" s="14"/>
      <c r="AI655" t="s">
        <v>1700</v>
      </c>
      <c r="AJ655" t="s">
        <v>1701</v>
      </c>
      <c r="AK655" t="s">
        <v>1702</v>
      </c>
      <c r="AL655">
        <v>0</v>
      </c>
      <c r="AM655" t="s">
        <v>1703</v>
      </c>
      <c r="AN655" t="s">
        <v>1704</v>
      </c>
      <c r="AO655" t="s">
        <v>125</v>
      </c>
      <c r="AP655" t="s">
        <v>196</v>
      </c>
      <c r="AQ655" s="15">
        <v>46265</v>
      </c>
      <c r="AR655" s="15"/>
      <c r="AS655" t="s">
        <v>145</v>
      </c>
      <c r="AT655">
        <v>4</v>
      </c>
      <c r="AU655">
        <v>30000</v>
      </c>
      <c r="AV655">
        <v>0</v>
      </c>
      <c r="AW655">
        <v>0</v>
      </c>
      <c r="AX655" s="14">
        <v>30000</v>
      </c>
      <c r="AY655" s="14">
        <v>0</v>
      </c>
      <c r="AZ655" s="14">
        <v>30000</v>
      </c>
      <c r="BB655" t="s">
        <v>24</v>
      </c>
      <c r="BH655" t="s">
        <v>132</v>
      </c>
      <c r="BK655" t="s">
        <v>550</v>
      </c>
      <c r="BV655" t="s">
        <v>132</v>
      </c>
      <c r="BW655" s="16">
        <v>46081.338194444441</v>
      </c>
      <c r="BX655" t="s">
        <v>143</v>
      </c>
      <c r="BZ655">
        <v>1</v>
      </c>
      <c r="CB655">
        <v>0</v>
      </c>
      <c r="CF655" t="s">
        <v>1087</v>
      </c>
      <c r="CG655">
        <v>2026</v>
      </c>
      <c r="CH655" t="s">
        <v>138</v>
      </c>
      <c r="CI655" t="s">
        <v>139</v>
      </c>
    </row>
    <row r="656" spans="1:87" x14ac:dyDescent="0.3">
      <c r="A656" t="s">
        <v>115</v>
      </c>
      <c r="B656" t="s">
        <v>116</v>
      </c>
      <c r="C656" t="s">
        <v>117</v>
      </c>
      <c r="D656" t="s">
        <v>118</v>
      </c>
      <c r="E656" t="s">
        <v>14</v>
      </c>
      <c r="F656" t="s">
        <v>993</v>
      </c>
      <c r="G656">
        <v>88</v>
      </c>
      <c r="H656">
        <v>0</v>
      </c>
      <c r="I656" s="14">
        <v>660000</v>
      </c>
      <c r="J656" s="14">
        <v>660000</v>
      </c>
      <c r="Q656" s="14"/>
      <c r="R656" s="14"/>
      <c r="Y656" s="14"/>
      <c r="Z656" s="14"/>
      <c r="AG656" s="14"/>
      <c r="AH656" s="14"/>
      <c r="AI656" t="s">
        <v>994</v>
      </c>
      <c r="AJ656" t="s">
        <v>995</v>
      </c>
      <c r="AK656" t="s">
        <v>996</v>
      </c>
      <c r="AM656" t="s">
        <v>997</v>
      </c>
      <c r="AN656" t="s">
        <v>998</v>
      </c>
      <c r="AO656" t="s">
        <v>125</v>
      </c>
      <c r="AP656" t="s">
        <v>152</v>
      </c>
      <c r="AQ656" s="15">
        <v>46111</v>
      </c>
      <c r="AR656" s="15">
        <v>45960</v>
      </c>
      <c r="AS656" t="s">
        <v>227</v>
      </c>
      <c r="AT656">
        <v>1</v>
      </c>
      <c r="AU656">
        <v>0</v>
      </c>
      <c r="AV656">
        <v>0</v>
      </c>
      <c r="AW656">
        <v>0</v>
      </c>
      <c r="AX656" s="14">
        <v>495000</v>
      </c>
      <c r="AY656" s="14">
        <v>120000</v>
      </c>
      <c r="AZ656" s="14">
        <v>160000</v>
      </c>
      <c r="BA656">
        <v>0</v>
      </c>
      <c r="BB656" t="s">
        <v>22</v>
      </c>
      <c r="BC656" t="s">
        <v>128</v>
      </c>
      <c r="BD656" t="s">
        <v>129</v>
      </c>
      <c r="BE656" t="s">
        <v>130</v>
      </c>
      <c r="BG656" t="s">
        <v>1711</v>
      </c>
      <c r="BH656" t="s">
        <v>132</v>
      </c>
      <c r="BJ656">
        <v>4</v>
      </c>
      <c r="BK656" t="s">
        <v>534</v>
      </c>
      <c r="BV656" t="s">
        <v>134</v>
      </c>
      <c r="BW656" s="16">
        <v>45856.689583333333</v>
      </c>
      <c r="BX656" t="s">
        <v>178</v>
      </c>
      <c r="BZ656">
        <v>14</v>
      </c>
      <c r="CA656" t="s">
        <v>1712</v>
      </c>
      <c r="CB656">
        <v>0</v>
      </c>
      <c r="CF656" t="s">
        <v>1087</v>
      </c>
      <c r="CG656">
        <v>2026</v>
      </c>
      <c r="CH656" t="s">
        <v>138</v>
      </c>
      <c r="CI656" t="s">
        <v>139</v>
      </c>
    </row>
    <row r="657" spans="1:87" x14ac:dyDescent="0.3">
      <c r="A657" t="s">
        <v>115</v>
      </c>
      <c r="B657" t="s">
        <v>116</v>
      </c>
      <c r="C657" t="s">
        <v>117</v>
      </c>
      <c r="D657" t="s">
        <v>118</v>
      </c>
      <c r="E657" t="s">
        <v>14</v>
      </c>
      <c r="F657" t="s">
        <v>993</v>
      </c>
      <c r="G657">
        <v>88</v>
      </c>
      <c r="H657">
        <v>0</v>
      </c>
      <c r="I657" s="14">
        <v>660000</v>
      </c>
      <c r="J657" s="14">
        <v>660000</v>
      </c>
      <c r="Q657" s="14"/>
      <c r="R657" s="14"/>
      <c r="Y657" s="14"/>
      <c r="Z657" s="14"/>
      <c r="AG657" s="14"/>
      <c r="AH657" s="14"/>
      <c r="AI657" t="s">
        <v>994</v>
      </c>
      <c r="AJ657" t="s">
        <v>995</v>
      </c>
      <c r="AK657" t="s">
        <v>996</v>
      </c>
      <c r="AM657" t="s">
        <v>997</v>
      </c>
      <c r="AN657" t="s">
        <v>998</v>
      </c>
      <c r="AO657" t="s">
        <v>125</v>
      </c>
      <c r="AP657" t="s">
        <v>152</v>
      </c>
      <c r="AQ657" s="15">
        <v>46111</v>
      </c>
      <c r="AR657" s="15">
        <v>45978</v>
      </c>
      <c r="AS657" t="s">
        <v>227</v>
      </c>
      <c r="AT657">
        <v>1</v>
      </c>
      <c r="AU657">
        <v>495000</v>
      </c>
      <c r="AV657">
        <v>0</v>
      </c>
      <c r="AW657">
        <v>0</v>
      </c>
      <c r="AX657" s="14">
        <v>0</v>
      </c>
      <c r="AY657" s="14">
        <v>10000</v>
      </c>
      <c r="AZ657" s="14">
        <v>0</v>
      </c>
      <c r="BA657">
        <v>0</v>
      </c>
      <c r="BB657" t="s">
        <v>22</v>
      </c>
      <c r="BC657" t="s">
        <v>128</v>
      </c>
      <c r="BD657" t="s">
        <v>129</v>
      </c>
      <c r="BE657" t="s">
        <v>130</v>
      </c>
      <c r="BG657" t="s">
        <v>1713</v>
      </c>
      <c r="BH657" t="s">
        <v>132</v>
      </c>
      <c r="BJ657">
        <v>4</v>
      </c>
      <c r="BK657" t="s">
        <v>550</v>
      </c>
      <c r="BV657" t="s">
        <v>134</v>
      </c>
      <c r="BW657" s="16">
        <v>45856.689583333333</v>
      </c>
      <c r="BX657" t="s">
        <v>178</v>
      </c>
      <c r="BZ657">
        <v>14</v>
      </c>
      <c r="CA657" t="s">
        <v>1714</v>
      </c>
      <c r="CB657">
        <v>0</v>
      </c>
      <c r="CF657" t="s">
        <v>1087</v>
      </c>
      <c r="CG657">
        <v>2026</v>
      </c>
      <c r="CH657" t="s">
        <v>138</v>
      </c>
      <c r="CI657" t="s">
        <v>139</v>
      </c>
    </row>
    <row r="658" spans="1:87" x14ac:dyDescent="0.3">
      <c r="A658" t="s">
        <v>115</v>
      </c>
      <c r="B658" t="s">
        <v>116</v>
      </c>
      <c r="C658" t="s">
        <v>117</v>
      </c>
      <c r="D658" t="s">
        <v>118</v>
      </c>
      <c r="E658" t="s">
        <v>14</v>
      </c>
      <c r="F658" t="s">
        <v>993</v>
      </c>
      <c r="G658">
        <v>88</v>
      </c>
      <c r="H658">
        <v>0</v>
      </c>
      <c r="I658" s="14">
        <v>660000</v>
      </c>
      <c r="J658" s="14">
        <v>660000</v>
      </c>
      <c r="Q658" s="14"/>
      <c r="R658" s="14"/>
      <c r="Y658" s="14"/>
      <c r="Z658" s="14"/>
      <c r="AG658" s="14"/>
      <c r="AH658" s="14"/>
      <c r="AI658" t="s">
        <v>994</v>
      </c>
      <c r="AJ658" t="s">
        <v>995</v>
      </c>
      <c r="AK658" t="s">
        <v>996</v>
      </c>
      <c r="AM658" t="s">
        <v>997</v>
      </c>
      <c r="AN658" t="s">
        <v>998</v>
      </c>
      <c r="AO658" t="s">
        <v>125</v>
      </c>
      <c r="AP658" t="s">
        <v>152</v>
      </c>
      <c r="AQ658" s="15">
        <v>46111</v>
      </c>
      <c r="AR658" s="15">
        <v>45978</v>
      </c>
      <c r="AS658" t="s">
        <v>227</v>
      </c>
      <c r="AT658">
        <v>1</v>
      </c>
      <c r="AU658">
        <v>0</v>
      </c>
      <c r="AV658">
        <v>0</v>
      </c>
      <c r="AW658">
        <v>0</v>
      </c>
      <c r="AX658" s="14">
        <v>0</v>
      </c>
      <c r="AY658" s="14">
        <v>10000</v>
      </c>
      <c r="AZ658" s="14">
        <v>0</v>
      </c>
      <c r="BA658">
        <v>0</v>
      </c>
      <c r="BB658" t="s">
        <v>22</v>
      </c>
      <c r="BC658" t="s">
        <v>128</v>
      </c>
      <c r="BD658" t="s">
        <v>129</v>
      </c>
      <c r="BE658" t="s">
        <v>130</v>
      </c>
      <c r="BG658" t="s">
        <v>1715</v>
      </c>
      <c r="BH658" t="s">
        <v>132</v>
      </c>
      <c r="BJ658">
        <v>4</v>
      </c>
      <c r="BK658" t="s">
        <v>550</v>
      </c>
      <c r="BV658" t="s">
        <v>134</v>
      </c>
      <c r="BW658" s="16">
        <v>45856.689583333333</v>
      </c>
      <c r="BX658" t="s">
        <v>178</v>
      </c>
      <c r="BZ658">
        <v>14</v>
      </c>
      <c r="CA658" t="s">
        <v>1716</v>
      </c>
      <c r="CB658">
        <v>0</v>
      </c>
      <c r="CF658" t="s">
        <v>1087</v>
      </c>
      <c r="CG658">
        <v>2026</v>
      </c>
      <c r="CH658" t="s">
        <v>138</v>
      </c>
      <c r="CI658" t="s">
        <v>139</v>
      </c>
    </row>
    <row r="659" spans="1:87" x14ac:dyDescent="0.3">
      <c r="A659" t="s">
        <v>115</v>
      </c>
      <c r="B659" t="s">
        <v>116</v>
      </c>
      <c r="C659" t="s">
        <v>117</v>
      </c>
      <c r="D659" t="s">
        <v>118</v>
      </c>
      <c r="E659" t="s">
        <v>14</v>
      </c>
      <c r="F659" t="s">
        <v>993</v>
      </c>
      <c r="G659">
        <v>88</v>
      </c>
      <c r="H659">
        <v>0</v>
      </c>
      <c r="I659" s="14">
        <v>660000</v>
      </c>
      <c r="J659" s="14">
        <v>660000</v>
      </c>
      <c r="Q659" s="14"/>
      <c r="R659" s="14"/>
      <c r="Y659" s="14"/>
      <c r="Z659" s="14"/>
      <c r="AG659" s="14"/>
      <c r="AH659" s="14"/>
      <c r="AI659" t="s">
        <v>994</v>
      </c>
      <c r="AJ659" t="s">
        <v>995</v>
      </c>
      <c r="AK659" t="s">
        <v>996</v>
      </c>
      <c r="AM659" t="s">
        <v>997</v>
      </c>
      <c r="AN659" t="s">
        <v>998</v>
      </c>
      <c r="AO659" t="s">
        <v>125</v>
      </c>
      <c r="AP659" t="s">
        <v>152</v>
      </c>
      <c r="AQ659" s="15">
        <v>46111</v>
      </c>
      <c r="AR659" s="15">
        <v>45978</v>
      </c>
      <c r="AS659" t="s">
        <v>227</v>
      </c>
      <c r="AT659">
        <v>1</v>
      </c>
      <c r="AU659">
        <v>0</v>
      </c>
      <c r="AV659">
        <v>0</v>
      </c>
      <c r="AW659">
        <v>0</v>
      </c>
      <c r="AX659" s="14">
        <v>0</v>
      </c>
      <c r="AY659" s="14">
        <v>10000</v>
      </c>
      <c r="AZ659" s="14">
        <v>0</v>
      </c>
      <c r="BA659">
        <v>0</v>
      </c>
      <c r="BB659" t="s">
        <v>22</v>
      </c>
      <c r="BC659" t="s">
        <v>128</v>
      </c>
      <c r="BD659" t="s">
        <v>129</v>
      </c>
      <c r="BE659" t="s">
        <v>130</v>
      </c>
      <c r="BG659" t="s">
        <v>1717</v>
      </c>
      <c r="BH659" t="s">
        <v>132</v>
      </c>
      <c r="BJ659">
        <v>4</v>
      </c>
      <c r="BK659" t="s">
        <v>550</v>
      </c>
      <c r="BV659" t="s">
        <v>134</v>
      </c>
      <c r="BW659" s="16">
        <v>45856.689583333333</v>
      </c>
      <c r="BX659" t="s">
        <v>178</v>
      </c>
      <c r="BZ659">
        <v>14</v>
      </c>
      <c r="CA659" t="s">
        <v>1718</v>
      </c>
      <c r="CB659">
        <v>0</v>
      </c>
      <c r="CF659" t="s">
        <v>1087</v>
      </c>
      <c r="CG659">
        <v>2026</v>
      </c>
      <c r="CH659" t="s">
        <v>138</v>
      </c>
      <c r="CI659" t="s">
        <v>139</v>
      </c>
    </row>
    <row r="660" spans="1:87" x14ac:dyDescent="0.3">
      <c r="A660" t="s">
        <v>115</v>
      </c>
      <c r="B660" t="s">
        <v>116</v>
      </c>
      <c r="C660" t="s">
        <v>117</v>
      </c>
      <c r="D660" t="s">
        <v>118</v>
      </c>
      <c r="E660" t="s">
        <v>14</v>
      </c>
      <c r="F660" t="s">
        <v>993</v>
      </c>
      <c r="G660">
        <v>88</v>
      </c>
      <c r="H660">
        <v>0</v>
      </c>
      <c r="I660" s="14">
        <v>660000</v>
      </c>
      <c r="J660" s="14">
        <v>660000</v>
      </c>
      <c r="Q660" s="14"/>
      <c r="R660" s="14"/>
      <c r="Y660" s="14"/>
      <c r="Z660" s="14"/>
      <c r="AG660" s="14"/>
      <c r="AH660" s="14"/>
      <c r="AI660" t="s">
        <v>994</v>
      </c>
      <c r="AJ660" t="s">
        <v>995</v>
      </c>
      <c r="AK660" t="s">
        <v>996</v>
      </c>
      <c r="AM660" t="s">
        <v>997</v>
      </c>
      <c r="AN660" t="s">
        <v>998</v>
      </c>
      <c r="AO660" t="s">
        <v>125</v>
      </c>
      <c r="AP660" t="s">
        <v>152</v>
      </c>
      <c r="AQ660" s="15">
        <v>46111</v>
      </c>
      <c r="AR660" s="15">
        <v>45978</v>
      </c>
      <c r="AS660" t="s">
        <v>227</v>
      </c>
      <c r="AT660">
        <v>1</v>
      </c>
      <c r="AU660">
        <v>0</v>
      </c>
      <c r="AV660">
        <v>0</v>
      </c>
      <c r="AW660">
        <v>0</v>
      </c>
      <c r="AX660" s="14">
        <v>0</v>
      </c>
      <c r="AY660" s="14">
        <v>10000</v>
      </c>
      <c r="AZ660" s="14">
        <v>0</v>
      </c>
      <c r="BA660">
        <v>0</v>
      </c>
      <c r="BB660" t="s">
        <v>22</v>
      </c>
      <c r="BC660" t="s">
        <v>128</v>
      </c>
      <c r="BD660" t="s">
        <v>129</v>
      </c>
      <c r="BE660" t="s">
        <v>130</v>
      </c>
      <c r="BG660" t="s">
        <v>1719</v>
      </c>
      <c r="BH660" t="s">
        <v>132</v>
      </c>
      <c r="BJ660">
        <v>4</v>
      </c>
      <c r="BK660" t="s">
        <v>550</v>
      </c>
      <c r="BV660" t="s">
        <v>134</v>
      </c>
      <c r="BW660" s="16">
        <v>45856.689583333333</v>
      </c>
      <c r="BX660" t="s">
        <v>178</v>
      </c>
      <c r="BZ660">
        <v>14</v>
      </c>
      <c r="CA660" t="s">
        <v>1720</v>
      </c>
      <c r="CB660">
        <v>0</v>
      </c>
      <c r="CF660" t="s">
        <v>1087</v>
      </c>
      <c r="CG660">
        <v>2026</v>
      </c>
      <c r="CH660" t="s">
        <v>138</v>
      </c>
      <c r="CI660" t="s">
        <v>139</v>
      </c>
    </row>
    <row r="661" spans="1:87" x14ac:dyDescent="0.3">
      <c r="A661" t="s">
        <v>115</v>
      </c>
      <c r="B661" t="s">
        <v>116</v>
      </c>
      <c r="C661" t="s">
        <v>117</v>
      </c>
      <c r="D661" t="s">
        <v>118</v>
      </c>
      <c r="E661" t="s">
        <v>14</v>
      </c>
      <c r="F661" t="s">
        <v>993</v>
      </c>
      <c r="G661">
        <v>88</v>
      </c>
      <c r="H661">
        <v>0</v>
      </c>
      <c r="I661" s="14">
        <v>660000</v>
      </c>
      <c r="J661" s="14">
        <v>660000</v>
      </c>
      <c r="Q661" s="14"/>
      <c r="R661" s="14"/>
      <c r="Y661" s="14"/>
      <c r="Z661" s="14"/>
      <c r="AG661" s="14"/>
      <c r="AH661" s="14"/>
      <c r="AI661" t="s">
        <v>994</v>
      </c>
      <c r="AJ661" t="s">
        <v>995</v>
      </c>
      <c r="AK661" t="s">
        <v>996</v>
      </c>
      <c r="AM661" t="s">
        <v>997</v>
      </c>
      <c r="AN661" t="s">
        <v>998</v>
      </c>
      <c r="AO661" t="s">
        <v>125</v>
      </c>
      <c r="AP661" t="s">
        <v>152</v>
      </c>
      <c r="AQ661" s="15">
        <v>46111</v>
      </c>
      <c r="AR661" s="15">
        <v>45978</v>
      </c>
      <c r="AS661" t="s">
        <v>227</v>
      </c>
      <c r="AT661">
        <v>1</v>
      </c>
      <c r="AU661">
        <v>0</v>
      </c>
      <c r="AV661">
        <v>0</v>
      </c>
      <c r="AW661">
        <v>0</v>
      </c>
      <c r="AX661" s="14">
        <v>0</v>
      </c>
      <c r="AY661" s="14">
        <v>10000</v>
      </c>
      <c r="AZ661" s="14">
        <v>0</v>
      </c>
      <c r="BA661">
        <v>0</v>
      </c>
      <c r="BB661" t="s">
        <v>22</v>
      </c>
      <c r="BC661" t="s">
        <v>128</v>
      </c>
      <c r="BD661" t="s">
        <v>129</v>
      </c>
      <c r="BE661" t="s">
        <v>130</v>
      </c>
      <c r="BG661" t="s">
        <v>1721</v>
      </c>
      <c r="BH661" t="s">
        <v>132</v>
      </c>
      <c r="BJ661">
        <v>4</v>
      </c>
      <c r="BK661" t="s">
        <v>550</v>
      </c>
      <c r="BV661" t="s">
        <v>134</v>
      </c>
      <c r="BW661" s="16">
        <v>45856.689583333333</v>
      </c>
      <c r="BX661" t="s">
        <v>178</v>
      </c>
      <c r="BZ661">
        <v>14</v>
      </c>
      <c r="CA661" t="s">
        <v>1722</v>
      </c>
      <c r="CB661">
        <v>0</v>
      </c>
      <c r="CF661" t="s">
        <v>1087</v>
      </c>
      <c r="CG661">
        <v>2026</v>
      </c>
      <c r="CH661" t="s">
        <v>138</v>
      </c>
      <c r="CI661" t="s">
        <v>139</v>
      </c>
    </row>
    <row r="662" spans="1:87" x14ac:dyDescent="0.3">
      <c r="A662" t="s">
        <v>115</v>
      </c>
      <c r="B662" t="s">
        <v>116</v>
      </c>
      <c r="C662" t="s">
        <v>117</v>
      </c>
      <c r="D662" t="s">
        <v>118</v>
      </c>
      <c r="E662" t="s">
        <v>14</v>
      </c>
      <c r="F662" t="s">
        <v>993</v>
      </c>
      <c r="G662">
        <v>88</v>
      </c>
      <c r="H662">
        <v>0</v>
      </c>
      <c r="I662" s="14">
        <v>660000</v>
      </c>
      <c r="J662" s="14">
        <v>660000</v>
      </c>
      <c r="Q662" s="14"/>
      <c r="R662" s="14"/>
      <c r="Y662" s="14"/>
      <c r="Z662" s="14"/>
      <c r="AG662" s="14"/>
      <c r="AH662" s="14"/>
      <c r="AI662" t="s">
        <v>994</v>
      </c>
      <c r="AJ662" t="s">
        <v>995</v>
      </c>
      <c r="AK662" t="s">
        <v>996</v>
      </c>
      <c r="AM662" t="s">
        <v>997</v>
      </c>
      <c r="AN662" t="s">
        <v>998</v>
      </c>
      <c r="AO662" t="s">
        <v>125</v>
      </c>
      <c r="AP662" t="s">
        <v>152</v>
      </c>
      <c r="AQ662" s="15">
        <v>46111</v>
      </c>
      <c r="AR662" s="15">
        <v>46024</v>
      </c>
      <c r="AS662" t="s">
        <v>227</v>
      </c>
      <c r="AT662">
        <v>1</v>
      </c>
      <c r="AU662">
        <v>0</v>
      </c>
      <c r="AV662">
        <v>0</v>
      </c>
      <c r="AW662">
        <v>0</v>
      </c>
      <c r="AX662" s="14">
        <v>0</v>
      </c>
      <c r="AY662" s="14">
        <v>165000</v>
      </c>
      <c r="AZ662" s="14">
        <v>0</v>
      </c>
      <c r="BA662">
        <v>0</v>
      </c>
      <c r="BB662" t="s">
        <v>22</v>
      </c>
      <c r="BC662" t="s">
        <v>128</v>
      </c>
      <c r="BD662" t="s">
        <v>129</v>
      </c>
      <c r="BE662" t="s">
        <v>130</v>
      </c>
      <c r="BG662" t="s">
        <v>1723</v>
      </c>
      <c r="BH662" t="s">
        <v>132</v>
      </c>
      <c r="BJ662">
        <v>4</v>
      </c>
      <c r="BK662" t="s">
        <v>550</v>
      </c>
      <c r="BV662" t="s">
        <v>134</v>
      </c>
      <c r="BW662" s="16">
        <v>45856.689583333333</v>
      </c>
      <c r="BX662" t="s">
        <v>178</v>
      </c>
      <c r="BZ662">
        <v>14</v>
      </c>
      <c r="CA662" t="s">
        <v>1724</v>
      </c>
      <c r="CB662">
        <v>0</v>
      </c>
      <c r="CF662" t="s">
        <v>1087</v>
      </c>
      <c r="CG662">
        <v>2026</v>
      </c>
      <c r="CH662" t="s">
        <v>138</v>
      </c>
      <c r="CI662" t="s">
        <v>139</v>
      </c>
    </row>
    <row r="663" spans="1:87" x14ac:dyDescent="0.3">
      <c r="A663" t="s">
        <v>426</v>
      </c>
      <c r="B663" t="s">
        <v>116</v>
      </c>
      <c r="C663" t="s">
        <v>117</v>
      </c>
      <c r="D663" t="s">
        <v>118</v>
      </c>
      <c r="E663" t="s">
        <v>14</v>
      </c>
      <c r="F663" t="s">
        <v>1003</v>
      </c>
      <c r="G663">
        <v>61</v>
      </c>
      <c r="H663">
        <v>0</v>
      </c>
      <c r="I663" s="14">
        <v>392000</v>
      </c>
      <c r="J663" s="14">
        <v>392000</v>
      </c>
      <c r="K663" t="s">
        <v>117</v>
      </c>
      <c r="L663" t="s">
        <v>118</v>
      </c>
      <c r="M663" t="s">
        <v>140</v>
      </c>
      <c r="N663" t="s">
        <v>1004</v>
      </c>
      <c r="O663">
        <v>14.5</v>
      </c>
      <c r="P663">
        <v>0</v>
      </c>
      <c r="Q663" s="14">
        <v>43000</v>
      </c>
      <c r="R663" s="14">
        <v>43000</v>
      </c>
      <c r="Y663" s="14"/>
      <c r="Z663" s="14"/>
      <c r="AG663" s="14"/>
      <c r="AH663" s="14"/>
      <c r="AI663" t="s">
        <v>1005</v>
      </c>
      <c r="AJ663" t="s">
        <v>1006</v>
      </c>
      <c r="AK663" t="s">
        <v>1007</v>
      </c>
      <c r="AL663">
        <v>0</v>
      </c>
      <c r="AM663" t="s">
        <v>1008</v>
      </c>
      <c r="AN663" t="s">
        <v>1009</v>
      </c>
      <c r="AO663" t="s">
        <v>433</v>
      </c>
      <c r="AP663" t="s">
        <v>433</v>
      </c>
      <c r="AQ663" s="15">
        <v>46053</v>
      </c>
      <c r="AR663" s="15">
        <v>46044</v>
      </c>
      <c r="AS663" t="s">
        <v>227</v>
      </c>
      <c r="AT663">
        <v>4</v>
      </c>
      <c r="AU663">
        <v>14300</v>
      </c>
      <c r="AV663">
        <v>0</v>
      </c>
      <c r="AW663">
        <v>0</v>
      </c>
      <c r="AX663" s="14">
        <v>14300</v>
      </c>
      <c r="AY663" s="14">
        <v>14300</v>
      </c>
      <c r="AZ663" s="14">
        <v>0</v>
      </c>
      <c r="BA663">
        <v>0</v>
      </c>
      <c r="BB663" t="s">
        <v>22</v>
      </c>
      <c r="BC663" t="s">
        <v>128</v>
      </c>
      <c r="BD663" t="s">
        <v>434</v>
      </c>
      <c r="BE663" t="s">
        <v>130</v>
      </c>
      <c r="BG663" t="s">
        <v>1725</v>
      </c>
      <c r="BH663" t="s">
        <v>134</v>
      </c>
      <c r="BJ663">
        <v>4</v>
      </c>
      <c r="BK663" t="s">
        <v>133</v>
      </c>
      <c r="BV663" t="s">
        <v>134</v>
      </c>
      <c r="BW663" s="16">
        <v>46178.343055555553</v>
      </c>
      <c r="BX663" t="s">
        <v>143</v>
      </c>
      <c r="BZ663">
        <v>9</v>
      </c>
      <c r="CA663" t="s">
        <v>1726</v>
      </c>
      <c r="CB663">
        <v>0</v>
      </c>
      <c r="CF663" t="s">
        <v>1087</v>
      </c>
      <c r="CG663">
        <v>2026</v>
      </c>
      <c r="CH663" t="s">
        <v>138</v>
      </c>
      <c r="CI663" t="s">
        <v>139</v>
      </c>
    </row>
    <row r="664" spans="1:87" x14ac:dyDescent="0.3">
      <c r="A664" t="s">
        <v>426</v>
      </c>
      <c r="B664" t="s">
        <v>116</v>
      </c>
      <c r="C664" t="s">
        <v>117</v>
      </c>
      <c r="D664" t="s">
        <v>118</v>
      </c>
      <c r="E664" t="s">
        <v>14</v>
      </c>
      <c r="F664" t="s">
        <v>1003</v>
      </c>
      <c r="G664">
        <v>61</v>
      </c>
      <c r="H664">
        <v>0</v>
      </c>
      <c r="I664" s="14">
        <v>392000</v>
      </c>
      <c r="J664" s="14">
        <v>392000</v>
      </c>
      <c r="K664" t="s">
        <v>117</v>
      </c>
      <c r="L664" t="s">
        <v>118</v>
      </c>
      <c r="M664" t="s">
        <v>140</v>
      </c>
      <c r="N664" t="s">
        <v>1004</v>
      </c>
      <c r="O664">
        <v>14.5</v>
      </c>
      <c r="P664">
        <v>0</v>
      </c>
      <c r="Q664" s="14">
        <v>43000</v>
      </c>
      <c r="R664" s="14">
        <v>43000</v>
      </c>
      <c r="Y664" s="14"/>
      <c r="Z664" s="14"/>
      <c r="AG664" s="14"/>
      <c r="AH664" s="14"/>
      <c r="AI664" t="s">
        <v>1005</v>
      </c>
      <c r="AJ664" t="s">
        <v>1006</v>
      </c>
      <c r="AK664" t="s">
        <v>1007</v>
      </c>
      <c r="AL664">
        <v>0</v>
      </c>
      <c r="AM664" t="s">
        <v>1008</v>
      </c>
      <c r="AN664" t="s">
        <v>1009</v>
      </c>
      <c r="AO664" t="s">
        <v>433</v>
      </c>
      <c r="AP664" t="s">
        <v>433</v>
      </c>
      <c r="AQ664" s="15">
        <v>46081</v>
      </c>
      <c r="AR664" s="15">
        <v>46044</v>
      </c>
      <c r="AS664" t="s">
        <v>227</v>
      </c>
      <c r="AT664">
        <v>5</v>
      </c>
      <c r="AU664">
        <v>14300</v>
      </c>
      <c r="AV664">
        <v>0</v>
      </c>
      <c r="AW664">
        <v>0</v>
      </c>
      <c r="AX664" s="14">
        <v>14300</v>
      </c>
      <c r="AY664" s="14">
        <v>14300</v>
      </c>
      <c r="AZ664" s="14">
        <v>0</v>
      </c>
      <c r="BA664">
        <v>0</v>
      </c>
      <c r="BB664" t="s">
        <v>22</v>
      </c>
      <c r="BC664" t="s">
        <v>128</v>
      </c>
      <c r="BD664" t="s">
        <v>434</v>
      </c>
      <c r="BE664" t="s">
        <v>130</v>
      </c>
      <c r="BG664" t="s">
        <v>1725</v>
      </c>
      <c r="BH664" t="s">
        <v>134</v>
      </c>
      <c r="BJ664">
        <v>4</v>
      </c>
      <c r="BK664" t="s">
        <v>133</v>
      </c>
      <c r="BV664" t="s">
        <v>134</v>
      </c>
      <c r="BW664" s="16">
        <v>46178.343055555553</v>
      </c>
      <c r="BX664" t="s">
        <v>143</v>
      </c>
      <c r="BZ664">
        <v>9</v>
      </c>
      <c r="CA664" t="s">
        <v>1726</v>
      </c>
      <c r="CB664">
        <v>0</v>
      </c>
      <c r="CF664" t="s">
        <v>1087</v>
      </c>
      <c r="CG664">
        <v>2026</v>
      </c>
      <c r="CH664" t="s">
        <v>138</v>
      </c>
      <c r="CI664" t="s">
        <v>139</v>
      </c>
    </row>
    <row r="665" spans="1:87" x14ac:dyDescent="0.3">
      <c r="A665" t="s">
        <v>426</v>
      </c>
      <c r="B665" t="s">
        <v>116</v>
      </c>
      <c r="C665" t="s">
        <v>117</v>
      </c>
      <c r="D665" t="s">
        <v>118</v>
      </c>
      <c r="E665" t="s">
        <v>14</v>
      </c>
      <c r="F665" t="s">
        <v>1003</v>
      </c>
      <c r="G665">
        <v>61</v>
      </c>
      <c r="H665">
        <v>0</v>
      </c>
      <c r="I665" s="14">
        <v>392000</v>
      </c>
      <c r="J665" s="14">
        <v>392000</v>
      </c>
      <c r="K665" t="s">
        <v>117</v>
      </c>
      <c r="L665" t="s">
        <v>118</v>
      </c>
      <c r="M665" t="s">
        <v>140</v>
      </c>
      <c r="N665" t="s">
        <v>1004</v>
      </c>
      <c r="O665">
        <v>14.5</v>
      </c>
      <c r="P665">
        <v>0</v>
      </c>
      <c r="Q665" s="14">
        <v>43000</v>
      </c>
      <c r="R665" s="14">
        <v>43000</v>
      </c>
      <c r="Y665" s="14"/>
      <c r="Z665" s="14"/>
      <c r="AG665" s="14"/>
      <c r="AH665" s="14"/>
      <c r="AI665" t="s">
        <v>1005</v>
      </c>
      <c r="AJ665" t="s">
        <v>1006</v>
      </c>
      <c r="AK665" t="s">
        <v>1007</v>
      </c>
      <c r="AL665">
        <v>0</v>
      </c>
      <c r="AM665" t="s">
        <v>1008</v>
      </c>
      <c r="AN665" t="s">
        <v>1009</v>
      </c>
      <c r="AO665" t="s">
        <v>433</v>
      </c>
      <c r="AP665" t="s">
        <v>433</v>
      </c>
      <c r="AQ665" s="15">
        <v>46112</v>
      </c>
      <c r="AR665" s="15">
        <v>46101</v>
      </c>
      <c r="AS665" t="s">
        <v>227</v>
      </c>
      <c r="AT665">
        <v>6</v>
      </c>
      <c r="AU665">
        <v>14300</v>
      </c>
      <c r="AV665">
        <v>0</v>
      </c>
      <c r="AW665">
        <v>0</v>
      </c>
      <c r="AX665" s="14">
        <v>14300</v>
      </c>
      <c r="AY665" s="14">
        <v>14300</v>
      </c>
      <c r="AZ665" s="14">
        <v>0</v>
      </c>
      <c r="BA665">
        <v>0</v>
      </c>
      <c r="BB665" t="s">
        <v>22</v>
      </c>
      <c r="BC665" t="s">
        <v>128</v>
      </c>
      <c r="BD665" t="s">
        <v>434</v>
      </c>
      <c r="BE665" t="s">
        <v>130</v>
      </c>
      <c r="BG665" t="s">
        <v>1727</v>
      </c>
      <c r="BH665" t="s">
        <v>134</v>
      </c>
      <c r="BJ665">
        <v>4</v>
      </c>
      <c r="BK665" t="s">
        <v>133</v>
      </c>
      <c r="BV665" t="s">
        <v>134</v>
      </c>
      <c r="BW665" s="16">
        <v>46178.343055555553</v>
      </c>
      <c r="BX665" t="s">
        <v>143</v>
      </c>
      <c r="BZ665">
        <v>9</v>
      </c>
      <c r="CA665" t="s">
        <v>1728</v>
      </c>
      <c r="CB665">
        <v>0</v>
      </c>
      <c r="CF665" t="s">
        <v>1087</v>
      </c>
      <c r="CG665">
        <v>2026</v>
      </c>
      <c r="CH665" t="s">
        <v>138</v>
      </c>
      <c r="CI665" t="s">
        <v>139</v>
      </c>
    </row>
    <row r="666" spans="1:87" x14ac:dyDescent="0.3">
      <c r="A666" t="s">
        <v>426</v>
      </c>
      <c r="B666" t="s">
        <v>116</v>
      </c>
      <c r="C666" t="s">
        <v>117</v>
      </c>
      <c r="D666" t="s">
        <v>118</v>
      </c>
      <c r="E666" t="s">
        <v>14</v>
      </c>
      <c r="F666" t="s">
        <v>1003</v>
      </c>
      <c r="G666">
        <v>61</v>
      </c>
      <c r="H666">
        <v>0</v>
      </c>
      <c r="I666" s="14">
        <v>392000</v>
      </c>
      <c r="J666" s="14">
        <v>392000</v>
      </c>
      <c r="K666" t="s">
        <v>117</v>
      </c>
      <c r="L666" t="s">
        <v>118</v>
      </c>
      <c r="M666" t="s">
        <v>140</v>
      </c>
      <c r="N666" t="s">
        <v>1004</v>
      </c>
      <c r="O666">
        <v>14.5</v>
      </c>
      <c r="P666">
        <v>0</v>
      </c>
      <c r="Q666" s="14">
        <v>43000</v>
      </c>
      <c r="R666" s="14">
        <v>43000</v>
      </c>
      <c r="Y666" s="14"/>
      <c r="Z666" s="14"/>
      <c r="AG666" s="14"/>
      <c r="AH666" s="14"/>
      <c r="AI666" t="s">
        <v>1005</v>
      </c>
      <c r="AJ666" t="s">
        <v>1006</v>
      </c>
      <c r="AK666" t="s">
        <v>1007</v>
      </c>
      <c r="AL666">
        <v>0</v>
      </c>
      <c r="AM666" t="s">
        <v>1008</v>
      </c>
      <c r="AN666" t="s">
        <v>1009</v>
      </c>
      <c r="AO666" t="s">
        <v>433</v>
      </c>
      <c r="AP666" t="s">
        <v>433</v>
      </c>
      <c r="AQ666" s="15">
        <v>46142</v>
      </c>
      <c r="AR666" s="15">
        <v>46101</v>
      </c>
      <c r="AS666" t="s">
        <v>227</v>
      </c>
      <c r="AT666">
        <v>7</v>
      </c>
      <c r="AU666">
        <v>14300</v>
      </c>
      <c r="AV666">
        <v>0</v>
      </c>
      <c r="AW666">
        <v>0</v>
      </c>
      <c r="AX666" s="14">
        <v>14300</v>
      </c>
      <c r="AY666" s="14">
        <v>14300</v>
      </c>
      <c r="AZ666" s="14">
        <v>0</v>
      </c>
      <c r="BA666">
        <v>0</v>
      </c>
      <c r="BB666" t="s">
        <v>22</v>
      </c>
      <c r="BC666" t="s">
        <v>128</v>
      </c>
      <c r="BD666" t="s">
        <v>434</v>
      </c>
      <c r="BE666" t="s">
        <v>130</v>
      </c>
      <c r="BG666" t="s">
        <v>1727</v>
      </c>
      <c r="BH666" t="s">
        <v>134</v>
      </c>
      <c r="BJ666">
        <v>4</v>
      </c>
      <c r="BK666" t="s">
        <v>133</v>
      </c>
      <c r="BV666" t="s">
        <v>134</v>
      </c>
      <c r="BW666" s="16">
        <v>46178.343055555553</v>
      </c>
      <c r="BX666" t="s">
        <v>143</v>
      </c>
      <c r="BZ666">
        <v>9</v>
      </c>
      <c r="CA666" t="s">
        <v>1728</v>
      </c>
      <c r="CB666">
        <v>0</v>
      </c>
      <c r="CF666" t="s">
        <v>1087</v>
      </c>
      <c r="CG666">
        <v>2026</v>
      </c>
      <c r="CH666" t="s">
        <v>138</v>
      </c>
      <c r="CI666" t="s">
        <v>139</v>
      </c>
    </row>
    <row r="667" spans="1:87" x14ac:dyDescent="0.3">
      <c r="A667" t="s">
        <v>426</v>
      </c>
      <c r="B667" t="s">
        <v>116</v>
      </c>
      <c r="C667" t="s">
        <v>117</v>
      </c>
      <c r="D667" t="s">
        <v>118</v>
      </c>
      <c r="E667" t="s">
        <v>14</v>
      </c>
      <c r="F667" t="s">
        <v>1003</v>
      </c>
      <c r="G667">
        <v>61</v>
      </c>
      <c r="H667">
        <v>0</v>
      </c>
      <c r="I667" s="14">
        <v>392000</v>
      </c>
      <c r="J667" s="14">
        <v>392000</v>
      </c>
      <c r="K667" t="s">
        <v>117</v>
      </c>
      <c r="L667" t="s">
        <v>118</v>
      </c>
      <c r="M667" t="s">
        <v>140</v>
      </c>
      <c r="N667" t="s">
        <v>1004</v>
      </c>
      <c r="O667">
        <v>14.5</v>
      </c>
      <c r="P667">
        <v>0</v>
      </c>
      <c r="Q667" s="14">
        <v>43000</v>
      </c>
      <c r="R667" s="14">
        <v>43000</v>
      </c>
      <c r="Y667" s="14"/>
      <c r="Z667" s="14"/>
      <c r="AG667" s="14"/>
      <c r="AH667" s="14"/>
      <c r="AI667" t="s">
        <v>1005</v>
      </c>
      <c r="AJ667" t="s">
        <v>1006</v>
      </c>
      <c r="AK667" t="s">
        <v>1007</v>
      </c>
      <c r="AL667">
        <v>0</v>
      </c>
      <c r="AM667" t="s">
        <v>1008</v>
      </c>
      <c r="AN667" t="s">
        <v>1009</v>
      </c>
      <c r="AO667" t="s">
        <v>433</v>
      </c>
      <c r="AP667" t="s">
        <v>433</v>
      </c>
      <c r="AQ667" s="15">
        <v>46173</v>
      </c>
      <c r="AR667" s="15">
        <v>46164</v>
      </c>
      <c r="AS667" t="s">
        <v>227</v>
      </c>
      <c r="AT667">
        <v>8</v>
      </c>
      <c r="AU667">
        <v>14300</v>
      </c>
      <c r="AV667">
        <v>0</v>
      </c>
      <c r="AW667">
        <v>0</v>
      </c>
      <c r="AX667" s="14">
        <v>14300</v>
      </c>
      <c r="AY667" s="14">
        <v>14300</v>
      </c>
      <c r="AZ667" s="14">
        <v>0</v>
      </c>
      <c r="BA667">
        <v>0</v>
      </c>
      <c r="BB667" t="s">
        <v>22</v>
      </c>
      <c r="BC667" t="s">
        <v>128</v>
      </c>
      <c r="BD667" t="s">
        <v>434</v>
      </c>
      <c r="BE667" t="s">
        <v>130</v>
      </c>
      <c r="BG667" t="s">
        <v>1729</v>
      </c>
      <c r="BH667" t="s">
        <v>134</v>
      </c>
      <c r="BJ667">
        <v>4</v>
      </c>
      <c r="BK667" t="s">
        <v>133</v>
      </c>
      <c r="BV667" t="s">
        <v>134</v>
      </c>
      <c r="BW667" s="16">
        <v>46178.343055555553</v>
      </c>
      <c r="BX667" t="s">
        <v>143</v>
      </c>
      <c r="BZ667">
        <v>9</v>
      </c>
      <c r="CA667" t="s">
        <v>1730</v>
      </c>
      <c r="CB667">
        <v>0</v>
      </c>
      <c r="CF667" t="s">
        <v>1087</v>
      </c>
      <c r="CG667">
        <v>2026</v>
      </c>
      <c r="CH667" t="s">
        <v>138</v>
      </c>
      <c r="CI667" t="s">
        <v>139</v>
      </c>
    </row>
    <row r="668" spans="1:87" x14ac:dyDescent="0.3">
      <c r="A668" t="s">
        <v>426</v>
      </c>
      <c r="B668" t="s">
        <v>116</v>
      </c>
      <c r="C668" t="s">
        <v>117</v>
      </c>
      <c r="D668" t="s">
        <v>118</v>
      </c>
      <c r="E668" t="s">
        <v>14</v>
      </c>
      <c r="F668" t="s">
        <v>1003</v>
      </c>
      <c r="G668">
        <v>61</v>
      </c>
      <c r="H668">
        <v>0</v>
      </c>
      <c r="I668" s="14">
        <v>392000</v>
      </c>
      <c r="J668" s="14">
        <v>392000</v>
      </c>
      <c r="K668" t="s">
        <v>117</v>
      </c>
      <c r="L668" t="s">
        <v>118</v>
      </c>
      <c r="M668" t="s">
        <v>140</v>
      </c>
      <c r="N668" t="s">
        <v>1004</v>
      </c>
      <c r="O668">
        <v>14.5</v>
      </c>
      <c r="P668">
        <v>0</v>
      </c>
      <c r="Q668" s="14">
        <v>43000</v>
      </c>
      <c r="R668" s="14">
        <v>43000</v>
      </c>
      <c r="Y668" s="14"/>
      <c r="Z668" s="14"/>
      <c r="AG668" s="14"/>
      <c r="AH668" s="14"/>
      <c r="AI668" t="s">
        <v>1005</v>
      </c>
      <c r="AJ668" t="s">
        <v>1006</v>
      </c>
      <c r="AK668" t="s">
        <v>1007</v>
      </c>
      <c r="AL668">
        <v>0</v>
      </c>
      <c r="AM668" t="s">
        <v>1008</v>
      </c>
      <c r="AN668" t="s">
        <v>1009</v>
      </c>
      <c r="AO668" t="s">
        <v>433</v>
      </c>
      <c r="AP668" t="s">
        <v>433</v>
      </c>
      <c r="AQ668" s="15">
        <v>46203</v>
      </c>
      <c r="AR668" s="15">
        <v>46164</v>
      </c>
      <c r="AS668" t="s">
        <v>227</v>
      </c>
      <c r="AT668">
        <v>9</v>
      </c>
      <c r="AU668">
        <v>14300</v>
      </c>
      <c r="AV668">
        <v>0</v>
      </c>
      <c r="AW668">
        <v>0</v>
      </c>
      <c r="AX668" s="14">
        <v>14300</v>
      </c>
      <c r="AY668" s="14">
        <v>14300</v>
      </c>
      <c r="AZ668" s="14">
        <v>0</v>
      </c>
      <c r="BA668">
        <v>0</v>
      </c>
      <c r="BB668" t="s">
        <v>22</v>
      </c>
      <c r="BC668" t="s">
        <v>128</v>
      </c>
      <c r="BD668" t="s">
        <v>434</v>
      </c>
      <c r="BE668" t="s">
        <v>130</v>
      </c>
      <c r="BG668" t="s">
        <v>1729</v>
      </c>
      <c r="BH668" t="s">
        <v>134</v>
      </c>
      <c r="BJ668">
        <v>4</v>
      </c>
      <c r="BK668" t="s">
        <v>133</v>
      </c>
      <c r="BV668" t="s">
        <v>134</v>
      </c>
      <c r="BW668" s="16">
        <v>46178.343055555553</v>
      </c>
      <c r="BX668" t="s">
        <v>143</v>
      </c>
      <c r="BZ668">
        <v>9</v>
      </c>
      <c r="CA668" t="s">
        <v>1730</v>
      </c>
      <c r="CB668">
        <v>0</v>
      </c>
      <c r="CF668" t="s">
        <v>1087</v>
      </c>
      <c r="CG668">
        <v>2026</v>
      </c>
      <c r="CH668" t="s">
        <v>138</v>
      </c>
      <c r="CI668" t="s">
        <v>139</v>
      </c>
    </row>
    <row r="669" spans="1:87" x14ac:dyDescent="0.3">
      <c r="A669" t="s">
        <v>426</v>
      </c>
      <c r="B669" t="s">
        <v>116</v>
      </c>
      <c r="C669" t="s">
        <v>117</v>
      </c>
      <c r="D669" t="s">
        <v>118</v>
      </c>
      <c r="E669" t="s">
        <v>14</v>
      </c>
      <c r="F669" t="s">
        <v>1003</v>
      </c>
      <c r="G669">
        <v>61</v>
      </c>
      <c r="H669">
        <v>0</v>
      </c>
      <c r="I669" s="14">
        <v>392000</v>
      </c>
      <c r="J669" s="14">
        <v>392000</v>
      </c>
      <c r="K669" t="s">
        <v>117</v>
      </c>
      <c r="L669" t="s">
        <v>118</v>
      </c>
      <c r="M669" t="s">
        <v>140</v>
      </c>
      <c r="N669" t="s">
        <v>1004</v>
      </c>
      <c r="O669">
        <v>14.5</v>
      </c>
      <c r="P669">
        <v>0</v>
      </c>
      <c r="Q669" s="14">
        <v>43000</v>
      </c>
      <c r="R669" s="14">
        <v>43000</v>
      </c>
      <c r="Y669" s="14"/>
      <c r="Z669" s="14"/>
      <c r="AG669" s="14"/>
      <c r="AH669" s="14"/>
      <c r="AI669" t="s">
        <v>1005</v>
      </c>
      <c r="AJ669" t="s">
        <v>1006</v>
      </c>
      <c r="AK669" t="s">
        <v>1007</v>
      </c>
      <c r="AL669">
        <v>0</v>
      </c>
      <c r="AM669" t="s">
        <v>1008</v>
      </c>
      <c r="AN669" t="s">
        <v>1009</v>
      </c>
      <c r="AO669" t="s">
        <v>433</v>
      </c>
      <c r="AP669" t="s">
        <v>433</v>
      </c>
      <c r="AQ669" s="15">
        <v>46234</v>
      </c>
      <c r="AR669" s="15">
        <v>46223</v>
      </c>
      <c r="AS669" t="s">
        <v>227</v>
      </c>
      <c r="AT669">
        <v>10</v>
      </c>
      <c r="AU669">
        <v>14300</v>
      </c>
      <c r="AV669">
        <v>0</v>
      </c>
      <c r="AW669">
        <v>0</v>
      </c>
      <c r="AX669" s="14">
        <v>14300</v>
      </c>
      <c r="AY669" s="14">
        <v>14300</v>
      </c>
      <c r="AZ669" s="14">
        <v>0</v>
      </c>
      <c r="BA669">
        <v>0</v>
      </c>
      <c r="BB669" t="s">
        <v>22</v>
      </c>
      <c r="BC669" t="s">
        <v>128</v>
      </c>
      <c r="BD669" t="s">
        <v>434</v>
      </c>
      <c r="BE669" t="s">
        <v>130</v>
      </c>
      <c r="BG669" t="s">
        <v>1731</v>
      </c>
      <c r="BH669" t="s">
        <v>132</v>
      </c>
      <c r="BJ669">
        <v>4</v>
      </c>
      <c r="BK669" t="s">
        <v>133</v>
      </c>
      <c r="BV669" t="s">
        <v>134</v>
      </c>
      <c r="BW669" s="16">
        <v>46178.343055555553</v>
      </c>
      <c r="BX669" t="s">
        <v>143</v>
      </c>
      <c r="BZ669">
        <v>9</v>
      </c>
      <c r="CA669" t="s">
        <v>1732</v>
      </c>
      <c r="CB669">
        <v>0</v>
      </c>
      <c r="CF669" t="s">
        <v>1087</v>
      </c>
      <c r="CG669">
        <v>2026</v>
      </c>
      <c r="CH669" t="s">
        <v>138</v>
      </c>
      <c r="CI669" t="s">
        <v>139</v>
      </c>
    </row>
    <row r="670" spans="1:87" x14ac:dyDescent="0.3">
      <c r="A670" t="s">
        <v>426</v>
      </c>
      <c r="B670" t="s">
        <v>116</v>
      </c>
      <c r="C670" t="s">
        <v>117</v>
      </c>
      <c r="D670" t="s">
        <v>118</v>
      </c>
      <c r="E670" t="s">
        <v>14</v>
      </c>
      <c r="F670" t="s">
        <v>1003</v>
      </c>
      <c r="G670">
        <v>61</v>
      </c>
      <c r="H670">
        <v>0</v>
      </c>
      <c r="I670" s="14">
        <v>392000</v>
      </c>
      <c r="J670" s="14">
        <v>392000</v>
      </c>
      <c r="K670" t="s">
        <v>117</v>
      </c>
      <c r="L670" t="s">
        <v>118</v>
      </c>
      <c r="M670" t="s">
        <v>140</v>
      </c>
      <c r="N670" t="s">
        <v>1004</v>
      </c>
      <c r="O670">
        <v>14.5</v>
      </c>
      <c r="P670">
        <v>0</v>
      </c>
      <c r="Q670" s="14">
        <v>43000</v>
      </c>
      <c r="R670" s="14">
        <v>43000</v>
      </c>
      <c r="Y670" s="14"/>
      <c r="Z670" s="14"/>
      <c r="AG670" s="14"/>
      <c r="AH670" s="14"/>
      <c r="AI670" t="s">
        <v>1005</v>
      </c>
      <c r="AJ670" t="s">
        <v>1006</v>
      </c>
      <c r="AK670" t="s">
        <v>1007</v>
      </c>
      <c r="AL670">
        <v>0</v>
      </c>
      <c r="AM670" t="s">
        <v>1008</v>
      </c>
      <c r="AN670" t="s">
        <v>1009</v>
      </c>
      <c r="AO670" t="s">
        <v>433</v>
      </c>
      <c r="AP670" t="s">
        <v>433</v>
      </c>
      <c r="AQ670" s="15">
        <v>46265</v>
      </c>
      <c r="AR670" s="15">
        <v>46223</v>
      </c>
      <c r="AS670" t="s">
        <v>227</v>
      </c>
      <c r="AT670">
        <v>11</v>
      </c>
      <c r="AU670">
        <v>14300</v>
      </c>
      <c r="AV670">
        <v>0</v>
      </c>
      <c r="AW670">
        <v>0</v>
      </c>
      <c r="AX670" s="14">
        <v>14300</v>
      </c>
      <c r="AY670" s="14">
        <v>14300</v>
      </c>
      <c r="AZ670" s="14">
        <v>0</v>
      </c>
      <c r="BA670">
        <v>0</v>
      </c>
      <c r="BB670" t="s">
        <v>22</v>
      </c>
      <c r="BC670" t="s">
        <v>128</v>
      </c>
      <c r="BD670" t="s">
        <v>434</v>
      </c>
      <c r="BE670" t="s">
        <v>130</v>
      </c>
      <c r="BG670" t="s">
        <v>1731</v>
      </c>
      <c r="BH670" t="s">
        <v>132</v>
      </c>
      <c r="BJ670">
        <v>4</v>
      </c>
      <c r="BK670" t="s">
        <v>133</v>
      </c>
      <c r="BV670" t="s">
        <v>134</v>
      </c>
      <c r="BW670" s="16">
        <v>46178.343055555553</v>
      </c>
      <c r="BX670" t="s">
        <v>143</v>
      </c>
      <c r="BZ670">
        <v>9</v>
      </c>
      <c r="CA670" t="s">
        <v>1732</v>
      </c>
      <c r="CB670">
        <v>0</v>
      </c>
      <c r="CF670" t="s">
        <v>1087</v>
      </c>
      <c r="CG670">
        <v>2026</v>
      </c>
      <c r="CH670" t="s">
        <v>138</v>
      </c>
      <c r="CI670" t="s">
        <v>139</v>
      </c>
    </row>
    <row r="671" spans="1:87" x14ac:dyDescent="0.3">
      <c r="A671" t="s">
        <v>426</v>
      </c>
      <c r="B671" t="s">
        <v>116</v>
      </c>
      <c r="C671" t="s">
        <v>117</v>
      </c>
      <c r="D671" t="s">
        <v>118</v>
      </c>
      <c r="E671" t="s">
        <v>14</v>
      </c>
      <c r="F671" t="s">
        <v>1003</v>
      </c>
      <c r="G671">
        <v>61</v>
      </c>
      <c r="H671">
        <v>0</v>
      </c>
      <c r="I671" s="14">
        <v>392000</v>
      </c>
      <c r="J671" s="14">
        <v>392000</v>
      </c>
      <c r="K671" t="s">
        <v>117</v>
      </c>
      <c r="L671" t="s">
        <v>118</v>
      </c>
      <c r="M671" t="s">
        <v>140</v>
      </c>
      <c r="N671" t="s">
        <v>1004</v>
      </c>
      <c r="O671">
        <v>14.5</v>
      </c>
      <c r="P671">
        <v>0</v>
      </c>
      <c r="Q671" s="14">
        <v>43000</v>
      </c>
      <c r="R671" s="14">
        <v>43000</v>
      </c>
      <c r="Y671" s="14"/>
      <c r="Z671" s="14"/>
      <c r="AG671" s="14"/>
      <c r="AH671" s="14"/>
      <c r="AI671" t="s">
        <v>1005</v>
      </c>
      <c r="AJ671" t="s">
        <v>1006</v>
      </c>
      <c r="AK671" t="s">
        <v>1007</v>
      </c>
      <c r="AL671">
        <v>0</v>
      </c>
      <c r="AM671" t="s">
        <v>1008</v>
      </c>
      <c r="AN671" t="s">
        <v>1009</v>
      </c>
      <c r="AO671" t="s">
        <v>433</v>
      </c>
      <c r="AP671" t="s">
        <v>433</v>
      </c>
      <c r="AQ671" s="15">
        <v>46295</v>
      </c>
      <c r="AR671" s="15"/>
      <c r="AS671" t="s">
        <v>227</v>
      </c>
      <c r="AT671">
        <v>12</v>
      </c>
      <c r="AU671">
        <v>14300</v>
      </c>
      <c r="AV671">
        <v>0</v>
      </c>
      <c r="AW671">
        <v>0</v>
      </c>
      <c r="AX671" s="14">
        <v>14300</v>
      </c>
      <c r="AY671" s="14">
        <v>0</v>
      </c>
      <c r="AZ671" s="14">
        <v>14300</v>
      </c>
      <c r="BB671" t="s">
        <v>22</v>
      </c>
      <c r="BH671" t="s">
        <v>132</v>
      </c>
      <c r="BK671" t="s">
        <v>1100</v>
      </c>
      <c r="BV671" t="s">
        <v>132</v>
      </c>
      <c r="BW671" s="16">
        <v>46178.343055555553</v>
      </c>
      <c r="BX671" t="s">
        <v>143</v>
      </c>
      <c r="BZ671">
        <v>9</v>
      </c>
      <c r="CB671">
        <v>0</v>
      </c>
      <c r="CF671" t="s">
        <v>1087</v>
      </c>
      <c r="CG671">
        <v>2026</v>
      </c>
      <c r="CH671" t="s">
        <v>138</v>
      </c>
      <c r="CI671" t="s">
        <v>139</v>
      </c>
    </row>
    <row r="672" spans="1:87" x14ac:dyDescent="0.3">
      <c r="A672" t="s">
        <v>426</v>
      </c>
      <c r="B672" t="s">
        <v>116</v>
      </c>
      <c r="C672" t="s">
        <v>117</v>
      </c>
      <c r="D672" t="s">
        <v>118</v>
      </c>
      <c r="E672" t="s">
        <v>14</v>
      </c>
      <c r="F672" t="s">
        <v>1003</v>
      </c>
      <c r="G672">
        <v>61</v>
      </c>
      <c r="H672">
        <v>0</v>
      </c>
      <c r="I672" s="14">
        <v>392000</v>
      </c>
      <c r="J672" s="14">
        <v>392000</v>
      </c>
      <c r="K672" t="s">
        <v>117</v>
      </c>
      <c r="L672" t="s">
        <v>118</v>
      </c>
      <c r="M672" t="s">
        <v>140</v>
      </c>
      <c r="N672" t="s">
        <v>1004</v>
      </c>
      <c r="O672">
        <v>14.5</v>
      </c>
      <c r="P672">
        <v>0</v>
      </c>
      <c r="Q672" s="14">
        <v>43000</v>
      </c>
      <c r="R672" s="14">
        <v>43000</v>
      </c>
      <c r="Y672" s="14"/>
      <c r="Z672" s="14"/>
      <c r="AG672" s="14"/>
      <c r="AH672" s="14"/>
      <c r="AI672" t="s">
        <v>1005</v>
      </c>
      <c r="AJ672" t="s">
        <v>1006</v>
      </c>
      <c r="AK672" t="s">
        <v>1007</v>
      </c>
      <c r="AL672">
        <v>0</v>
      </c>
      <c r="AM672" t="s">
        <v>1008</v>
      </c>
      <c r="AN672" t="s">
        <v>1009</v>
      </c>
      <c r="AO672" t="s">
        <v>433</v>
      </c>
      <c r="AP672" t="s">
        <v>433</v>
      </c>
      <c r="AQ672" s="15">
        <v>46326</v>
      </c>
      <c r="AR672" s="15"/>
      <c r="AS672" t="s">
        <v>227</v>
      </c>
      <c r="AT672">
        <v>13</v>
      </c>
      <c r="AU672">
        <v>14300</v>
      </c>
      <c r="AV672">
        <v>0</v>
      </c>
      <c r="AW672">
        <v>0</v>
      </c>
      <c r="AX672" s="14">
        <v>14300</v>
      </c>
      <c r="AY672" s="14">
        <v>0</v>
      </c>
      <c r="AZ672" s="14">
        <v>14300</v>
      </c>
      <c r="BB672" t="s">
        <v>22</v>
      </c>
      <c r="BH672" t="s">
        <v>132</v>
      </c>
      <c r="BK672" t="s">
        <v>1100</v>
      </c>
      <c r="BV672" t="s">
        <v>132</v>
      </c>
      <c r="BW672" s="16">
        <v>46178.343055555553</v>
      </c>
      <c r="BX672" t="s">
        <v>143</v>
      </c>
      <c r="BZ672">
        <v>9</v>
      </c>
      <c r="CB672">
        <v>0</v>
      </c>
      <c r="CF672" t="s">
        <v>1087</v>
      </c>
      <c r="CG672">
        <v>2026</v>
      </c>
      <c r="CH672" t="s">
        <v>138</v>
      </c>
      <c r="CI672" t="s">
        <v>139</v>
      </c>
    </row>
    <row r="673" spans="1:87" x14ac:dyDescent="0.3">
      <c r="A673" t="s">
        <v>426</v>
      </c>
      <c r="B673" t="s">
        <v>116</v>
      </c>
      <c r="C673" t="s">
        <v>117</v>
      </c>
      <c r="D673" t="s">
        <v>118</v>
      </c>
      <c r="E673" t="s">
        <v>14</v>
      </c>
      <c r="F673" t="s">
        <v>1003</v>
      </c>
      <c r="G673">
        <v>61</v>
      </c>
      <c r="H673">
        <v>0</v>
      </c>
      <c r="I673" s="14">
        <v>392000</v>
      </c>
      <c r="J673" s="14">
        <v>392000</v>
      </c>
      <c r="K673" t="s">
        <v>117</v>
      </c>
      <c r="L673" t="s">
        <v>118</v>
      </c>
      <c r="M673" t="s">
        <v>140</v>
      </c>
      <c r="N673" t="s">
        <v>1004</v>
      </c>
      <c r="O673">
        <v>14.5</v>
      </c>
      <c r="P673">
        <v>0</v>
      </c>
      <c r="Q673" s="14">
        <v>43000</v>
      </c>
      <c r="R673" s="14">
        <v>43000</v>
      </c>
      <c r="Y673" s="14"/>
      <c r="Z673" s="14"/>
      <c r="AG673" s="14"/>
      <c r="AH673" s="14"/>
      <c r="AI673" t="s">
        <v>1005</v>
      </c>
      <c r="AJ673" t="s">
        <v>1006</v>
      </c>
      <c r="AK673" t="s">
        <v>1007</v>
      </c>
      <c r="AL673">
        <v>0</v>
      </c>
      <c r="AM673" t="s">
        <v>1008</v>
      </c>
      <c r="AN673" t="s">
        <v>1009</v>
      </c>
      <c r="AO673" t="s">
        <v>433</v>
      </c>
      <c r="AP673" t="s">
        <v>433</v>
      </c>
      <c r="AQ673" s="15">
        <v>46356</v>
      </c>
      <c r="AR673" s="15"/>
      <c r="AS673" t="s">
        <v>227</v>
      </c>
      <c r="AT673">
        <v>14</v>
      </c>
      <c r="AU673">
        <v>14300</v>
      </c>
      <c r="AV673">
        <v>0</v>
      </c>
      <c r="AW673">
        <v>0</v>
      </c>
      <c r="AX673" s="14">
        <v>14300</v>
      </c>
      <c r="AY673" s="14">
        <v>0</v>
      </c>
      <c r="AZ673" s="14">
        <v>14300</v>
      </c>
      <c r="BB673" t="s">
        <v>22</v>
      </c>
      <c r="BH673" t="s">
        <v>132</v>
      </c>
      <c r="BK673" t="s">
        <v>1100</v>
      </c>
      <c r="BV673" t="s">
        <v>132</v>
      </c>
      <c r="BW673" s="16">
        <v>46178.343055555553</v>
      </c>
      <c r="BX673" t="s">
        <v>143</v>
      </c>
      <c r="BZ673">
        <v>9</v>
      </c>
      <c r="CB673">
        <v>0</v>
      </c>
      <c r="CF673" t="s">
        <v>1087</v>
      </c>
      <c r="CG673">
        <v>2026</v>
      </c>
      <c r="CH673" t="s">
        <v>138</v>
      </c>
      <c r="CI673" t="s">
        <v>139</v>
      </c>
    </row>
    <row r="674" spans="1:87" x14ac:dyDescent="0.3">
      <c r="A674" t="s">
        <v>426</v>
      </c>
      <c r="B674" t="s">
        <v>116</v>
      </c>
      <c r="C674" t="s">
        <v>117</v>
      </c>
      <c r="D674" t="s">
        <v>118</v>
      </c>
      <c r="E674" t="s">
        <v>14</v>
      </c>
      <c r="F674" t="s">
        <v>1003</v>
      </c>
      <c r="G674">
        <v>61</v>
      </c>
      <c r="H674">
        <v>0</v>
      </c>
      <c r="I674" s="14">
        <v>392000</v>
      </c>
      <c r="J674" s="14">
        <v>392000</v>
      </c>
      <c r="K674" t="s">
        <v>117</v>
      </c>
      <c r="L674" t="s">
        <v>118</v>
      </c>
      <c r="M674" t="s">
        <v>140</v>
      </c>
      <c r="N674" t="s">
        <v>1004</v>
      </c>
      <c r="O674">
        <v>14.5</v>
      </c>
      <c r="P674">
        <v>0</v>
      </c>
      <c r="Q674" s="14">
        <v>43000</v>
      </c>
      <c r="R674" s="14">
        <v>43000</v>
      </c>
      <c r="Y674" s="14"/>
      <c r="Z674" s="14"/>
      <c r="AG674" s="14"/>
      <c r="AH674" s="14"/>
      <c r="AI674" t="s">
        <v>1005</v>
      </c>
      <c r="AJ674" t="s">
        <v>1006</v>
      </c>
      <c r="AK674" t="s">
        <v>1007</v>
      </c>
      <c r="AL674">
        <v>0</v>
      </c>
      <c r="AM674" t="s">
        <v>1008</v>
      </c>
      <c r="AN674" t="s">
        <v>1009</v>
      </c>
      <c r="AO674" t="s">
        <v>433</v>
      </c>
      <c r="AP674" t="s">
        <v>433</v>
      </c>
      <c r="AQ674" s="15">
        <v>46387</v>
      </c>
      <c r="AR674" s="15"/>
      <c r="AS674" t="s">
        <v>227</v>
      </c>
      <c r="AT674">
        <v>15</v>
      </c>
      <c r="AU674">
        <v>14300</v>
      </c>
      <c r="AV674">
        <v>0</v>
      </c>
      <c r="AW674">
        <v>0</v>
      </c>
      <c r="AX674" s="14">
        <v>14300</v>
      </c>
      <c r="AY674" s="14">
        <v>0</v>
      </c>
      <c r="AZ674" s="14">
        <v>14300</v>
      </c>
      <c r="BB674" t="s">
        <v>22</v>
      </c>
      <c r="BH674" t="s">
        <v>132</v>
      </c>
      <c r="BK674" t="s">
        <v>1100</v>
      </c>
      <c r="BV674" t="s">
        <v>132</v>
      </c>
      <c r="BW674" s="16">
        <v>46178.343055555553</v>
      </c>
      <c r="BX674" t="s">
        <v>143</v>
      </c>
      <c r="BZ674">
        <v>9</v>
      </c>
      <c r="CB674">
        <v>0</v>
      </c>
      <c r="CF674" t="s">
        <v>1087</v>
      </c>
      <c r="CG674">
        <v>2026</v>
      </c>
      <c r="CH674" t="s">
        <v>138</v>
      </c>
      <c r="CI674" t="s">
        <v>139</v>
      </c>
    </row>
    <row r="675" spans="1:87" x14ac:dyDescent="0.3">
      <c r="A675" t="s">
        <v>426</v>
      </c>
      <c r="B675" t="s">
        <v>116</v>
      </c>
      <c r="C675" t="s">
        <v>117</v>
      </c>
      <c r="D675" t="s">
        <v>118</v>
      </c>
      <c r="E675" t="s">
        <v>14</v>
      </c>
      <c r="F675" t="s">
        <v>334</v>
      </c>
      <c r="G675">
        <v>61</v>
      </c>
      <c r="H675">
        <v>0</v>
      </c>
      <c r="I675" s="14">
        <v>442000</v>
      </c>
      <c r="J675" s="14">
        <v>416000</v>
      </c>
      <c r="Q675" s="14"/>
      <c r="R675" s="14"/>
      <c r="Y675" s="14"/>
      <c r="Z675" s="14"/>
      <c r="AG675" s="14"/>
      <c r="AH675" s="14"/>
      <c r="AI675" t="s">
        <v>1733</v>
      </c>
      <c r="AJ675" t="s">
        <v>1734</v>
      </c>
      <c r="AK675" t="s">
        <v>1735</v>
      </c>
      <c r="AL675">
        <v>0</v>
      </c>
      <c r="AM675" t="s">
        <v>1736</v>
      </c>
      <c r="AN675" t="s">
        <v>1737</v>
      </c>
      <c r="AO675" t="s">
        <v>125</v>
      </c>
      <c r="AP675" t="s">
        <v>1738</v>
      </c>
      <c r="AQ675" s="15">
        <v>46158</v>
      </c>
      <c r="AR675" s="15">
        <v>46158</v>
      </c>
      <c r="AS675" t="s">
        <v>127</v>
      </c>
      <c r="AT675">
        <v>1</v>
      </c>
      <c r="AU675">
        <v>3000</v>
      </c>
      <c r="AV675">
        <v>0</v>
      </c>
      <c r="AW675">
        <v>0</v>
      </c>
      <c r="AX675" s="14">
        <v>3000</v>
      </c>
      <c r="AY675" s="14">
        <v>3000</v>
      </c>
      <c r="AZ675" s="14">
        <v>0</v>
      </c>
      <c r="BA675">
        <v>0</v>
      </c>
      <c r="BB675" t="s">
        <v>23</v>
      </c>
      <c r="BC675" t="s">
        <v>128</v>
      </c>
      <c r="BD675" t="s">
        <v>434</v>
      </c>
      <c r="BE675" t="s">
        <v>130</v>
      </c>
      <c r="BG675" t="s">
        <v>1739</v>
      </c>
      <c r="BH675" t="s">
        <v>132</v>
      </c>
      <c r="BJ675">
        <v>4</v>
      </c>
      <c r="BK675" t="s">
        <v>133</v>
      </c>
      <c r="BV675" t="s">
        <v>134</v>
      </c>
      <c r="BW675" s="16">
        <v>46185.572916666657</v>
      </c>
      <c r="BX675" t="s">
        <v>1740</v>
      </c>
      <c r="BZ675">
        <v>18</v>
      </c>
      <c r="CA675" t="s">
        <v>1741</v>
      </c>
      <c r="CB675">
        <v>0</v>
      </c>
      <c r="CF675" t="s">
        <v>1087</v>
      </c>
      <c r="CG675">
        <v>2026</v>
      </c>
      <c r="CH675" t="s">
        <v>138</v>
      </c>
      <c r="CI675" t="s">
        <v>139</v>
      </c>
    </row>
    <row r="676" spans="1:87" x14ac:dyDescent="0.3">
      <c r="A676" t="s">
        <v>426</v>
      </c>
      <c r="B676" t="s">
        <v>116</v>
      </c>
      <c r="C676" t="s">
        <v>117</v>
      </c>
      <c r="D676" t="s">
        <v>118</v>
      </c>
      <c r="E676" t="s">
        <v>14</v>
      </c>
      <c r="F676" t="s">
        <v>334</v>
      </c>
      <c r="G676">
        <v>61</v>
      </c>
      <c r="H676">
        <v>0</v>
      </c>
      <c r="I676" s="14">
        <v>442000</v>
      </c>
      <c r="J676" s="14">
        <v>416000</v>
      </c>
      <c r="Q676" s="14"/>
      <c r="R676" s="14"/>
      <c r="Y676" s="14"/>
      <c r="Z676" s="14"/>
      <c r="AG676" s="14"/>
      <c r="AH676" s="14"/>
      <c r="AI676" t="s">
        <v>1733</v>
      </c>
      <c r="AJ676" t="s">
        <v>1734</v>
      </c>
      <c r="AK676" t="s">
        <v>1735</v>
      </c>
      <c r="AL676">
        <v>0</v>
      </c>
      <c r="AM676" t="s">
        <v>1736</v>
      </c>
      <c r="AN676" t="s">
        <v>1737</v>
      </c>
      <c r="AO676" t="s">
        <v>125</v>
      </c>
      <c r="AP676" t="s">
        <v>1738</v>
      </c>
      <c r="AQ676" s="15">
        <v>46185</v>
      </c>
      <c r="AR676" s="15">
        <v>46185</v>
      </c>
      <c r="AS676" t="s">
        <v>145</v>
      </c>
      <c r="AT676">
        <v>1</v>
      </c>
      <c r="AU676">
        <v>23400</v>
      </c>
      <c r="AV676">
        <v>0</v>
      </c>
      <c r="AW676">
        <v>0</v>
      </c>
      <c r="AX676" s="14">
        <v>23400</v>
      </c>
      <c r="AY676" s="14">
        <v>23400</v>
      </c>
      <c r="AZ676" s="14">
        <v>0</v>
      </c>
      <c r="BA676">
        <v>0</v>
      </c>
      <c r="BB676" t="s">
        <v>23</v>
      </c>
      <c r="BC676" t="s">
        <v>128</v>
      </c>
      <c r="BD676" t="s">
        <v>434</v>
      </c>
      <c r="BE676" t="s">
        <v>130</v>
      </c>
      <c r="BG676" t="s">
        <v>1742</v>
      </c>
      <c r="BH676" t="s">
        <v>132</v>
      </c>
      <c r="BJ676">
        <v>4</v>
      </c>
      <c r="BK676" t="s">
        <v>133</v>
      </c>
      <c r="BV676" t="s">
        <v>134</v>
      </c>
      <c r="BW676" s="16">
        <v>46185.572916666657</v>
      </c>
      <c r="BX676" t="s">
        <v>1740</v>
      </c>
      <c r="BZ676">
        <v>18</v>
      </c>
      <c r="CA676" t="s">
        <v>1743</v>
      </c>
      <c r="CB676">
        <v>0</v>
      </c>
      <c r="CF676" t="s">
        <v>1087</v>
      </c>
      <c r="CG676">
        <v>2026</v>
      </c>
      <c r="CH676" t="s">
        <v>138</v>
      </c>
      <c r="CI676" t="s">
        <v>139</v>
      </c>
    </row>
    <row r="677" spans="1:87" x14ac:dyDescent="0.3">
      <c r="A677" t="s">
        <v>426</v>
      </c>
      <c r="B677" t="s">
        <v>116</v>
      </c>
      <c r="C677" t="s">
        <v>117</v>
      </c>
      <c r="D677" t="s">
        <v>118</v>
      </c>
      <c r="E677" t="s">
        <v>14</v>
      </c>
      <c r="F677" t="s">
        <v>334</v>
      </c>
      <c r="G677">
        <v>61</v>
      </c>
      <c r="H677">
        <v>0</v>
      </c>
      <c r="I677" s="14">
        <v>442000</v>
      </c>
      <c r="J677" s="14">
        <v>416000</v>
      </c>
      <c r="Q677" s="14"/>
      <c r="R677" s="14"/>
      <c r="Y677" s="14"/>
      <c r="Z677" s="14"/>
      <c r="AG677" s="14"/>
      <c r="AH677" s="14"/>
      <c r="AI677" t="s">
        <v>1733</v>
      </c>
      <c r="AJ677" t="s">
        <v>1734</v>
      </c>
      <c r="AK677" t="s">
        <v>1735</v>
      </c>
      <c r="AL677">
        <v>0</v>
      </c>
      <c r="AM677" t="s">
        <v>1736</v>
      </c>
      <c r="AN677" t="s">
        <v>1737</v>
      </c>
      <c r="AO677" t="s">
        <v>125</v>
      </c>
      <c r="AP677" t="s">
        <v>1738</v>
      </c>
      <c r="AQ677" s="15">
        <v>46356</v>
      </c>
      <c r="AR677" s="15"/>
      <c r="AS677" t="s">
        <v>145</v>
      </c>
      <c r="AT677">
        <v>2</v>
      </c>
      <c r="AU677">
        <v>15200</v>
      </c>
      <c r="AV677">
        <v>0</v>
      </c>
      <c r="AW677">
        <v>0</v>
      </c>
      <c r="AX677" s="14">
        <v>15200</v>
      </c>
      <c r="AY677" s="14">
        <v>0</v>
      </c>
      <c r="AZ677" s="14">
        <v>15200</v>
      </c>
      <c r="BB677" t="s">
        <v>23</v>
      </c>
      <c r="BH677" t="s">
        <v>132</v>
      </c>
      <c r="BK677" t="s">
        <v>1100</v>
      </c>
      <c r="BV677" t="s">
        <v>132</v>
      </c>
      <c r="BW677" s="16">
        <v>46185.572916666657</v>
      </c>
      <c r="BX677" t="s">
        <v>1740</v>
      </c>
      <c r="BZ677">
        <v>18</v>
      </c>
      <c r="CB677">
        <v>0</v>
      </c>
      <c r="CF677" t="s">
        <v>1087</v>
      </c>
      <c r="CG677">
        <v>2026</v>
      </c>
      <c r="CH677" t="s">
        <v>138</v>
      </c>
      <c r="CI677" t="s">
        <v>139</v>
      </c>
    </row>
    <row r="678" spans="1:87" x14ac:dyDescent="0.3">
      <c r="A678" t="s">
        <v>426</v>
      </c>
      <c r="B678" t="s">
        <v>116</v>
      </c>
      <c r="C678" t="s">
        <v>117</v>
      </c>
      <c r="D678" t="s">
        <v>118</v>
      </c>
      <c r="E678" t="s">
        <v>14</v>
      </c>
      <c r="F678" t="s">
        <v>334</v>
      </c>
      <c r="G678">
        <v>61</v>
      </c>
      <c r="H678">
        <v>0</v>
      </c>
      <c r="I678" s="14">
        <v>442000</v>
      </c>
      <c r="J678" s="14">
        <v>416000</v>
      </c>
      <c r="Q678" s="14"/>
      <c r="R678" s="14"/>
      <c r="Y678" s="14"/>
      <c r="Z678" s="14"/>
      <c r="AG678" s="14"/>
      <c r="AH678" s="14"/>
      <c r="AI678" t="s">
        <v>1733</v>
      </c>
      <c r="AJ678" t="s">
        <v>1734</v>
      </c>
      <c r="AK678" t="s">
        <v>1735</v>
      </c>
      <c r="AL678">
        <v>0</v>
      </c>
      <c r="AM678" t="s">
        <v>1736</v>
      </c>
      <c r="AN678" t="s">
        <v>1737</v>
      </c>
      <c r="AO678" t="s">
        <v>125</v>
      </c>
      <c r="AP678" t="s">
        <v>1738</v>
      </c>
      <c r="AQ678" s="15">
        <v>46387</v>
      </c>
      <c r="AR678" s="15"/>
      <c r="AS678" t="s">
        <v>227</v>
      </c>
      <c r="AT678">
        <v>1</v>
      </c>
      <c r="AU678">
        <v>374400</v>
      </c>
      <c r="AV678">
        <v>0</v>
      </c>
      <c r="AW678">
        <v>0</v>
      </c>
      <c r="AX678" s="14">
        <v>374400</v>
      </c>
      <c r="AY678" s="14">
        <v>0</v>
      </c>
      <c r="AZ678" s="14">
        <v>374400</v>
      </c>
      <c r="BB678" t="s">
        <v>23</v>
      </c>
      <c r="BH678" t="s">
        <v>132</v>
      </c>
      <c r="BK678" t="s">
        <v>1100</v>
      </c>
      <c r="BV678" t="s">
        <v>132</v>
      </c>
      <c r="BW678" s="16">
        <v>46185.572916666657</v>
      </c>
      <c r="BX678" t="s">
        <v>1740</v>
      </c>
      <c r="BZ678">
        <v>18</v>
      </c>
      <c r="CB678">
        <v>0</v>
      </c>
      <c r="CF678" t="s">
        <v>1087</v>
      </c>
      <c r="CG678">
        <v>2026</v>
      </c>
      <c r="CH678" t="s">
        <v>138</v>
      </c>
      <c r="CI678" t="s">
        <v>139</v>
      </c>
    </row>
    <row r="679" spans="1:87" x14ac:dyDescent="0.3">
      <c r="A679" t="s">
        <v>115</v>
      </c>
      <c r="B679" t="s">
        <v>116</v>
      </c>
      <c r="C679" t="s">
        <v>117</v>
      </c>
      <c r="D679" t="s">
        <v>118</v>
      </c>
      <c r="E679" t="s">
        <v>14</v>
      </c>
      <c r="F679" t="s">
        <v>1744</v>
      </c>
      <c r="G679">
        <v>60.93</v>
      </c>
      <c r="H679">
        <v>0</v>
      </c>
      <c r="I679" s="14">
        <v>478700</v>
      </c>
      <c r="J679" s="14">
        <v>417000</v>
      </c>
      <c r="K679" t="s">
        <v>117</v>
      </c>
      <c r="L679" t="s">
        <v>118</v>
      </c>
      <c r="M679" t="s">
        <v>140</v>
      </c>
      <c r="N679" t="s">
        <v>1745</v>
      </c>
      <c r="O679">
        <v>13</v>
      </c>
      <c r="P679">
        <v>3.89</v>
      </c>
      <c r="Q679" s="14">
        <v>61000</v>
      </c>
      <c r="R679" s="14">
        <v>61000</v>
      </c>
      <c r="Y679" s="14"/>
      <c r="Z679" s="14"/>
      <c r="AG679" s="14"/>
      <c r="AH679" s="14"/>
      <c r="AI679" t="s">
        <v>1746</v>
      </c>
      <c r="AJ679" t="s">
        <v>1747</v>
      </c>
      <c r="AK679" t="s">
        <v>1748</v>
      </c>
      <c r="AL679">
        <v>0</v>
      </c>
      <c r="AM679" t="s">
        <v>1749</v>
      </c>
      <c r="AN679" t="s">
        <v>1750</v>
      </c>
      <c r="AO679" t="s">
        <v>125</v>
      </c>
      <c r="AP679" t="s">
        <v>1751</v>
      </c>
      <c r="AQ679" s="15">
        <v>46159</v>
      </c>
      <c r="AR679" s="15">
        <v>46159</v>
      </c>
      <c r="AS679" t="s">
        <v>127</v>
      </c>
      <c r="AT679">
        <v>1</v>
      </c>
      <c r="AU679">
        <v>3000</v>
      </c>
      <c r="AV679">
        <v>0</v>
      </c>
      <c r="AW679">
        <v>0</v>
      </c>
      <c r="AX679" s="14">
        <v>3000</v>
      </c>
      <c r="AY679" s="14">
        <v>3000</v>
      </c>
      <c r="AZ679" s="14">
        <v>0</v>
      </c>
      <c r="BA679">
        <v>0</v>
      </c>
      <c r="BB679" t="s">
        <v>23</v>
      </c>
      <c r="BC679" t="s">
        <v>128</v>
      </c>
      <c r="BD679" t="s">
        <v>129</v>
      </c>
      <c r="BE679" t="s">
        <v>130</v>
      </c>
      <c r="BG679" t="s">
        <v>1752</v>
      </c>
      <c r="BH679" t="s">
        <v>132</v>
      </c>
      <c r="BJ679">
        <v>4</v>
      </c>
      <c r="BK679" t="s">
        <v>133</v>
      </c>
      <c r="BV679" t="s">
        <v>134</v>
      </c>
      <c r="BW679" s="16">
        <v>46172.706944444442</v>
      </c>
      <c r="BX679" t="s">
        <v>1740</v>
      </c>
      <c r="BZ679">
        <v>30</v>
      </c>
      <c r="CA679" t="s">
        <v>1753</v>
      </c>
      <c r="CB679">
        <v>0</v>
      </c>
      <c r="CF679" t="s">
        <v>1087</v>
      </c>
      <c r="CG679">
        <v>2026</v>
      </c>
      <c r="CH679" t="s">
        <v>138</v>
      </c>
      <c r="CI679" t="s">
        <v>139</v>
      </c>
    </row>
    <row r="680" spans="1:87" x14ac:dyDescent="0.3">
      <c r="A680" t="s">
        <v>115</v>
      </c>
      <c r="B680" t="s">
        <v>116</v>
      </c>
      <c r="C680" t="s">
        <v>117</v>
      </c>
      <c r="D680" t="s">
        <v>118</v>
      </c>
      <c r="E680" t="s">
        <v>14</v>
      </c>
      <c r="F680" t="s">
        <v>1744</v>
      </c>
      <c r="G680">
        <v>60.93</v>
      </c>
      <c r="H680">
        <v>0</v>
      </c>
      <c r="I680" s="14">
        <v>478700</v>
      </c>
      <c r="J680" s="14">
        <v>417000</v>
      </c>
      <c r="K680" t="s">
        <v>117</v>
      </c>
      <c r="L680" t="s">
        <v>118</v>
      </c>
      <c r="M680" t="s">
        <v>140</v>
      </c>
      <c r="N680" t="s">
        <v>1745</v>
      </c>
      <c r="O680">
        <v>13</v>
      </c>
      <c r="P680">
        <v>3.89</v>
      </c>
      <c r="Q680" s="14">
        <v>61000</v>
      </c>
      <c r="R680" s="14">
        <v>61000</v>
      </c>
      <c r="Y680" s="14"/>
      <c r="Z680" s="14"/>
      <c r="AG680" s="14"/>
      <c r="AH680" s="14"/>
      <c r="AI680" t="s">
        <v>1746</v>
      </c>
      <c r="AJ680" t="s">
        <v>1747</v>
      </c>
      <c r="AK680" t="s">
        <v>1748</v>
      </c>
      <c r="AL680">
        <v>0</v>
      </c>
      <c r="AM680" t="s">
        <v>1749</v>
      </c>
      <c r="AN680" t="s">
        <v>1750</v>
      </c>
      <c r="AO680" t="s">
        <v>125</v>
      </c>
      <c r="AP680" t="s">
        <v>1751</v>
      </c>
      <c r="AQ680" s="15">
        <v>46172</v>
      </c>
      <c r="AR680" s="15">
        <v>46170</v>
      </c>
      <c r="AS680" t="s">
        <v>145</v>
      </c>
      <c r="AT680">
        <v>1</v>
      </c>
      <c r="AU680">
        <v>47000</v>
      </c>
      <c r="AV680">
        <v>0</v>
      </c>
      <c r="AW680">
        <v>0</v>
      </c>
      <c r="AX680" s="14">
        <v>47000</v>
      </c>
      <c r="AY680" s="14">
        <v>10000</v>
      </c>
      <c r="AZ680" s="14">
        <v>0</v>
      </c>
      <c r="BA680">
        <v>0</v>
      </c>
      <c r="BB680" t="s">
        <v>23</v>
      </c>
      <c r="BC680" t="s">
        <v>128</v>
      </c>
      <c r="BD680" t="s">
        <v>129</v>
      </c>
      <c r="BE680" t="s">
        <v>130</v>
      </c>
      <c r="BG680" t="s">
        <v>1754</v>
      </c>
      <c r="BH680" t="s">
        <v>132</v>
      </c>
      <c r="BJ680">
        <v>4</v>
      </c>
      <c r="BK680" t="s">
        <v>133</v>
      </c>
      <c r="BV680" t="s">
        <v>134</v>
      </c>
      <c r="BW680" s="16">
        <v>46172.706944444442</v>
      </c>
      <c r="BX680" t="s">
        <v>1740</v>
      </c>
      <c r="BZ680">
        <v>30</v>
      </c>
      <c r="CA680" t="s">
        <v>1755</v>
      </c>
      <c r="CB680">
        <v>0</v>
      </c>
      <c r="CF680" t="s">
        <v>1087</v>
      </c>
      <c r="CG680">
        <v>2026</v>
      </c>
      <c r="CH680" t="s">
        <v>138</v>
      </c>
      <c r="CI680" t="s">
        <v>139</v>
      </c>
    </row>
    <row r="681" spans="1:87" x14ac:dyDescent="0.3">
      <c r="A681" t="s">
        <v>115</v>
      </c>
      <c r="B681" t="s">
        <v>116</v>
      </c>
      <c r="C681" t="s">
        <v>117</v>
      </c>
      <c r="D681" t="s">
        <v>118</v>
      </c>
      <c r="E681" t="s">
        <v>14</v>
      </c>
      <c r="F681" t="s">
        <v>1744</v>
      </c>
      <c r="G681">
        <v>60.93</v>
      </c>
      <c r="H681">
        <v>0</v>
      </c>
      <c r="I681" s="14">
        <v>478700</v>
      </c>
      <c r="J681" s="14">
        <v>417000</v>
      </c>
      <c r="K681" t="s">
        <v>117</v>
      </c>
      <c r="L681" t="s">
        <v>118</v>
      </c>
      <c r="M681" t="s">
        <v>140</v>
      </c>
      <c r="N681" t="s">
        <v>1745</v>
      </c>
      <c r="O681">
        <v>13</v>
      </c>
      <c r="P681">
        <v>3.89</v>
      </c>
      <c r="Q681" s="14">
        <v>61000</v>
      </c>
      <c r="R681" s="14">
        <v>61000</v>
      </c>
      <c r="Y681" s="14"/>
      <c r="Z681" s="14"/>
      <c r="AG681" s="14"/>
      <c r="AH681" s="14"/>
      <c r="AI681" t="s">
        <v>1746</v>
      </c>
      <c r="AJ681" t="s">
        <v>1747</v>
      </c>
      <c r="AK681" t="s">
        <v>1748</v>
      </c>
      <c r="AL681">
        <v>0</v>
      </c>
      <c r="AM681" t="s">
        <v>1749</v>
      </c>
      <c r="AN681" t="s">
        <v>1750</v>
      </c>
      <c r="AO681" t="s">
        <v>125</v>
      </c>
      <c r="AP681" t="s">
        <v>1751</v>
      </c>
      <c r="AQ681" s="15">
        <v>46172</v>
      </c>
      <c r="AR681" s="15">
        <v>46170</v>
      </c>
      <c r="AS681" t="s">
        <v>145</v>
      </c>
      <c r="AT681">
        <v>1</v>
      </c>
      <c r="AU681">
        <v>0</v>
      </c>
      <c r="AV681">
        <v>0</v>
      </c>
      <c r="AW681">
        <v>0</v>
      </c>
      <c r="AX681" s="14">
        <v>0</v>
      </c>
      <c r="AY681" s="14">
        <v>20000</v>
      </c>
      <c r="AZ681" s="14">
        <v>0</v>
      </c>
      <c r="BA681">
        <v>0</v>
      </c>
      <c r="BB681" t="s">
        <v>23</v>
      </c>
      <c r="BC681" t="s">
        <v>128</v>
      </c>
      <c r="BD681" t="s">
        <v>129</v>
      </c>
      <c r="BE681" t="s">
        <v>130</v>
      </c>
      <c r="BG681" t="s">
        <v>1756</v>
      </c>
      <c r="BH681" t="s">
        <v>132</v>
      </c>
      <c r="BJ681">
        <v>4</v>
      </c>
      <c r="BK681" t="s">
        <v>133</v>
      </c>
      <c r="BV681" t="s">
        <v>134</v>
      </c>
      <c r="BW681" s="16">
        <v>46172.706944444442</v>
      </c>
      <c r="BX681" t="s">
        <v>1740</v>
      </c>
      <c r="BZ681">
        <v>30</v>
      </c>
      <c r="CA681" t="s">
        <v>1757</v>
      </c>
      <c r="CB681">
        <v>0</v>
      </c>
      <c r="CF681" t="s">
        <v>1087</v>
      </c>
      <c r="CG681">
        <v>2026</v>
      </c>
      <c r="CH681" t="s">
        <v>138</v>
      </c>
      <c r="CI681" t="s">
        <v>139</v>
      </c>
    </row>
    <row r="682" spans="1:87" x14ac:dyDescent="0.3">
      <c r="A682" t="s">
        <v>115</v>
      </c>
      <c r="B682" t="s">
        <v>116</v>
      </c>
      <c r="C682" t="s">
        <v>117</v>
      </c>
      <c r="D682" t="s">
        <v>118</v>
      </c>
      <c r="E682" t="s">
        <v>14</v>
      </c>
      <c r="F682" t="s">
        <v>1744</v>
      </c>
      <c r="G682">
        <v>60.93</v>
      </c>
      <c r="H682">
        <v>0</v>
      </c>
      <c r="I682" s="14">
        <v>478700</v>
      </c>
      <c r="J682" s="14">
        <v>417000</v>
      </c>
      <c r="K682" t="s">
        <v>117</v>
      </c>
      <c r="L682" t="s">
        <v>118</v>
      </c>
      <c r="M682" t="s">
        <v>140</v>
      </c>
      <c r="N682" t="s">
        <v>1745</v>
      </c>
      <c r="O682">
        <v>13</v>
      </c>
      <c r="P682">
        <v>3.89</v>
      </c>
      <c r="Q682" s="14">
        <v>61000</v>
      </c>
      <c r="R682" s="14">
        <v>61000</v>
      </c>
      <c r="Y682" s="14"/>
      <c r="Z682" s="14"/>
      <c r="AG682" s="14"/>
      <c r="AH682" s="14"/>
      <c r="AI682" t="s">
        <v>1746</v>
      </c>
      <c r="AJ682" t="s">
        <v>1747</v>
      </c>
      <c r="AK682" t="s">
        <v>1748</v>
      </c>
      <c r="AL682">
        <v>0</v>
      </c>
      <c r="AM682" t="s">
        <v>1749</v>
      </c>
      <c r="AN682" t="s">
        <v>1750</v>
      </c>
      <c r="AO682" t="s">
        <v>125</v>
      </c>
      <c r="AP682" t="s">
        <v>1751</v>
      </c>
      <c r="AQ682" s="15">
        <v>46172</v>
      </c>
      <c r="AR682" s="15">
        <v>46171</v>
      </c>
      <c r="AS682" t="s">
        <v>145</v>
      </c>
      <c r="AT682">
        <v>1</v>
      </c>
      <c r="AU682">
        <v>0</v>
      </c>
      <c r="AV682">
        <v>0</v>
      </c>
      <c r="AW682">
        <v>0</v>
      </c>
      <c r="AX682" s="14">
        <v>0</v>
      </c>
      <c r="AY682" s="14">
        <v>17000</v>
      </c>
      <c r="AZ682" s="14">
        <v>0</v>
      </c>
      <c r="BA682">
        <v>0</v>
      </c>
      <c r="BB682" t="s">
        <v>23</v>
      </c>
      <c r="BC682" t="s">
        <v>128</v>
      </c>
      <c r="BD682" t="s">
        <v>129</v>
      </c>
      <c r="BE682" t="s">
        <v>130</v>
      </c>
      <c r="BG682" t="s">
        <v>1758</v>
      </c>
      <c r="BH682" t="s">
        <v>132</v>
      </c>
      <c r="BJ682">
        <v>4</v>
      </c>
      <c r="BK682" t="s">
        <v>133</v>
      </c>
      <c r="BV682" t="s">
        <v>134</v>
      </c>
      <c r="BW682" s="16">
        <v>46172.706944444442</v>
      </c>
      <c r="BX682" t="s">
        <v>1740</v>
      </c>
      <c r="BZ682">
        <v>30</v>
      </c>
      <c r="CA682" t="s">
        <v>1759</v>
      </c>
      <c r="CB682">
        <v>0</v>
      </c>
      <c r="CF682" t="s">
        <v>1087</v>
      </c>
      <c r="CG682">
        <v>2026</v>
      </c>
      <c r="CH682" t="s">
        <v>138</v>
      </c>
      <c r="CI682" t="s">
        <v>139</v>
      </c>
    </row>
    <row r="683" spans="1:87" x14ac:dyDescent="0.3">
      <c r="A683" t="s">
        <v>115</v>
      </c>
      <c r="B683" t="s">
        <v>116</v>
      </c>
      <c r="C683" t="s">
        <v>117</v>
      </c>
      <c r="D683" t="s">
        <v>118</v>
      </c>
      <c r="E683" t="s">
        <v>14</v>
      </c>
      <c r="F683" t="s">
        <v>1744</v>
      </c>
      <c r="G683">
        <v>60.93</v>
      </c>
      <c r="H683">
        <v>0</v>
      </c>
      <c r="I683" s="14">
        <v>478700</v>
      </c>
      <c r="J683" s="14">
        <v>417000</v>
      </c>
      <c r="K683" t="s">
        <v>117</v>
      </c>
      <c r="L683" t="s">
        <v>118</v>
      </c>
      <c r="M683" t="s">
        <v>140</v>
      </c>
      <c r="N683" t="s">
        <v>1745</v>
      </c>
      <c r="O683">
        <v>13</v>
      </c>
      <c r="P683">
        <v>3.89</v>
      </c>
      <c r="Q683" s="14">
        <v>61000</v>
      </c>
      <c r="R683" s="14">
        <v>61000</v>
      </c>
      <c r="Y683" s="14"/>
      <c r="Z683" s="14"/>
      <c r="AG683" s="14"/>
      <c r="AH683" s="14"/>
      <c r="AI683" t="s">
        <v>1746</v>
      </c>
      <c r="AJ683" t="s">
        <v>1747</v>
      </c>
      <c r="AK683" t="s">
        <v>1748</v>
      </c>
      <c r="AL683">
        <v>0</v>
      </c>
      <c r="AM683" t="s">
        <v>1749</v>
      </c>
      <c r="AN683" t="s">
        <v>1750</v>
      </c>
      <c r="AO683" t="s">
        <v>125</v>
      </c>
      <c r="AP683" t="s">
        <v>1751</v>
      </c>
      <c r="AQ683" s="15">
        <v>46203</v>
      </c>
      <c r="AR683" s="15">
        <v>46196</v>
      </c>
      <c r="AS683" t="s">
        <v>145</v>
      </c>
      <c r="AT683">
        <v>2</v>
      </c>
      <c r="AU683">
        <v>50000</v>
      </c>
      <c r="AV683">
        <v>0</v>
      </c>
      <c r="AW683">
        <v>0</v>
      </c>
      <c r="AX683" s="14">
        <v>50000</v>
      </c>
      <c r="AY683" s="14">
        <v>50000</v>
      </c>
      <c r="AZ683" s="14">
        <v>0</v>
      </c>
      <c r="BA683">
        <v>0</v>
      </c>
      <c r="BB683" t="s">
        <v>23</v>
      </c>
      <c r="BC683" t="s">
        <v>128</v>
      </c>
      <c r="BD683" t="s">
        <v>129</v>
      </c>
      <c r="BE683" t="s">
        <v>130</v>
      </c>
      <c r="BG683" t="s">
        <v>1760</v>
      </c>
      <c r="BH683" t="s">
        <v>132</v>
      </c>
      <c r="BJ683">
        <v>4</v>
      </c>
      <c r="BK683" t="s">
        <v>133</v>
      </c>
      <c r="BV683" t="s">
        <v>134</v>
      </c>
      <c r="BW683" s="16">
        <v>46172.706944444442</v>
      </c>
      <c r="BX683" t="s">
        <v>1740</v>
      </c>
      <c r="BZ683">
        <v>30</v>
      </c>
      <c r="CA683" t="s">
        <v>1761</v>
      </c>
      <c r="CB683">
        <v>0</v>
      </c>
      <c r="CF683" t="s">
        <v>1087</v>
      </c>
      <c r="CG683">
        <v>2026</v>
      </c>
      <c r="CH683" t="s">
        <v>138</v>
      </c>
      <c r="CI683" t="s">
        <v>139</v>
      </c>
    </row>
    <row r="684" spans="1:87" x14ac:dyDescent="0.3">
      <c r="A684" t="s">
        <v>115</v>
      </c>
      <c r="B684" t="s">
        <v>116</v>
      </c>
      <c r="C684" t="s">
        <v>117</v>
      </c>
      <c r="D684" t="s">
        <v>118</v>
      </c>
      <c r="E684" t="s">
        <v>14</v>
      </c>
      <c r="F684" t="s">
        <v>1744</v>
      </c>
      <c r="G684">
        <v>60.93</v>
      </c>
      <c r="H684">
        <v>0</v>
      </c>
      <c r="I684" s="14">
        <v>478700</v>
      </c>
      <c r="J684" s="14">
        <v>417000</v>
      </c>
      <c r="K684" t="s">
        <v>117</v>
      </c>
      <c r="L684" t="s">
        <v>118</v>
      </c>
      <c r="M684" t="s">
        <v>140</v>
      </c>
      <c r="N684" t="s">
        <v>1745</v>
      </c>
      <c r="O684">
        <v>13</v>
      </c>
      <c r="P684">
        <v>3.89</v>
      </c>
      <c r="Q684" s="14">
        <v>61000</v>
      </c>
      <c r="R684" s="14">
        <v>61000</v>
      </c>
      <c r="Y684" s="14"/>
      <c r="Z684" s="14"/>
      <c r="AG684" s="14"/>
      <c r="AH684" s="14"/>
      <c r="AI684" t="s">
        <v>1746</v>
      </c>
      <c r="AJ684" t="s">
        <v>1747</v>
      </c>
      <c r="AK684" t="s">
        <v>1748</v>
      </c>
      <c r="AL684">
        <v>0</v>
      </c>
      <c r="AM684" t="s">
        <v>1749</v>
      </c>
      <c r="AN684" t="s">
        <v>1750</v>
      </c>
      <c r="AO684" t="s">
        <v>125</v>
      </c>
      <c r="AP684" t="s">
        <v>1751</v>
      </c>
      <c r="AQ684" s="15">
        <v>46203</v>
      </c>
      <c r="AR684" s="15">
        <v>46198</v>
      </c>
      <c r="AS684" t="s">
        <v>227</v>
      </c>
      <c r="AT684">
        <v>1</v>
      </c>
      <c r="AU684">
        <v>0</v>
      </c>
      <c r="AV684">
        <v>0</v>
      </c>
      <c r="AW684">
        <v>0</v>
      </c>
      <c r="AX684" s="14">
        <v>189000</v>
      </c>
      <c r="AY684" s="14">
        <v>178000</v>
      </c>
      <c r="AZ684" s="14">
        <v>0</v>
      </c>
      <c r="BA684">
        <v>0</v>
      </c>
      <c r="BB684" t="s">
        <v>23</v>
      </c>
      <c r="BC684" t="s">
        <v>128</v>
      </c>
      <c r="BD684" t="s">
        <v>129</v>
      </c>
      <c r="BE684" t="s">
        <v>130</v>
      </c>
      <c r="BG684" t="s">
        <v>1762</v>
      </c>
      <c r="BH684" t="s">
        <v>132</v>
      </c>
      <c r="BJ684">
        <v>4</v>
      </c>
      <c r="BK684" t="s">
        <v>133</v>
      </c>
      <c r="BV684" t="s">
        <v>134</v>
      </c>
      <c r="BW684" s="16">
        <v>46172.706944444442</v>
      </c>
      <c r="BX684" t="s">
        <v>1740</v>
      </c>
      <c r="BZ684">
        <v>30</v>
      </c>
      <c r="CA684" t="s">
        <v>1763</v>
      </c>
      <c r="CB684">
        <v>0</v>
      </c>
      <c r="CF684" t="s">
        <v>1087</v>
      </c>
      <c r="CG684">
        <v>2026</v>
      </c>
      <c r="CH684" t="s">
        <v>138</v>
      </c>
      <c r="CI684" t="s">
        <v>139</v>
      </c>
    </row>
    <row r="685" spans="1:87" x14ac:dyDescent="0.3">
      <c r="A685" t="s">
        <v>115</v>
      </c>
      <c r="B685" t="s">
        <v>116</v>
      </c>
      <c r="C685" t="s">
        <v>117</v>
      </c>
      <c r="D685" t="s">
        <v>118</v>
      </c>
      <c r="E685" t="s">
        <v>14</v>
      </c>
      <c r="F685" t="s">
        <v>1744</v>
      </c>
      <c r="G685">
        <v>60.93</v>
      </c>
      <c r="H685">
        <v>0</v>
      </c>
      <c r="I685" s="14">
        <v>478700</v>
      </c>
      <c r="J685" s="14">
        <v>417000</v>
      </c>
      <c r="K685" t="s">
        <v>117</v>
      </c>
      <c r="L685" t="s">
        <v>118</v>
      </c>
      <c r="M685" t="s">
        <v>140</v>
      </c>
      <c r="N685" t="s">
        <v>1745</v>
      </c>
      <c r="O685">
        <v>13</v>
      </c>
      <c r="P685">
        <v>3.89</v>
      </c>
      <c r="Q685" s="14">
        <v>61000</v>
      </c>
      <c r="R685" s="14">
        <v>61000</v>
      </c>
      <c r="Y685" s="14"/>
      <c r="Z685" s="14"/>
      <c r="AG685" s="14"/>
      <c r="AH685" s="14"/>
      <c r="AI685" t="s">
        <v>1746</v>
      </c>
      <c r="AJ685" t="s">
        <v>1747</v>
      </c>
      <c r="AK685" t="s">
        <v>1748</v>
      </c>
      <c r="AL685">
        <v>0</v>
      </c>
      <c r="AM685" t="s">
        <v>1749</v>
      </c>
      <c r="AN685" t="s">
        <v>1750</v>
      </c>
      <c r="AO685" t="s">
        <v>125</v>
      </c>
      <c r="AP685" t="s">
        <v>1751</v>
      </c>
      <c r="AQ685" s="15">
        <v>46203</v>
      </c>
      <c r="AR685" s="15">
        <v>46247</v>
      </c>
      <c r="AS685" t="s">
        <v>227</v>
      </c>
      <c r="AT685">
        <v>1</v>
      </c>
      <c r="AU685">
        <v>189000</v>
      </c>
      <c r="AV685">
        <v>0</v>
      </c>
      <c r="AW685">
        <v>0</v>
      </c>
      <c r="AX685" s="14">
        <v>0</v>
      </c>
      <c r="AY685" s="14">
        <v>11000</v>
      </c>
      <c r="AZ685" s="14">
        <v>0</v>
      </c>
      <c r="BA685">
        <v>0</v>
      </c>
      <c r="BB685" t="s">
        <v>23</v>
      </c>
      <c r="BC685" t="s">
        <v>128</v>
      </c>
      <c r="BD685" t="s">
        <v>129</v>
      </c>
      <c r="BE685" t="s">
        <v>130</v>
      </c>
      <c r="BG685" t="s">
        <v>1764</v>
      </c>
      <c r="BH685" t="s">
        <v>132</v>
      </c>
      <c r="BI685" t="s">
        <v>1765</v>
      </c>
      <c r="BJ685">
        <v>4</v>
      </c>
      <c r="BK685" t="s">
        <v>133</v>
      </c>
      <c r="BV685" t="s">
        <v>134</v>
      </c>
      <c r="BW685" s="16">
        <v>46172.706944444442</v>
      </c>
      <c r="BX685" t="s">
        <v>1740</v>
      </c>
      <c r="BZ685">
        <v>30</v>
      </c>
      <c r="CA685" t="s">
        <v>1766</v>
      </c>
      <c r="CB685">
        <v>0</v>
      </c>
      <c r="CF685" t="s">
        <v>1087</v>
      </c>
      <c r="CG685">
        <v>2026</v>
      </c>
      <c r="CH685" t="s">
        <v>138</v>
      </c>
      <c r="CI685" t="s">
        <v>139</v>
      </c>
    </row>
    <row r="686" spans="1:87" x14ac:dyDescent="0.3">
      <c r="A686" t="s">
        <v>115</v>
      </c>
      <c r="B686" t="s">
        <v>116</v>
      </c>
      <c r="C686" t="s">
        <v>117</v>
      </c>
      <c r="D686" t="s">
        <v>118</v>
      </c>
      <c r="E686" t="s">
        <v>14</v>
      </c>
      <c r="F686" t="s">
        <v>1744</v>
      </c>
      <c r="G686">
        <v>60.93</v>
      </c>
      <c r="H686">
        <v>0</v>
      </c>
      <c r="I686" s="14">
        <v>478700</v>
      </c>
      <c r="J686" s="14">
        <v>417000</v>
      </c>
      <c r="K686" t="s">
        <v>117</v>
      </c>
      <c r="L686" t="s">
        <v>118</v>
      </c>
      <c r="M686" t="s">
        <v>140</v>
      </c>
      <c r="N686" t="s">
        <v>1745</v>
      </c>
      <c r="O686">
        <v>13</v>
      </c>
      <c r="P686">
        <v>3.89</v>
      </c>
      <c r="Q686" s="14">
        <v>61000</v>
      </c>
      <c r="R686" s="14">
        <v>61000</v>
      </c>
      <c r="Y686" s="14"/>
      <c r="Z686" s="14"/>
      <c r="AG686" s="14"/>
      <c r="AH686" s="14"/>
      <c r="AI686" t="s">
        <v>1746</v>
      </c>
      <c r="AJ686" t="s">
        <v>1747</v>
      </c>
      <c r="AK686" t="s">
        <v>1748</v>
      </c>
      <c r="AL686">
        <v>0</v>
      </c>
      <c r="AM686" t="s">
        <v>1749</v>
      </c>
      <c r="AN686" t="s">
        <v>1750</v>
      </c>
      <c r="AO686" t="s">
        <v>125</v>
      </c>
      <c r="AP686" t="s">
        <v>1751</v>
      </c>
      <c r="AQ686" s="15">
        <v>46233</v>
      </c>
      <c r="AR686" s="15">
        <v>46247</v>
      </c>
      <c r="AS686" t="s">
        <v>227</v>
      </c>
      <c r="AT686">
        <v>2</v>
      </c>
      <c r="AU686">
        <v>189000</v>
      </c>
      <c r="AV686">
        <v>0</v>
      </c>
      <c r="AW686">
        <v>0</v>
      </c>
      <c r="AX686" s="14">
        <v>189000</v>
      </c>
      <c r="AY686" s="14">
        <v>189000</v>
      </c>
      <c r="AZ686" s="14">
        <v>0</v>
      </c>
      <c r="BA686">
        <v>0</v>
      </c>
      <c r="BB686" t="s">
        <v>23</v>
      </c>
      <c r="BC686" t="s">
        <v>128</v>
      </c>
      <c r="BD686" t="s">
        <v>129</v>
      </c>
      <c r="BE686" t="s">
        <v>130</v>
      </c>
      <c r="BG686" t="s">
        <v>1764</v>
      </c>
      <c r="BH686" t="s">
        <v>132</v>
      </c>
      <c r="BI686" t="s">
        <v>1765</v>
      </c>
      <c r="BJ686">
        <v>4</v>
      </c>
      <c r="BK686" t="s">
        <v>133</v>
      </c>
      <c r="BV686" t="s">
        <v>134</v>
      </c>
      <c r="BW686" s="16">
        <v>46172.706944444442</v>
      </c>
      <c r="BX686" t="s">
        <v>1740</v>
      </c>
      <c r="BZ686">
        <v>30</v>
      </c>
      <c r="CA686" t="s">
        <v>1766</v>
      </c>
      <c r="CB686">
        <v>0</v>
      </c>
      <c r="CF686" t="s">
        <v>1087</v>
      </c>
      <c r="CG686">
        <v>2026</v>
      </c>
      <c r="CH686" t="s">
        <v>138</v>
      </c>
      <c r="CI686" t="s">
        <v>139</v>
      </c>
    </row>
    <row r="687" spans="1:87" x14ac:dyDescent="0.3">
      <c r="A687" t="s">
        <v>165</v>
      </c>
      <c r="B687" t="s">
        <v>116</v>
      </c>
      <c r="C687" t="s">
        <v>117</v>
      </c>
      <c r="D687" t="s">
        <v>118</v>
      </c>
      <c r="E687" t="s">
        <v>14</v>
      </c>
      <c r="F687" t="s">
        <v>1767</v>
      </c>
      <c r="G687">
        <v>68</v>
      </c>
      <c r="H687">
        <v>0</v>
      </c>
      <c r="I687" s="14">
        <v>504700</v>
      </c>
      <c r="J687" s="14">
        <v>455000</v>
      </c>
      <c r="K687" t="s">
        <v>117</v>
      </c>
      <c r="L687" t="s">
        <v>118</v>
      </c>
      <c r="M687" t="s">
        <v>140</v>
      </c>
      <c r="N687" t="s">
        <v>1768</v>
      </c>
      <c r="O687">
        <v>12.5</v>
      </c>
      <c r="P687">
        <v>0</v>
      </c>
      <c r="Q687" s="14">
        <v>47500</v>
      </c>
      <c r="R687" s="14">
        <v>47500</v>
      </c>
      <c r="Y687" s="14"/>
      <c r="Z687" s="14"/>
      <c r="AG687" s="14"/>
      <c r="AH687" s="14"/>
      <c r="AI687" t="s">
        <v>1769</v>
      </c>
      <c r="AJ687" t="s">
        <v>1770</v>
      </c>
      <c r="AK687" t="s">
        <v>1771</v>
      </c>
      <c r="AL687">
        <v>0</v>
      </c>
      <c r="AM687" t="s">
        <v>1772</v>
      </c>
      <c r="AN687" t="s">
        <v>1773</v>
      </c>
      <c r="AO687" t="s">
        <v>125</v>
      </c>
      <c r="AP687" t="s">
        <v>152</v>
      </c>
      <c r="AQ687" s="15">
        <v>46167</v>
      </c>
      <c r="AR687" s="15">
        <v>46167</v>
      </c>
      <c r="AS687" t="s">
        <v>127</v>
      </c>
      <c r="AT687">
        <v>1</v>
      </c>
      <c r="AU687">
        <v>3000</v>
      </c>
      <c r="AV687">
        <v>0</v>
      </c>
      <c r="AW687">
        <v>0</v>
      </c>
      <c r="AX687" s="14">
        <v>3000</v>
      </c>
      <c r="AY687" s="14">
        <v>3000</v>
      </c>
      <c r="AZ687" s="14">
        <v>0</v>
      </c>
      <c r="BA687">
        <v>0</v>
      </c>
      <c r="BB687" t="s">
        <v>22</v>
      </c>
      <c r="BC687" t="s">
        <v>175</v>
      </c>
      <c r="BD687" t="s">
        <v>176</v>
      </c>
      <c r="BE687" t="s">
        <v>130</v>
      </c>
      <c r="BG687" t="s">
        <v>1774</v>
      </c>
      <c r="BH687" t="s">
        <v>132</v>
      </c>
      <c r="BJ687">
        <v>4</v>
      </c>
      <c r="BK687" t="s">
        <v>550</v>
      </c>
      <c r="BV687" t="s">
        <v>134</v>
      </c>
      <c r="BW687" s="16">
        <v>46165.405555555553</v>
      </c>
      <c r="BX687" t="s">
        <v>135</v>
      </c>
      <c r="BZ687">
        <v>47</v>
      </c>
      <c r="CA687" t="s">
        <v>1775</v>
      </c>
      <c r="CB687">
        <v>0</v>
      </c>
      <c r="CF687" t="s">
        <v>1087</v>
      </c>
      <c r="CG687">
        <v>2026</v>
      </c>
      <c r="CH687" t="s">
        <v>138</v>
      </c>
      <c r="CI687" t="s">
        <v>139</v>
      </c>
    </row>
    <row r="688" spans="1:87" x14ac:dyDescent="0.3">
      <c r="A688" t="s">
        <v>165</v>
      </c>
      <c r="B688" t="s">
        <v>116</v>
      </c>
      <c r="C688" t="s">
        <v>117</v>
      </c>
      <c r="D688" t="s">
        <v>118</v>
      </c>
      <c r="E688" t="s">
        <v>14</v>
      </c>
      <c r="F688" t="s">
        <v>1767</v>
      </c>
      <c r="G688">
        <v>68</v>
      </c>
      <c r="H688">
        <v>0</v>
      </c>
      <c r="I688" s="14">
        <v>504700</v>
      </c>
      <c r="J688" s="14">
        <v>455000</v>
      </c>
      <c r="K688" t="s">
        <v>117</v>
      </c>
      <c r="L688" t="s">
        <v>118</v>
      </c>
      <c r="M688" t="s">
        <v>140</v>
      </c>
      <c r="N688" t="s">
        <v>1768</v>
      </c>
      <c r="O688">
        <v>12.5</v>
      </c>
      <c r="P688">
        <v>0</v>
      </c>
      <c r="Q688" s="14">
        <v>47500</v>
      </c>
      <c r="R688" s="14">
        <v>47500</v>
      </c>
      <c r="Y688" s="14"/>
      <c r="Z688" s="14"/>
      <c r="AG688" s="14"/>
      <c r="AH688" s="14"/>
      <c r="AI688" t="s">
        <v>1769</v>
      </c>
      <c r="AJ688" t="s">
        <v>1770</v>
      </c>
      <c r="AK688" t="s">
        <v>1771</v>
      </c>
      <c r="AL688">
        <v>0</v>
      </c>
      <c r="AM688" t="s">
        <v>1772</v>
      </c>
      <c r="AN688" t="s">
        <v>1773</v>
      </c>
      <c r="AO688" t="s">
        <v>125</v>
      </c>
      <c r="AP688" t="s">
        <v>152</v>
      </c>
      <c r="AQ688" s="15">
        <v>46167</v>
      </c>
      <c r="AR688" s="15">
        <v>46167</v>
      </c>
      <c r="AS688" t="s">
        <v>127</v>
      </c>
      <c r="AT688">
        <v>1</v>
      </c>
      <c r="AU688">
        <v>0</v>
      </c>
      <c r="AV688">
        <v>0</v>
      </c>
      <c r="AW688">
        <v>0</v>
      </c>
      <c r="AX688" s="14">
        <v>0</v>
      </c>
      <c r="AY688" s="14">
        <v>3000</v>
      </c>
      <c r="AZ688" s="14">
        <v>0</v>
      </c>
      <c r="BA688">
        <v>0</v>
      </c>
      <c r="BB688" t="s">
        <v>22</v>
      </c>
      <c r="BC688" t="s">
        <v>175</v>
      </c>
      <c r="BD688" t="s">
        <v>176</v>
      </c>
      <c r="BE688" t="s">
        <v>130</v>
      </c>
      <c r="BG688" t="s">
        <v>1774</v>
      </c>
      <c r="BH688" t="s">
        <v>132</v>
      </c>
      <c r="BJ688">
        <v>4</v>
      </c>
      <c r="BK688" t="s">
        <v>550</v>
      </c>
      <c r="BV688" t="s">
        <v>132</v>
      </c>
      <c r="BW688" s="16">
        <v>46165.405555555553</v>
      </c>
      <c r="BX688" t="s">
        <v>135</v>
      </c>
      <c r="BZ688">
        <v>47</v>
      </c>
      <c r="CA688" t="s">
        <v>1775</v>
      </c>
      <c r="CB688">
        <v>0</v>
      </c>
      <c r="CF688" t="s">
        <v>1087</v>
      </c>
      <c r="CG688">
        <v>2026</v>
      </c>
      <c r="CH688" t="s">
        <v>138</v>
      </c>
      <c r="CI688" t="s">
        <v>139</v>
      </c>
    </row>
    <row r="689" spans="1:87" x14ac:dyDescent="0.3">
      <c r="A689" t="s">
        <v>165</v>
      </c>
      <c r="B689" t="s">
        <v>116</v>
      </c>
      <c r="C689" t="s">
        <v>117</v>
      </c>
      <c r="D689" t="s">
        <v>118</v>
      </c>
      <c r="E689" t="s">
        <v>14</v>
      </c>
      <c r="F689" t="s">
        <v>1767</v>
      </c>
      <c r="G689">
        <v>68</v>
      </c>
      <c r="H689">
        <v>0</v>
      </c>
      <c r="I689" s="14">
        <v>504700</v>
      </c>
      <c r="J689" s="14">
        <v>455000</v>
      </c>
      <c r="K689" t="s">
        <v>117</v>
      </c>
      <c r="L689" t="s">
        <v>118</v>
      </c>
      <c r="M689" t="s">
        <v>140</v>
      </c>
      <c r="N689" t="s">
        <v>1768</v>
      </c>
      <c r="O689">
        <v>12.5</v>
      </c>
      <c r="P689">
        <v>0</v>
      </c>
      <c r="Q689" s="14">
        <v>47500</v>
      </c>
      <c r="R689" s="14">
        <v>47500</v>
      </c>
      <c r="Y689" s="14"/>
      <c r="Z689" s="14"/>
      <c r="AG689" s="14"/>
      <c r="AH689" s="14"/>
      <c r="AI689" t="s">
        <v>1769</v>
      </c>
      <c r="AJ689" t="s">
        <v>1770</v>
      </c>
      <c r="AK689" t="s">
        <v>1771</v>
      </c>
      <c r="AL689">
        <v>0</v>
      </c>
      <c r="AM689" t="s">
        <v>1772</v>
      </c>
      <c r="AN689" t="s">
        <v>1773</v>
      </c>
      <c r="AO689" t="s">
        <v>125</v>
      </c>
      <c r="AP689" t="s">
        <v>152</v>
      </c>
      <c r="AQ689" s="15">
        <v>46167</v>
      </c>
      <c r="AR689" s="15">
        <v>46167</v>
      </c>
      <c r="AS689" t="s">
        <v>145</v>
      </c>
      <c r="AT689">
        <v>1</v>
      </c>
      <c r="AU689">
        <v>22000</v>
      </c>
      <c r="AV689">
        <v>0</v>
      </c>
      <c r="AW689">
        <v>0</v>
      </c>
      <c r="AX689" s="14">
        <v>22000</v>
      </c>
      <c r="AY689" s="14">
        <v>22000</v>
      </c>
      <c r="AZ689" s="14">
        <v>0</v>
      </c>
      <c r="BA689">
        <v>0</v>
      </c>
      <c r="BB689" t="s">
        <v>22</v>
      </c>
      <c r="BC689" t="s">
        <v>175</v>
      </c>
      <c r="BD689" t="s">
        <v>176</v>
      </c>
      <c r="BE689" t="s">
        <v>130</v>
      </c>
      <c r="BG689" t="s">
        <v>1774</v>
      </c>
      <c r="BH689" t="s">
        <v>132</v>
      </c>
      <c r="BJ689">
        <v>4</v>
      </c>
      <c r="BK689" t="s">
        <v>550</v>
      </c>
      <c r="BV689" t="s">
        <v>134</v>
      </c>
      <c r="BW689" s="16">
        <v>46165.405555555553</v>
      </c>
      <c r="BX689" t="s">
        <v>135</v>
      </c>
      <c r="BZ689">
        <v>47</v>
      </c>
      <c r="CA689" t="s">
        <v>1775</v>
      </c>
      <c r="CB689">
        <v>0</v>
      </c>
      <c r="CF689" t="s">
        <v>1087</v>
      </c>
      <c r="CG689">
        <v>2026</v>
      </c>
      <c r="CH689" t="s">
        <v>138</v>
      </c>
      <c r="CI689" t="s">
        <v>139</v>
      </c>
    </row>
    <row r="690" spans="1:87" x14ac:dyDescent="0.3">
      <c r="A690" t="s">
        <v>165</v>
      </c>
      <c r="B690" t="s">
        <v>116</v>
      </c>
      <c r="C690" t="s">
        <v>117</v>
      </c>
      <c r="D690" t="s">
        <v>118</v>
      </c>
      <c r="E690" t="s">
        <v>14</v>
      </c>
      <c r="F690" t="s">
        <v>1767</v>
      </c>
      <c r="G690">
        <v>68</v>
      </c>
      <c r="H690">
        <v>0</v>
      </c>
      <c r="I690" s="14">
        <v>504700</v>
      </c>
      <c r="J690" s="14">
        <v>455000</v>
      </c>
      <c r="K690" t="s">
        <v>117</v>
      </c>
      <c r="L690" t="s">
        <v>118</v>
      </c>
      <c r="M690" t="s">
        <v>140</v>
      </c>
      <c r="N690" t="s">
        <v>1768</v>
      </c>
      <c r="O690">
        <v>12.5</v>
      </c>
      <c r="P690">
        <v>0</v>
      </c>
      <c r="Q690" s="14">
        <v>47500</v>
      </c>
      <c r="R690" s="14">
        <v>47500</v>
      </c>
      <c r="Y690" s="14"/>
      <c r="Z690" s="14"/>
      <c r="AG690" s="14"/>
      <c r="AH690" s="14"/>
      <c r="AI690" t="s">
        <v>1769</v>
      </c>
      <c r="AJ690" t="s">
        <v>1770</v>
      </c>
      <c r="AK690" t="s">
        <v>1771</v>
      </c>
      <c r="AL690">
        <v>0</v>
      </c>
      <c r="AM690" t="s">
        <v>1772</v>
      </c>
      <c r="AN690" t="s">
        <v>1773</v>
      </c>
      <c r="AO690" t="s">
        <v>125</v>
      </c>
      <c r="AP690" t="s">
        <v>152</v>
      </c>
      <c r="AQ690" s="15">
        <v>46167</v>
      </c>
      <c r="AR690" s="15">
        <v>46167</v>
      </c>
      <c r="AS690" t="s">
        <v>145</v>
      </c>
      <c r="AT690">
        <v>1</v>
      </c>
      <c r="AU690">
        <v>0</v>
      </c>
      <c r="AV690">
        <v>0</v>
      </c>
      <c r="AW690">
        <v>0</v>
      </c>
      <c r="AX690" s="14">
        <v>0</v>
      </c>
      <c r="AY690" s="14">
        <v>22000</v>
      </c>
      <c r="AZ690" s="14">
        <v>0</v>
      </c>
      <c r="BA690">
        <v>0</v>
      </c>
      <c r="BB690" t="s">
        <v>22</v>
      </c>
      <c r="BC690" t="s">
        <v>175</v>
      </c>
      <c r="BD690" t="s">
        <v>176</v>
      </c>
      <c r="BE690" t="s">
        <v>130</v>
      </c>
      <c r="BG690" t="s">
        <v>1774</v>
      </c>
      <c r="BH690" t="s">
        <v>132</v>
      </c>
      <c r="BJ690">
        <v>4</v>
      </c>
      <c r="BK690" t="s">
        <v>550</v>
      </c>
      <c r="BV690" t="s">
        <v>132</v>
      </c>
      <c r="BW690" s="16">
        <v>46165.405555555553</v>
      </c>
      <c r="BX690" t="s">
        <v>135</v>
      </c>
      <c r="BZ690">
        <v>47</v>
      </c>
      <c r="CA690" t="s">
        <v>1775</v>
      </c>
      <c r="CB690">
        <v>0</v>
      </c>
      <c r="CF690" t="s">
        <v>1087</v>
      </c>
      <c r="CG690">
        <v>2026</v>
      </c>
      <c r="CH690" t="s">
        <v>138</v>
      </c>
      <c r="CI690" t="s">
        <v>139</v>
      </c>
    </row>
    <row r="691" spans="1:87" x14ac:dyDescent="0.3">
      <c r="A691" t="s">
        <v>165</v>
      </c>
      <c r="B691" t="s">
        <v>116</v>
      </c>
      <c r="C691" t="s">
        <v>117</v>
      </c>
      <c r="D691" t="s">
        <v>118</v>
      </c>
      <c r="E691" t="s">
        <v>14</v>
      </c>
      <c r="F691" t="s">
        <v>1767</v>
      </c>
      <c r="G691">
        <v>68</v>
      </c>
      <c r="H691">
        <v>0</v>
      </c>
      <c r="I691" s="14">
        <v>504700</v>
      </c>
      <c r="J691" s="14">
        <v>455000</v>
      </c>
      <c r="K691" t="s">
        <v>117</v>
      </c>
      <c r="L691" t="s">
        <v>118</v>
      </c>
      <c r="M691" t="s">
        <v>140</v>
      </c>
      <c r="N691" t="s">
        <v>1768</v>
      </c>
      <c r="O691">
        <v>12.5</v>
      </c>
      <c r="P691">
        <v>0</v>
      </c>
      <c r="Q691" s="14">
        <v>47500</v>
      </c>
      <c r="R691" s="14">
        <v>47500</v>
      </c>
      <c r="Y691" s="14"/>
      <c r="Z691" s="14"/>
      <c r="AG691" s="14"/>
      <c r="AH691" s="14"/>
      <c r="AI691" t="s">
        <v>1769</v>
      </c>
      <c r="AJ691" t="s">
        <v>1770</v>
      </c>
      <c r="AK691" t="s">
        <v>1771</v>
      </c>
      <c r="AL691">
        <v>0</v>
      </c>
      <c r="AM691" t="s">
        <v>1772</v>
      </c>
      <c r="AN691" t="s">
        <v>1773</v>
      </c>
      <c r="AO691" t="s">
        <v>125</v>
      </c>
      <c r="AP691" t="s">
        <v>152</v>
      </c>
      <c r="AQ691" s="15">
        <v>46188</v>
      </c>
      <c r="AR691" s="15">
        <v>46174</v>
      </c>
      <c r="AS691" t="s">
        <v>145</v>
      </c>
      <c r="AT691">
        <v>2</v>
      </c>
      <c r="AU691">
        <v>25250</v>
      </c>
      <c r="AV691">
        <v>0</v>
      </c>
      <c r="AW691">
        <v>0</v>
      </c>
      <c r="AX691" s="14">
        <v>25250</v>
      </c>
      <c r="AY691" s="14">
        <v>25250</v>
      </c>
      <c r="AZ691" s="14">
        <v>0</v>
      </c>
      <c r="BA691">
        <v>0</v>
      </c>
      <c r="BB691" t="s">
        <v>22</v>
      </c>
      <c r="BC691" t="s">
        <v>175</v>
      </c>
      <c r="BD691" t="s">
        <v>176</v>
      </c>
      <c r="BE691" t="s">
        <v>130</v>
      </c>
      <c r="BG691" t="s">
        <v>1776</v>
      </c>
      <c r="BH691" t="s">
        <v>132</v>
      </c>
      <c r="BJ691">
        <v>4</v>
      </c>
      <c r="BK691" t="s">
        <v>133</v>
      </c>
      <c r="BV691" t="s">
        <v>134</v>
      </c>
      <c r="BW691" s="16">
        <v>46165.405555555553</v>
      </c>
      <c r="BX691" t="s">
        <v>135</v>
      </c>
      <c r="BZ691">
        <v>47</v>
      </c>
      <c r="CA691" t="s">
        <v>1777</v>
      </c>
      <c r="CB691">
        <v>0</v>
      </c>
      <c r="CF691" t="s">
        <v>1087</v>
      </c>
      <c r="CG691">
        <v>2026</v>
      </c>
      <c r="CH691" t="s">
        <v>138</v>
      </c>
      <c r="CI691" t="s">
        <v>139</v>
      </c>
    </row>
    <row r="692" spans="1:87" x14ac:dyDescent="0.3">
      <c r="A692" t="s">
        <v>165</v>
      </c>
      <c r="B692" t="s">
        <v>116</v>
      </c>
      <c r="C692" t="s">
        <v>117</v>
      </c>
      <c r="D692" t="s">
        <v>118</v>
      </c>
      <c r="E692" t="s">
        <v>14</v>
      </c>
      <c r="F692" t="s">
        <v>1767</v>
      </c>
      <c r="G692">
        <v>68</v>
      </c>
      <c r="H692">
        <v>0</v>
      </c>
      <c r="I692" s="14">
        <v>504700</v>
      </c>
      <c r="J692" s="14">
        <v>455000</v>
      </c>
      <c r="K692" t="s">
        <v>117</v>
      </c>
      <c r="L692" t="s">
        <v>118</v>
      </c>
      <c r="M692" t="s">
        <v>140</v>
      </c>
      <c r="N692" t="s">
        <v>1768</v>
      </c>
      <c r="O692">
        <v>12.5</v>
      </c>
      <c r="P692">
        <v>0</v>
      </c>
      <c r="Q692" s="14">
        <v>47500</v>
      </c>
      <c r="R692" s="14">
        <v>47500</v>
      </c>
      <c r="Y692" s="14"/>
      <c r="Z692" s="14"/>
      <c r="AG692" s="14"/>
      <c r="AH692" s="14"/>
      <c r="AI692" t="s">
        <v>1769</v>
      </c>
      <c r="AJ692" t="s">
        <v>1770</v>
      </c>
      <c r="AK692" t="s">
        <v>1771</v>
      </c>
      <c r="AL692">
        <v>0</v>
      </c>
      <c r="AM692" t="s">
        <v>1772</v>
      </c>
      <c r="AN692" t="s">
        <v>1773</v>
      </c>
      <c r="AO692" t="s">
        <v>125</v>
      </c>
      <c r="AP692" t="s">
        <v>152</v>
      </c>
      <c r="AQ692" s="15">
        <v>46386</v>
      </c>
      <c r="AR692" s="15"/>
      <c r="AS692" t="s">
        <v>145</v>
      </c>
      <c r="AT692">
        <v>3</v>
      </c>
      <c r="AU692">
        <v>50000</v>
      </c>
      <c r="AV692">
        <v>0</v>
      </c>
      <c r="AW692">
        <v>0</v>
      </c>
      <c r="AX692" s="14">
        <v>50000</v>
      </c>
      <c r="AY692" s="14">
        <v>0</v>
      </c>
      <c r="AZ692" s="14">
        <v>25000</v>
      </c>
      <c r="BB692" t="s">
        <v>22</v>
      </c>
      <c r="BH692" t="s">
        <v>132</v>
      </c>
      <c r="BK692" t="s">
        <v>1100</v>
      </c>
      <c r="BV692" t="s">
        <v>132</v>
      </c>
      <c r="BW692" s="16">
        <v>46165.405555555553</v>
      </c>
      <c r="BX692" t="s">
        <v>135</v>
      </c>
      <c r="BZ692">
        <v>47</v>
      </c>
      <c r="CB692">
        <v>0</v>
      </c>
      <c r="CF692" t="s">
        <v>1087</v>
      </c>
      <c r="CG692">
        <v>2026</v>
      </c>
      <c r="CH692" t="s">
        <v>138</v>
      </c>
      <c r="CI692" t="s">
        <v>139</v>
      </c>
    </row>
    <row r="693" spans="1:87" x14ac:dyDescent="0.3">
      <c r="A693" t="s">
        <v>426</v>
      </c>
      <c r="B693" t="s">
        <v>116</v>
      </c>
      <c r="C693" t="s">
        <v>117</v>
      </c>
      <c r="D693" t="s">
        <v>118</v>
      </c>
      <c r="E693" t="s">
        <v>14</v>
      </c>
      <c r="F693" t="s">
        <v>1020</v>
      </c>
      <c r="G693">
        <v>83</v>
      </c>
      <c r="H693">
        <v>0</v>
      </c>
      <c r="I693" s="14">
        <v>573000</v>
      </c>
      <c r="J693" s="14">
        <v>573000</v>
      </c>
      <c r="K693" t="s">
        <v>117</v>
      </c>
      <c r="L693" t="s">
        <v>118</v>
      </c>
      <c r="M693" t="s">
        <v>140</v>
      </c>
      <c r="N693" t="s">
        <v>1021</v>
      </c>
      <c r="O693">
        <v>16.28</v>
      </c>
      <c r="P693">
        <v>0</v>
      </c>
      <c r="Q693" s="14">
        <v>51000</v>
      </c>
      <c r="R693" s="14">
        <v>51000</v>
      </c>
      <c r="Y693" s="14"/>
      <c r="Z693" s="14"/>
      <c r="AG693" s="14"/>
      <c r="AH693" s="14"/>
      <c r="AI693" t="s">
        <v>1022</v>
      </c>
      <c r="AJ693" t="s">
        <v>1023</v>
      </c>
      <c r="AK693" t="s">
        <v>1024</v>
      </c>
      <c r="AL693">
        <v>0</v>
      </c>
      <c r="AM693" t="s">
        <v>1025</v>
      </c>
      <c r="AN693" t="s">
        <v>1026</v>
      </c>
      <c r="AO693" t="s">
        <v>1027</v>
      </c>
      <c r="AP693" t="s">
        <v>1027</v>
      </c>
      <c r="AQ693" s="15">
        <v>46203</v>
      </c>
      <c r="AR693" s="15"/>
      <c r="AS693" t="s">
        <v>145</v>
      </c>
      <c r="AT693">
        <v>3</v>
      </c>
      <c r="AU693">
        <v>119900</v>
      </c>
      <c r="AV693">
        <v>0</v>
      </c>
      <c r="AW693">
        <v>0</v>
      </c>
      <c r="AX693" s="14">
        <v>119900</v>
      </c>
      <c r="AY693" s="14">
        <v>0</v>
      </c>
      <c r="AZ693" s="14">
        <v>119900</v>
      </c>
      <c r="BB693" t="s">
        <v>22</v>
      </c>
      <c r="BH693" t="s">
        <v>132</v>
      </c>
      <c r="BK693" t="s">
        <v>550</v>
      </c>
      <c r="BV693" t="s">
        <v>132</v>
      </c>
      <c r="BW693" s="16">
        <v>45898.34652777778</v>
      </c>
      <c r="BX693" t="s">
        <v>143</v>
      </c>
      <c r="BZ693">
        <v>12</v>
      </c>
      <c r="CB693">
        <v>0</v>
      </c>
      <c r="CF693" t="s">
        <v>1087</v>
      </c>
      <c r="CG693">
        <v>2026</v>
      </c>
      <c r="CH693" t="s">
        <v>138</v>
      </c>
      <c r="CI693" t="s">
        <v>139</v>
      </c>
    </row>
    <row r="694" spans="1:87" x14ac:dyDescent="0.3">
      <c r="A694" t="s">
        <v>426</v>
      </c>
      <c r="B694" t="s">
        <v>116</v>
      </c>
      <c r="C694" t="s">
        <v>117</v>
      </c>
      <c r="D694" t="s">
        <v>118</v>
      </c>
      <c r="E694" t="s">
        <v>14</v>
      </c>
      <c r="F694" t="s">
        <v>1020</v>
      </c>
      <c r="G694">
        <v>83</v>
      </c>
      <c r="H694">
        <v>0</v>
      </c>
      <c r="I694" s="14">
        <v>573000</v>
      </c>
      <c r="J694" s="14">
        <v>573000</v>
      </c>
      <c r="K694" t="s">
        <v>117</v>
      </c>
      <c r="L694" t="s">
        <v>118</v>
      </c>
      <c r="M694" t="s">
        <v>140</v>
      </c>
      <c r="N694" t="s">
        <v>1021</v>
      </c>
      <c r="O694">
        <v>16.28</v>
      </c>
      <c r="P694">
        <v>0</v>
      </c>
      <c r="Q694" s="14">
        <v>51000</v>
      </c>
      <c r="R694" s="14">
        <v>51000</v>
      </c>
      <c r="Y694" s="14"/>
      <c r="Z694" s="14"/>
      <c r="AG694" s="14"/>
      <c r="AH694" s="14"/>
      <c r="AI694" t="s">
        <v>1022</v>
      </c>
      <c r="AJ694" t="s">
        <v>1023</v>
      </c>
      <c r="AK694" t="s">
        <v>1024</v>
      </c>
      <c r="AL694">
        <v>0</v>
      </c>
      <c r="AM694" t="s">
        <v>1025</v>
      </c>
      <c r="AN694" t="s">
        <v>1026</v>
      </c>
      <c r="AO694" t="s">
        <v>1027</v>
      </c>
      <c r="AP694" t="s">
        <v>1027</v>
      </c>
      <c r="AQ694" s="15">
        <v>46234</v>
      </c>
      <c r="AR694" s="15"/>
      <c r="AS694" t="s">
        <v>227</v>
      </c>
      <c r="AT694">
        <v>1</v>
      </c>
      <c r="AU694">
        <v>24266.67</v>
      </c>
      <c r="AV694">
        <v>0</v>
      </c>
      <c r="AW694">
        <v>0</v>
      </c>
      <c r="AX694" s="14">
        <v>24266.67</v>
      </c>
      <c r="AY694" s="14">
        <v>0</v>
      </c>
      <c r="AZ694" s="14">
        <v>24266.67</v>
      </c>
      <c r="BB694" t="s">
        <v>22</v>
      </c>
      <c r="BH694" t="s">
        <v>132</v>
      </c>
      <c r="BK694" t="s">
        <v>550</v>
      </c>
      <c r="BV694" t="s">
        <v>132</v>
      </c>
      <c r="BW694" s="16">
        <v>45898.34652777778</v>
      </c>
      <c r="BX694" t="s">
        <v>143</v>
      </c>
      <c r="BZ694">
        <v>12</v>
      </c>
      <c r="CB694">
        <v>0</v>
      </c>
      <c r="CF694" t="s">
        <v>1087</v>
      </c>
      <c r="CG694">
        <v>2026</v>
      </c>
      <c r="CH694" t="s">
        <v>138</v>
      </c>
      <c r="CI694" t="s">
        <v>139</v>
      </c>
    </row>
    <row r="695" spans="1:87" x14ac:dyDescent="0.3">
      <c r="A695" t="s">
        <v>426</v>
      </c>
      <c r="B695" t="s">
        <v>116</v>
      </c>
      <c r="C695" t="s">
        <v>117</v>
      </c>
      <c r="D695" t="s">
        <v>118</v>
      </c>
      <c r="E695" t="s">
        <v>14</v>
      </c>
      <c r="F695" t="s">
        <v>1020</v>
      </c>
      <c r="G695">
        <v>83</v>
      </c>
      <c r="H695">
        <v>0</v>
      </c>
      <c r="I695" s="14">
        <v>573000</v>
      </c>
      <c r="J695" s="14">
        <v>573000</v>
      </c>
      <c r="K695" t="s">
        <v>117</v>
      </c>
      <c r="L695" t="s">
        <v>118</v>
      </c>
      <c r="M695" t="s">
        <v>140</v>
      </c>
      <c r="N695" t="s">
        <v>1021</v>
      </c>
      <c r="O695">
        <v>16.28</v>
      </c>
      <c r="P695">
        <v>0</v>
      </c>
      <c r="Q695" s="14">
        <v>51000</v>
      </c>
      <c r="R695" s="14">
        <v>51000</v>
      </c>
      <c r="Y695" s="14"/>
      <c r="Z695" s="14"/>
      <c r="AG695" s="14"/>
      <c r="AH695" s="14"/>
      <c r="AI695" t="s">
        <v>1022</v>
      </c>
      <c r="AJ695" t="s">
        <v>1023</v>
      </c>
      <c r="AK695" t="s">
        <v>1024</v>
      </c>
      <c r="AL695">
        <v>0</v>
      </c>
      <c r="AM695" t="s">
        <v>1025</v>
      </c>
      <c r="AN695" t="s">
        <v>1026</v>
      </c>
      <c r="AO695" t="s">
        <v>1027</v>
      </c>
      <c r="AP695" t="s">
        <v>1027</v>
      </c>
      <c r="AQ695" s="15">
        <v>46265</v>
      </c>
      <c r="AR695" s="15"/>
      <c r="AS695" t="s">
        <v>227</v>
      </c>
      <c r="AT695">
        <v>2</v>
      </c>
      <c r="AU695">
        <v>24266.67</v>
      </c>
      <c r="AV695">
        <v>0</v>
      </c>
      <c r="AW695">
        <v>0</v>
      </c>
      <c r="AX695" s="14">
        <v>24266.67</v>
      </c>
      <c r="AY695" s="14">
        <v>0</v>
      </c>
      <c r="AZ695" s="14">
        <v>24266.67</v>
      </c>
      <c r="BB695" t="s">
        <v>22</v>
      </c>
      <c r="BH695" t="s">
        <v>132</v>
      </c>
      <c r="BK695" t="s">
        <v>550</v>
      </c>
      <c r="BV695" t="s">
        <v>132</v>
      </c>
      <c r="BW695" s="16">
        <v>45898.34652777778</v>
      </c>
      <c r="BX695" t="s">
        <v>143</v>
      </c>
      <c r="BZ695">
        <v>12</v>
      </c>
      <c r="CB695">
        <v>0</v>
      </c>
      <c r="CF695" t="s">
        <v>1087</v>
      </c>
      <c r="CG695">
        <v>2026</v>
      </c>
      <c r="CH695" t="s">
        <v>138</v>
      </c>
      <c r="CI695" t="s">
        <v>139</v>
      </c>
    </row>
    <row r="696" spans="1:87" x14ac:dyDescent="0.3">
      <c r="A696" t="s">
        <v>426</v>
      </c>
      <c r="B696" t="s">
        <v>116</v>
      </c>
      <c r="C696" t="s">
        <v>117</v>
      </c>
      <c r="D696" t="s">
        <v>118</v>
      </c>
      <c r="E696" t="s">
        <v>14</v>
      </c>
      <c r="F696" t="s">
        <v>1020</v>
      </c>
      <c r="G696">
        <v>83</v>
      </c>
      <c r="H696">
        <v>0</v>
      </c>
      <c r="I696" s="14">
        <v>573000</v>
      </c>
      <c r="J696" s="14">
        <v>573000</v>
      </c>
      <c r="K696" t="s">
        <v>117</v>
      </c>
      <c r="L696" t="s">
        <v>118</v>
      </c>
      <c r="M696" t="s">
        <v>140</v>
      </c>
      <c r="N696" t="s">
        <v>1021</v>
      </c>
      <c r="O696">
        <v>16.28</v>
      </c>
      <c r="P696">
        <v>0</v>
      </c>
      <c r="Q696" s="14">
        <v>51000</v>
      </c>
      <c r="R696" s="14">
        <v>51000</v>
      </c>
      <c r="Y696" s="14"/>
      <c r="Z696" s="14"/>
      <c r="AG696" s="14"/>
      <c r="AH696" s="14"/>
      <c r="AI696" t="s">
        <v>1022</v>
      </c>
      <c r="AJ696" t="s">
        <v>1023</v>
      </c>
      <c r="AK696" t="s">
        <v>1024</v>
      </c>
      <c r="AL696">
        <v>0</v>
      </c>
      <c r="AM696" t="s">
        <v>1025</v>
      </c>
      <c r="AN696" t="s">
        <v>1026</v>
      </c>
      <c r="AO696" t="s">
        <v>1027</v>
      </c>
      <c r="AP696" t="s">
        <v>1027</v>
      </c>
      <c r="AQ696" s="15">
        <v>46295</v>
      </c>
      <c r="AR696" s="15"/>
      <c r="AS696" t="s">
        <v>227</v>
      </c>
      <c r="AT696">
        <v>3</v>
      </c>
      <c r="AU696">
        <v>24266.67</v>
      </c>
      <c r="AV696">
        <v>0</v>
      </c>
      <c r="AW696">
        <v>0</v>
      </c>
      <c r="AX696" s="14">
        <v>24266.67</v>
      </c>
      <c r="AY696" s="14">
        <v>0</v>
      </c>
      <c r="AZ696" s="14">
        <v>24266.67</v>
      </c>
      <c r="BB696" t="s">
        <v>22</v>
      </c>
      <c r="BH696" t="s">
        <v>132</v>
      </c>
      <c r="BK696" t="s">
        <v>1100</v>
      </c>
      <c r="BV696" t="s">
        <v>132</v>
      </c>
      <c r="BW696" s="16">
        <v>45898.34652777778</v>
      </c>
      <c r="BX696" t="s">
        <v>143</v>
      </c>
      <c r="BZ696">
        <v>12</v>
      </c>
      <c r="CB696">
        <v>0</v>
      </c>
      <c r="CF696" t="s">
        <v>1087</v>
      </c>
      <c r="CG696">
        <v>2026</v>
      </c>
      <c r="CH696" t="s">
        <v>138</v>
      </c>
      <c r="CI696" t="s">
        <v>139</v>
      </c>
    </row>
    <row r="697" spans="1:87" x14ac:dyDescent="0.3">
      <c r="A697" t="s">
        <v>426</v>
      </c>
      <c r="B697" t="s">
        <v>116</v>
      </c>
      <c r="C697" t="s">
        <v>117</v>
      </c>
      <c r="D697" t="s">
        <v>118</v>
      </c>
      <c r="E697" t="s">
        <v>14</v>
      </c>
      <c r="F697" t="s">
        <v>1020</v>
      </c>
      <c r="G697">
        <v>83</v>
      </c>
      <c r="H697">
        <v>0</v>
      </c>
      <c r="I697" s="14">
        <v>573000</v>
      </c>
      <c r="J697" s="14">
        <v>573000</v>
      </c>
      <c r="K697" t="s">
        <v>117</v>
      </c>
      <c r="L697" t="s">
        <v>118</v>
      </c>
      <c r="M697" t="s">
        <v>140</v>
      </c>
      <c r="N697" t="s">
        <v>1021</v>
      </c>
      <c r="O697">
        <v>16.28</v>
      </c>
      <c r="P697">
        <v>0</v>
      </c>
      <c r="Q697" s="14">
        <v>51000</v>
      </c>
      <c r="R697" s="14">
        <v>51000</v>
      </c>
      <c r="Y697" s="14"/>
      <c r="Z697" s="14"/>
      <c r="AG697" s="14"/>
      <c r="AH697" s="14"/>
      <c r="AI697" t="s">
        <v>1022</v>
      </c>
      <c r="AJ697" t="s">
        <v>1023</v>
      </c>
      <c r="AK697" t="s">
        <v>1024</v>
      </c>
      <c r="AL697">
        <v>0</v>
      </c>
      <c r="AM697" t="s">
        <v>1025</v>
      </c>
      <c r="AN697" t="s">
        <v>1026</v>
      </c>
      <c r="AO697" t="s">
        <v>1027</v>
      </c>
      <c r="AP697" t="s">
        <v>1027</v>
      </c>
      <c r="AQ697" s="15">
        <v>46326</v>
      </c>
      <c r="AR697" s="15"/>
      <c r="AS697" t="s">
        <v>227</v>
      </c>
      <c r="AT697">
        <v>4</v>
      </c>
      <c r="AU697">
        <v>24266.67</v>
      </c>
      <c r="AV697">
        <v>0</v>
      </c>
      <c r="AW697">
        <v>0</v>
      </c>
      <c r="AX697" s="14">
        <v>24266.67</v>
      </c>
      <c r="AY697" s="14">
        <v>0</v>
      </c>
      <c r="AZ697" s="14">
        <v>24266.67</v>
      </c>
      <c r="BB697" t="s">
        <v>22</v>
      </c>
      <c r="BH697" t="s">
        <v>132</v>
      </c>
      <c r="BK697" t="s">
        <v>1100</v>
      </c>
      <c r="BV697" t="s">
        <v>132</v>
      </c>
      <c r="BW697" s="16">
        <v>45898.34652777778</v>
      </c>
      <c r="BX697" t="s">
        <v>143</v>
      </c>
      <c r="BZ697">
        <v>12</v>
      </c>
      <c r="CB697">
        <v>0</v>
      </c>
      <c r="CF697" t="s">
        <v>1087</v>
      </c>
      <c r="CG697">
        <v>2026</v>
      </c>
      <c r="CH697" t="s">
        <v>138</v>
      </c>
      <c r="CI697" t="s">
        <v>139</v>
      </c>
    </row>
    <row r="698" spans="1:87" x14ac:dyDescent="0.3">
      <c r="A698" t="s">
        <v>426</v>
      </c>
      <c r="B698" t="s">
        <v>116</v>
      </c>
      <c r="C698" t="s">
        <v>117</v>
      </c>
      <c r="D698" t="s">
        <v>118</v>
      </c>
      <c r="E698" t="s">
        <v>14</v>
      </c>
      <c r="F698" t="s">
        <v>1020</v>
      </c>
      <c r="G698">
        <v>83</v>
      </c>
      <c r="H698">
        <v>0</v>
      </c>
      <c r="I698" s="14">
        <v>573000</v>
      </c>
      <c r="J698" s="14">
        <v>573000</v>
      </c>
      <c r="K698" t="s">
        <v>117</v>
      </c>
      <c r="L698" t="s">
        <v>118</v>
      </c>
      <c r="M698" t="s">
        <v>140</v>
      </c>
      <c r="N698" t="s">
        <v>1021</v>
      </c>
      <c r="O698">
        <v>16.28</v>
      </c>
      <c r="P698">
        <v>0</v>
      </c>
      <c r="Q698" s="14">
        <v>51000</v>
      </c>
      <c r="R698" s="14">
        <v>51000</v>
      </c>
      <c r="Y698" s="14"/>
      <c r="Z698" s="14"/>
      <c r="AG698" s="14"/>
      <c r="AH698" s="14"/>
      <c r="AI698" t="s">
        <v>1022</v>
      </c>
      <c r="AJ698" t="s">
        <v>1023</v>
      </c>
      <c r="AK698" t="s">
        <v>1024</v>
      </c>
      <c r="AL698">
        <v>0</v>
      </c>
      <c r="AM698" t="s">
        <v>1025</v>
      </c>
      <c r="AN698" t="s">
        <v>1026</v>
      </c>
      <c r="AO698" t="s">
        <v>1027</v>
      </c>
      <c r="AP698" t="s">
        <v>1027</v>
      </c>
      <c r="AQ698" s="15">
        <v>46356</v>
      </c>
      <c r="AR698" s="15"/>
      <c r="AS698" t="s">
        <v>227</v>
      </c>
      <c r="AT698">
        <v>5</v>
      </c>
      <c r="AU698">
        <v>24266.67</v>
      </c>
      <c r="AV698">
        <v>0</v>
      </c>
      <c r="AW698">
        <v>0</v>
      </c>
      <c r="AX698" s="14">
        <v>24266.67</v>
      </c>
      <c r="AY698" s="14">
        <v>0</v>
      </c>
      <c r="AZ698" s="14">
        <v>24266.67</v>
      </c>
      <c r="BB698" t="s">
        <v>22</v>
      </c>
      <c r="BH698" t="s">
        <v>132</v>
      </c>
      <c r="BK698" t="s">
        <v>1100</v>
      </c>
      <c r="BV698" t="s">
        <v>132</v>
      </c>
      <c r="BW698" s="16">
        <v>45898.34652777778</v>
      </c>
      <c r="BX698" t="s">
        <v>143</v>
      </c>
      <c r="BZ698">
        <v>12</v>
      </c>
      <c r="CB698">
        <v>0</v>
      </c>
      <c r="CF698" t="s">
        <v>1087</v>
      </c>
      <c r="CG698">
        <v>2026</v>
      </c>
      <c r="CH698" t="s">
        <v>138</v>
      </c>
      <c r="CI698" t="s">
        <v>139</v>
      </c>
    </row>
    <row r="699" spans="1:87" x14ac:dyDescent="0.3">
      <c r="A699" t="s">
        <v>426</v>
      </c>
      <c r="B699" t="s">
        <v>116</v>
      </c>
      <c r="C699" t="s">
        <v>117</v>
      </c>
      <c r="D699" t="s">
        <v>118</v>
      </c>
      <c r="E699" t="s">
        <v>14</v>
      </c>
      <c r="F699" t="s">
        <v>1020</v>
      </c>
      <c r="G699">
        <v>83</v>
      </c>
      <c r="H699">
        <v>0</v>
      </c>
      <c r="I699" s="14">
        <v>573000</v>
      </c>
      <c r="J699" s="14">
        <v>573000</v>
      </c>
      <c r="K699" t="s">
        <v>117</v>
      </c>
      <c r="L699" t="s">
        <v>118</v>
      </c>
      <c r="M699" t="s">
        <v>140</v>
      </c>
      <c r="N699" t="s">
        <v>1021</v>
      </c>
      <c r="O699">
        <v>16.28</v>
      </c>
      <c r="P699">
        <v>0</v>
      </c>
      <c r="Q699" s="14">
        <v>51000</v>
      </c>
      <c r="R699" s="14">
        <v>51000</v>
      </c>
      <c r="Y699" s="14"/>
      <c r="Z699" s="14"/>
      <c r="AG699" s="14"/>
      <c r="AH699" s="14"/>
      <c r="AI699" t="s">
        <v>1022</v>
      </c>
      <c r="AJ699" t="s">
        <v>1023</v>
      </c>
      <c r="AK699" t="s">
        <v>1024</v>
      </c>
      <c r="AL699">
        <v>0</v>
      </c>
      <c r="AM699" t="s">
        <v>1025</v>
      </c>
      <c r="AN699" t="s">
        <v>1026</v>
      </c>
      <c r="AO699" t="s">
        <v>1027</v>
      </c>
      <c r="AP699" t="s">
        <v>1027</v>
      </c>
      <c r="AQ699" s="15">
        <v>46387</v>
      </c>
      <c r="AR699" s="15"/>
      <c r="AS699" t="s">
        <v>227</v>
      </c>
      <c r="AT699">
        <v>6</v>
      </c>
      <c r="AU699">
        <v>24266.67</v>
      </c>
      <c r="AV699">
        <v>0</v>
      </c>
      <c r="AW699">
        <v>0</v>
      </c>
      <c r="AX699" s="14">
        <v>24266.67</v>
      </c>
      <c r="AY699" s="14">
        <v>0</v>
      </c>
      <c r="AZ699" s="14">
        <v>24266.67</v>
      </c>
      <c r="BB699" t="s">
        <v>22</v>
      </c>
      <c r="BH699" t="s">
        <v>132</v>
      </c>
      <c r="BK699" t="s">
        <v>1100</v>
      </c>
      <c r="BV699" t="s">
        <v>132</v>
      </c>
      <c r="BW699" s="16">
        <v>45898.34652777778</v>
      </c>
      <c r="BX699" t="s">
        <v>143</v>
      </c>
      <c r="BZ699">
        <v>12</v>
      </c>
      <c r="CB699">
        <v>0</v>
      </c>
      <c r="CF699" t="s">
        <v>1087</v>
      </c>
      <c r="CG699">
        <v>2026</v>
      </c>
      <c r="CH699" t="s">
        <v>138</v>
      </c>
      <c r="CI699" t="s">
        <v>139</v>
      </c>
    </row>
    <row r="700" spans="1:87" x14ac:dyDescent="0.3">
      <c r="A700" t="s">
        <v>165</v>
      </c>
      <c r="B700" t="s">
        <v>116</v>
      </c>
      <c r="C700" t="s">
        <v>117</v>
      </c>
      <c r="D700" t="s">
        <v>118</v>
      </c>
      <c r="E700" t="s">
        <v>14</v>
      </c>
      <c r="F700" t="s">
        <v>1778</v>
      </c>
      <c r="G700">
        <v>72</v>
      </c>
      <c r="H700">
        <v>0</v>
      </c>
      <c r="I700" s="14">
        <v>532100</v>
      </c>
      <c r="J700" s="14">
        <v>510000</v>
      </c>
      <c r="Q700" s="14"/>
      <c r="R700" s="14"/>
      <c r="Y700" s="14"/>
      <c r="Z700" s="14"/>
      <c r="AG700" s="14"/>
      <c r="AH700" s="14"/>
      <c r="AI700" t="s">
        <v>1779</v>
      </c>
      <c r="AJ700" t="s">
        <v>1780</v>
      </c>
      <c r="AK700" t="s">
        <v>1781</v>
      </c>
      <c r="AL700">
        <v>0</v>
      </c>
      <c r="AM700" t="s">
        <v>1782</v>
      </c>
      <c r="AN700" t="s">
        <v>1783</v>
      </c>
      <c r="AO700" t="s">
        <v>125</v>
      </c>
      <c r="AP700" t="s">
        <v>205</v>
      </c>
      <c r="AQ700" s="15">
        <v>46166</v>
      </c>
      <c r="AR700" s="15">
        <v>46166</v>
      </c>
      <c r="AS700" t="s">
        <v>127</v>
      </c>
      <c r="AT700">
        <v>1</v>
      </c>
      <c r="AU700">
        <v>3000</v>
      </c>
      <c r="AV700">
        <v>0</v>
      </c>
      <c r="AW700">
        <v>0</v>
      </c>
      <c r="AX700" s="14">
        <v>3000</v>
      </c>
      <c r="AY700" s="14">
        <v>3000</v>
      </c>
      <c r="AZ700" s="14">
        <v>0</v>
      </c>
      <c r="BA700">
        <v>0</v>
      </c>
      <c r="BB700" t="s">
        <v>24</v>
      </c>
      <c r="BC700" t="s">
        <v>175</v>
      </c>
      <c r="BD700" t="s">
        <v>894</v>
      </c>
      <c r="BE700" t="s">
        <v>130</v>
      </c>
      <c r="BG700" t="s">
        <v>1784</v>
      </c>
      <c r="BH700" t="s">
        <v>132</v>
      </c>
      <c r="BJ700">
        <v>4</v>
      </c>
      <c r="BK700" t="s">
        <v>133</v>
      </c>
      <c r="BV700" t="s">
        <v>134</v>
      </c>
      <c r="BW700" s="16">
        <v>46174.336111111108</v>
      </c>
      <c r="BX700" t="s">
        <v>178</v>
      </c>
      <c r="BZ700">
        <v>43</v>
      </c>
      <c r="CA700" t="s">
        <v>1785</v>
      </c>
      <c r="CB700">
        <v>0</v>
      </c>
      <c r="CF700" t="s">
        <v>1087</v>
      </c>
      <c r="CG700">
        <v>2026</v>
      </c>
      <c r="CH700" t="s">
        <v>138</v>
      </c>
      <c r="CI700" t="s">
        <v>139</v>
      </c>
    </row>
    <row r="701" spans="1:87" x14ac:dyDescent="0.3">
      <c r="A701" t="s">
        <v>165</v>
      </c>
      <c r="B701" t="s">
        <v>116</v>
      </c>
      <c r="C701" t="s">
        <v>117</v>
      </c>
      <c r="D701" t="s">
        <v>118</v>
      </c>
      <c r="E701" t="s">
        <v>14</v>
      </c>
      <c r="F701" t="s">
        <v>1778</v>
      </c>
      <c r="G701">
        <v>72</v>
      </c>
      <c r="H701">
        <v>0</v>
      </c>
      <c r="I701" s="14">
        <v>532100</v>
      </c>
      <c r="J701" s="14">
        <v>510000</v>
      </c>
      <c r="Q701" s="14"/>
      <c r="R701" s="14"/>
      <c r="Y701" s="14"/>
      <c r="Z701" s="14"/>
      <c r="AG701" s="14"/>
      <c r="AH701" s="14"/>
      <c r="AI701" t="s">
        <v>1779</v>
      </c>
      <c r="AJ701" t="s">
        <v>1780</v>
      </c>
      <c r="AK701" t="s">
        <v>1781</v>
      </c>
      <c r="AL701">
        <v>0</v>
      </c>
      <c r="AM701" t="s">
        <v>1782</v>
      </c>
      <c r="AN701" t="s">
        <v>1783</v>
      </c>
      <c r="AO701" t="s">
        <v>125</v>
      </c>
      <c r="AP701" t="s">
        <v>205</v>
      </c>
      <c r="AQ701" s="15">
        <v>46188</v>
      </c>
      <c r="AR701" s="15">
        <v>46174</v>
      </c>
      <c r="AS701" t="s">
        <v>145</v>
      </c>
      <c r="AT701">
        <v>1</v>
      </c>
      <c r="AU701">
        <v>57000</v>
      </c>
      <c r="AV701">
        <v>0</v>
      </c>
      <c r="AW701">
        <v>0</v>
      </c>
      <c r="AX701" s="14">
        <v>57000</v>
      </c>
      <c r="AY701" s="14">
        <v>57000</v>
      </c>
      <c r="AZ701" s="14">
        <v>0</v>
      </c>
      <c r="BA701">
        <v>0</v>
      </c>
      <c r="BB701" t="s">
        <v>24</v>
      </c>
      <c r="BC701" t="s">
        <v>175</v>
      </c>
      <c r="BD701" t="s">
        <v>176</v>
      </c>
      <c r="BE701" t="s">
        <v>130</v>
      </c>
      <c r="BG701" t="s">
        <v>1786</v>
      </c>
      <c r="BH701" t="s">
        <v>132</v>
      </c>
      <c r="BJ701">
        <v>4</v>
      </c>
      <c r="BK701" t="s">
        <v>133</v>
      </c>
      <c r="BV701" t="s">
        <v>134</v>
      </c>
      <c r="BW701" s="16">
        <v>46174.336111111108</v>
      </c>
      <c r="BX701" t="s">
        <v>178</v>
      </c>
      <c r="BZ701">
        <v>43</v>
      </c>
      <c r="CA701" t="s">
        <v>1787</v>
      </c>
      <c r="CB701">
        <v>0</v>
      </c>
      <c r="CF701" t="s">
        <v>1087</v>
      </c>
      <c r="CG701">
        <v>2026</v>
      </c>
      <c r="CH701" t="s">
        <v>138</v>
      </c>
      <c r="CI701" t="s">
        <v>139</v>
      </c>
    </row>
    <row r="702" spans="1:87" x14ac:dyDescent="0.3">
      <c r="A702" t="s">
        <v>165</v>
      </c>
      <c r="B702" t="s">
        <v>116</v>
      </c>
      <c r="C702" t="s">
        <v>117</v>
      </c>
      <c r="D702" t="s">
        <v>118</v>
      </c>
      <c r="E702" t="s">
        <v>14</v>
      </c>
      <c r="F702" t="s">
        <v>1778</v>
      </c>
      <c r="G702">
        <v>72</v>
      </c>
      <c r="H702">
        <v>0</v>
      </c>
      <c r="I702" s="14">
        <v>532100</v>
      </c>
      <c r="J702" s="14">
        <v>510000</v>
      </c>
      <c r="Q702" s="14"/>
      <c r="R702" s="14"/>
      <c r="Y702" s="14"/>
      <c r="Z702" s="14"/>
      <c r="AG702" s="14"/>
      <c r="AH702" s="14"/>
      <c r="AI702" t="s">
        <v>1779</v>
      </c>
      <c r="AJ702" t="s">
        <v>1780</v>
      </c>
      <c r="AK702" t="s">
        <v>1781</v>
      </c>
      <c r="AL702">
        <v>0</v>
      </c>
      <c r="AM702" t="s">
        <v>1782</v>
      </c>
      <c r="AN702" t="s">
        <v>1783</v>
      </c>
      <c r="AO702" t="s">
        <v>125</v>
      </c>
      <c r="AP702" t="s">
        <v>205</v>
      </c>
      <c r="AQ702" s="15">
        <v>46356</v>
      </c>
      <c r="AR702" s="15"/>
      <c r="AS702" t="s">
        <v>145</v>
      </c>
      <c r="AT702">
        <v>2</v>
      </c>
      <c r="AU702">
        <v>42000</v>
      </c>
      <c r="AV702">
        <v>0</v>
      </c>
      <c r="AW702">
        <v>0</v>
      </c>
      <c r="AX702" s="14">
        <v>42000</v>
      </c>
      <c r="AY702" s="14">
        <v>0</v>
      </c>
      <c r="AZ702" s="14">
        <v>42000</v>
      </c>
      <c r="BB702" t="s">
        <v>24</v>
      </c>
      <c r="BH702" t="s">
        <v>132</v>
      </c>
      <c r="BK702" t="s">
        <v>1100</v>
      </c>
      <c r="BV702" t="s">
        <v>132</v>
      </c>
      <c r="BW702" s="16">
        <v>46174.336111111108</v>
      </c>
      <c r="BX702" t="s">
        <v>178</v>
      </c>
      <c r="BZ702">
        <v>43</v>
      </c>
      <c r="CB702">
        <v>0</v>
      </c>
      <c r="CF702" t="s">
        <v>1087</v>
      </c>
      <c r="CG702">
        <v>2026</v>
      </c>
      <c r="CH702" t="s">
        <v>138</v>
      </c>
      <c r="CI702" t="s">
        <v>139</v>
      </c>
    </row>
    <row r="703" spans="1:87" x14ac:dyDescent="0.3">
      <c r="A703" t="s">
        <v>115</v>
      </c>
      <c r="B703" t="s">
        <v>116</v>
      </c>
      <c r="C703" t="s">
        <v>117</v>
      </c>
      <c r="D703" t="s">
        <v>118</v>
      </c>
      <c r="E703" t="s">
        <v>14</v>
      </c>
      <c r="F703" t="s">
        <v>1344</v>
      </c>
      <c r="G703">
        <v>56</v>
      </c>
      <c r="H703">
        <v>0</v>
      </c>
      <c r="I703" s="14">
        <v>517000</v>
      </c>
      <c r="J703" s="14">
        <v>457600</v>
      </c>
      <c r="K703" t="s">
        <v>117</v>
      </c>
      <c r="L703" t="s">
        <v>118</v>
      </c>
      <c r="M703" t="s">
        <v>140</v>
      </c>
      <c r="N703" t="s">
        <v>1788</v>
      </c>
      <c r="O703">
        <v>13.5</v>
      </c>
      <c r="P703">
        <v>1.86</v>
      </c>
      <c r="Q703" s="14">
        <v>54400</v>
      </c>
      <c r="R703" s="14">
        <v>54400</v>
      </c>
      <c r="Y703" s="14"/>
      <c r="Z703" s="14"/>
      <c r="AG703" s="14"/>
      <c r="AH703" s="14"/>
      <c r="AI703" t="s">
        <v>1789</v>
      </c>
      <c r="AJ703" t="s">
        <v>1790</v>
      </c>
      <c r="AK703" t="s">
        <v>1791</v>
      </c>
      <c r="AL703">
        <v>0</v>
      </c>
      <c r="AM703" t="s">
        <v>1792</v>
      </c>
      <c r="AN703" t="s">
        <v>1793</v>
      </c>
      <c r="AO703" t="s">
        <v>125</v>
      </c>
      <c r="AP703" t="s">
        <v>1794</v>
      </c>
      <c r="AQ703" s="15">
        <v>46159</v>
      </c>
      <c r="AR703" s="15">
        <v>46159</v>
      </c>
      <c r="AS703" t="s">
        <v>127</v>
      </c>
      <c r="AT703">
        <v>1</v>
      </c>
      <c r="AU703">
        <v>3000</v>
      </c>
      <c r="AV703">
        <v>0</v>
      </c>
      <c r="AW703">
        <v>0</v>
      </c>
      <c r="AX703" s="14">
        <v>3000</v>
      </c>
      <c r="AY703" s="14">
        <v>3000</v>
      </c>
      <c r="AZ703" s="14">
        <v>0</v>
      </c>
      <c r="BA703">
        <v>0</v>
      </c>
      <c r="BB703" t="s">
        <v>24</v>
      </c>
      <c r="BC703" t="s">
        <v>128</v>
      </c>
      <c r="BD703" t="s">
        <v>129</v>
      </c>
      <c r="BE703" t="s">
        <v>222</v>
      </c>
      <c r="BF703" t="s">
        <v>1790</v>
      </c>
      <c r="BG703" t="s">
        <v>1795</v>
      </c>
      <c r="BH703" t="s">
        <v>132</v>
      </c>
      <c r="BI703" t="s">
        <v>154</v>
      </c>
      <c r="BJ703">
        <v>4</v>
      </c>
      <c r="BK703" t="s">
        <v>133</v>
      </c>
      <c r="BV703" t="s">
        <v>134</v>
      </c>
      <c r="BW703" s="16">
        <v>46165.682638888888</v>
      </c>
      <c r="BX703" t="s">
        <v>143</v>
      </c>
      <c r="BZ703">
        <v>27</v>
      </c>
      <c r="CA703" t="s">
        <v>1796</v>
      </c>
      <c r="CB703">
        <v>0</v>
      </c>
      <c r="CF703" t="s">
        <v>1087</v>
      </c>
      <c r="CG703">
        <v>2026</v>
      </c>
      <c r="CH703" t="s">
        <v>138</v>
      </c>
      <c r="CI703" t="s">
        <v>139</v>
      </c>
    </row>
    <row r="704" spans="1:87" x14ac:dyDescent="0.3">
      <c r="A704" t="s">
        <v>115</v>
      </c>
      <c r="B704" t="s">
        <v>116</v>
      </c>
      <c r="C704" t="s">
        <v>117</v>
      </c>
      <c r="D704" t="s">
        <v>118</v>
      </c>
      <c r="E704" t="s">
        <v>14</v>
      </c>
      <c r="F704" t="s">
        <v>1344</v>
      </c>
      <c r="G704">
        <v>56</v>
      </c>
      <c r="H704">
        <v>0</v>
      </c>
      <c r="I704" s="14">
        <v>517000</v>
      </c>
      <c r="J704" s="14">
        <v>457600</v>
      </c>
      <c r="K704" t="s">
        <v>117</v>
      </c>
      <c r="L704" t="s">
        <v>118</v>
      </c>
      <c r="M704" t="s">
        <v>140</v>
      </c>
      <c r="N704" t="s">
        <v>1788</v>
      </c>
      <c r="O704">
        <v>13.5</v>
      </c>
      <c r="P704">
        <v>1.86</v>
      </c>
      <c r="Q704" s="14">
        <v>54400</v>
      </c>
      <c r="R704" s="14">
        <v>54400</v>
      </c>
      <c r="Y704" s="14"/>
      <c r="Z704" s="14"/>
      <c r="AG704" s="14"/>
      <c r="AH704" s="14"/>
      <c r="AI704" t="s">
        <v>1789</v>
      </c>
      <c r="AJ704" t="s">
        <v>1790</v>
      </c>
      <c r="AK704" t="s">
        <v>1791</v>
      </c>
      <c r="AL704">
        <v>0</v>
      </c>
      <c r="AM704" t="s">
        <v>1792</v>
      </c>
      <c r="AN704" t="s">
        <v>1793</v>
      </c>
      <c r="AO704" t="s">
        <v>125</v>
      </c>
      <c r="AP704" t="s">
        <v>1794</v>
      </c>
      <c r="AQ704" s="15">
        <v>46165</v>
      </c>
      <c r="AR704" s="15">
        <v>46165</v>
      </c>
      <c r="AS704" t="s">
        <v>145</v>
      </c>
      <c r="AT704">
        <v>1</v>
      </c>
      <c r="AU704">
        <v>22600</v>
      </c>
      <c r="AV704">
        <v>0</v>
      </c>
      <c r="AW704">
        <v>0</v>
      </c>
      <c r="AX704" s="14">
        <v>22600</v>
      </c>
      <c r="AY704" s="14">
        <v>22600</v>
      </c>
      <c r="AZ704" s="14">
        <v>0</v>
      </c>
      <c r="BA704">
        <v>0</v>
      </c>
      <c r="BB704" t="s">
        <v>24</v>
      </c>
      <c r="BC704" t="s">
        <v>128</v>
      </c>
      <c r="BD704" t="s">
        <v>129</v>
      </c>
      <c r="BE704" t="s">
        <v>130</v>
      </c>
      <c r="BG704" t="s">
        <v>1797</v>
      </c>
      <c r="BH704" t="s">
        <v>132</v>
      </c>
      <c r="BJ704">
        <v>4</v>
      </c>
      <c r="BK704" t="s">
        <v>133</v>
      </c>
      <c r="BV704" t="s">
        <v>134</v>
      </c>
      <c r="BW704" s="16">
        <v>46165.682638888888</v>
      </c>
      <c r="BX704" t="s">
        <v>143</v>
      </c>
      <c r="BZ704">
        <v>27</v>
      </c>
      <c r="CA704" t="s">
        <v>1798</v>
      </c>
      <c r="CB704">
        <v>0</v>
      </c>
      <c r="CF704" t="s">
        <v>1087</v>
      </c>
      <c r="CG704">
        <v>2026</v>
      </c>
      <c r="CH704" t="s">
        <v>138</v>
      </c>
      <c r="CI704" t="s">
        <v>139</v>
      </c>
    </row>
    <row r="705" spans="1:87" x14ac:dyDescent="0.3">
      <c r="A705" t="s">
        <v>115</v>
      </c>
      <c r="B705" t="s">
        <v>116</v>
      </c>
      <c r="C705" t="s">
        <v>117</v>
      </c>
      <c r="D705" t="s">
        <v>118</v>
      </c>
      <c r="E705" t="s">
        <v>14</v>
      </c>
      <c r="F705" t="s">
        <v>1344</v>
      </c>
      <c r="G705">
        <v>56</v>
      </c>
      <c r="H705">
        <v>0</v>
      </c>
      <c r="I705" s="14">
        <v>517000</v>
      </c>
      <c r="J705" s="14">
        <v>457600</v>
      </c>
      <c r="K705" t="s">
        <v>117</v>
      </c>
      <c r="L705" t="s">
        <v>118</v>
      </c>
      <c r="M705" t="s">
        <v>140</v>
      </c>
      <c r="N705" t="s">
        <v>1788</v>
      </c>
      <c r="O705">
        <v>13.5</v>
      </c>
      <c r="P705">
        <v>1.86</v>
      </c>
      <c r="Q705" s="14">
        <v>54400</v>
      </c>
      <c r="R705" s="14">
        <v>54400</v>
      </c>
      <c r="Y705" s="14"/>
      <c r="Z705" s="14"/>
      <c r="AG705" s="14"/>
      <c r="AH705" s="14"/>
      <c r="AI705" t="s">
        <v>1789</v>
      </c>
      <c r="AJ705" t="s">
        <v>1790</v>
      </c>
      <c r="AK705" t="s">
        <v>1791</v>
      </c>
      <c r="AL705">
        <v>0</v>
      </c>
      <c r="AM705" t="s">
        <v>1792</v>
      </c>
      <c r="AN705" t="s">
        <v>1793</v>
      </c>
      <c r="AO705" t="s">
        <v>125</v>
      </c>
      <c r="AP705" t="s">
        <v>1794</v>
      </c>
      <c r="AQ705" s="15">
        <v>46264</v>
      </c>
      <c r="AR705" s="15"/>
      <c r="AS705" t="s">
        <v>1055</v>
      </c>
      <c r="AT705">
        <v>2</v>
      </c>
      <c r="AU705">
        <v>25600</v>
      </c>
      <c r="AV705">
        <v>0</v>
      </c>
      <c r="AW705">
        <v>0</v>
      </c>
      <c r="AX705" s="14">
        <v>25600</v>
      </c>
      <c r="AY705" s="14">
        <v>0</v>
      </c>
      <c r="AZ705" s="14">
        <v>25600</v>
      </c>
      <c r="BB705" t="s">
        <v>24</v>
      </c>
      <c r="BH705" t="s">
        <v>132</v>
      </c>
      <c r="BK705" t="s">
        <v>550</v>
      </c>
      <c r="BV705" t="s">
        <v>132</v>
      </c>
      <c r="BW705" s="16">
        <v>46165.682638888888</v>
      </c>
      <c r="BX705" t="s">
        <v>143</v>
      </c>
      <c r="BZ705">
        <v>27</v>
      </c>
      <c r="CB705">
        <v>0</v>
      </c>
      <c r="CF705" t="s">
        <v>1087</v>
      </c>
      <c r="CG705">
        <v>2026</v>
      </c>
      <c r="CH705" t="s">
        <v>138</v>
      </c>
      <c r="CI705" t="s">
        <v>139</v>
      </c>
    </row>
    <row r="706" spans="1:87" x14ac:dyDescent="0.3">
      <c r="A706" t="s">
        <v>115</v>
      </c>
      <c r="B706" t="s">
        <v>116</v>
      </c>
      <c r="C706" t="s">
        <v>117</v>
      </c>
      <c r="D706" t="s">
        <v>118</v>
      </c>
      <c r="E706" t="s">
        <v>14</v>
      </c>
      <c r="F706" t="s">
        <v>1344</v>
      </c>
      <c r="G706">
        <v>56</v>
      </c>
      <c r="H706">
        <v>0</v>
      </c>
      <c r="I706" s="14">
        <v>517000</v>
      </c>
      <c r="J706" s="14">
        <v>457600</v>
      </c>
      <c r="K706" t="s">
        <v>117</v>
      </c>
      <c r="L706" t="s">
        <v>118</v>
      </c>
      <c r="M706" t="s">
        <v>140</v>
      </c>
      <c r="N706" t="s">
        <v>1788</v>
      </c>
      <c r="O706">
        <v>13.5</v>
      </c>
      <c r="P706">
        <v>1.86</v>
      </c>
      <c r="Q706" s="14">
        <v>54400</v>
      </c>
      <c r="R706" s="14">
        <v>54400</v>
      </c>
      <c r="Y706" s="14"/>
      <c r="Z706" s="14"/>
      <c r="AG706" s="14"/>
      <c r="AH706" s="14"/>
      <c r="AI706" t="s">
        <v>1789</v>
      </c>
      <c r="AJ706" t="s">
        <v>1790</v>
      </c>
      <c r="AK706" t="s">
        <v>1791</v>
      </c>
      <c r="AL706">
        <v>0</v>
      </c>
      <c r="AM706" t="s">
        <v>1792</v>
      </c>
      <c r="AN706" t="s">
        <v>1793</v>
      </c>
      <c r="AO706" t="s">
        <v>125</v>
      </c>
      <c r="AP706" t="s">
        <v>1794</v>
      </c>
      <c r="AQ706" s="15">
        <v>46295</v>
      </c>
      <c r="AR706" s="15"/>
      <c r="AS706" t="s">
        <v>227</v>
      </c>
      <c r="AT706">
        <v>1</v>
      </c>
      <c r="AU706">
        <v>460800</v>
      </c>
      <c r="AV706">
        <v>0</v>
      </c>
      <c r="AW706">
        <v>0</v>
      </c>
      <c r="AX706" s="14">
        <v>460800</v>
      </c>
      <c r="AY706" s="14">
        <v>0</v>
      </c>
      <c r="AZ706" s="14">
        <v>460800</v>
      </c>
      <c r="BB706" t="s">
        <v>24</v>
      </c>
      <c r="BH706" t="s">
        <v>132</v>
      </c>
      <c r="BK706" t="s">
        <v>1100</v>
      </c>
      <c r="BV706" t="s">
        <v>132</v>
      </c>
      <c r="BW706" s="16">
        <v>46165.682638888888</v>
      </c>
      <c r="BX706" t="s">
        <v>143</v>
      </c>
      <c r="BZ706">
        <v>27</v>
      </c>
      <c r="CB706">
        <v>0</v>
      </c>
      <c r="CF706" t="s">
        <v>1087</v>
      </c>
      <c r="CG706">
        <v>2026</v>
      </c>
      <c r="CH706" t="s">
        <v>138</v>
      </c>
      <c r="CI706" t="s">
        <v>139</v>
      </c>
    </row>
    <row r="707" spans="1:87" x14ac:dyDescent="0.3">
      <c r="A707" t="s">
        <v>165</v>
      </c>
      <c r="B707" t="s">
        <v>116</v>
      </c>
      <c r="C707" t="s">
        <v>117</v>
      </c>
      <c r="D707" t="s">
        <v>118</v>
      </c>
      <c r="E707" t="s">
        <v>14</v>
      </c>
      <c r="F707" t="s">
        <v>180</v>
      </c>
      <c r="G707">
        <v>68</v>
      </c>
      <c r="H707">
        <v>0</v>
      </c>
      <c r="I707" s="14">
        <v>474700</v>
      </c>
      <c r="J707" s="14">
        <v>474700</v>
      </c>
      <c r="K707" t="s">
        <v>117</v>
      </c>
      <c r="L707" t="s">
        <v>118</v>
      </c>
      <c r="M707" t="s">
        <v>14</v>
      </c>
      <c r="N707" t="s">
        <v>427</v>
      </c>
      <c r="O707">
        <v>67</v>
      </c>
      <c r="P707">
        <v>0</v>
      </c>
      <c r="Q707" s="14">
        <v>468000</v>
      </c>
      <c r="R707" s="14">
        <v>468000</v>
      </c>
      <c r="Y707" s="14"/>
      <c r="Z707" s="14"/>
      <c r="AG707" s="14"/>
      <c r="AH707" s="14"/>
      <c r="AI707" t="s">
        <v>1799</v>
      </c>
      <c r="AJ707" t="s">
        <v>1800</v>
      </c>
      <c r="AK707" t="s">
        <v>1801</v>
      </c>
      <c r="AM707" t="s">
        <v>1802</v>
      </c>
      <c r="AN707" t="s">
        <v>1803</v>
      </c>
      <c r="AO707" t="s">
        <v>125</v>
      </c>
      <c r="AP707" t="s">
        <v>152</v>
      </c>
      <c r="AQ707" s="15">
        <v>46075</v>
      </c>
      <c r="AR707" s="15">
        <v>46075</v>
      </c>
      <c r="AS707" t="s">
        <v>127</v>
      </c>
      <c r="AT707">
        <v>1</v>
      </c>
      <c r="AU707">
        <v>5000</v>
      </c>
      <c r="AV707">
        <v>0</v>
      </c>
      <c r="AW707">
        <v>0</v>
      </c>
      <c r="AX707" s="14">
        <v>5000</v>
      </c>
      <c r="AY707" s="14">
        <v>5000</v>
      </c>
      <c r="AZ707" s="14">
        <v>0</v>
      </c>
      <c r="BA707">
        <v>0</v>
      </c>
      <c r="BB707" t="s">
        <v>23</v>
      </c>
      <c r="BC707" t="s">
        <v>175</v>
      </c>
      <c r="BD707" t="s">
        <v>176</v>
      </c>
      <c r="BE707" t="s">
        <v>130</v>
      </c>
      <c r="BG707" t="s">
        <v>1804</v>
      </c>
      <c r="BH707" t="s">
        <v>132</v>
      </c>
      <c r="BJ707">
        <v>4</v>
      </c>
      <c r="BK707" t="s">
        <v>133</v>
      </c>
      <c r="BV707" t="s">
        <v>134</v>
      </c>
      <c r="BW707" s="16">
        <v>46181.411111111112</v>
      </c>
      <c r="BX707" t="s">
        <v>135</v>
      </c>
      <c r="BZ707">
        <v>37</v>
      </c>
      <c r="CA707" t="s">
        <v>1805</v>
      </c>
      <c r="CB707">
        <v>0</v>
      </c>
      <c r="CF707" t="s">
        <v>1087</v>
      </c>
      <c r="CG707">
        <v>2026</v>
      </c>
      <c r="CH707" t="s">
        <v>138</v>
      </c>
      <c r="CI707" t="s">
        <v>139</v>
      </c>
    </row>
    <row r="708" spans="1:87" x14ac:dyDescent="0.3">
      <c r="A708" t="s">
        <v>165</v>
      </c>
      <c r="B708" t="s">
        <v>116</v>
      </c>
      <c r="C708" t="s">
        <v>117</v>
      </c>
      <c r="D708" t="s">
        <v>118</v>
      </c>
      <c r="E708" t="s">
        <v>14</v>
      </c>
      <c r="F708" t="s">
        <v>180</v>
      </c>
      <c r="G708">
        <v>68</v>
      </c>
      <c r="H708">
        <v>0</v>
      </c>
      <c r="I708" s="14">
        <v>474700</v>
      </c>
      <c r="J708" s="14">
        <v>474700</v>
      </c>
      <c r="K708" t="s">
        <v>117</v>
      </c>
      <c r="L708" t="s">
        <v>118</v>
      </c>
      <c r="M708" t="s">
        <v>14</v>
      </c>
      <c r="N708" t="s">
        <v>427</v>
      </c>
      <c r="O708">
        <v>67</v>
      </c>
      <c r="P708">
        <v>0</v>
      </c>
      <c r="Q708" s="14">
        <v>468000</v>
      </c>
      <c r="R708" s="14">
        <v>468000</v>
      </c>
      <c r="Y708" s="14"/>
      <c r="Z708" s="14"/>
      <c r="AG708" s="14"/>
      <c r="AH708" s="14"/>
      <c r="AI708" t="s">
        <v>1799</v>
      </c>
      <c r="AJ708" t="s">
        <v>1800</v>
      </c>
      <c r="AK708" t="s">
        <v>1801</v>
      </c>
      <c r="AM708" t="s">
        <v>1802</v>
      </c>
      <c r="AN708" t="s">
        <v>1803</v>
      </c>
      <c r="AO708" t="s">
        <v>125</v>
      </c>
      <c r="AP708" t="s">
        <v>152</v>
      </c>
      <c r="AQ708" s="15">
        <v>46088</v>
      </c>
      <c r="AR708" s="15">
        <v>46088</v>
      </c>
      <c r="AS708" t="s">
        <v>145</v>
      </c>
      <c r="AT708">
        <v>1</v>
      </c>
      <c r="AU708">
        <v>10000</v>
      </c>
      <c r="AV708">
        <v>0</v>
      </c>
      <c r="AW708">
        <v>0</v>
      </c>
      <c r="AX708" s="14">
        <v>10000</v>
      </c>
      <c r="AY708" s="14">
        <v>5000</v>
      </c>
      <c r="AZ708" s="14">
        <v>0</v>
      </c>
      <c r="BA708">
        <v>0</v>
      </c>
      <c r="BB708" t="s">
        <v>23</v>
      </c>
      <c r="BC708" t="s">
        <v>175</v>
      </c>
      <c r="BD708" t="s">
        <v>176</v>
      </c>
      <c r="BE708" t="s">
        <v>130</v>
      </c>
      <c r="BG708" t="s">
        <v>1806</v>
      </c>
      <c r="BH708" t="s">
        <v>132</v>
      </c>
      <c r="BJ708">
        <v>4</v>
      </c>
      <c r="BK708" t="s">
        <v>133</v>
      </c>
      <c r="BV708" t="s">
        <v>134</v>
      </c>
      <c r="BW708" s="16">
        <v>46181.411111111112</v>
      </c>
      <c r="BX708" t="s">
        <v>135</v>
      </c>
      <c r="BZ708">
        <v>37</v>
      </c>
      <c r="CA708" t="s">
        <v>1807</v>
      </c>
      <c r="CB708">
        <v>0</v>
      </c>
      <c r="CF708" t="s">
        <v>1087</v>
      </c>
      <c r="CG708">
        <v>2026</v>
      </c>
      <c r="CH708" t="s">
        <v>138</v>
      </c>
      <c r="CI708" t="s">
        <v>139</v>
      </c>
    </row>
    <row r="709" spans="1:87" x14ac:dyDescent="0.3">
      <c r="A709" t="s">
        <v>165</v>
      </c>
      <c r="B709" t="s">
        <v>116</v>
      </c>
      <c r="C709" t="s">
        <v>117</v>
      </c>
      <c r="D709" t="s">
        <v>118</v>
      </c>
      <c r="E709" t="s">
        <v>14</v>
      </c>
      <c r="F709" t="s">
        <v>180</v>
      </c>
      <c r="G709">
        <v>68</v>
      </c>
      <c r="H709">
        <v>0</v>
      </c>
      <c r="I709" s="14">
        <v>474700</v>
      </c>
      <c r="J709" s="14">
        <v>474700</v>
      </c>
      <c r="K709" t="s">
        <v>117</v>
      </c>
      <c r="L709" t="s">
        <v>118</v>
      </c>
      <c r="M709" t="s">
        <v>14</v>
      </c>
      <c r="N709" t="s">
        <v>427</v>
      </c>
      <c r="O709">
        <v>67</v>
      </c>
      <c r="P709">
        <v>0</v>
      </c>
      <c r="Q709" s="14">
        <v>468000</v>
      </c>
      <c r="R709" s="14">
        <v>468000</v>
      </c>
      <c r="Y709" s="14"/>
      <c r="Z709" s="14"/>
      <c r="AG709" s="14"/>
      <c r="AH709" s="14"/>
      <c r="AI709" t="s">
        <v>1799</v>
      </c>
      <c r="AJ709" t="s">
        <v>1800</v>
      </c>
      <c r="AK709" t="s">
        <v>1801</v>
      </c>
      <c r="AM709" t="s">
        <v>1802</v>
      </c>
      <c r="AN709" t="s">
        <v>1803</v>
      </c>
      <c r="AO709" t="s">
        <v>125</v>
      </c>
      <c r="AP709" t="s">
        <v>152</v>
      </c>
      <c r="AQ709" s="15">
        <v>46088</v>
      </c>
      <c r="AR709" s="15">
        <v>46088</v>
      </c>
      <c r="AS709" t="s">
        <v>145</v>
      </c>
      <c r="AT709">
        <v>1</v>
      </c>
      <c r="AU709">
        <v>0</v>
      </c>
      <c r="AV709">
        <v>0</v>
      </c>
      <c r="AW709">
        <v>0</v>
      </c>
      <c r="AX709" s="14">
        <v>0</v>
      </c>
      <c r="AY709" s="14">
        <v>5000</v>
      </c>
      <c r="AZ709" s="14">
        <v>0</v>
      </c>
      <c r="BA709">
        <v>0</v>
      </c>
      <c r="BB709" t="s">
        <v>23</v>
      </c>
      <c r="BC709" t="s">
        <v>175</v>
      </c>
      <c r="BD709" t="s">
        <v>176</v>
      </c>
      <c r="BE709" t="s">
        <v>130</v>
      </c>
      <c r="BG709" t="s">
        <v>1808</v>
      </c>
      <c r="BH709" t="s">
        <v>132</v>
      </c>
      <c r="BJ709">
        <v>4</v>
      </c>
      <c r="BK709" t="s">
        <v>133</v>
      </c>
      <c r="BV709" t="s">
        <v>134</v>
      </c>
      <c r="BW709" s="16">
        <v>46181.411111111112</v>
      </c>
      <c r="BX709" t="s">
        <v>135</v>
      </c>
      <c r="BZ709">
        <v>37</v>
      </c>
      <c r="CA709" t="s">
        <v>1809</v>
      </c>
      <c r="CB709">
        <v>0</v>
      </c>
      <c r="CF709" t="s">
        <v>1087</v>
      </c>
      <c r="CG709">
        <v>2026</v>
      </c>
      <c r="CH709" t="s">
        <v>138</v>
      </c>
      <c r="CI709" t="s">
        <v>139</v>
      </c>
    </row>
    <row r="710" spans="1:87" x14ac:dyDescent="0.3">
      <c r="A710" t="s">
        <v>165</v>
      </c>
      <c r="B710" t="s">
        <v>116</v>
      </c>
      <c r="C710" t="s">
        <v>117</v>
      </c>
      <c r="D710" t="s">
        <v>118</v>
      </c>
      <c r="E710" t="s">
        <v>14</v>
      </c>
      <c r="F710" t="s">
        <v>180</v>
      </c>
      <c r="G710">
        <v>68</v>
      </c>
      <c r="H710">
        <v>0</v>
      </c>
      <c r="I710" s="14">
        <v>474700</v>
      </c>
      <c r="J710" s="14">
        <v>474700</v>
      </c>
      <c r="K710" t="s">
        <v>117</v>
      </c>
      <c r="L710" t="s">
        <v>118</v>
      </c>
      <c r="M710" t="s">
        <v>14</v>
      </c>
      <c r="N710" t="s">
        <v>427</v>
      </c>
      <c r="O710">
        <v>67</v>
      </c>
      <c r="P710">
        <v>0</v>
      </c>
      <c r="Q710" s="14">
        <v>468000</v>
      </c>
      <c r="R710" s="14">
        <v>468000</v>
      </c>
      <c r="Y710" s="14"/>
      <c r="Z710" s="14"/>
      <c r="AG710" s="14"/>
      <c r="AH710" s="14"/>
      <c r="AI710" t="s">
        <v>1799</v>
      </c>
      <c r="AJ710" t="s">
        <v>1800</v>
      </c>
      <c r="AK710" t="s">
        <v>1801</v>
      </c>
      <c r="AM710" t="s">
        <v>1802</v>
      </c>
      <c r="AN710" t="s">
        <v>1803</v>
      </c>
      <c r="AO710" t="s">
        <v>125</v>
      </c>
      <c r="AP710" t="s">
        <v>152</v>
      </c>
      <c r="AQ710" s="15">
        <v>46094</v>
      </c>
      <c r="AR710" s="15">
        <v>46094</v>
      </c>
      <c r="AS710" t="s">
        <v>145</v>
      </c>
      <c r="AT710">
        <v>2</v>
      </c>
      <c r="AU710">
        <v>0</v>
      </c>
      <c r="AV710">
        <v>0</v>
      </c>
      <c r="AW710">
        <v>0</v>
      </c>
      <c r="AX710" s="14">
        <v>32135</v>
      </c>
      <c r="AY710" s="14">
        <v>30000</v>
      </c>
      <c r="AZ710" s="14">
        <v>0</v>
      </c>
      <c r="BA710">
        <v>0</v>
      </c>
      <c r="BB710" t="s">
        <v>23</v>
      </c>
      <c r="BC710" t="s">
        <v>175</v>
      </c>
      <c r="BD710" t="s">
        <v>176</v>
      </c>
      <c r="BE710" t="s">
        <v>130</v>
      </c>
      <c r="BG710" t="s">
        <v>1810</v>
      </c>
      <c r="BH710" t="s">
        <v>132</v>
      </c>
      <c r="BJ710">
        <v>4</v>
      </c>
      <c r="BK710" t="s">
        <v>133</v>
      </c>
      <c r="BV710" t="s">
        <v>134</v>
      </c>
      <c r="BW710" s="16">
        <v>46181.411111111112</v>
      </c>
      <c r="BX710" t="s">
        <v>135</v>
      </c>
      <c r="BZ710">
        <v>37</v>
      </c>
      <c r="CA710" t="s">
        <v>1811</v>
      </c>
      <c r="CB710">
        <v>0</v>
      </c>
      <c r="CF710" t="s">
        <v>1087</v>
      </c>
      <c r="CG710">
        <v>2026</v>
      </c>
      <c r="CH710" t="s">
        <v>138</v>
      </c>
      <c r="CI710" t="s">
        <v>139</v>
      </c>
    </row>
    <row r="711" spans="1:87" x14ac:dyDescent="0.3">
      <c r="A711" t="s">
        <v>165</v>
      </c>
      <c r="B711" t="s">
        <v>116</v>
      </c>
      <c r="C711" t="s">
        <v>117</v>
      </c>
      <c r="D711" t="s">
        <v>118</v>
      </c>
      <c r="E711" t="s">
        <v>14</v>
      </c>
      <c r="F711" t="s">
        <v>180</v>
      </c>
      <c r="G711">
        <v>68</v>
      </c>
      <c r="H711">
        <v>0</v>
      </c>
      <c r="I711" s="14">
        <v>474700</v>
      </c>
      <c r="J711" s="14">
        <v>474700</v>
      </c>
      <c r="K711" t="s">
        <v>117</v>
      </c>
      <c r="L711" t="s">
        <v>118</v>
      </c>
      <c r="M711" t="s">
        <v>14</v>
      </c>
      <c r="N711" t="s">
        <v>427</v>
      </c>
      <c r="O711">
        <v>67</v>
      </c>
      <c r="P711">
        <v>0</v>
      </c>
      <c r="Q711" s="14">
        <v>468000</v>
      </c>
      <c r="R711" s="14">
        <v>468000</v>
      </c>
      <c r="Y711" s="14"/>
      <c r="Z711" s="14"/>
      <c r="AG711" s="14"/>
      <c r="AH711" s="14"/>
      <c r="AI711" t="s">
        <v>1799</v>
      </c>
      <c r="AJ711" t="s">
        <v>1800</v>
      </c>
      <c r="AK711" t="s">
        <v>1801</v>
      </c>
      <c r="AM711" t="s">
        <v>1802</v>
      </c>
      <c r="AN711" t="s">
        <v>1803</v>
      </c>
      <c r="AO711" t="s">
        <v>125</v>
      </c>
      <c r="AP711" t="s">
        <v>152</v>
      </c>
      <c r="AQ711" s="15">
        <v>46094</v>
      </c>
      <c r="AR711" s="15">
        <v>46094</v>
      </c>
      <c r="AS711" t="s">
        <v>145</v>
      </c>
      <c r="AT711">
        <v>2</v>
      </c>
      <c r="AU711">
        <v>32135</v>
      </c>
      <c r="AV711">
        <v>0</v>
      </c>
      <c r="AW711">
        <v>0</v>
      </c>
      <c r="AX711" s="14">
        <v>0</v>
      </c>
      <c r="AY711" s="14">
        <v>2135</v>
      </c>
      <c r="AZ711" s="14">
        <v>0</v>
      </c>
      <c r="BA711">
        <v>0</v>
      </c>
      <c r="BB711" t="s">
        <v>23</v>
      </c>
      <c r="BC711" t="s">
        <v>175</v>
      </c>
      <c r="BD711" t="s">
        <v>176</v>
      </c>
      <c r="BE711" t="s">
        <v>130</v>
      </c>
      <c r="BG711" t="s">
        <v>1812</v>
      </c>
      <c r="BH711" t="s">
        <v>132</v>
      </c>
      <c r="BJ711">
        <v>4</v>
      </c>
      <c r="BK711" t="s">
        <v>133</v>
      </c>
      <c r="BV711" t="s">
        <v>134</v>
      </c>
      <c r="BW711" s="16">
        <v>46181.411111111112</v>
      </c>
      <c r="BX711" t="s">
        <v>135</v>
      </c>
      <c r="BZ711">
        <v>37</v>
      </c>
      <c r="CA711" t="s">
        <v>1811</v>
      </c>
      <c r="CB711">
        <v>0</v>
      </c>
      <c r="CF711" t="s">
        <v>1087</v>
      </c>
      <c r="CG711">
        <v>2026</v>
      </c>
      <c r="CH711" t="s">
        <v>138</v>
      </c>
      <c r="CI711" t="s">
        <v>139</v>
      </c>
    </row>
    <row r="712" spans="1:87" x14ac:dyDescent="0.3">
      <c r="A712" t="s">
        <v>165</v>
      </c>
      <c r="B712" t="s">
        <v>116</v>
      </c>
      <c r="C712" t="s">
        <v>117</v>
      </c>
      <c r="D712" t="s">
        <v>118</v>
      </c>
      <c r="E712" t="s">
        <v>14</v>
      </c>
      <c r="F712" t="s">
        <v>180</v>
      </c>
      <c r="G712">
        <v>68</v>
      </c>
      <c r="H712">
        <v>0</v>
      </c>
      <c r="I712" s="14">
        <v>474700</v>
      </c>
      <c r="J712" s="14">
        <v>474700</v>
      </c>
      <c r="K712" t="s">
        <v>117</v>
      </c>
      <c r="L712" t="s">
        <v>118</v>
      </c>
      <c r="M712" t="s">
        <v>14</v>
      </c>
      <c r="N712" t="s">
        <v>427</v>
      </c>
      <c r="O712">
        <v>67</v>
      </c>
      <c r="P712">
        <v>0</v>
      </c>
      <c r="Q712" s="14">
        <v>468000</v>
      </c>
      <c r="R712" s="14">
        <v>468000</v>
      </c>
      <c r="Y712" s="14"/>
      <c r="Z712" s="14"/>
      <c r="AG712" s="14"/>
      <c r="AH712" s="14"/>
      <c r="AI712" t="s">
        <v>1799</v>
      </c>
      <c r="AJ712" t="s">
        <v>1800</v>
      </c>
      <c r="AK712" t="s">
        <v>1801</v>
      </c>
      <c r="AM712" t="s">
        <v>1802</v>
      </c>
      <c r="AN712" t="s">
        <v>1803</v>
      </c>
      <c r="AO712" t="s">
        <v>125</v>
      </c>
      <c r="AP712" t="s">
        <v>152</v>
      </c>
      <c r="AQ712" s="15">
        <v>46142</v>
      </c>
      <c r="AR712" s="15">
        <v>46142</v>
      </c>
      <c r="AS712" t="s">
        <v>145</v>
      </c>
      <c r="AT712">
        <v>3</v>
      </c>
      <c r="AU712">
        <v>47135</v>
      </c>
      <c r="AV712">
        <v>0</v>
      </c>
      <c r="AW712">
        <v>0</v>
      </c>
      <c r="AX712" s="14">
        <v>47135</v>
      </c>
      <c r="AY712" s="14">
        <v>7135</v>
      </c>
      <c r="AZ712" s="14">
        <v>0</v>
      </c>
      <c r="BA712">
        <v>0</v>
      </c>
      <c r="BB712" t="s">
        <v>23</v>
      </c>
      <c r="BC712" t="s">
        <v>175</v>
      </c>
      <c r="BD712" t="s">
        <v>176</v>
      </c>
      <c r="BE712" t="s">
        <v>130</v>
      </c>
      <c r="BG712" t="s">
        <v>1813</v>
      </c>
      <c r="BH712" t="s">
        <v>132</v>
      </c>
      <c r="BJ712">
        <v>4</v>
      </c>
      <c r="BK712" t="s">
        <v>133</v>
      </c>
      <c r="BV712" t="s">
        <v>134</v>
      </c>
      <c r="BW712" s="16">
        <v>46181.411111111112</v>
      </c>
      <c r="BX712" t="s">
        <v>135</v>
      </c>
      <c r="BZ712">
        <v>37</v>
      </c>
      <c r="CA712" t="s">
        <v>1814</v>
      </c>
      <c r="CB712">
        <v>0</v>
      </c>
      <c r="CF712" t="s">
        <v>1087</v>
      </c>
      <c r="CG712">
        <v>2026</v>
      </c>
      <c r="CH712" t="s">
        <v>138</v>
      </c>
      <c r="CI712" t="s">
        <v>139</v>
      </c>
    </row>
    <row r="713" spans="1:87" x14ac:dyDescent="0.3">
      <c r="A713" t="s">
        <v>165</v>
      </c>
      <c r="B713" t="s">
        <v>116</v>
      </c>
      <c r="C713" t="s">
        <v>117</v>
      </c>
      <c r="D713" t="s">
        <v>118</v>
      </c>
      <c r="E713" t="s">
        <v>14</v>
      </c>
      <c r="F713" t="s">
        <v>180</v>
      </c>
      <c r="G713">
        <v>68</v>
      </c>
      <c r="H713">
        <v>0</v>
      </c>
      <c r="I713" s="14">
        <v>474700</v>
      </c>
      <c r="J713" s="14">
        <v>474700</v>
      </c>
      <c r="K713" t="s">
        <v>117</v>
      </c>
      <c r="L713" t="s">
        <v>118</v>
      </c>
      <c r="M713" t="s">
        <v>14</v>
      </c>
      <c r="N713" t="s">
        <v>427</v>
      </c>
      <c r="O713">
        <v>67</v>
      </c>
      <c r="P713">
        <v>0</v>
      </c>
      <c r="Q713" s="14">
        <v>468000</v>
      </c>
      <c r="R713" s="14">
        <v>468000</v>
      </c>
      <c r="Y713" s="14"/>
      <c r="Z713" s="14"/>
      <c r="AG713" s="14"/>
      <c r="AH713" s="14"/>
      <c r="AI713" t="s">
        <v>1799</v>
      </c>
      <c r="AJ713" t="s">
        <v>1800</v>
      </c>
      <c r="AK713" t="s">
        <v>1801</v>
      </c>
      <c r="AM713" t="s">
        <v>1802</v>
      </c>
      <c r="AN713" t="s">
        <v>1803</v>
      </c>
      <c r="AO713" t="s">
        <v>125</v>
      </c>
      <c r="AP713" t="s">
        <v>152</v>
      </c>
      <c r="AQ713" s="15">
        <v>46142</v>
      </c>
      <c r="AR713" s="15">
        <v>46142</v>
      </c>
      <c r="AS713" t="s">
        <v>145</v>
      </c>
      <c r="AT713">
        <v>3</v>
      </c>
      <c r="AU713">
        <v>0</v>
      </c>
      <c r="AV713">
        <v>0</v>
      </c>
      <c r="AW713">
        <v>0</v>
      </c>
      <c r="AX713" s="14">
        <v>0</v>
      </c>
      <c r="AY713" s="14">
        <v>10000</v>
      </c>
      <c r="AZ713" s="14">
        <v>0</v>
      </c>
      <c r="BA713">
        <v>0</v>
      </c>
      <c r="BB713" t="s">
        <v>23</v>
      </c>
      <c r="BC713" t="s">
        <v>175</v>
      </c>
      <c r="BD713" t="s">
        <v>176</v>
      </c>
      <c r="BE713" t="s">
        <v>130</v>
      </c>
      <c r="BG713" t="s">
        <v>1815</v>
      </c>
      <c r="BH713" t="s">
        <v>132</v>
      </c>
      <c r="BJ713">
        <v>4</v>
      </c>
      <c r="BK713" t="s">
        <v>133</v>
      </c>
      <c r="BV713" t="s">
        <v>134</v>
      </c>
      <c r="BW713" s="16">
        <v>46181.411111111112</v>
      </c>
      <c r="BX713" t="s">
        <v>135</v>
      </c>
      <c r="BZ713">
        <v>37</v>
      </c>
      <c r="CA713" t="s">
        <v>1816</v>
      </c>
      <c r="CB713">
        <v>0</v>
      </c>
      <c r="CF713" t="s">
        <v>1087</v>
      </c>
      <c r="CG713">
        <v>2026</v>
      </c>
      <c r="CH713" t="s">
        <v>138</v>
      </c>
      <c r="CI713" t="s">
        <v>139</v>
      </c>
    </row>
    <row r="714" spans="1:87" x14ac:dyDescent="0.3">
      <c r="A714" t="s">
        <v>165</v>
      </c>
      <c r="B714" t="s">
        <v>116</v>
      </c>
      <c r="C714" t="s">
        <v>117</v>
      </c>
      <c r="D714" t="s">
        <v>118</v>
      </c>
      <c r="E714" t="s">
        <v>14</v>
      </c>
      <c r="F714" t="s">
        <v>180</v>
      </c>
      <c r="G714">
        <v>68</v>
      </c>
      <c r="H714">
        <v>0</v>
      </c>
      <c r="I714" s="14">
        <v>474700</v>
      </c>
      <c r="J714" s="14">
        <v>474700</v>
      </c>
      <c r="K714" t="s">
        <v>117</v>
      </c>
      <c r="L714" t="s">
        <v>118</v>
      </c>
      <c r="M714" t="s">
        <v>14</v>
      </c>
      <c r="N714" t="s">
        <v>427</v>
      </c>
      <c r="O714">
        <v>67</v>
      </c>
      <c r="P714">
        <v>0</v>
      </c>
      <c r="Q714" s="14">
        <v>468000</v>
      </c>
      <c r="R714" s="14">
        <v>468000</v>
      </c>
      <c r="Y714" s="14"/>
      <c r="Z714" s="14"/>
      <c r="AG714" s="14"/>
      <c r="AH714" s="14"/>
      <c r="AI714" t="s">
        <v>1799</v>
      </c>
      <c r="AJ714" t="s">
        <v>1800</v>
      </c>
      <c r="AK714" t="s">
        <v>1801</v>
      </c>
      <c r="AM714" t="s">
        <v>1802</v>
      </c>
      <c r="AN714" t="s">
        <v>1803</v>
      </c>
      <c r="AO714" t="s">
        <v>125</v>
      </c>
      <c r="AP714" t="s">
        <v>152</v>
      </c>
      <c r="AQ714" s="15">
        <v>46142</v>
      </c>
      <c r="AR714" s="15">
        <v>46142</v>
      </c>
      <c r="AS714" t="s">
        <v>145</v>
      </c>
      <c r="AT714">
        <v>3</v>
      </c>
      <c r="AU714">
        <v>0</v>
      </c>
      <c r="AV714">
        <v>0</v>
      </c>
      <c r="AW714">
        <v>0</v>
      </c>
      <c r="AX714" s="14">
        <v>0</v>
      </c>
      <c r="AY714" s="14">
        <v>20000</v>
      </c>
      <c r="AZ714" s="14">
        <v>0</v>
      </c>
      <c r="BA714">
        <v>0</v>
      </c>
      <c r="BB714" t="s">
        <v>23</v>
      </c>
      <c r="BC714" t="s">
        <v>175</v>
      </c>
      <c r="BD714" t="s">
        <v>176</v>
      </c>
      <c r="BE714" t="s">
        <v>130</v>
      </c>
      <c r="BG714" t="s">
        <v>1817</v>
      </c>
      <c r="BH714" t="s">
        <v>132</v>
      </c>
      <c r="BJ714">
        <v>4</v>
      </c>
      <c r="BK714" t="s">
        <v>133</v>
      </c>
      <c r="BV714" t="s">
        <v>134</v>
      </c>
      <c r="BW714" s="16">
        <v>46181.411111111112</v>
      </c>
      <c r="BX714" t="s">
        <v>135</v>
      </c>
      <c r="BZ714">
        <v>37</v>
      </c>
      <c r="CA714" t="s">
        <v>1818</v>
      </c>
      <c r="CB714">
        <v>0</v>
      </c>
      <c r="CF714" t="s">
        <v>1087</v>
      </c>
      <c r="CG714">
        <v>2026</v>
      </c>
      <c r="CH714" t="s">
        <v>138</v>
      </c>
      <c r="CI714" t="s">
        <v>139</v>
      </c>
    </row>
    <row r="715" spans="1:87" x14ac:dyDescent="0.3">
      <c r="A715" t="s">
        <v>165</v>
      </c>
      <c r="B715" t="s">
        <v>116</v>
      </c>
      <c r="C715" t="s">
        <v>117</v>
      </c>
      <c r="D715" t="s">
        <v>118</v>
      </c>
      <c r="E715" t="s">
        <v>14</v>
      </c>
      <c r="F715" t="s">
        <v>180</v>
      </c>
      <c r="G715">
        <v>68</v>
      </c>
      <c r="H715">
        <v>0</v>
      </c>
      <c r="I715" s="14">
        <v>474700</v>
      </c>
      <c r="J715" s="14">
        <v>474700</v>
      </c>
      <c r="K715" t="s">
        <v>117</v>
      </c>
      <c r="L715" t="s">
        <v>118</v>
      </c>
      <c r="M715" t="s">
        <v>14</v>
      </c>
      <c r="N715" t="s">
        <v>427</v>
      </c>
      <c r="O715">
        <v>67</v>
      </c>
      <c r="P715">
        <v>0</v>
      </c>
      <c r="Q715" s="14">
        <v>468000</v>
      </c>
      <c r="R715" s="14">
        <v>468000</v>
      </c>
      <c r="Y715" s="14"/>
      <c r="Z715" s="14"/>
      <c r="AG715" s="14"/>
      <c r="AH715" s="14"/>
      <c r="AI715" t="s">
        <v>1799</v>
      </c>
      <c r="AJ715" t="s">
        <v>1800</v>
      </c>
      <c r="AK715" t="s">
        <v>1801</v>
      </c>
      <c r="AM715" t="s">
        <v>1802</v>
      </c>
      <c r="AN715" t="s">
        <v>1803</v>
      </c>
      <c r="AO715" t="s">
        <v>125</v>
      </c>
      <c r="AP715" t="s">
        <v>152</v>
      </c>
      <c r="AQ715" s="15">
        <v>46142</v>
      </c>
      <c r="AR715" s="15">
        <v>46142</v>
      </c>
      <c r="AS715" t="s">
        <v>145</v>
      </c>
      <c r="AT715">
        <v>3</v>
      </c>
      <c r="AU715">
        <v>0</v>
      </c>
      <c r="AV715">
        <v>0</v>
      </c>
      <c r="AW715">
        <v>0</v>
      </c>
      <c r="AX715" s="14">
        <v>0</v>
      </c>
      <c r="AY715" s="14">
        <v>10000</v>
      </c>
      <c r="AZ715" s="14">
        <v>0</v>
      </c>
      <c r="BA715">
        <v>0</v>
      </c>
      <c r="BB715" t="s">
        <v>23</v>
      </c>
      <c r="BC715" t="s">
        <v>175</v>
      </c>
      <c r="BD715" t="s">
        <v>176</v>
      </c>
      <c r="BE715" t="s">
        <v>130</v>
      </c>
      <c r="BG715" t="s">
        <v>1819</v>
      </c>
      <c r="BH715" t="s">
        <v>132</v>
      </c>
      <c r="BJ715">
        <v>4</v>
      </c>
      <c r="BK715" t="s">
        <v>133</v>
      </c>
      <c r="BV715" t="s">
        <v>134</v>
      </c>
      <c r="BW715" s="16">
        <v>46181.411111111112</v>
      </c>
      <c r="BX715" t="s">
        <v>135</v>
      </c>
      <c r="BZ715">
        <v>37</v>
      </c>
      <c r="CA715" t="s">
        <v>1820</v>
      </c>
      <c r="CB715">
        <v>0</v>
      </c>
      <c r="CF715" t="s">
        <v>1087</v>
      </c>
      <c r="CG715">
        <v>2026</v>
      </c>
      <c r="CH715" t="s">
        <v>138</v>
      </c>
      <c r="CI715" t="s">
        <v>139</v>
      </c>
    </row>
    <row r="716" spans="1:87" x14ac:dyDescent="0.3">
      <c r="A716" t="s">
        <v>165</v>
      </c>
      <c r="B716" t="s">
        <v>116</v>
      </c>
      <c r="C716" t="s">
        <v>117</v>
      </c>
      <c r="D716" t="s">
        <v>118</v>
      </c>
      <c r="E716" t="s">
        <v>14</v>
      </c>
      <c r="F716" t="s">
        <v>180</v>
      </c>
      <c r="G716">
        <v>68</v>
      </c>
      <c r="H716">
        <v>0</v>
      </c>
      <c r="I716" s="14">
        <v>474700</v>
      </c>
      <c r="J716" s="14">
        <v>474700</v>
      </c>
      <c r="K716" t="s">
        <v>117</v>
      </c>
      <c r="L716" t="s">
        <v>118</v>
      </c>
      <c r="M716" t="s">
        <v>14</v>
      </c>
      <c r="N716" t="s">
        <v>427</v>
      </c>
      <c r="O716">
        <v>67</v>
      </c>
      <c r="P716">
        <v>0</v>
      </c>
      <c r="Q716" s="14">
        <v>468000</v>
      </c>
      <c r="R716" s="14">
        <v>468000</v>
      </c>
      <c r="Y716" s="14"/>
      <c r="Z716" s="14"/>
      <c r="AG716" s="14"/>
      <c r="AH716" s="14"/>
      <c r="AI716" t="s">
        <v>1799</v>
      </c>
      <c r="AJ716" t="s">
        <v>1800</v>
      </c>
      <c r="AK716" t="s">
        <v>1801</v>
      </c>
      <c r="AM716" t="s">
        <v>1802</v>
      </c>
      <c r="AN716" t="s">
        <v>1803</v>
      </c>
      <c r="AO716" t="s">
        <v>125</v>
      </c>
      <c r="AP716" t="s">
        <v>152</v>
      </c>
      <c r="AQ716" s="15">
        <v>46172</v>
      </c>
      <c r="AR716" s="15"/>
      <c r="AS716" t="s">
        <v>227</v>
      </c>
      <c r="AT716">
        <v>1</v>
      </c>
      <c r="AU716">
        <v>848430</v>
      </c>
      <c r="AV716">
        <v>0</v>
      </c>
      <c r="AW716">
        <v>0</v>
      </c>
      <c r="AX716" s="14">
        <v>848430</v>
      </c>
      <c r="AY716" s="14">
        <v>0</v>
      </c>
      <c r="AZ716" s="14">
        <v>848430</v>
      </c>
      <c r="BB716" t="s">
        <v>23</v>
      </c>
      <c r="BH716" t="s">
        <v>132</v>
      </c>
      <c r="BK716" t="s">
        <v>550</v>
      </c>
      <c r="BV716" t="s">
        <v>132</v>
      </c>
      <c r="BW716" s="16">
        <v>46181.411111111112</v>
      </c>
      <c r="BX716" t="s">
        <v>135</v>
      </c>
      <c r="BZ716">
        <v>37</v>
      </c>
      <c r="CB716">
        <v>0</v>
      </c>
      <c r="CF716" t="s">
        <v>1087</v>
      </c>
      <c r="CG716">
        <v>2026</v>
      </c>
      <c r="CH716" t="s">
        <v>138</v>
      </c>
      <c r="CI716" t="s">
        <v>139</v>
      </c>
    </row>
    <row r="717" spans="1:87" x14ac:dyDescent="0.3">
      <c r="A717" t="s">
        <v>165</v>
      </c>
      <c r="B717" t="s">
        <v>116</v>
      </c>
      <c r="C717" t="s">
        <v>117</v>
      </c>
      <c r="D717" t="s">
        <v>118</v>
      </c>
      <c r="E717" t="s">
        <v>14</v>
      </c>
      <c r="F717" t="s">
        <v>383</v>
      </c>
      <c r="G717">
        <v>67</v>
      </c>
      <c r="H717">
        <v>0</v>
      </c>
      <c r="I717" s="14">
        <v>498000</v>
      </c>
      <c r="J717" s="14">
        <v>464400</v>
      </c>
      <c r="K717" t="s">
        <v>117</v>
      </c>
      <c r="L717" t="s">
        <v>118</v>
      </c>
      <c r="M717" t="s">
        <v>140</v>
      </c>
      <c r="N717" t="s">
        <v>1033</v>
      </c>
      <c r="O717">
        <v>12</v>
      </c>
      <c r="P717">
        <v>0</v>
      </c>
      <c r="Q717" s="14">
        <v>45600</v>
      </c>
      <c r="R717" s="14">
        <v>45600</v>
      </c>
      <c r="Y717" s="14"/>
      <c r="Z717" s="14"/>
      <c r="AG717" s="14"/>
      <c r="AH717" s="14"/>
      <c r="AI717" t="s">
        <v>1034</v>
      </c>
      <c r="AJ717" t="s">
        <v>1035</v>
      </c>
      <c r="AK717" t="s">
        <v>1036</v>
      </c>
      <c r="AL717">
        <v>0</v>
      </c>
      <c r="AM717" t="s">
        <v>1037</v>
      </c>
      <c r="AN717" t="s">
        <v>1038</v>
      </c>
      <c r="AO717" t="s">
        <v>125</v>
      </c>
      <c r="AP717" t="s">
        <v>1039</v>
      </c>
      <c r="AQ717" s="15">
        <v>46071</v>
      </c>
      <c r="AR717" s="15">
        <v>46070</v>
      </c>
      <c r="AS717" t="s">
        <v>145</v>
      </c>
      <c r="AT717">
        <v>1</v>
      </c>
      <c r="AU717">
        <v>0</v>
      </c>
      <c r="AV717">
        <v>0</v>
      </c>
      <c r="AW717">
        <v>0</v>
      </c>
      <c r="AX717" s="14">
        <v>49500</v>
      </c>
      <c r="AY717" s="14">
        <v>25000</v>
      </c>
      <c r="AZ717" s="14">
        <v>0</v>
      </c>
      <c r="BA717">
        <v>0</v>
      </c>
      <c r="BB717" t="s">
        <v>24</v>
      </c>
      <c r="BC717" t="s">
        <v>175</v>
      </c>
      <c r="BD717" t="s">
        <v>176</v>
      </c>
      <c r="BE717" t="s">
        <v>130</v>
      </c>
      <c r="BG717" t="s">
        <v>1821</v>
      </c>
      <c r="BH717" t="s">
        <v>132</v>
      </c>
      <c r="BJ717">
        <v>4</v>
      </c>
      <c r="BK717" t="s">
        <v>133</v>
      </c>
      <c r="BV717" t="s">
        <v>134</v>
      </c>
      <c r="BW717" s="16">
        <v>46071.402083333327</v>
      </c>
      <c r="BX717" t="s">
        <v>178</v>
      </c>
      <c r="BZ717">
        <v>32</v>
      </c>
      <c r="CA717" t="s">
        <v>1822</v>
      </c>
      <c r="CB717">
        <v>0</v>
      </c>
      <c r="CF717" t="s">
        <v>1087</v>
      </c>
      <c r="CG717">
        <v>2026</v>
      </c>
      <c r="CH717" t="s">
        <v>138</v>
      </c>
      <c r="CI717" t="s">
        <v>139</v>
      </c>
    </row>
    <row r="718" spans="1:87" x14ac:dyDescent="0.3">
      <c r="A718" t="s">
        <v>165</v>
      </c>
      <c r="B718" t="s">
        <v>116</v>
      </c>
      <c r="C718" t="s">
        <v>117</v>
      </c>
      <c r="D718" t="s">
        <v>118</v>
      </c>
      <c r="E718" t="s">
        <v>14</v>
      </c>
      <c r="F718" t="s">
        <v>383</v>
      </c>
      <c r="G718">
        <v>67</v>
      </c>
      <c r="H718">
        <v>0</v>
      </c>
      <c r="I718" s="14">
        <v>498000</v>
      </c>
      <c r="J718" s="14">
        <v>464400</v>
      </c>
      <c r="K718" t="s">
        <v>117</v>
      </c>
      <c r="L718" t="s">
        <v>118</v>
      </c>
      <c r="M718" t="s">
        <v>140</v>
      </c>
      <c r="N718" t="s">
        <v>1033</v>
      </c>
      <c r="O718">
        <v>12</v>
      </c>
      <c r="P718">
        <v>0</v>
      </c>
      <c r="Q718" s="14">
        <v>45600</v>
      </c>
      <c r="R718" s="14">
        <v>45600</v>
      </c>
      <c r="Y718" s="14"/>
      <c r="Z718" s="14"/>
      <c r="AG718" s="14"/>
      <c r="AH718" s="14"/>
      <c r="AI718" t="s">
        <v>1034</v>
      </c>
      <c r="AJ718" t="s">
        <v>1035</v>
      </c>
      <c r="AK718" t="s">
        <v>1036</v>
      </c>
      <c r="AL718">
        <v>0</v>
      </c>
      <c r="AM718" t="s">
        <v>1037</v>
      </c>
      <c r="AN718" t="s">
        <v>1038</v>
      </c>
      <c r="AO718" t="s">
        <v>125</v>
      </c>
      <c r="AP718" t="s">
        <v>1039</v>
      </c>
      <c r="AQ718" s="15">
        <v>46071</v>
      </c>
      <c r="AR718" s="15">
        <v>46071</v>
      </c>
      <c r="AS718" t="s">
        <v>145</v>
      </c>
      <c r="AT718">
        <v>1</v>
      </c>
      <c r="AU718">
        <v>49500</v>
      </c>
      <c r="AV718">
        <v>0</v>
      </c>
      <c r="AW718">
        <v>0</v>
      </c>
      <c r="AX718" s="14">
        <v>0</v>
      </c>
      <c r="AY718" s="14">
        <v>24500</v>
      </c>
      <c r="AZ718" s="14">
        <v>0</v>
      </c>
      <c r="BA718">
        <v>0</v>
      </c>
      <c r="BB718" t="s">
        <v>24</v>
      </c>
      <c r="BC718" t="s">
        <v>175</v>
      </c>
      <c r="BD718" t="s">
        <v>176</v>
      </c>
      <c r="BE718" t="s">
        <v>130</v>
      </c>
      <c r="BG718" t="s">
        <v>1823</v>
      </c>
      <c r="BH718" t="s">
        <v>132</v>
      </c>
      <c r="BJ718">
        <v>4</v>
      </c>
      <c r="BK718" t="s">
        <v>133</v>
      </c>
      <c r="BV718" t="s">
        <v>134</v>
      </c>
      <c r="BW718" s="16">
        <v>46071.402083333327</v>
      </c>
      <c r="BX718" t="s">
        <v>178</v>
      </c>
      <c r="BZ718">
        <v>32</v>
      </c>
      <c r="CA718" t="s">
        <v>1824</v>
      </c>
      <c r="CB718">
        <v>0</v>
      </c>
      <c r="CF718" t="s">
        <v>1087</v>
      </c>
      <c r="CG718">
        <v>2026</v>
      </c>
      <c r="CH718" t="s">
        <v>138</v>
      </c>
      <c r="CI718" t="s">
        <v>139</v>
      </c>
    </row>
    <row r="719" spans="1:87" x14ac:dyDescent="0.3">
      <c r="A719" t="s">
        <v>165</v>
      </c>
      <c r="B719" t="s">
        <v>116</v>
      </c>
      <c r="C719" t="s">
        <v>117</v>
      </c>
      <c r="D719" t="s">
        <v>118</v>
      </c>
      <c r="E719" t="s">
        <v>14</v>
      </c>
      <c r="F719" t="s">
        <v>383</v>
      </c>
      <c r="G719">
        <v>67</v>
      </c>
      <c r="H719">
        <v>0</v>
      </c>
      <c r="I719" s="14">
        <v>498000</v>
      </c>
      <c r="J719" s="14">
        <v>464400</v>
      </c>
      <c r="K719" t="s">
        <v>117</v>
      </c>
      <c r="L719" t="s">
        <v>118</v>
      </c>
      <c r="M719" t="s">
        <v>140</v>
      </c>
      <c r="N719" t="s">
        <v>1033</v>
      </c>
      <c r="O719">
        <v>12</v>
      </c>
      <c r="P719">
        <v>0</v>
      </c>
      <c r="Q719" s="14">
        <v>45600</v>
      </c>
      <c r="R719" s="14">
        <v>45600</v>
      </c>
      <c r="Y719" s="14"/>
      <c r="Z719" s="14"/>
      <c r="AG719" s="14"/>
      <c r="AH719" s="14"/>
      <c r="AI719" t="s">
        <v>1034</v>
      </c>
      <c r="AJ719" t="s">
        <v>1035</v>
      </c>
      <c r="AK719" t="s">
        <v>1036</v>
      </c>
      <c r="AL719">
        <v>0</v>
      </c>
      <c r="AM719" t="s">
        <v>1037</v>
      </c>
      <c r="AN719" t="s">
        <v>1038</v>
      </c>
      <c r="AO719" t="s">
        <v>125</v>
      </c>
      <c r="AP719" t="s">
        <v>1039</v>
      </c>
      <c r="AQ719" s="15">
        <v>46260</v>
      </c>
      <c r="AR719" s="15">
        <v>46260</v>
      </c>
      <c r="AS719" t="s">
        <v>145</v>
      </c>
      <c r="AT719">
        <v>2</v>
      </c>
      <c r="AU719">
        <v>30000</v>
      </c>
      <c r="AV719">
        <v>0</v>
      </c>
      <c r="AW719">
        <v>0</v>
      </c>
      <c r="AX719" s="14">
        <v>30000</v>
      </c>
      <c r="AY719" s="14">
        <v>30000</v>
      </c>
      <c r="AZ719" s="14">
        <v>0</v>
      </c>
      <c r="BA719">
        <v>0</v>
      </c>
      <c r="BB719" t="s">
        <v>24</v>
      </c>
      <c r="BC719" t="s">
        <v>175</v>
      </c>
      <c r="BD719" t="s">
        <v>176</v>
      </c>
      <c r="BE719" t="s">
        <v>130</v>
      </c>
      <c r="BG719" t="s">
        <v>1825</v>
      </c>
      <c r="BH719" t="s">
        <v>132</v>
      </c>
      <c r="BJ719">
        <v>4</v>
      </c>
      <c r="BK719" t="s">
        <v>133</v>
      </c>
      <c r="BV719" t="s">
        <v>134</v>
      </c>
      <c r="BW719" s="16">
        <v>46071.402083333327</v>
      </c>
      <c r="BX719" t="s">
        <v>178</v>
      </c>
      <c r="BZ719">
        <v>32</v>
      </c>
      <c r="CA719" t="s">
        <v>1826</v>
      </c>
      <c r="CB719">
        <v>0</v>
      </c>
      <c r="CF719" t="s">
        <v>1087</v>
      </c>
      <c r="CG719">
        <v>2026</v>
      </c>
      <c r="CH719" t="s">
        <v>138</v>
      </c>
      <c r="CI719" t="s">
        <v>139</v>
      </c>
    </row>
    <row r="720" spans="1:87" x14ac:dyDescent="0.3">
      <c r="A720" t="s">
        <v>165</v>
      </c>
      <c r="B720" t="s">
        <v>116</v>
      </c>
      <c r="C720" t="s">
        <v>117</v>
      </c>
      <c r="D720" t="s">
        <v>118</v>
      </c>
      <c r="E720" t="s">
        <v>14</v>
      </c>
      <c r="F720" t="s">
        <v>383</v>
      </c>
      <c r="G720">
        <v>67</v>
      </c>
      <c r="H720">
        <v>0</v>
      </c>
      <c r="I720" s="14">
        <v>498000</v>
      </c>
      <c r="J720" s="14">
        <v>464400</v>
      </c>
      <c r="K720" t="s">
        <v>117</v>
      </c>
      <c r="L720" t="s">
        <v>118</v>
      </c>
      <c r="M720" t="s">
        <v>140</v>
      </c>
      <c r="N720" t="s">
        <v>1033</v>
      </c>
      <c r="O720">
        <v>12</v>
      </c>
      <c r="P720">
        <v>0</v>
      </c>
      <c r="Q720" s="14">
        <v>45600</v>
      </c>
      <c r="R720" s="14">
        <v>45600</v>
      </c>
      <c r="Y720" s="14"/>
      <c r="Z720" s="14"/>
      <c r="AG720" s="14"/>
      <c r="AH720" s="14"/>
      <c r="AI720" t="s">
        <v>1034</v>
      </c>
      <c r="AJ720" t="s">
        <v>1035</v>
      </c>
      <c r="AK720" t="s">
        <v>1036</v>
      </c>
      <c r="AL720">
        <v>0</v>
      </c>
      <c r="AM720" t="s">
        <v>1037</v>
      </c>
      <c r="AN720" t="s">
        <v>1038</v>
      </c>
      <c r="AO720" t="s">
        <v>125</v>
      </c>
      <c r="AP720" t="s">
        <v>1039</v>
      </c>
      <c r="AQ720" s="15">
        <v>46262</v>
      </c>
      <c r="AR720" s="15">
        <v>46262</v>
      </c>
      <c r="AS720" t="s">
        <v>145</v>
      </c>
      <c r="AT720">
        <v>3</v>
      </c>
      <c r="AU720">
        <v>19500</v>
      </c>
      <c r="AV720">
        <v>0</v>
      </c>
      <c r="AW720">
        <v>0</v>
      </c>
      <c r="AX720" s="14">
        <v>19500</v>
      </c>
      <c r="AY720" s="14">
        <v>19500</v>
      </c>
      <c r="AZ720" s="14">
        <v>0</v>
      </c>
      <c r="BA720">
        <v>0</v>
      </c>
      <c r="BB720" t="s">
        <v>24</v>
      </c>
      <c r="BC720" t="s">
        <v>175</v>
      </c>
      <c r="BD720" t="s">
        <v>176</v>
      </c>
      <c r="BE720" t="s">
        <v>130</v>
      </c>
      <c r="BG720" t="s">
        <v>1827</v>
      </c>
      <c r="BH720" t="s">
        <v>132</v>
      </c>
      <c r="BJ720">
        <v>4</v>
      </c>
      <c r="BK720" t="s">
        <v>133</v>
      </c>
      <c r="BV720" t="s">
        <v>134</v>
      </c>
      <c r="BW720" s="16">
        <v>46071.402083333327</v>
      </c>
      <c r="BX720" t="s">
        <v>178</v>
      </c>
      <c r="BZ720">
        <v>32</v>
      </c>
      <c r="CA720" t="s">
        <v>1828</v>
      </c>
      <c r="CB720">
        <v>0</v>
      </c>
      <c r="CF720" t="s">
        <v>1087</v>
      </c>
      <c r="CG720">
        <v>2026</v>
      </c>
      <c r="CH720" t="s">
        <v>138</v>
      </c>
      <c r="CI720" t="s">
        <v>139</v>
      </c>
    </row>
    <row r="721" spans="1:87" x14ac:dyDescent="0.3">
      <c r="A721" t="s">
        <v>165</v>
      </c>
      <c r="B721" t="s">
        <v>116</v>
      </c>
      <c r="C721" t="s">
        <v>117</v>
      </c>
      <c r="D721" t="s">
        <v>118</v>
      </c>
      <c r="E721" t="s">
        <v>14</v>
      </c>
      <c r="F721" t="s">
        <v>383</v>
      </c>
      <c r="G721">
        <v>67</v>
      </c>
      <c r="H721">
        <v>0</v>
      </c>
      <c r="I721" s="14">
        <v>498000</v>
      </c>
      <c r="J721" s="14">
        <v>464400</v>
      </c>
      <c r="K721" t="s">
        <v>117</v>
      </c>
      <c r="L721" t="s">
        <v>118</v>
      </c>
      <c r="M721" t="s">
        <v>140</v>
      </c>
      <c r="N721" t="s">
        <v>1033</v>
      </c>
      <c r="O721">
        <v>12</v>
      </c>
      <c r="P721">
        <v>0</v>
      </c>
      <c r="Q721" s="14">
        <v>45600</v>
      </c>
      <c r="R721" s="14">
        <v>45600</v>
      </c>
      <c r="Y721" s="14"/>
      <c r="Z721" s="14"/>
      <c r="AG721" s="14"/>
      <c r="AH721" s="14"/>
      <c r="AI721" t="s">
        <v>1034</v>
      </c>
      <c r="AJ721" t="s">
        <v>1035</v>
      </c>
      <c r="AK721" t="s">
        <v>1036</v>
      </c>
      <c r="AL721">
        <v>0</v>
      </c>
      <c r="AM721" t="s">
        <v>1037</v>
      </c>
      <c r="AN721" t="s">
        <v>1038</v>
      </c>
      <c r="AO721" t="s">
        <v>125</v>
      </c>
      <c r="AP721" t="s">
        <v>1039</v>
      </c>
      <c r="AQ721" s="15">
        <v>46295</v>
      </c>
      <c r="AR721" s="15"/>
      <c r="AS721" t="s">
        <v>227</v>
      </c>
      <c r="AT721">
        <v>1</v>
      </c>
      <c r="AU721">
        <v>408000</v>
      </c>
      <c r="AV721">
        <v>0</v>
      </c>
      <c r="AW721">
        <v>0</v>
      </c>
      <c r="AX721" s="14">
        <v>408000</v>
      </c>
      <c r="AY721" s="14">
        <v>0</v>
      </c>
      <c r="AZ721" s="14">
        <v>408000</v>
      </c>
      <c r="BB721" t="s">
        <v>24</v>
      </c>
      <c r="BH721" t="s">
        <v>132</v>
      </c>
      <c r="BK721" t="s">
        <v>1100</v>
      </c>
      <c r="BV721" t="s">
        <v>132</v>
      </c>
      <c r="BW721" s="16">
        <v>46071.402083333327</v>
      </c>
      <c r="BX721" t="s">
        <v>178</v>
      </c>
      <c r="BZ721">
        <v>32</v>
      </c>
      <c r="CB721">
        <v>0</v>
      </c>
      <c r="CF721" t="s">
        <v>1087</v>
      </c>
      <c r="CG721">
        <v>2026</v>
      </c>
      <c r="CH721" t="s">
        <v>138</v>
      </c>
      <c r="CI721" t="s">
        <v>139</v>
      </c>
    </row>
    <row r="722" spans="1:87" x14ac:dyDescent="0.3">
      <c r="A722" t="s">
        <v>115</v>
      </c>
      <c r="B722" t="s">
        <v>116</v>
      </c>
      <c r="C722" t="s">
        <v>117</v>
      </c>
      <c r="D722" t="s">
        <v>118</v>
      </c>
      <c r="E722" t="s">
        <v>14</v>
      </c>
      <c r="F722" t="s">
        <v>943</v>
      </c>
      <c r="G722">
        <v>68.72</v>
      </c>
      <c r="H722">
        <v>0</v>
      </c>
      <c r="I722" s="14">
        <v>480000</v>
      </c>
      <c r="J722" s="14">
        <v>480000</v>
      </c>
      <c r="Q722" s="14"/>
      <c r="R722" s="14"/>
      <c r="Y722" s="14"/>
      <c r="Z722" s="14"/>
      <c r="AG722" s="14"/>
      <c r="AH722" s="14"/>
      <c r="AI722" t="s">
        <v>1829</v>
      </c>
      <c r="AJ722" t="s">
        <v>1830</v>
      </c>
      <c r="AK722" t="s">
        <v>1831</v>
      </c>
      <c r="AL722">
        <v>966050658</v>
      </c>
      <c r="AM722" t="s">
        <v>1832</v>
      </c>
      <c r="AN722" t="s">
        <v>1833</v>
      </c>
      <c r="AO722" t="s">
        <v>125</v>
      </c>
      <c r="AP722" t="s">
        <v>366</v>
      </c>
      <c r="AQ722" s="15">
        <v>46111</v>
      </c>
      <c r="AR722" s="15">
        <v>46111</v>
      </c>
      <c r="AS722" t="s">
        <v>127</v>
      </c>
      <c r="AT722">
        <v>1</v>
      </c>
      <c r="AU722">
        <v>3000</v>
      </c>
      <c r="AV722">
        <v>0</v>
      </c>
      <c r="AW722">
        <v>0</v>
      </c>
      <c r="AX722" s="14">
        <v>3000</v>
      </c>
      <c r="AY722" s="14">
        <v>3000</v>
      </c>
      <c r="AZ722" s="14">
        <v>0</v>
      </c>
      <c r="BA722">
        <v>0</v>
      </c>
      <c r="BB722" t="s">
        <v>23</v>
      </c>
      <c r="BC722" t="s">
        <v>128</v>
      </c>
      <c r="BD722" t="s">
        <v>129</v>
      </c>
      <c r="BE722" t="s">
        <v>130</v>
      </c>
      <c r="BG722" t="s">
        <v>1834</v>
      </c>
      <c r="BH722" t="s">
        <v>132</v>
      </c>
      <c r="BJ722">
        <v>4</v>
      </c>
      <c r="BK722" t="s">
        <v>133</v>
      </c>
      <c r="BV722" t="s">
        <v>134</v>
      </c>
      <c r="BW722" s="16">
        <v>46112.589583333327</v>
      </c>
      <c r="BX722" t="s">
        <v>135</v>
      </c>
      <c r="BZ722">
        <v>48</v>
      </c>
      <c r="CA722" t="s">
        <v>1835</v>
      </c>
      <c r="CB722">
        <v>0</v>
      </c>
      <c r="CF722" t="s">
        <v>1087</v>
      </c>
      <c r="CG722">
        <v>2026</v>
      </c>
      <c r="CH722" t="s">
        <v>138</v>
      </c>
      <c r="CI722" t="s">
        <v>139</v>
      </c>
    </row>
    <row r="723" spans="1:87" x14ac:dyDescent="0.3">
      <c r="A723" t="s">
        <v>115</v>
      </c>
      <c r="B723" t="s">
        <v>116</v>
      </c>
      <c r="C723" t="s">
        <v>117</v>
      </c>
      <c r="D723" t="s">
        <v>118</v>
      </c>
      <c r="E723" t="s">
        <v>14</v>
      </c>
      <c r="F723" t="s">
        <v>943</v>
      </c>
      <c r="G723">
        <v>68.72</v>
      </c>
      <c r="H723">
        <v>0</v>
      </c>
      <c r="I723" s="14">
        <v>480000</v>
      </c>
      <c r="J723" s="14">
        <v>480000</v>
      </c>
      <c r="Q723" s="14"/>
      <c r="R723" s="14"/>
      <c r="Y723" s="14"/>
      <c r="Z723" s="14"/>
      <c r="AG723" s="14"/>
      <c r="AH723" s="14"/>
      <c r="AI723" t="s">
        <v>1829</v>
      </c>
      <c r="AJ723" t="s">
        <v>1830</v>
      </c>
      <c r="AK723" t="s">
        <v>1831</v>
      </c>
      <c r="AL723">
        <v>966050658</v>
      </c>
      <c r="AM723" t="s">
        <v>1832</v>
      </c>
      <c r="AN723" t="s">
        <v>1833</v>
      </c>
      <c r="AO723" t="s">
        <v>125</v>
      </c>
      <c r="AP723" t="s">
        <v>366</v>
      </c>
      <c r="AQ723" s="15">
        <v>46112</v>
      </c>
      <c r="AR723" s="15">
        <v>46112</v>
      </c>
      <c r="AS723" t="s">
        <v>145</v>
      </c>
      <c r="AT723">
        <v>1</v>
      </c>
      <c r="AU723">
        <v>10000</v>
      </c>
      <c r="AV723">
        <v>0</v>
      </c>
      <c r="AW723">
        <v>0</v>
      </c>
      <c r="AX723" s="14">
        <v>10000</v>
      </c>
      <c r="AY723" s="14">
        <v>10000</v>
      </c>
      <c r="AZ723" s="14">
        <v>0</v>
      </c>
      <c r="BA723">
        <v>0</v>
      </c>
      <c r="BB723" t="s">
        <v>23</v>
      </c>
      <c r="BC723" t="s">
        <v>128</v>
      </c>
      <c r="BD723" t="s">
        <v>415</v>
      </c>
      <c r="BE723" t="s">
        <v>130</v>
      </c>
      <c r="BF723" t="s">
        <v>1830</v>
      </c>
      <c r="BG723" t="s">
        <v>1836</v>
      </c>
      <c r="BH723" t="s">
        <v>132</v>
      </c>
      <c r="BI723" t="s">
        <v>154</v>
      </c>
      <c r="BJ723">
        <v>4</v>
      </c>
      <c r="BK723" t="s">
        <v>133</v>
      </c>
      <c r="BV723" t="s">
        <v>134</v>
      </c>
      <c r="BW723" s="16">
        <v>46112.589583333327</v>
      </c>
      <c r="BX723" t="s">
        <v>135</v>
      </c>
      <c r="BZ723">
        <v>48</v>
      </c>
      <c r="CA723" t="s">
        <v>1837</v>
      </c>
      <c r="CB723">
        <v>0</v>
      </c>
      <c r="CF723" t="s">
        <v>1087</v>
      </c>
      <c r="CG723">
        <v>2026</v>
      </c>
      <c r="CH723" t="s">
        <v>138</v>
      </c>
      <c r="CI723" t="s">
        <v>139</v>
      </c>
    </row>
    <row r="724" spans="1:87" x14ac:dyDescent="0.3">
      <c r="A724" t="s">
        <v>115</v>
      </c>
      <c r="B724" t="s">
        <v>116</v>
      </c>
      <c r="C724" t="s">
        <v>117</v>
      </c>
      <c r="D724" t="s">
        <v>118</v>
      </c>
      <c r="E724" t="s">
        <v>14</v>
      </c>
      <c r="F724" t="s">
        <v>943</v>
      </c>
      <c r="G724">
        <v>68.72</v>
      </c>
      <c r="H724">
        <v>0</v>
      </c>
      <c r="I724" s="14">
        <v>480000</v>
      </c>
      <c r="J724" s="14">
        <v>480000</v>
      </c>
      <c r="Q724" s="14"/>
      <c r="R724" s="14"/>
      <c r="Y724" s="14"/>
      <c r="Z724" s="14"/>
      <c r="AG724" s="14"/>
      <c r="AH724" s="14"/>
      <c r="AI724" t="s">
        <v>1829</v>
      </c>
      <c r="AJ724" t="s">
        <v>1830</v>
      </c>
      <c r="AK724" t="s">
        <v>1831</v>
      </c>
      <c r="AL724">
        <v>966050658</v>
      </c>
      <c r="AM724" t="s">
        <v>1832</v>
      </c>
      <c r="AN724" t="s">
        <v>1833</v>
      </c>
      <c r="AO724" t="s">
        <v>125</v>
      </c>
      <c r="AP724" t="s">
        <v>366</v>
      </c>
      <c r="AQ724" s="15">
        <v>46142</v>
      </c>
      <c r="AR724" s="15">
        <v>46140</v>
      </c>
      <c r="AS724" t="s">
        <v>145</v>
      </c>
      <c r="AT724">
        <v>2</v>
      </c>
      <c r="AU724">
        <v>11000</v>
      </c>
      <c r="AV724">
        <v>0</v>
      </c>
      <c r="AW724">
        <v>0</v>
      </c>
      <c r="AX724" s="14">
        <v>11000</v>
      </c>
      <c r="AY724" s="14">
        <v>11000</v>
      </c>
      <c r="AZ724" s="14">
        <v>0</v>
      </c>
      <c r="BA724">
        <v>0</v>
      </c>
      <c r="BB724" t="s">
        <v>23</v>
      </c>
      <c r="BC724" t="s">
        <v>128</v>
      </c>
      <c r="BD724" t="s">
        <v>129</v>
      </c>
      <c r="BE724" t="s">
        <v>130</v>
      </c>
      <c r="BF724" t="s">
        <v>1830</v>
      </c>
      <c r="BG724" t="s">
        <v>1838</v>
      </c>
      <c r="BH724" t="s">
        <v>132</v>
      </c>
      <c r="BI724" t="s">
        <v>154</v>
      </c>
      <c r="BJ724">
        <v>4</v>
      </c>
      <c r="BK724" t="s">
        <v>133</v>
      </c>
      <c r="BV724" t="s">
        <v>134</v>
      </c>
      <c r="BW724" s="16">
        <v>46112.589583333327</v>
      </c>
      <c r="BX724" t="s">
        <v>135</v>
      </c>
      <c r="BZ724">
        <v>48</v>
      </c>
      <c r="CA724" t="s">
        <v>1839</v>
      </c>
      <c r="CB724">
        <v>0</v>
      </c>
      <c r="CF724" t="s">
        <v>1087</v>
      </c>
      <c r="CG724">
        <v>2026</v>
      </c>
      <c r="CH724" t="s">
        <v>138</v>
      </c>
      <c r="CI724" t="s">
        <v>139</v>
      </c>
    </row>
    <row r="725" spans="1:87" x14ac:dyDescent="0.3">
      <c r="A725" t="s">
        <v>115</v>
      </c>
      <c r="B725" t="s">
        <v>116</v>
      </c>
      <c r="C725" t="s">
        <v>117</v>
      </c>
      <c r="D725" t="s">
        <v>118</v>
      </c>
      <c r="E725" t="s">
        <v>14</v>
      </c>
      <c r="F725" t="s">
        <v>943</v>
      </c>
      <c r="G725">
        <v>68.72</v>
      </c>
      <c r="H725">
        <v>0</v>
      </c>
      <c r="I725" s="14">
        <v>480000</v>
      </c>
      <c r="J725" s="14">
        <v>480000</v>
      </c>
      <c r="Q725" s="14"/>
      <c r="R725" s="14"/>
      <c r="Y725" s="14"/>
      <c r="Z725" s="14"/>
      <c r="AG725" s="14"/>
      <c r="AH725" s="14"/>
      <c r="AI725" t="s">
        <v>1829</v>
      </c>
      <c r="AJ725" t="s">
        <v>1830</v>
      </c>
      <c r="AK725" t="s">
        <v>1831</v>
      </c>
      <c r="AL725">
        <v>966050658</v>
      </c>
      <c r="AM725" t="s">
        <v>1832</v>
      </c>
      <c r="AN725" t="s">
        <v>1833</v>
      </c>
      <c r="AO725" t="s">
        <v>125</v>
      </c>
      <c r="AP725" t="s">
        <v>366</v>
      </c>
      <c r="AQ725" s="15">
        <v>46203</v>
      </c>
      <c r="AR725" s="15"/>
      <c r="AS725" t="s">
        <v>145</v>
      </c>
      <c r="AT725">
        <v>3</v>
      </c>
      <c r="AU725">
        <v>24000</v>
      </c>
      <c r="AV725">
        <v>0</v>
      </c>
      <c r="AW725">
        <v>0</v>
      </c>
      <c r="AX725" s="14">
        <v>24000</v>
      </c>
      <c r="AY725" s="14">
        <v>0</v>
      </c>
      <c r="AZ725" s="14">
        <v>24000</v>
      </c>
      <c r="BB725" t="s">
        <v>23</v>
      </c>
      <c r="BH725" t="s">
        <v>132</v>
      </c>
      <c r="BK725" t="s">
        <v>550</v>
      </c>
      <c r="BV725" t="s">
        <v>132</v>
      </c>
      <c r="BW725" s="16">
        <v>46112.589583333327</v>
      </c>
      <c r="BX725" t="s">
        <v>135</v>
      </c>
      <c r="BZ725">
        <v>48</v>
      </c>
      <c r="CB725">
        <v>0</v>
      </c>
      <c r="CF725" t="s">
        <v>1087</v>
      </c>
      <c r="CG725">
        <v>2026</v>
      </c>
      <c r="CH725" t="s">
        <v>138</v>
      </c>
      <c r="CI725" t="s">
        <v>139</v>
      </c>
    </row>
    <row r="726" spans="1:87" x14ac:dyDescent="0.3">
      <c r="A726" t="s">
        <v>115</v>
      </c>
      <c r="B726" t="s">
        <v>116</v>
      </c>
      <c r="C726" t="s">
        <v>117</v>
      </c>
      <c r="D726" t="s">
        <v>118</v>
      </c>
      <c r="E726" t="s">
        <v>14</v>
      </c>
      <c r="F726" t="s">
        <v>943</v>
      </c>
      <c r="G726">
        <v>68.72</v>
      </c>
      <c r="H726">
        <v>0</v>
      </c>
      <c r="I726" s="14">
        <v>480000</v>
      </c>
      <c r="J726" s="14">
        <v>480000</v>
      </c>
      <c r="Q726" s="14"/>
      <c r="R726" s="14"/>
      <c r="Y726" s="14"/>
      <c r="Z726" s="14"/>
      <c r="AG726" s="14"/>
      <c r="AH726" s="14"/>
      <c r="AI726" t="s">
        <v>1829</v>
      </c>
      <c r="AJ726" t="s">
        <v>1830</v>
      </c>
      <c r="AK726" t="s">
        <v>1831</v>
      </c>
      <c r="AL726">
        <v>966050658</v>
      </c>
      <c r="AM726" t="s">
        <v>1832</v>
      </c>
      <c r="AN726" t="s">
        <v>1833</v>
      </c>
      <c r="AO726" t="s">
        <v>125</v>
      </c>
      <c r="AP726" t="s">
        <v>366</v>
      </c>
      <c r="AQ726" s="15">
        <v>46233</v>
      </c>
      <c r="AR726" s="15"/>
      <c r="AS726" t="s">
        <v>227</v>
      </c>
      <c r="AT726">
        <v>1</v>
      </c>
      <c r="AU726">
        <v>432000</v>
      </c>
      <c r="AV726">
        <v>0</v>
      </c>
      <c r="AW726">
        <v>0</v>
      </c>
      <c r="AX726" s="14">
        <v>432000</v>
      </c>
      <c r="AY726" s="14">
        <v>0</v>
      </c>
      <c r="AZ726" s="14">
        <v>432000</v>
      </c>
      <c r="BB726" t="s">
        <v>23</v>
      </c>
      <c r="BH726" t="s">
        <v>132</v>
      </c>
      <c r="BK726" t="s">
        <v>550</v>
      </c>
      <c r="BV726" t="s">
        <v>132</v>
      </c>
      <c r="BW726" s="16">
        <v>46112.589583333327</v>
      </c>
      <c r="BX726" t="s">
        <v>135</v>
      </c>
      <c r="BZ726">
        <v>48</v>
      </c>
      <c r="CB726">
        <v>0</v>
      </c>
      <c r="CF726" t="s">
        <v>1087</v>
      </c>
      <c r="CG726">
        <v>2026</v>
      </c>
      <c r="CH726" t="s">
        <v>138</v>
      </c>
      <c r="CI726" t="s">
        <v>139</v>
      </c>
    </row>
    <row r="727" spans="1:87" x14ac:dyDescent="0.3">
      <c r="A727" t="s">
        <v>115</v>
      </c>
      <c r="B727" t="s">
        <v>116</v>
      </c>
      <c r="C727" t="s">
        <v>117</v>
      </c>
      <c r="D727" t="s">
        <v>118</v>
      </c>
      <c r="E727" t="s">
        <v>14</v>
      </c>
      <c r="F727" t="s">
        <v>743</v>
      </c>
      <c r="G727">
        <v>68.72</v>
      </c>
      <c r="H727">
        <v>0</v>
      </c>
      <c r="I727" s="14">
        <v>470500</v>
      </c>
      <c r="J727" s="14">
        <v>470500</v>
      </c>
      <c r="Q727" s="14"/>
      <c r="R727" s="14"/>
      <c r="Y727" s="14"/>
      <c r="Z727" s="14"/>
      <c r="AG727" s="14"/>
      <c r="AH727" s="14"/>
      <c r="AI727" t="s">
        <v>1046</v>
      </c>
      <c r="AJ727" t="s">
        <v>1047</v>
      </c>
      <c r="AK727" t="s">
        <v>1048</v>
      </c>
      <c r="AL727">
        <v>0</v>
      </c>
      <c r="AM727" t="s">
        <v>1049</v>
      </c>
      <c r="AN727" t="s">
        <v>1050</v>
      </c>
      <c r="AO727" t="s">
        <v>389</v>
      </c>
      <c r="AP727" t="s">
        <v>390</v>
      </c>
      <c r="AQ727" s="15">
        <v>46233</v>
      </c>
      <c r="AR727" s="15"/>
      <c r="AS727" t="s">
        <v>227</v>
      </c>
      <c r="AT727">
        <v>1</v>
      </c>
      <c r="AU727">
        <v>370500</v>
      </c>
      <c r="AV727">
        <v>0</v>
      </c>
      <c r="AW727">
        <v>0</v>
      </c>
      <c r="AX727" s="14">
        <v>370500</v>
      </c>
      <c r="AY727" s="14">
        <v>0</v>
      </c>
      <c r="AZ727" s="14">
        <v>370500</v>
      </c>
      <c r="BB727" t="s">
        <v>24</v>
      </c>
      <c r="BH727" t="s">
        <v>132</v>
      </c>
      <c r="BK727" t="s">
        <v>550</v>
      </c>
      <c r="BV727" t="s">
        <v>132</v>
      </c>
      <c r="BW727" s="16">
        <v>45834.636111111111</v>
      </c>
      <c r="BX727" t="s">
        <v>143</v>
      </c>
      <c r="BZ727">
        <v>50</v>
      </c>
      <c r="CB727">
        <v>0</v>
      </c>
      <c r="CF727" t="s">
        <v>1087</v>
      </c>
      <c r="CG727">
        <v>2026</v>
      </c>
      <c r="CH727" t="s">
        <v>138</v>
      </c>
      <c r="CI727" t="s">
        <v>139</v>
      </c>
    </row>
    <row r="728" spans="1:87" x14ac:dyDescent="0.3">
      <c r="A728" t="s">
        <v>165</v>
      </c>
      <c r="B728" t="s">
        <v>116</v>
      </c>
      <c r="C728" t="s">
        <v>117</v>
      </c>
      <c r="D728" t="s">
        <v>118</v>
      </c>
      <c r="E728" t="s">
        <v>14</v>
      </c>
      <c r="F728" t="s">
        <v>521</v>
      </c>
      <c r="G728">
        <v>70</v>
      </c>
      <c r="H728">
        <v>0</v>
      </c>
      <c r="I728" s="14">
        <v>531100</v>
      </c>
      <c r="J728" s="14">
        <v>518500</v>
      </c>
      <c r="Q728" s="14"/>
      <c r="R728" s="14"/>
      <c r="Y728" s="14"/>
      <c r="Z728" s="14"/>
      <c r="AG728" s="14"/>
      <c r="AH728" s="14"/>
      <c r="AI728" t="s">
        <v>1056</v>
      </c>
      <c r="AJ728" t="s">
        <v>1057</v>
      </c>
      <c r="AK728" t="s">
        <v>1058</v>
      </c>
      <c r="AL728">
        <v>0</v>
      </c>
      <c r="AM728" t="s">
        <v>1059</v>
      </c>
      <c r="AN728" t="s">
        <v>1060</v>
      </c>
      <c r="AO728" t="s">
        <v>125</v>
      </c>
      <c r="AP728" t="s">
        <v>758</v>
      </c>
      <c r="AQ728" s="15">
        <v>46053</v>
      </c>
      <c r="AR728" s="15"/>
      <c r="AS728" t="s">
        <v>1840</v>
      </c>
      <c r="AT728">
        <v>3</v>
      </c>
      <c r="AU728">
        <v>12125</v>
      </c>
      <c r="AV728">
        <v>0</v>
      </c>
      <c r="AW728">
        <v>0</v>
      </c>
      <c r="AX728" s="14">
        <v>12125</v>
      </c>
      <c r="AY728" s="14">
        <v>0</v>
      </c>
      <c r="AZ728" s="14">
        <v>12125</v>
      </c>
      <c r="BB728" t="s">
        <v>24</v>
      </c>
      <c r="BH728" t="s">
        <v>132</v>
      </c>
      <c r="BK728" t="s">
        <v>550</v>
      </c>
      <c r="BV728" t="s">
        <v>132</v>
      </c>
      <c r="BW728" s="16">
        <v>45870.434027777781</v>
      </c>
      <c r="BX728" t="s">
        <v>178</v>
      </c>
      <c r="BZ728">
        <v>16</v>
      </c>
      <c r="CB728">
        <v>0</v>
      </c>
      <c r="CF728" t="s">
        <v>1087</v>
      </c>
      <c r="CG728">
        <v>2026</v>
      </c>
      <c r="CH728" t="s">
        <v>138</v>
      </c>
      <c r="CI728" t="s">
        <v>139</v>
      </c>
    </row>
    <row r="729" spans="1:87" x14ac:dyDescent="0.3">
      <c r="A729" t="s">
        <v>165</v>
      </c>
      <c r="B729" t="s">
        <v>116</v>
      </c>
      <c r="C729" t="s">
        <v>117</v>
      </c>
      <c r="D729" t="s">
        <v>118</v>
      </c>
      <c r="E729" t="s">
        <v>14</v>
      </c>
      <c r="F729" t="s">
        <v>521</v>
      </c>
      <c r="G729">
        <v>70</v>
      </c>
      <c r="H729">
        <v>0</v>
      </c>
      <c r="I729" s="14">
        <v>531100</v>
      </c>
      <c r="J729" s="14">
        <v>518500</v>
      </c>
      <c r="Q729" s="14"/>
      <c r="R729" s="14"/>
      <c r="Y729" s="14"/>
      <c r="Z729" s="14"/>
      <c r="AG729" s="14"/>
      <c r="AH729" s="14"/>
      <c r="AI729" t="s">
        <v>1056</v>
      </c>
      <c r="AJ729" t="s">
        <v>1057</v>
      </c>
      <c r="AK729" t="s">
        <v>1058</v>
      </c>
      <c r="AL729">
        <v>0</v>
      </c>
      <c r="AM729" t="s">
        <v>1059</v>
      </c>
      <c r="AN729" t="s">
        <v>1060</v>
      </c>
      <c r="AO729" t="s">
        <v>125</v>
      </c>
      <c r="AP729" t="s">
        <v>758</v>
      </c>
      <c r="AQ729" s="15">
        <v>46053</v>
      </c>
      <c r="AR729" s="15"/>
      <c r="AS729" t="s">
        <v>227</v>
      </c>
      <c r="AT729">
        <v>1</v>
      </c>
      <c r="AU729">
        <v>466650</v>
      </c>
      <c r="AV729">
        <v>0</v>
      </c>
      <c r="AW729">
        <v>0</v>
      </c>
      <c r="AX729" s="14">
        <v>466650</v>
      </c>
      <c r="AY729" s="14">
        <v>0</v>
      </c>
      <c r="AZ729" s="14">
        <v>466650</v>
      </c>
      <c r="BB729" t="s">
        <v>24</v>
      </c>
      <c r="BH729" t="s">
        <v>132</v>
      </c>
      <c r="BK729" t="s">
        <v>550</v>
      </c>
      <c r="BV729" t="s">
        <v>132</v>
      </c>
      <c r="BW729" s="16">
        <v>45870.434027777781</v>
      </c>
      <c r="BX729" t="s">
        <v>178</v>
      </c>
      <c r="BZ729">
        <v>16</v>
      </c>
      <c r="CB729">
        <v>0</v>
      </c>
      <c r="CF729" t="s">
        <v>1087</v>
      </c>
      <c r="CG729">
        <v>2026</v>
      </c>
      <c r="CH729" t="s">
        <v>138</v>
      </c>
      <c r="CI729" t="s">
        <v>139</v>
      </c>
    </row>
    <row r="730" spans="1:87" x14ac:dyDescent="0.3">
      <c r="A730" t="s">
        <v>165</v>
      </c>
      <c r="B730" t="s">
        <v>116</v>
      </c>
      <c r="C730" t="s">
        <v>117</v>
      </c>
      <c r="D730" t="s">
        <v>118</v>
      </c>
      <c r="E730" t="s">
        <v>14</v>
      </c>
      <c r="F730" t="s">
        <v>190</v>
      </c>
      <c r="G730">
        <v>72</v>
      </c>
      <c r="H730">
        <v>16</v>
      </c>
      <c r="I730" s="14">
        <v>587000</v>
      </c>
      <c r="J730" s="14">
        <v>577000</v>
      </c>
      <c r="Q730" s="14"/>
      <c r="R730" s="14"/>
      <c r="Y730" s="14"/>
      <c r="Z730" s="14"/>
      <c r="AG730" s="14"/>
      <c r="AH730" s="14"/>
      <c r="AI730" t="s">
        <v>342</v>
      </c>
      <c r="AJ730" t="s">
        <v>343</v>
      </c>
      <c r="AK730" t="s">
        <v>344</v>
      </c>
      <c r="AL730">
        <v>0</v>
      </c>
      <c r="AM730" t="s">
        <v>345</v>
      </c>
      <c r="AN730" t="s">
        <v>346</v>
      </c>
      <c r="AO730" t="s">
        <v>125</v>
      </c>
      <c r="AP730" t="s">
        <v>152</v>
      </c>
      <c r="AQ730" s="15">
        <v>46188</v>
      </c>
      <c r="AR730" s="15"/>
      <c r="AS730" t="s">
        <v>145</v>
      </c>
      <c r="AT730">
        <v>2</v>
      </c>
      <c r="AU730">
        <v>27600</v>
      </c>
      <c r="AV730">
        <v>0</v>
      </c>
      <c r="AW730">
        <v>0</v>
      </c>
      <c r="AX730" s="14">
        <v>27600</v>
      </c>
      <c r="AY730" s="14">
        <v>0</v>
      </c>
      <c r="AZ730" s="14">
        <v>27600</v>
      </c>
      <c r="BB730" t="s">
        <v>24</v>
      </c>
      <c r="BH730" t="s">
        <v>132</v>
      </c>
      <c r="BK730" t="s">
        <v>550</v>
      </c>
      <c r="BV730" t="s">
        <v>132</v>
      </c>
      <c r="BW730" s="16">
        <v>45918.415972222218</v>
      </c>
      <c r="BX730" t="s">
        <v>143</v>
      </c>
      <c r="BZ730">
        <v>4</v>
      </c>
      <c r="CB730">
        <v>0</v>
      </c>
      <c r="CF730" t="s">
        <v>1087</v>
      </c>
      <c r="CG730">
        <v>2026</v>
      </c>
      <c r="CH730" t="s">
        <v>138</v>
      </c>
      <c r="CI730" t="s">
        <v>139</v>
      </c>
    </row>
    <row r="731" spans="1:87" x14ac:dyDescent="0.3">
      <c r="A731" t="s">
        <v>165</v>
      </c>
      <c r="B731" t="s">
        <v>116</v>
      </c>
      <c r="C731" t="s">
        <v>117</v>
      </c>
      <c r="D731" t="s">
        <v>118</v>
      </c>
      <c r="E731" t="s">
        <v>14</v>
      </c>
      <c r="F731" t="s">
        <v>190</v>
      </c>
      <c r="G731">
        <v>72</v>
      </c>
      <c r="H731">
        <v>16</v>
      </c>
      <c r="I731" s="14">
        <v>587000</v>
      </c>
      <c r="J731" s="14">
        <v>577000</v>
      </c>
      <c r="Q731" s="14"/>
      <c r="R731" s="14"/>
      <c r="Y731" s="14"/>
      <c r="Z731" s="14"/>
      <c r="AG731" s="14"/>
      <c r="AH731" s="14"/>
      <c r="AI731" t="s">
        <v>342</v>
      </c>
      <c r="AJ731" t="s">
        <v>343</v>
      </c>
      <c r="AK731" t="s">
        <v>344</v>
      </c>
      <c r="AL731">
        <v>0</v>
      </c>
      <c r="AM731" t="s">
        <v>345</v>
      </c>
      <c r="AN731" t="s">
        <v>346</v>
      </c>
      <c r="AO731" t="s">
        <v>125</v>
      </c>
      <c r="AP731" t="s">
        <v>152</v>
      </c>
      <c r="AQ731" s="15">
        <v>46234</v>
      </c>
      <c r="AR731" s="15"/>
      <c r="AS731" t="s">
        <v>227</v>
      </c>
      <c r="AT731">
        <v>1</v>
      </c>
      <c r="AU731">
        <v>457000</v>
      </c>
      <c r="AV731">
        <v>0</v>
      </c>
      <c r="AW731">
        <v>0</v>
      </c>
      <c r="AX731" s="14">
        <v>457000</v>
      </c>
      <c r="AY731" s="14">
        <v>0</v>
      </c>
      <c r="AZ731" s="14">
        <v>457000</v>
      </c>
      <c r="BB731" t="s">
        <v>24</v>
      </c>
      <c r="BH731" t="s">
        <v>132</v>
      </c>
      <c r="BK731" t="s">
        <v>550</v>
      </c>
      <c r="BV731" t="s">
        <v>132</v>
      </c>
      <c r="BW731" s="16">
        <v>45918.415972222218</v>
      </c>
      <c r="BX731" t="s">
        <v>143</v>
      </c>
      <c r="BZ731">
        <v>4</v>
      </c>
      <c r="CB731">
        <v>0</v>
      </c>
      <c r="CF731" t="s">
        <v>1087</v>
      </c>
      <c r="CG731">
        <v>2026</v>
      </c>
      <c r="CH731" t="s">
        <v>138</v>
      </c>
      <c r="CI731" t="s">
        <v>139</v>
      </c>
    </row>
    <row r="732" spans="1:87" x14ac:dyDescent="0.3">
      <c r="A732" t="s">
        <v>426</v>
      </c>
      <c r="B732" t="s">
        <v>116</v>
      </c>
      <c r="C732" t="s">
        <v>117</v>
      </c>
      <c r="D732" t="s">
        <v>118</v>
      </c>
      <c r="E732" t="s">
        <v>14</v>
      </c>
      <c r="F732" t="s">
        <v>1344</v>
      </c>
      <c r="G732">
        <v>83</v>
      </c>
      <c r="H732">
        <v>0</v>
      </c>
      <c r="I732" s="14">
        <v>623000</v>
      </c>
      <c r="J732" s="14">
        <v>623000</v>
      </c>
      <c r="Q732" s="14"/>
      <c r="R732" s="14"/>
      <c r="Y732" s="14"/>
      <c r="Z732" s="14"/>
      <c r="AG732" s="14"/>
      <c r="AH732" s="14"/>
      <c r="AI732" t="s">
        <v>1841</v>
      </c>
      <c r="AJ732" t="s">
        <v>1842</v>
      </c>
      <c r="AK732" t="s">
        <v>1843</v>
      </c>
      <c r="AL732">
        <v>0</v>
      </c>
      <c r="AM732" t="s">
        <v>1844</v>
      </c>
      <c r="AN732" t="s">
        <v>1845</v>
      </c>
      <c r="AO732" t="s">
        <v>125</v>
      </c>
      <c r="AP732" t="s">
        <v>1389</v>
      </c>
      <c r="AQ732" s="15">
        <v>46041</v>
      </c>
      <c r="AR732" s="15">
        <v>46041</v>
      </c>
      <c r="AS732" t="s">
        <v>127</v>
      </c>
      <c r="AT732">
        <v>1</v>
      </c>
      <c r="AU732">
        <v>3000</v>
      </c>
      <c r="AV732">
        <v>0</v>
      </c>
      <c r="AW732">
        <v>0</v>
      </c>
      <c r="AX732" s="14">
        <v>3000</v>
      </c>
      <c r="AY732" s="14">
        <v>3000</v>
      </c>
      <c r="AZ732" s="14">
        <v>0</v>
      </c>
      <c r="BA732">
        <v>0</v>
      </c>
      <c r="BB732" t="s">
        <v>24</v>
      </c>
      <c r="BC732" t="s">
        <v>128</v>
      </c>
      <c r="BD732" t="s">
        <v>434</v>
      </c>
      <c r="BE732" t="s">
        <v>130</v>
      </c>
      <c r="BG732" t="s">
        <v>1846</v>
      </c>
      <c r="BH732" t="s">
        <v>132</v>
      </c>
      <c r="BJ732">
        <v>4</v>
      </c>
      <c r="BK732" t="s">
        <v>133</v>
      </c>
      <c r="BV732" t="s">
        <v>134</v>
      </c>
      <c r="BW732" s="16">
        <v>46071.340277777781</v>
      </c>
      <c r="BX732" t="s">
        <v>143</v>
      </c>
      <c r="BZ732">
        <v>7</v>
      </c>
      <c r="CA732" t="s">
        <v>1847</v>
      </c>
      <c r="CB732">
        <v>0</v>
      </c>
      <c r="CF732" t="s">
        <v>1087</v>
      </c>
      <c r="CG732">
        <v>2026</v>
      </c>
      <c r="CH732" t="s">
        <v>138</v>
      </c>
      <c r="CI732" t="s">
        <v>139</v>
      </c>
    </row>
    <row r="733" spans="1:87" x14ac:dyDescent="0.3">
      <c r="A733" t="s">
        <v>426</v>
      </c>
      <c r="B733" t="s">
        <v>116</v>
      </c>
      <c r="C733" t="s">
        <v>117</v>
      </c>
      <c r="D733" t="s">
        <v>118</v>
      </c>
      <c r="E733" t="s">
        <v>14</v>
      </c>
      <c r="F733" t="s">
        <v>1344</v>
      </c>
      <c r="G733">
        <v>83</v>
      </c>
      <c r="H733">
        <v>0</v>
      </c>
      <c r="I733" s="14">
        <v>623000</v>
      </c>
      <c r="J733" s="14">
        <v>623000</v>
      </c>
      <c r="Q733" s="14"/>
      <c r="R733" s="14"/>
      <c r="Y733" s="14"/>
      <c r="Z733" s="14"/>
      <c r="AG733" s="14"/>
      <c r="AH733" s="14"/>
      <c r="AI733" t="s">
        <v>1841</v>
      </c>
      <c r="AJ733" t="s">
        <v>1842</v>
      </c>
      <c r="AK733" t="s">
        <v>1843</v>
      </c>
      <c r="AL733">
        <v>0</v>
      </c>
      <c r="AM733" t="s">
        <v>1844</v>
      </c>
      <c r="AN733" t="s">
        <v>1845</v>
      </c>
      <c r="AO733" t="s">
        <v>125</v>
      </c>
      <c r="AP733" t="s">
        <v>1389</v>
      </c>
      <c r="AQ733" s="15">
        <v>46071</v>
      </c>
      <c r="AR733" s="15">
        <v>46071</v>
      </c>
      <c r="AS733" t="s">
        <v>145</v>
      </c>
      <c r="AT733">
        <v>1</v>
      </c>
      <c r="AU733">
        <v>7000</v>
      </c>
      <c r="AV733">
        <v>0</v>
      </c>
      <c r="AW733">
        <v>0</v>
      </c>
      <c r="AX733" s="14">
        <v>7000</v>
      </c>
      <c r="AY733" s="14">
        <v>7000</v>
      </c>
      <c r="AZ733" s="14">
        <v>0</v>
      </c>
      <c r="BA733">
        <v>0</v>
      </c>
      <c r="BB733" t="s">
        <v>24</v>
      </c>
      <c r="BC733" t="s">
        <v>128</v>
      </c>
      <c r="BD733" t="s">
        <v>434</v>
      </c>
      <c r="BE733" t="s">
        <v>130</v>
      </c>
      <c r="BG733" t="s">
        <v>1848</v>
      </c>
      <c r="BH733" t="s">
        <v>132</v>
      </c>
      <c r="BJ733">
        <v>4</v>
      </c>
      <c r="BK733" t="s">
        <v>133</v>
      </c>
      <c r="BV733" t="s">
        <v>134</v>
      </c>
      <c r="BW733" s="16">
        <v>46071.340277777781</v>
      </c>
      <c r="BX733" t="s">
        <v>143</v>
      </c>
      <c r="BZ733">
        <v>7</v>
      </c>
      <c r="CA733" t="s">
        <v>1849</v>
      </c>
      <c r="CB733">
        <v>0</v>
      </c>
      <c r="CF733" t="s">
        <v>1087</v>
      </c>
      <c r="CG733">
        <v>2026</v>
      </c>
      <c r="CH733" t="s">
        <v>138</v>
      </c>
      <c r="CI733" t="s">
        <v>139</v>
      </c>
    </row>
    <row r="734" spans="1:87" x14ac:dyDescent="0.3">
      <c r="A734" t="s">
        <v>426</v>
      </c>
      <c r="B734" t="s">
        <v>116</v>
      </c>
      <c r="C734" t="s">
        <v>117</v>
      </c>
      <c r="D734" t="s">
        <v>118</v>
      </c>
      <c r="E734" t="s">
        <v>14</v>
      </c>
      <c r="F734" t="s">
        <v>1344</v>
      </c>
      <c r="G734">
        <v>83</v>
      </c>
      <c r="H734">
        <v>0</v>
      </c>
      <c r="I734" s="14">
        <v>623000</v>
      </c>
      <c r="J734" s="14">
        <v>623000</v>
      </c>
      <c r="Q734" s="14"/>
      <c r="R734" s="14"/>
      <c r="Y734" s="14"/>
      <c r="Z734" s="14"/>
      <c r="AG734" s="14"/>
      <c r="AH734" s="14"/>
      <c r="AI734" t="s">
        <v>1841</v>
      </c>
      <c r="AJ734" t="s">
        <v>1842</v>
      </c>
      <c r="AK734" t="s">
        <v>1843</v>
      </c>
      <c r="AL734">
        <v>0</v>
      </c>
      <c r="AM734" t="s">
        <v>1844</v>
      </c>
      <c r="AN734" t="s">
        <v>1845</v>
      </c>
      <c r="AO734" t="s">
        <v>125</v>
      </c>
      <c r="AP734" t="s">
        <v>1389</v>
      </c>
      <c r="AQ734" s="15">
        <v>46234</v>
      </c>
      <c r="AR734" s="15"/>
      <c r="AS734" t="s">
        <v>1055</v>
      </c>
      <c r="AT734">
        <v>2</v>
      </c>
      <c r="AU734">
        <v>52300</v>
      </c>
      <c r="AV734">
        <v>0</v>
      </c>
      <c r="AW734">
        <v>0</v>
      </c>
      <c r="AX734" s="14">
        <v>52300</v>
      </c>
      <c r="AY734" s="14">
        <v>0</v>
      </c>
      <c r="AZ734" s="14">
        <v>52300</v>
      </c>
      <c r="BB734" t="s">
        <v>24</v>
      </c>
      <c r="BH734" t="s">
        <v>132</v>
      </c>
      <c r="BK734" t="s">
        <v>550</v>
      </c>
      <c r="BV734" t="s">
        <v>132</v>
      </c>
      <c r="BW734" s="16">
        <v>46071.340277777781</v>
      </c>
      <c r="BX734" t="s">
        <v>143</v>
      </c>
      <c r="BZ734">
        <v>7</v>
      </c>
      <c r="CB734">
        <v>0</v>
      </c>
      <c r="CF734" t="s">
        <v>1087</v>
      </c>
      <c r="CG734">
        <v>2026</v>
      </c>
      <c r="CH734" t="s">
        <v>138</v>
      </c>
      <c r="CI734" t="s">
        <v>139</v>
      </c>
    </row>
    <row r="735" spans="1:87" x14ac:dyDescent="0.3">
      <c r="A735" t="s">
        <v>426</v>
      </c>
      <c r="B735" t="s">
        <v>116</v>
      </c>
      <c r="C735" t="s">
        <v>117</v>
      </c>
      <c r="D735" t="s">
        <v>118</v>
      </c>
      <c r="E735" t="s">
        <v>14</v>
      </c>
      <c r="F735" t="s">
        <v>1344</v>
      </c>
      <c r="G735">
        <v>83</v>
      </c>
      <c r="H735">
        <v>0</v>
      </c>
      <c r="I735" s="14">
        <v>623000</v>
      </c>
      <c r="J735" s="14">
        <v>623000</v>
      </c>
      <c r="Q735" s="14"/>
      <c r="R735" s="14"/>
      <c r="Y735" s="14"/>
      <c r="Z735" s="14"/>
      <c r="AG735" s="14"/>
      <c r="AH735" s="14"/>
      <c r="AI735" t="s">
        <v>1841</v>
      </c>
      <c r="AJ735" t="s">
        <v>1842</v>
      </c>
      <c r="AK735" t="s">
        <v>1843</v>
      </c>
      <c r="AL735">
        <v>0</v>
      </c>
      <c r="AM735" t="s">
        <v>1844</v>
      </c>
      <c r="AN735" t="s">
        <v>1845</v>
      </c>
      <c r="AO735" t="s">
        <v>125</v>
      </c>
      <c r="AP735" t="s">
        <v>1389</v>
      </c>
      <c r="AQ735" s="15">
        <v>46249</v>
      </c>
      <c r="AR735" s="15"/>
      <c r="AS735" t="s">
        <v>145</v>
      </c>
      <c r="AT735">
        <v>3</v>
      </c>
      <c r="AU735">
        <v>23000</v>
      </c>
      <c r="AV735">
        <v>0</v>
      </c>
      <c r="AW735">
        <v>0</v>
      </c>
      <c r="AX735" s="14">
        <v>23000</v>
      </c>
      <c r="AY735" s="14">
        <v>0</v>
      </c>
      <c r="AZ735" s="14">
        <v>23000</v>
      </c>
      <c r="BB735" t="s">
        <v>24</v>
      </c>
      <c r="BH735" t="s">
        <v>132</v>
      </c>
      <c r="BK735" t="s">
        <v>550</v>
      </c>
      <c r="BV735" t="s">
        <v>132</v>
      </c>
      <c r="BW735" s="16">
        <v>46071.340277777781</v>
      </c>
      <c r="BX735" t="s">
        <v>143</v>
      </c>
      <c r="BZ735">
        <v>7</v>
      </c>
      <c r="CB735">
        <v>0</v>
      </c>
      <c r="CF735" t="s">
        <v>1087</v>
      </c>
      <c r="CG735">
        <v>2026</v>
      </c>
      <c r="CH735" t="s">
        <v>138</v>
      </c>
      <c r="CI735" t="s">
        <v>139</v>
      </c>
    </row>
    <row r="736" spans="1:87" x14ac:dyDescent="0.3">
      <c r="A736" t="s">
        <v>426</v>
      </c>
      <c r="B736" t="s">
        <v>116</v>
      </c>
      <c r="C736" t="s">
        <v>117</v>
      </c>
      <c r="D736" t="s">
        <v>118</v>
      </c>
      <c r="E736" t="s">
        <v>14</v>
      </c>
      <c r="F736" t="s">
        <v>1344</v>
      </c>
      <c r="G736">
        <v>83</v>
      </c>
      <c r="H736">
        <v>0</v>
      </c>
      <c r="I736" s="14">
        <v>623000</v>
      </c>
      <c r="J736" s="14">
        <v>623000</v>
      </c>
      <c r="Q736" s="14"/>
      <c r="R736" s="14"/>
      <c r="Y736" s="14"/>
      <c r="Z736" s="14"/>
      <c r="AG736" s="14"/>
      <c r="AH736" s="14"/>
      <c r="AI736" t="s">
        <v>1841</v>
      </c>
      <c r="AJ736" t="s">
        <v>1842</v>
      </c>
      <c r="AK736" t="s">
        <v>1843</v>
      </c>
      <c r="AL736">
        <v>0</v>
      </c>
      <c r="AM736" t="s">
        <v>1844</v>
      </c>
      <c r="AN736" t="s">
        <v>1845</v>
      </c>
      <c r="AO736" t="s">
        <v>125</v>
      </c>
      <c r="AP736" t="s">
        <v>1389</v>
      </c>
      <c r="AQ736" s="15">
        <v>46295</v>
      </c>
      <c r="AR736" s="15"/>
      <c r="AS736" t="s">
        <v>227</v>
      </c>
      <c r="AT736">
        <v>1</v>
      </c>
      <c r="AU736">
        <v>537700</v>
      </c>
      <c r="AV736">
        <v>0</v>
      </c>
      <c r="AW736">
        <v>0</v>
      </c>
      <c r="AX736" s="14">
        <v>537700</v>
      </c>
      <c r="AY736" s="14">
        <v>0</v>
      </c>
      <c r="AZ736" s="14">
        <v>537700</v>
      </c>
      <c r="BB736" t="s">
        <v>24</v>
      </c>
      <c r="BH736" t="s">
        <v>132</v>
      </c>
      <c r="BK736" t="s">
        <v>1100</v>
      </c>
      <c r="BV736" t="s">
        <v>132</v>
      </c>
      <c r="BW736" s="16">
        <v>46071.340277777781</v>
      </c>
      <c r="BX736" t="s">
        <v>143</v>
      </c>
      <c r="BZ736">
        <v>7</v>
      </c>
      <c r="CB736">
        <v>0</v>
      </c>
      <c r="CF736" t="s">
        <v>1087</v>
      </c>
      <c r="CG736">
        <v>2026</v>
      </c>
      <c r="CH736" t="s">
        <v>138</v>
      </c>
      <c r="CI736" t="s">
        <v>139</v>
      </c>
    </row>
    <row r="737" spans="1:87" x14ac:dyDescent="0.3">
      <c r="A737" t="s">
        <v>165</v>
      </c>
      <c r="B737" t="s">
        <v>116</v>
      </c>
      <c r="C737" t="s">
        <v>117</v>
      </c>
      <c r="D737" t="s">
        <v>118</v>
      </c>
      <c r="E737" t="s">
        <v>14</v>
      </c>
      <c r="F737" t="s">
        <v>1069</v>
      </c>
      <c r="G737">
        <v>57</v>
      </c>
      <c r="H737">
        <v>0</v>
      </c>
      <c r="I737" s="14">
        <v>430000</v>
      </c>
      <c r="J737" s="14">
        <v>382000</v>
      </c>
      <c r="Q737" s="14"/>
      <c r="R737" s="14"/>
      <c r="Y737" s="14"/>
      <c r="Z737" s="14"/>
      <c r="AG737" s="14"/>
      <c r="AH737" s="14"/>
      <c r="AI737" t="s">
        <v>1070</v>
      </c>
      <c r="AJ737" t="s">
        <v>1071</v>
      </c>
      <c r="AK737" t="s">
        <v>1072</v>
      </c>
      <c r="AL737">
        <v>999533600</v>
      </c>
      <c r="AM737" t="s">
        <v>1073</v>
      </c>
      <c r="AN737" t="s">
        <v>1074</v>
      </c>
      <c r="AO737" t="s">
        <v>125</v>
      </c>
      <c r="AP737" t="s">
        <v>750</v>
      </c>
      <c r="AQ737" s="15">
        <v>46032</v>
      </c>
      <c r="AR737" s="15">
        <v>46031</v>
      </c>
      <c r="AS737" t="s">
        <v>145</v>
      </c>
      <c r="AT737">
        <v>1</v>
      </c>
      <c r="AU737">
        <v>10000</v>
      </c>
      <c r="AV737">
        <v>0</v>
      </c>
      <c r="AW737">
        <v>0</v>
      </c>
      <c r="AX737" s="14">
        <v>10000</v>
      </c>
      <c r="AY737" s="14">
        <v>10000</v>
      </c>
      <c r="AZ737" s="14">
        <v>0</v>
      </c>
      <c r="BA737">
        <v>0</v>
      </c>
      <c r="BB737" t="s">
        <v>23</v>
      </c>
      <c r="BC737" t="s">
        <v>175</v>
      </c>
      <c r="BD737" t="s">
        <v>176</v>
      </c>
      <c r="BE737" t="s">
        <v>130</v>
      </c>
      <c r="BG737" t="s">
        <v>1850</v>
      </c>
      <c r="BH737" t="s">
        <v>132</v>
      </c>
      <c r="BJ737">
        <v>4</v>
      </c>
      <c r="BK737" t="s">
        <v>133</v>
      </c>
      <c r="BV737" t="s">
        <v>134</v>
      </c>
      <c r="BW737" s="16">
        <v>46031.409722222219</v>
      </c>
      <c r="BX737" t="s">
        <v>143</v>
      </c>
      <c r="BZ737">
        <v>20</v>
      </c>
      <c r="CA737" t="s">
        <v>1851</v>
      </c>
      <c r="CB737">
        <v>0</v>
      </c>
      <c r="CF737" t="s">
        <v>1087</v>
      </c>
      <c r="CG737">
        <v>2026</v>
      </c>
      <c r="CH737" t="s">
        <v>138</v>
      </c>
      <c r="CI737" t="s">
        <v>139</v>
      </c>
    </row>
    <row r="738" spans="1:87" x14ac:dyDescent="0.3">
      <c r="A738" t="s">
        <v>165</v>
      </c>
      <c r="B738" t="s">
        <v>116</v>
      </c>
      <c r="C738" t="s">
        <v>117</v>
      </c>
      <c r="D738" t="s">
        <v>118</v>
      </c>
      <c r="E738" t="s">
        <v>14</v>
      </c>
      <c r="F738" t="s">
        <v>1069</v>
      </c>
      <c r="G738">
        <v>57</v>
      </c>
      <c r="H738">
        <v>0</v>
      </c>
      <c r="I738" s="14">
        <v>430000</v>
      </c>
      <c r="J738" s="14">
        <v>382000</v>
      </c>
      <c r="Q738" s="14"/>
      <c r="R738" s="14"/>
      <c r="Y738" s="14"/>
      <c r="Z738" s="14"/>
      <c r="AG738" s="14"/>
      <c r="AH738" s="14"/>
      <c r="AI738" t="s">
        <v>1070</v>
      </c>
      <c r="AJ738" t="s">
        <v>1071</v>
      </c>
      <c r="AK738" t="s">
        <v>1072</v>
      </c>
      <c r="AL738">
        <v>999533600</v>
      </c>
      <c r="AM738" t="s">
        <v>1073</v>
      </c>
      <c r="AN738" t="s">
        <v>1074</v>
      </c>
      <c r="AO738" t="s">
        <v>125</v>
      </c>
      <c r="AP738" t="s">
        <v>750</v>
      </c>
      <c r="AQ738" s="15">
        <v>46063</v>
      </c>
      <c r="AR738" s="15">
        <v>46031</v>
      </c>
      <c r="AS738" t="s">
        <v>145</v>
      </c>
      <c r="AT738">
        <v>2</v>
      </c>
      <c r="AU738">
        <v>10000</v>
      </c>
      <c r="AV738">
        <v>0</v>
      </c>
      <c r="AW738">
        <v>0</v>
      </c>
      <c r="AX738" s="14">
        <v>10000</v>
      </c>
      <c r="AY738" s="14">
        <v>10000</v>
      </c>
      <c r="AZ738" s="14">
        <v>0</v>
      </c>
      <c r="BA738">
        <v>0</v>
      </c>
      <c r="BB738" t="s">
        <v>23</v>
      </c>
      <c r="BC738" t="s">
        <v>175</v>
      </c>
      <c r="BD738" t="s">
        <v>176</v>
      </c>
      <c r="BE738" t="s">
        <v>130</v>
      </c>
      <c r="BG738" t="s">
        <v>1852</v>
      </c>
      <c r="BH738" t="s">
        <v>132</v>
      </c>
      <c r="BJ738">
        <v>4</v>
      </c>
      <c r="BK738" t="s">
        <v>133</v>
      </c>
      <c r="BV738" t="s">
        <v>134</v>
      </c>
      <c r="BW738" s="16">
        <v>46031.409722222219</v>
      </c>
      <c r="BX738" t="s">
        <v>143</v>
      </c>
      <c r="BZ738">
        <v>20</v>
      </c>
      <c r="CA738" t="s">
        <v>1851</v>
      </c>
      <c r="CB738">
        <v>0</v>
      </c>
      <c r="CF738" t="s">
        <v>1087</v>
      </c>
      <c r="CG738">
        <v>2026</v>
      </c>
      <c r="CH738" t="s">
        <v>138</v>
      </c>
      <c r="CI738" t="s">
        <v>139</v>
      </c>
    </row>
    <row r="739" spans="1:87" x14ac:dyDescent="0.3">
      <c r="A739" t="s">
        <v>165</v>
      </c>
      <c r="B739" t="s">
        <v>116</v>
      </c>
      <c r="C739" t="s">
        <v>117</v>
      </c>
      <c r="D739" t="s">
        <v>118</v>
      </c>
      <c r="E739" t="s">
        <v>14</v>
      </c>
      <c r="F739" t="s">
        <v>1069</v>
      </c>
      <c r="G739">
        <v>57</v>
      </c>
      <c r="H739">
        <v>0</v>
      </c>
      <c r="I739" s="14">
        <v>430000</v>
      </c>
      <c r="J739" s="14">
        <v>382000</v>
      </c>
      <c r="Q739" s="14"/>
      <c r="R739" s="14"/>
      <c r="Y739" s="14"/>
      <c r="Z739" s="14"/>
      <c r="AG739" s="14"/>
      <c r="AH739" s="14"/>
      <c r="AI739" t="s">
        <v>1070</v>
      </c>
      <c r="AJ739" t="s">
        <v>1071</v>
      </c>
      <c r="AK739" t="s">
        <v>1072</v>
      </c>
      <c r="AL739">
        <v>999533600</v>
      </c>
      <c r="AM739" t="s">
        <v>1073</v>
      </c>
      <c r="AN739" t="s">
        <v>1074</v>
      </c>
      <c r="AO739" t="s">
        <v>125</v>
      </c>
      <c r="AP739" t="s">
        <v>750</v>
      </c>
      <c r="AQ739" s="15">
        <v>46091</v>
      </c>
      <c r="AR739" s="15">
        <v>46108</v>
      </c>
      <c r="AS739" t="s">
        <v>145</v>
      </c>
      <c r="AT739">
        <v>3</v>
      </c>
      <c r="AU739">
        <v>15200</v>
      </c>
      <c r="AV739">
        <v>0</v>
      </c>
      <c r="AW739">
        <v>0</v>
      </c>
      <c r="AX739" s="14">
        <v>15200</v>
      </c>
      <c r="AY739" s="14">
        <v>7000</v>
      </c>
      <c r="AZ739" s="14">
        <v>0</v>
      </c>
      <c r="BA739">
        <v>0</v>
      </c>
      <c r="BB739" t="s">
        <v>23</v>
      </c>
      <c r="BC739" t="s">
        <v>175</v>
      </c>
      <c r="BD739" t="s">
        <v>176</v>
      </c>
      <c r="BE739" t="s">
        <v>130</v>
      </c>
      <c r="BG739" t="s">
        <v>1853</v>
      </c>
      <c r="BH739" t="s">
        <v>132</v>
      </c>
      <c r="BJ739">
        <v>4</v>
      </c>
      <c r="BK739" t="s">
        <v>133</v>
      </c>
      <c r="BV739" t="s">
        <v>134</v>
      </c>
      <c r="BW739" s="16">
        <v>46031.409722222219</v>
      </c>
      <c r="BX739" t="s">
        <v>143</v>
      </c>
      <c r="BZ739">
        <v>20</v>
      </c>
      <c r="CA739" t="s">
        <v>1854</v>
      </c>
      <c r="CB739">
        <v>0</v>
      </c>
      <c r="CF739" t="s">
        <v>1087</v>
      </c>
      <c r="CG739">
        <v>2026</v>
      </c>
      <c r="CH739" t="s">
        <v>138</v>
      </c>
      <c r="CI739" t="s">
        <v>139</v>
      </c>
    </row>
    <row r="740" spans="1:87" x14ac:dyDescent="0.3">
      <c r="A740" t="s">
        <v>165</v>
      </c>
      <c r="B740" t="s">
        <v>116</v>
      </c>
      <c r="C740" t="s">
        <v>117</v>
      </c>
      <c r="D740" t="s">
        <v>118</v>
      </c>
      <c r="E740" t="s">
        <v>14</v>
      </c>
      <c r="F740" t="s">
        <v>1069</v>
      </c>
      <c r="G740">
        <v>57</v>
      </c>
      <c r="H740">
        <v>0</v>
      </c>
      <c r="I740" s="14">
        <v>430000</v>
      </c>
      <c r="J740" s="14">
        <v>382000</v>
      </c>
      <c r="Q740" s="14"/>
      <c r="R740" s="14"/>
      <c r="Y740" s="14"/>
      <c r="Z740" s="14"/>
      <c r="AG740" s="14"/>
      <c r="AH740" s="14"/>
      <c r="AI740" t="s">
        <v>1070</v>
      </c>
      <c r="AJ740" t="s">
        <v>1071</v>
      </c>
      <c r="AK740" t="s">
        <v>1072</v>
      </c>
      <c r="AL740">
        <v>999533600</v>
      </c>
      <c r="AM740" t="s">
        <v>1073</v>
      </c>
      <c r="AN740" t="s">
        <v>1074</v>
      </c>
      <c r="AO740" t="s">
        <v>125</v>
      </c>
      <c r="AP740" t="s">
        <v>750</v>
      </c>
      <c r="AQ740" s="15">
        <v>46091</v>
      </c>
      <c r="AR740" s="15">
        <v>46169</v>
      </c>
      <c r="AS740" t="s">
        <v>145</v>
      </c>
      <c r="AT740">
        <v>3</v>
      </c>
      <c r="AU740">
        <v>0</v>
      </c>
      <c r="AV740">
        <v>0</v>
      </c>
      <c r="AW740">
        <v>0</v>
      </c>
      <c r="AX740" s="14">
        <v>0</v>
      </c>
      <c r="AY740" s="14">
        <v>8200</v>
      </c>
      <c r="AZ740" s="14">
        <v>0</v>
      </c>
      <c r="BA740">
        <v>0</v>
      </c>
      <c r="BB740" t="s">
        <v>23</v>
      </c>
      <c r="BC740" t="s">
        <v>175</v>
      </c>
      <c r="BD740" t="s">
        <v>176</v>
      </c>
      <c r="BE740" t="s">
        <v>130</v>
      </c>
      <c r="BG740" t="s">
        <v>1855</v>
      </c>
      <c r="BH740" t="s">
        <v>132</v>
      </c>
      <c r="BJ740">
        <v>4</v>
      </c>
      <c r="BK740" t="s">
        <v>133</v>
      </c>
      <c r="BV740" t="s">
        <v>134</v>
      </c>
      <c r="BW740" s="16">
        <v>46031.409722222219</v>
      </c>
      <c r="BX740" t="s">
        <v>143</v>
      </c>
      <c r="BZ740">
        <v>20</v>
      </c>
      <c r="CA740" t="s">
        <v>1856</v>
      </c>
      <c r="CB740">
        <v>0</v>
      </c>
      <c r="CF740" t="s">
        <v>1087</v>
      </c>
      <c r="CG740">
        <v>2026</v>
      </c>
      <c r="CH740" t="s">
        <v>138</v>
      </c>
      <c r="CI740" t="s">
        <v>139</v>
      </c>
    </row>
    <row r="741" spans="1:87" x14ac:dyDescent="0.3">
      <c r="A741" t="s">
        <v>165</v>
      </c>
      <c r="B741" t="s">
        <v>116</v>
      </c>
      <c r="C741" t="s">
        <v>117</v>
      </c>
      <c r="D741" t="s">
        <v>118</v>
      </c>
      <c r="E741" t="s">
        <v>14</v>
      </c>
      <c r="F741" t="s">
        <v>1069</v>
      </c>
      <c r="G741">
        <v>57</v>
      </c>
      <c r="H741">
        <v>0</v>
      </c>
      <c r="I741" s="14">
        <v>430000</v>
      </c>
      <c r="J741" s="14">
        <v>382000</v>
      </c>
      <c r="Q741" s="14"/>
      <c r="R741" s="14"/>
      <c r="Y741" s="14"/>
      <c r="Z741" s="14"/>
      <c r="AG741" s="14"/>
      <c r="AH741" s="14"/>
      <c r="AI741" t="s">
        <v>1070</v>
      </c>
      <c r="AJ741" t="s">
        <v>1071</v>
      </c>
      <c r="AK741" t="s">
        <v>1072</v>
      </c>
      <c r="AL741">
        <v>999533600</v>
      </c>
      <c r="AM741" t="s">
        <v>1073</v>
      </c>
      <c r="AN741" t="s">
        <v>1074</v>
      </c>
      <c r="AO741" t="s">
        <v>125</v>
      </c>
      <c r="AP741" t="s">
        <v>750</v>
      </c>
      <c r="AQ741" s="15">
        <v>46084</v>
      </c>
      <c r="AR741" s="15"/>
      <c r="AS741" t="s">
        <v>227</v>
      </c>
      <c r="AT741">
        <v>1</v>
      </c>
      <c r="AU741">
        <v>343800</v>
      </c>
      <c r="AV741">
        <v>0</v>
      </c>
      <c r="AW741">
        <v>0</v>
      </c>
      <c r="AX741" s="14">
        <v>343800</v>
      </c>
      <c r="AY741" s="14">
        <v>0</v>
      </c>
      <c r="AZ741" s="14">
        <v>343800</v>
      </c>
      <c r="BB741" t="s">
        <v>23</v>
      </c>
      <c r="BH741" t="s">
        <v>132</v>
      </c>
      <c r="BK741" t="s">
        <v>550</v>
      </c>
      <c r="BV741" t="s">
        <v>132</v>
      </c>
      <c r="BW741" s="16">
        <v>46031.409722222219</v>
      </c>
      <c r="BX741" t="s">
        <v>143</v>
      </c>
      <c r="BZ741">
        <v>20</v>
      </c>
      <c r="CB741">
        <v>0</v>
      </c>
      <c r="CF741" t="s">
        <v>1087</v>
      </c>
      <c r="CG741">
        <v>2026</v>
      </c>
      <c r="CH741" t="s">
        <v>138</v>
      </c>
      <c r="CI741" t="s">
        <v>139</v>
      </c>
    </row>
    <row r="742" spans="1:87" x14ac:dyDescent="0.3">
      <c r="A742" t="s">
        <v>165</v>
      </c>
      <c r="B742" t="s">
        <v>116</v>
      </c>
      <c r="C742" t="s">
        <v>117</v>
      </c>
      <c r="D742" t="s">
        <v>118</v>
      </c>
      <c r="E742" t="s">
        <v>14</v>
      </c>
      <c r="F742" t="s">
        <v>291</v>
      </c>
      <c r="G742">
        <v>68</v>
      </c>
      <c r="H742">
        <v>0</v>
      </c>
      <c r="I742" s="14">
        <v>504700</v>
      </c>
      <c r="J742" s="14">
        <v>478000</v>
      </c>
      <c r="K742" t="s">
        <v>117</v>
      </c>
      <c r="L742" t="s">
        <v>118</v>
      </c>
      <c r="M742" t="s">
        <v>140</v>
      </c>
      <c r="N742" t="s">
        <v>1857</v>
      </c>
      <c r="O742">
        <v>12.5</v>
      </c>
      <c r="P742">
        <v>2.78</v>
      </c>
      <c r="Q742" s="14">
        <v>50000</v>
      </c>
      <c r="R742" s="14">
        <v>50000</v>
      </c>
      <c r="Y742" s="14"/>
      <c r="Z742" s="14"/>
      <c r="AG742" s="14"/>
      <c r="AH742" s="14"/>
      <c r="AI742" t="s">
        <v>1858</v>
      </c>
      <c r="AJ742" t="s">
        <v>1859</v>
      </c>
      <c r="AK742" t="s">
        <v>1860</v>
      </c>
      <c r="AL742">
        <v>0</v>
      </c>
      <c r="AM742" t="s">
        <v>1349</v>
      </c>
      <c r="AN742" t="s">
        <v>1350</v>
      </c>
      <c r="AO742" t="s">
        <v>125</v>
      </c>
      <c r="AP742" t="s">
        <v>205</v>
      </c>
      <c r="AQ742" s="15">
        <v>46096</v>
      </c>
      <c r="AR742" s="15">
        <v>46096</v>
      </c>
      <c r="AS742" t="s">
        <v>127</v>
      </c>
      <c r="AT742">
        <v>1</v>
      </c>
      <c r="AU742">
        <v>3000</v>
      </c>
      <c r="AV742">
        <v>0</v>
      </c>
      <c r="AW742">
        <v>0</v>
      </c>
      <c r="AX742" s="14">
        <v>3000</v>
      </c>
      <c r="AY742" s="14">
        <v>3000</v>
      </c>
      <c r="AZ742" s="14">
        <v>0</v>
      </c>
      <c r="BA742">
        <v>0</v>
      </c>
      <c r="BB742" t="s">
        <v>24</v>
      </c>
      <c r="BC742" t="s">
        <v>175</v>
      </c>
      <c r="BD742" t="s">
        <v>176</v>
      </c>
      <c r="BE742" t="s">
        <v>222</v>
      </c>
      <c r="BG742" t="s">
        <v>1861</v>
      </c>
      <c r="BH742" t="s">
        <v>132</v>
      </c>
      <c r="BJ742">
        <v>4</v>
      </c>
      <c r="BK742" t="s">
        <v>133</v>
      </c>
      <c r="BV742" t="s">
        <v>134</v>
      </c>
      <c r="BW742" s="16">
        <v>46112.405555555553</v>
      </c>
      <c r="BX742" t="s">
        <v>143</v>
      </c>
      <c r="BZ742">
        <v>23</v>
      </c>
      <c r="CA742" t="s">
        <v>1862</v>
      </c>
      <c r="CB742">
        <v>0</v>
      </c>
      <c r="CF742" t="s">
        <v>1087</v>
      </c>
      <c r="CG742">
        <v>2026</v>
      </c>
      <c r="CH742" t="s">
        <v>138</v>
      </c>
      <c r="CI742" t="s">
        <v>139</v>
      </c>
    </row>
    <row r="743" spans="1:87" x14ac:dyDescent="0.3">
      <c r="A743" t="s">
        <v>165</v>
      </c>
      <c r="B743" t="s">
        <v>116</v>
      </c>
      <c r="C743" t="s">
        <v>117</v>
      </c>
      <c r="D743" t="s">
        <v>118</v>
      </c>
      <c r="E743" t="s">
        <v>14</v>
      </c>
      <c r="F743" t="s">
        <v>291</v>
      </c>
      <c r="G743">
        <v>68</v>
      </c>
      <c r="H743">
        <v>0</v>
      </c>
      <c r="I743" s="14">
        <v>504700</v>
      </c>
      <c r="J743" s="14">
        <v>478000</v>
      </c>
      <c r="K743" t="s">
        <v>117</v>
      </c>
      <c r="L743" t="s">
        <v>118</v>
      </c>
      <c r="M743" t="s">
        <v>140</v>
      </c>
      <c r="N743" t="s">
        <v>1857</v>
      </c>
      <c r="O743">
        <v>12.5</v>
      </c>
      <c r="P743">
        <v>2.78</v>
      </c>
      <c r="Q743" s="14">
        <v>50000</v>
      </c>
      <c r="R743" s="14">
        <v>50000</v>
      </c>
      <c r="Y743" s="14"/>
      <c r="Z743" s="14"/>
      <c r="AG743" s="14"/>
      <c r="AH743" s="14"/>
      <c r="AI743" t="s">
        <v>1858</v>
      </c>
      <c r="AJ743" t="s">
        <v>1859</v>
      </c>
      <c r="AK743" t="s">
        <v>1860</v>
      </c>
      <c r="AL743">
        <v>0</v>
      </c>
      <c r="AM743" t="s">
        <v>1349</v>
      </c>
      <c r="AN743" t="s">
        <v>1350</v>
      </c>
      <c r="AO743" t="s">
        <v>125</v>
      </c>
      <c r="AP743" t="s">
        <v>205</v>
      </c>
      <c r="AQ743" s="15">
        <v>46112</v>
      </c>
      <c r="AR743" s="15">
        <v>46112</v>
      </c>
      <c r="AS743" t="s">
        <v>145</v>
      </c>
      <c r="AT743">
        <v>1</v>
      </c>
      <c r="AU743">
        <v>100000</v>
      </c>
      <c r="AV743">
        <v>0</v>
      </c>
      <c r="AW743">
        <v>0</v>
      </c>
      <c r="AX743" s="14">
        <v>100000</v>
      </c>
      <c r="AY743" s="14">
        <v>100000</v>
      </c>
      <c r="AZ743" s="14">
        <v>0</v>
      </c>
      <c r="BA743">
        <v>0</v>
      </c>
      <c r="BB743" t="s">
        <v>24</v>
      </c>
      <c r="BC743" t="s">
        <v>175</v>
      </c>
      <c r="BD743" t="s">
        <v>176</v>
      </c>
      <c r="BE743" t="s">
        <v>130</v>
      </c>
      <c r="BG743" t="s">
        <v>1863</v>
      </c>
      <c r="BH743" t="s">
        <v>132</v>
      </c>
      <c r="BJ743">
        <v>3.47</v>
      </c>
      <c r="BK743" t="s">
        <v>133</v>
      </c>
      <c r="BV743" t="s">
        <v>134</v>
      </c>
      <c r="BW743" s="16">
        <v>46112.405555555553</v>
      </c>
      <c r="BX743" t="s">
        <v>143</v>
      </c>
      <c r="BZ743">
        <v>23</v>
      </c>
      <c r="CA743" t="s">
        <v>1864</v>
      </c>
      <c r="CB743">
        <v>0</v>
      </c>
      <c r="CF743" t="s">
        <v>1087</v>
      </c>
      <c r="CG743">
        <v>2026</v>
      </c>
      <c r="CH743" t="s">
        <v>138</v>
      </c>
      <c r="CI743" t="s">
        <v>139</v>
      </c>
    </row>
    <row r="744" spans="1:87" x14ac:dyDescent="0.3">
      <c r="A744" t="s">
        <v>165</v>
      </c>
      <c r="B744" t="s">
        <v>116</v>
      </c>
      <c r="C744" t="s">
        <v>117</v>
      </c>
      <c r="D744" t="s">
        <v>118</v>
      </c>
      <c r="E744" t="s">
        <v>14</v>
      </c>
      <c r="F744" t="s">
        <v>291</v>
      </c>
      <c r="G744">
        <v>68</v>
      </c>
      <c r="H744">
        <v>0</v>
      </c>
      <c r="I744" s="14">
        <v>504700</v>
      </c>
      <c r="J744" s="14">
        <v>478000</v>
      </c>
      <c r="K744" t="s">
        <v>117</v>
      </c>
      <c r="L744" t="s">
        <v>118</v>
      </c>
      <c r="M744" t="s">
        <v>140</v>
      </c>
      <c r="N744" t="s">
        <v>1857</v>
      </c>
      <c r="O744">
        <v>12.5</v>
      </c>
      <c r="P744">
        <v>2.78</v>
      </c>
      <c r="Q744" s="14">
        <v>50000</v>
      </c>
      <c r="R744" s="14">
        <v>50000</v>
      </c>
      <c r="Y744" s="14"/>
      <c r="Z744" s="14"/>
      <c r="AG744" s="14"/>
      <c r="AH744" s="14"/>
      <c r="AI744" t="s">
        <v>1858</v>
      </c>
      <c r="AJ744" t="s">
        <v>1859</v>
      </c>
      <c r="AK744" t="s">
        <v>1860</v>
      </c>
      <c r="AL744">
        <v>0</v>
      </c>
      <c r="AM744" t="s">
        <v>1349</v>
      </c>
      <c r="AN744" t="s">
        <v>1350</v>
      </c>
      <c r="AO744" t="s">
        <v>125</v>
      </c>
      <c r="AP744" t="s">
        <v>205</v>
      </c>
      <c r="AQ744" s="15">
        <v>46127</v>
      </c>
      <c r="AR744" s="15">
        <v>46127</v>
      </c>
      <c r="AS744" t="s">
        <v>145</v>
      </c>
      <c r="AT744">
        <v>2</v>
      </c>
      <c r="AU744">
        <v>161000</v>
      </c>
      <c r="AV744">
        <v>0</v>
      </c>
      <c r="AW744">
        <v>0</v>
      </c>
      <c r="AX744" s="14">
        <v>161000</v>
      </c>
      <c r="AY744" s="14">
        <v>161000</v>
      </c>
      <c r="AZ744" s="14">
        <v>0</v>
      </c>
      <c r="BA744">
        <v>0</v>
      </c>
      <c r="BB744" t="s">
        <v>24</v>
      </c>
      <c r="BC744" t="s">
        <v>175</v>
      </c>
      <c r="BD744" t="s">
        <v>176</v>
      </c>
      <c r="BE744" t="s">
        <v>130</v>
      </c>
      <c r="BG744" t="s">
        <v>1865</v>
      </c>
      <c r="BH744" t="s">
        <v>132</v>
      </c>
      <c r="BJ744">
        <v>3.47</v>
      </c>
      <c r="BK744" t="s">
        <v>133</v>
      </c>
      <c r="BV744" t="s">
        <v>134</v>
      </c>
      <c r="BW744" s="16">
        <v>46112.405555555553</v>
      </c>
      <c r="BX744" t="s">
        <v>143</v>
      </c>
      <c r="BZ744">
        <v>23</v>
      </c>
      <c r="CA744" t="s">
        <v>1864</v>
      </c>
      <c r="CB744">
        <v>0</v>
      </c>
      <c r="CF744" t="s">
        <v>1087</v>
      </c>
      <c r="CG744">
        <v>2026</v>
      </c>
      <c r="CH744" t="s">
        <v>138</v>
      </c>
      <c r="CI744" t="s">
        <v>139</v>
      </c>
    </row>
    <row r="745" spans="1:87" x14ac:dyDescent="0.3">
      <c r="A745" t="s">
        <v>165</v>
      </c>
      <c r="B745" t="s">
        <v>116</v>
      </c>
      <c r="C745" t="s">
        <v>117</v>
      </c>
      <c r="D745" t="s">
        <v>118</v>
      </c>
      <c r="E745" t="s">
        <v>14</v>
      </c>
      <c r="F745" t="s">
        <v>291</v>
      </c>
      <c r="G745">
        <v>68</v>
      </c>
      <c r="H745">
        <v>0</v>
      </c>
      <c r="I745" s="14">
        <v>504700</v>
      </c>
      <c r="J745" s="14">
        <v>478000</v>
      </c>
      <c r="K745" t="s">
        <v>117</v>
      </c>
      <c r="L745" t="s">
        <v>118</v>
      </c>
      <c r="M745" t="s">
        <v>140</v>
      </c>
      <c r="N745" t="s">
        <v>1857</v>
      </c>
      <c r="O745">
        <v>12.5</v>
      </c>
      <c r="P745">
        <v>2.78</v>
      </c>
      <c r="Q745" s="14">
        <v>50000</v>
      </c>
      <c r="R745" s="14">
        <v>50000</v>
      </c>
      <c r="Y745" s="14"/>
      <c r="Z745" s="14"/>
      <c r="AG745" s="14"/>
      <c r="AH745" s="14"/>
      <c r="AI745" t="s">
        <v>1858</v>
      </c>
      <c r="AJ745" t="s">
        <v>1859</v>
      </c>
      <c r="AK745" t="s">
        <v>1860</v>
      </c>
      <c r="AL745">
        <v>0</v>
      </c>
      <c r="AM745" t="s">
        <v>1349</v>
      </c>
      <c r="AN745" t="s">
        <v>1350</v>
      </c>
      <c r="AO745" t="s">
        <v>125</v>
      </c>
      <c r="AP745" t="s">
        <v>205</v>
      </c>
      <c r="AQ745" s="15">
        <v>46387</v>
      </c>
      <c r="AR745" s="15"/>
      <c r="AS745" t="s">
        <v>227</v>
      </c>
      <c r="AT745">
        <v>1</v>
      </c>
      <c r="AU745">
        <v>66000</v>
      </c>
      <c r="AV745">
        <v>0</v>
      </c>
      <c r="AW745">
        <v>0</v>
      </c>
      <c r="AX745" s="14">
        <v>66000</v>
      </c>
      <c r="AY745" s="14">
        <v>0</v>
      </c>
      <c r="AZ745" s="14">
        <v>66000</v>
      </c>
      <c r="BB745" t="s">
        <v>24</v>
      </c>
      <c r="BH745" t="s">
        <v>132</v>
      </c>
      <c r="BK745" t="s">
        <v>1100</v>
      </c>
      <c r="BV745" t="s">
        <v>132</v>
      </c>
      <c r="BW745" s="16">
        <v>46112.405555555553</v>
      </c>
      <c r="BX745" t="s">
        <v>143</v>
      </c>
      <c r="BZ745">
        <v>23</v>
      </c>
      <c r="CB745">
        <v>0</v>
      </c>
      <c r="CF745" t="s">
        <v>1087</v>
      </c>
      <c r="CG745">
        <v>2026</v>
      </c>
      <c r="CH745" t="s">
        <v>138</v>
      </c>
      <c r="CI745" t="s">
        <v>139</v>
      </c>
    </row>
    <row r="746" spans="1:87" x14ac:dyDescent="0.3">
      <c r="A746" t="s">
        <v>115</v>
      </c>
      <c r="B746" t="s">
        <v>116</v>
      </c>
      <c r="C746" t="s">
        <v>117</v>
      </c>
      <c r="D746" t="s">
        <v>118</v>
      </c>
      <c r="E746" t="s">
        <v>14</v>
      </c>
      <c r="F746" t="s">
        <v>1778</v>
      </c>
      <c r="G746">
        <v>68.72</v>
      </c>
      <c r="H746">
        <v>0</v>
      </c>
      <c r="I746" s="14">
        <v>489000</v>
      </c>
      <c r="J746" s="14">
        <v>489000</v>
      </c>
      <c r="K746" t="s">
        <v>117</v>
      </c>
      <c r="L746" t="s">
        <v>118</v>
      </c>
      <c r="M746" t="s">
        <v>140</v>
      </c>
      <c r="N746" t="s">
        <v>1866</v>
      </c>
      <c r="O746">
        <v>12.51</v>
      </c>
      <c r="P746">
        <v>0</v>
      </c>
      <c r="Q746" s="14">
        <v>46000</v>
      </c>
      <c r="R746" s="14">
        <v>46000</v>
      </c>
      <c r="Y746" s="14"/>
      <c r="Z746" s="14"/>
      <c r="AG746" s="14"/>
      <c r="AH746" s="14"/>
      <c r="AI746" t="s">
        <v>1867</v>
      </c>
      <c r="AJ746" t="s">
        <v>1868</v>
      </c>
      <c r="AK746" t="s">
        <v>1869</v>
      </c>
      <c r="AL746">
        <v>0</v>
      </c>
      <c r="AM746" t="s">
        <v>1870</v>
      </c>
      <c r="AN746" t="s">
        <v>1871</v>
      </c>
      <c r="AO746" t="s">
        <v>125</v>
      </c>
      <c r="AP746" t="s">
        <v>758</v>
      </c>
      <c r="AQ746" s="15">
        <v>46033</v>
      </c>
      <c r="AR746" s="15">
        <v>46027</v>
      </c>
      <c r="AS746" t="s">
        <v>145</v>
      </c>
      <c r="AT746">
        <v>1</v>
      </c>
      <c r="AU746">
        <v>53500</v>
      </c>
      <c r="AV746">
        <v>0</v>
      </c>
      <c r="AW746">
        <v>0</v>
      </c>
      <c r="AX746" s="14">
        <v>53500</v>
      </c>
      <c r="AY746" s="14">
        <v>3000</v>
      </c>
      <c r="AZ746" s="14">
        <v>0</v>
      </c>
      <c r="BA746">
        <v>0</v>
      </c>
      <c r="BB746" t="s">
        <v>23</v>
      </c>
      <c r="BC746" t="s">
        <v>128</v>
      </c>
      <c r="BD746" t="s">
        <v>129</v>
      </c>
      <c r="BE746" t="s">
        <v>130</v>
      </c>
      <c r="BG746" t="s">
        <v>1872</v>
      </c>
      <c r="BH746" t="s">
        <v>132</v>
      </c>
      <c r="BJ746">
        <v>4</v>
      </c>
      <c r="BK746" t="s">
        <v>133</v>
      </c>
      <c r="BV746" t="s">
        <v>134</v>
      </c>
      <c r="BW746" s="16">
        <v>46033.657638888893</v>
      </c>
      <c r="BX746" t="s">
        <v>143</v>
      </c>
      <c r="BZ746">
        <v>51</v>
      </c>
      <c r="CA746" t="s">
        <v>1873</v>
      </c>
      <c r="CB746">
        <v>0</v>
      </c>
      <c r="CF746" t="s">
        <v>1087</v>
      </c>
      <c r="CG746">
        <v>2026</v>
      </c>
      <c r="CH746" t="s">
        <v>138</v>
      </c>
      <c r="CI746" t="s">
        <v>139</v>
      </c>
    </row>
    <row r="747" spans="1:87" x14ac:dyDescent="0.3">
      <c r="A747" t="s">
        <v>115</v>
      </c>
      <c r="B747" t="s">
        <v>116</v>
      </c>
      <c r="C747" t="s">
        <v>117</v>
      </c>
      <c r="D747" t="s">
        <v>118</v>
      </c>
      <c r="E747" t="s">
        <v>14</v>
      </c>
      <c r="F747" t="s">
        <v>1778</v>
      </c>
      <c r="G747">
        <v>68.72</v>
      </c>
      <c r="H747">
        <v>0</v>
      </c>
      <c r="I747" s="14">
        <v>489000</v>
      </c>
      <c r="J747" s="14">
        <v>489000</v>
      </c>
      <c r="K747" t="s">
        <v>117</v>
      </c>
      <c r="L747" t="s">
        <v>118</v>
      </c>
      <c r="M747" t="s">
        <v>140</v>
      </c>
      <c r="N747" t="s">
        <v>1866</v>
      </c>
      <c r="O747">
        <v>12.51</v>
      </c>
      <c r="P747">
        <v>0</v>
      </c>
      <c r="Q747" s="14">
        <v>46000</v>
      </c>
      <c r="R747" s="14">
        <v>46000</v>
      </c>
      <c r="Y747" s="14"/>
      <c r="Z747" s="14"/>
      <c r="AG747" s="14"/>
      <c r="AH747" s="14"/>
      <c r="AI747" t="s">
        <v>1867</v>
      </c>
      <c r="AJ747" t="s">
        <v>1868</v>
      </c>
      <c r="AK747" t="s">
        <v>1869</v>
      </c>
      <c r="AL747">
        <v>0</v>
      </c>
      <c r="AM747" t="s">
        <v>1870</v>
      </c>
      <c r="AN747" t="s">
        <v>1871</v>
      </c>
      <c r="AO747" t="s">
        <v>125</v>
      </c>
      <c r="AP747" t="s">
        <v>758</v>
      </c>
      <c r="AQ747" s="15">
        <v>46033</v>
      </c>
      <c r="AR747" s="15">
        <v>46033</v>
      </c>
      <c r="AS747" t="s">
        <v>145</v>
      </c>
      <c r="AT747">
        <v>1</v>
      </c>
      <c r="AU747">
        <v>0</v>
      </c>
      <c r="AV747">
        <v>0</v>
      </c>
      <c r="AW747">
        <v>0</v>
      </c>
      <c r="AX747" s="14">
        <v>0</v>
      </c>
      <c r="AY747" s="14">
        <v>50500</v>
      </c>
      <c r="AZ747" s="14">
        <v>0</v>
      </c>
      <c r="BA747">
        <v>0</v>
      </c>
      <c r="BB747" t="s">
        <v>23</v>
      </c>
      <c r="BC747" t="s">
        <v>128</v>
      </c>
      <c r="BD747" t="s">
        <v>129</v>
      </c>
      <c r="BE747" t="s">
        <v>130</v>
      </c>
      <c r="BG747" t="s">
        <v>1874</v>
      </c>
      <c r="BH747" t="s">
        <v>132</v>
      </c>
      <c r="BJ747">
        <v>4</v>
      </c>
      <c r="BK747" t="s">
        <v>133</v>
      </c>
      <c r="BV747" t="s">
        <v>134</v>
      </c>
      <c r="BW747" s="16">
        <v>46033.657638888893</v>
      </c>
      <c r="BX747" t="s">
        <v>143</v>
      </c>
      <c r="BZ747">
        <v>51</v>
      </c>
      <c r="CA747" t="s">
        <v>1875</v>
      </c>
      <c r="CB747">
        <v>0</v>
      </c>
      <c r="CF747" t="s">
        <v>1087</v>
      </c>
      <c r="CG747">
        <v>2026</v>
      </c>
      <c r="CH747" t="s">
        <v>138</v>
      </c>
      <c r="CI747" t="s">
        <v>139</v>
      </c>
    </row>
    <row r="748" spans="1:87" x14ac:dyDescent="0.3">
      <c r="A748" t="s">
        <v>115</v>
      </c>
      <c r="B748" t="s">
        <v>116</v>
      </c>
      <c r="C748" t="s">
        <v>117</v>
      </c>
      <c r="D748" t="s">
        <v>118</v>
      </c>
      <c r="E748" t="s">
        <v>14</v>
      </c>
      <c r="F748" t="s">
        <v>1778</v>
      </c>
      <c r="G748">
        <v>68.72</v>
      </c>
      <c r="H748">
        <v>0</v>
      </c>
      <c r="I748" s="14">
        <v>489000</v>
      </c>
      <c r="J748" s="14">
        <v>489000</v>
      </c>
      <c r="K748" t="s">
        <v>117</v>
      </c>
      <c r="L748" t="s">
        <v>118</v>
      </c>
      <c r="M748" t="s">
        <v>140</v>
      </c>
      <c r="N748" t="s">
        <v>1866</v>
      </c>
      <c r="O748">
        <v>12.51</v>
      </c>
      <c r="P748">
        <v>0</v>
      </c>
      <c r="Q748" s="14">
        <v>46000</v>
      </c>
      <c r="R748" s="14">
        <v>46000</v>
      </c>
      <c r="Y748" s="14"/>
      <c r="Z748" s="14"/>
      <c r="AG748" s="14"/>
      <c r="AH748" s="14"/>
      <c r="AI748" t="s">
        <v>1867</v>
      </c>
      <c r="AJ748" t="s">
        <v>1868</v>
      </c>
      <c r="AK748" t="s">
        <v>1869</v>
      </c>
      <c r="AL748">
        <v>0</v>
      </c>
      <c r="AM748" t="s">
        <v>1870</v>
      </c>
      <c r="AN748" t="s">
        <v>1871</v>
      </c>
      <c r="AO748" t="s">
        <v>125</v>
      </c>
      <c r="AP748" t="s">
        <v>758</v>
      </c>
      <c r="AQ748" s="15">
        <v>46081</v>
      </c>
      <c r="AR748" s="15">
        <v>46053</v>
      </c>
      <c r="AS748" t="s">
        <v>227</v>
      </c>
      <c r="AT748">
        <v>1</v>
      </c>
      <c r="AU748">
        <v>481500</v>
      </c>
      <c r="AV748">
        <v>0</v>
      </c>
      <c r="AW748">
        <v>0</v>
      </c>
      <c r="AX748" s="14">
        <v>481500</v>
      </c>
      <c r="AY748" s="14">
        <v>481500</v>
      </c>
      <c r="AZ748" s="14">
        <v>0</v>
      </c>
      <c r="BA748">
        <v>0</v>
      </c>
      <c r="BB748" t="s">
        <v>23</v>
      </c>
      <c r="BC748" t="s">
        <v>128</v>
      </c>
      <c r="BD748" t="s">
        <v>129</v>
      </c>
      <c r="BE748" t="s">
        <v>130</v>
      </c>
      <c r="BG748" t="s">
        <v>1876</v>
      </c>
      <c r="BH748" t="s">
        <v>132</v>
      </c>
      <c r="BJ748">
        <v>4</v>
      </c>
      <c r="BK748" t="s">
        <v>133</v>
      </c>
      <c r="BV748" t="s">
        <v>134</v>
      </c>
      <c r="BW748" s="16">
        <v>46033.657638888893</v>
      </c>
      <c r="BX748" t="s">
        <v>143</v>
      </c>
      <c r="BZ748">
        <v>51</v>
      </c>
      <c r="CA748" t="s">
        <v>1877</v>
      </c>
      <c r="CB748">
        <v>0</v>
      </c>
      <c r="CF748" t="s">
        <v>1087</v>
      </c>
      <c r="CG748">
        <v>2026</v>
      </c>
      <c r="CH748" t="s">
        <v>138</v>
      </c>
      <c r="CI748" t="s">
        <v>139</v>
      </c>
    </row>
    <row r="749" spans="1:87" x14ac:dyDescent="0.3">
      <c r="A749" t="s">
        <v>165</v>
      </c>
      <c r="B749" t="s">
        <v>116</v>
      </c>
      <c r="C749" t="s">
        <v>117</v>
      </c>
      <c r="D749" t="s">
        <v>118</v>
      </c>
      <c r="E749" t="s">
        <v>14</v>
      </c>
      <c r="F749" t="s">
        <v>1088</v>
      </c>
      <c r="G749">
        <v>72</v>
      </c>
      <c r="H749">
        <v>0</v>
      </c>
      <c r="I749" s="14">
        <v>482100</v>
      </c>
      <c r="J749" s="14">
        <v>482100</v>
      </c>
      <c r="K749" t="s">
        <v>117</v>
      </c>
      <c r="L749" t="s">
        <v>118</v>
      </c>
      <c r="M749" t="s">
        <v>140</v>
      </c>
      <c r="N749" t="s">
        <v>1089</v>
      </c>
      <c r="O749">
        <v>12.5</v>
      </c>
      <c r="P749">
        <v>2</v>
      </c>
      <c r="Q749" s="14">
        <v>54000</v>
      </c>
      <c r="R749" s="14">
        <v>54000</v>
      </c>
      <c r="Y749" s="14"/>
      <c r="Z749" s="14"/>
      <c r="AG749" s="14"/>
      <c r="AH749" s="14"/>
      <c r="AI749" t="s">
        <v>1090</v>
      </c>
      <c r="AJ749" t="s">
        <v>1091</v>
      </c>
      <c r="AK749" t="s">
        <v>1092</v>
      </c>
      <c r="AL749">
        <v>0</v>
      </c>
      <c r="AM749" t="s">
        <v>1093</v>
      </c>
      <c r="AN749" t="s">
        <v>1094</v>
      </c>
      <c r="AO749" t="s">
        <v>125</v>
      </c>
      <c r="AP749" t="s">
        <v>187</v>
      </c>
      <c r="AQ749" s="15">
        <v>46446</v>
      </c>
      <c r="AR749" s="15"/>
      <c r="AS749" t="s">
        <v>227</v>
      </c>
      <c r="AT749">
        <v>1</v>
      </c>
      <c r="AU749">
        <v>428880</v>
      </c>
      <c r="AV749">
        <v>0</v>
      </c>
      <c r="AW749">
        <v>0</v>
      </c>
      <c r="AX749" s="14">
        <v>428880</v>
      </c>
      <c r="AY749" s="14">
        <v>0</v>
      </c>
      <c r="AZ749" s="14">
        <v>428880</v>
      </c>
      <c r="BB749" t="s">
        <v>24</v>
      </c>
      <c r="BH749" t="s">
        <v>132</v>
      </c>
      <c r="BK749" t="s">
        <v>1100</v>
      </c>
      <c r="BV749" t="s">
        <v>132</v>
      </c>
      <c r="BW749" s="16">
        <v>46172.737500000003</v>
      </c>
      <c r="BX749" t="s">
        <v>143</v>
      </c>
      <c r="BZ749">
        <v>41</v>
      </c>
      <c r="CB749">
        <v>0</v>
      </c>
      <c r="CF749" t="s">
        <v>1878</v>
      </c>
      <c r="CG749">
        <v>2027</v>
      </c>
      <c r="CH749" t="s">
        <v>138</v>
      </c>
      <c r="CI749" t="s">
        <v>139</v>
      </c>
    </row>
    <row r="750" spans="1:87" x14ac:dyDescent="0.3">
      <c r="A750" t="s">
        <v>165</v>
      </c>
      <c r="B750" t="s">
        <v>116</v>
      </c>
      <c r="C750" t="s">
        <v>117</v>
      </c>
      <c r="D750" t="s">
        <v>118</v>
      </c>
      <c r="E750" t="s">
        <v>14</v>
      </c>
      <c r="F750" t="s">
        <v>1175</v>
      </c>
      <c r="G750">
        <v>57</v>
      </c>
      <c r="H750">
        <v>0</v>
      </c>
      <c r="I750" s="14">
        <v>422000</v>
      </c>
      <c r="J750" s="14">
        <v>370000</v>
      </c>
      <c r="Q750" s="14"/>
      <c r="R750" s="14"/>
      <c r="Y750" s="14"/>
      <c r="Z750" s="14"/>
      <c r="AG750" s="14"/>
      <c r="AH750" s="14"/>
      <c r="AI750" t="s">
        <v>1176</v>
      </c>
      <c r="AJ750" t="s">
        <v>1177</v>
      </c>
      <c r="AK750" t="s">
        <v>1178</v>
      </c>
      <c r="AL750">
        <v>0</v>
      </c>
      <c r="AM750" t="s">
        <v>1179</v>
      </c>
      <c r="AN750" t="s">
        <v>1180</v>
      </c>
      <c r="AO750" t="s">
        <v>125</v>
      </c>
      <c r="AP750" t="s">
        <v>750</v>
      </c>
      <c r="AQ750" s="15">
        <v>46598</v>
      </c>
      <c r="AR750" s="15"/>
      <c r="AS750" t="s">
        <v>227</v>
      </c>
      <c r="AT750">
        <v>2</v>
      </c>
      <c r="AU750">
        <v>240500</v>
      </c>
      <c r="AV750">
        <v>0</v>
      </c>
      <c r="AW750">
        <v>0</v>
      </c>
      <c r="AX750" s="14">
        <v>240500</v>
      </c>
      <c r="AY750" s="14">
        <v>0</v>
      </c>
      <c r="AZ750" s="14">
        <v>240500</v>
      </c>
      <c r="BB750" t="s">
        <v>22</v>
      </c>
      <c r="BH750" t="s">
        <v>132</v>
      </c>
      <c r="BK750" t="s">
        <v>1100</v>
      </c>
      <c r="BV750" t="s">
        <v>132</v>
      </c>
      <c r="BW750" s="16">
        <v>46079.4375</v>
      </c>
      <c r="BX750" t="s">
        <v>143</v>
      </c>
      <c r="BZ750">
        <v>15</v>
      </c>
      <c r="CB750">
        <v>0</v>
      </c>
      <c r="CF750" t="s">
        <v>1878</v>
      </c>
      <c r="CG750">
        <v>2027</v>
      </c>
      <c r="CH750" t="s">
        <v>138</v>
      </c>
      <c r="CI750" t="s">
        <v>139</v>
      </c>
    </row>
    <row r="751" spans="1:87" x14ac:dyDescent="0.3">
      <c r="A751" t="s">
        <v>165</v>
      </c>
      <c r="B751" t="s">
        <v>116</v>
      </c>
      <c r="C751" t="s">
        <v>117</v>
      </c>
      <c r="D751" t="s">
        <v>118</v>
      </c>
      <c r="E751" t="s">
        <v>14</v>
      </c>
      <c r="F751" t="s">
        <v>993</v>
      </c>
      <c r="G751">
        <v>68</v>
      </c>
      <c r="H751">
        <v>0</v>
      </c>
      <c r="I751" s="14">
        <v>504700</v>
      </c>
      <c r="J751" s="14">
        <v>470000</v>
      </c>
      <c r="K751" t="s">
        <v>117</v>
      </c>
      <c r="L751" t="s">
        <v>118</v>
      </c>
      <c r="M751" t="s">
        <v>140</v>
      </c>
      <c r="N751" t="s">
        <v>1248</v>
      </c>
      <c r="O751">
        <v>12.5</v>
      </c>
      <c r="P751">
        <v>1.77</v>
      </c>
      <c r="Q751" s="14">
        <v>51500</v>
      </c>
      <c r="R751" s="14">
        <v>51500</v>
      </c>
      <c r="Y751" s="14"/>
      <c r="Z751" s="14"/>
      <c r="AG751" s="14"/>
      <c r="AH751" s="14"/>
      <c r="AI751" t="s">
        <v>1249</v>
      </c>
      <c r="AJ751" t="s">
        <v>1250</v>
      </c>
      <c r="AK751" t="s">
        <v>1251</v>
      </c>
      <c r="AL751">
        <v>0</v>
      </c>
      <c r="AM751" t="s">
        <v>1252</v>
      </c>
      <c r="AN751" t="s">
        <v>1253</v>
      </c>
      <c r="AO751" t="s">
        <v>125</v>
      </c>
      <c r="AP751" t="s">
        <v>758</v>
      </c>
      <c r="AQ751" s="15">
        <v>46477</v>
      </c>
      <c r="AR751" s="15"/>
      <c r="AS751" t="s">
        <v>227</v>
      </c>
      <c r="AT751">
        <v>3</v>
      </c>
      <c r="AU751">
        <v>107750</v>
      </c>
      <c r="AV751">
        <v>0</v>
      </c>
      <c r="AW751">
        <v>0</v>
      </c>
      <c r="AX751" s="14">
        <v>107750</v>
      </c>
      <c r="AY751" s="14">
        <v>0</v>
      </c>
      <c r="AZ751" s="14">
        <v>107750</v>
      </c>
      <c r="BB751" t="s">
        <v>23</v>
      </c>
      <c r="BH751" t="s">
        <v>132</v>
      </c>
      <c r="BK751" t="s">
        <v>1100</v>
      </c>
      <c r="BV751" t="s">
        <v>132</v>
      </c>
      <c r="BW751" s="16">
        <v>46049.398611111108</v>
      </c>
      <c r="BX751" t="s">
        <v>143</v>
      </c>
      <c r="BZ751">
        <v>31</v>
      </c>
      <c r="CB751">
        <v>0</v>
      </c>
      <c r="CF751" t="s">
        <v>1878</v>
      </c>
      <c r="CG751">
        <v>2027</v>
      </c>
      <c r="CH751" t="s">
        <v>138</v>
      </c>
      <c r="CI751" t="s">
        <v>139</v>
      </c>
    </row>
    <row r="752" spans="1:87" x14ac:dyDescent="0.3">
      <c r="A752" t="s">
        <v>165</v>
      </c>
      <c r="B752" t="s">
        <v>116</v>
      </c>
      <c r="C752" t="s">
        <v>117</v>
      </c>
      <c r="D752" t="s">
        <v>118</v>
      </c>
      <c r="E752" t="s">
        <v>14</v>
      </c>
      <c r="F752" t="s">
        <v>993</v>
      </c>
      <c r="G752">
        <v>68</v>
      </c>
      <c r="H752">
        <v>0</v>
      </c>
      <c r="I752" s="14">
        <v>504700</v>
      </c>
      <c r="J752" s="14">
        <v>470000</v>
      </c>
      <c r="K752" t="s">
        <v>117</v>
      </c>
      <c r="L752" t="s">
        <v>118</v>
      </c>
      <c r="M752" t="s">
        <v>140</v>
      </c>
      <c r="N752" t="s">
        <v>1248</v>
      </c>
      <c r="O752">
        <v>12.5</v>
      </c>
      <c r="P752">
        <v>1.77</v>
      </c>
      <c r="Q752" s="14">
        <v>51500</v>
      </c>
      <c r="R752" s="14">
        <v>51500</v>
      </c>
      <c r="Y752" s="14"/>
      <c r="Z752" s="14"/>
      <c r="AG752" s="14"/>
      <c r="AH752" s="14"/>
      <c r="AI752" t="s">
        <v>1249</v>
      </c>
      <c r="AJ752" t="s">
        <v>1250</v>
      </c>
      <c r="AK752" t="s">
        <v>1251</v>
      </c>
      <c r="AL752">
        <v>0</v>
      </c>
      <c r="AM752" t="s">
        <v>1252</v>
      </c>
      <c r="AN752" t="s">
        <v>1253</v>
      </c>
      <c r="AO752" t="s">
        <v>125</v>
      </c>
      <c r="AP752" t="s">
        <v>758</v>
      </c>
      <c r="AQ752" s="15">
        <v>46599</v>
      </c>
      <c r="AR752" s="15"/>
      <c r="AS752" t="s">
        <v>227</v>
      </c>
      <c r="AT752">
        <v>4</v>
      </c>
      <c r="AU752">
        <v>107750</v>
      </c>
      <c r="AV752">
        <v>0</v>
      </c>
      <c r="AW752">
        <v>0</v>
      </c>
      <c r="AX752" s="14">
        <v>107750</v>
      </c>
      <c r="AY752" s="14">
        <v>0</v>
      </c>
      <c r="AZ752" s="14">
        <v>107750</v>
      </c>
      <c r="BB752" t="s">
        <v>23</v>
      </c>
      <c r="BH752" t="s">
        <v>132</v>
      </c>
      <c r="BK752" t="s">
        <v>1100</v>
      </c>
      <c r="BV752" t="s">
        <v>132</v>
      </c>
      <c r="BW752" s="16">
        <v>46049.398611111108</v>
      </c>
      <c r="BX752" t="s">
        <v>143</v>
      </c>
      <c r="BZ752">
        <v>31</v>
      </c>
      <c r="CB752">
        <v>0</v>
      </c>
      <c r="CF752" t="s">
        <v>1878</v>
      </c>
      <c r="CG752">
        <v>2027</v>
      </c>
      <c r="CH752" t="s">
        <v>138</v>
      </c>
      <c r="CI752" t="s">
        <v>139</v>
      </c>
    </row>
    <row r="753" spans="1:87" x14ac:dyDescent="0.3">
      <c r="A753" t="s">
        <v>165</v>
      </c>
      <c r="B753" t="s">
        <v>116</v>
      </c>
      <c r="C753" t="s">
        <v>117</v>
      </c>
      <c r="D753" t="s">
        <v>118</v>
      </c>
      <c r="E753" t="s">
        <v>14</v>
      </c>
      <c r="F753" t="s">
        <v>1295</v>
      </c>
      <c r="G753">
        <v>72</v>
      </c>
      <c r="H753">
        <v>0</v>
      </c>
      <c r="I753" s="14">
        <v>520100</v>
      </c>
      <c r="J753" s="14">
        <v>467100</v>
      </c>
      <c r="Q753" s="14"/>
      <c r="R753" s="14"/>
      <c r="Y753" s="14"/>
      <c r="Z753" s="14"/>
      <c r="AG753" s="14"/>
      <c r="AH753" s="14"/>
      <c r="AI753" t="s">
        <v>1296</v>
      </c>
      <c r="AJ753" t="s">
        <v>1297</v>
      </c>
      <c r="AK753" t="s">
        <v>1298</v>
      </c>
      <c r="AL753">
        <v>0</v>
      </c>
      <c r="AM753" t="s">
        <v>1299</v>
      </c>
      <c r="AN753" t="s">
        <v>1300</v>
      </c>
      <c r="AO753" t="s">
        <v>125</v>
      </c>
      <c r="AP753" t="s">
        <v>600</v>
      </c>
      <c r="AQ753" s="15">
        <v>46417</v>
      </c>
      <c r="AR753" s="15"/>
      <c r="AS753" t="s">
        <v>227</v>
      </c>
      <c r="AT753">
        <v>10</v>
      </c>
      <c r="AU753">
        <v>10000</v>
      </c>
      <c r="AV753">
        <v>0</v>
      </c>
      <c r="AW753">
        <v>0</v>
      </c>
      <c r="AX753" s="14">
        <v>10000</v>
      </c>
      <c r="AY753" s="14">
        <v>0</v>
      </c>
      <c r="AZ753" s="14">
        <v>10000</v>
      </c>
      <c r="BB753" t="s">
        <v>22</v>
      </c>
      <c r="BH753" t="s">
        <v>132</v>
      </c>
      <c r="BK753" t="s">
        <v>1100</v>
      </c>
      <c r="BV753" t="s">
        <v>132</v>
      </c>
      <c r="BW753" s="16">
        <v>46055.340277777781</v>
      </c>
      <c r="BX753" t="s">
        <v>143</v>
      </c>
      <c r="BZ753">
        <v>14</v>
      </c>
      <c r="CB753">
        <v>0</v>
      </c>
      <c r="CF753" t="s">
        <v>1878</v>
      </c>
      <c r="CG753">
        <v>2027</v>
      </c>
      <c r="CH753" t="s">
        <v>138</v>
      </c>
      <c r="CI753" t="s">
        <v>139</v>
      </c>
    </row>
    <row r="754" spans="1:87" x14ac:dyDescent="0.3">
      <c r="A754" t="s">
        <v>165</v>
      </c>
      <c r="B754" t="s">
        <v>116</v>
      </c>
      <c r="C754" t="s">
        <v>117</v>
      </c>
      <c r="D754" t="s">
        <v>118</v>
      </c>
      <c r="E754" t="s">
        <v>14</v>
      </c>
      <c r="F754" t="s">
        <v>1295</v>
      </c>
      <c r="G754">
        <v>72</v>
      </c>
      <c r="H754">
        <v>0</v>
      </c>
      <c r="I754" s="14">
        <v>520100</v>
      </c>
      <c r="J754" s="14">
        <v>467100</v>
      </c>
      <c r="Q754" s="14"/>
      <c r="R754" s="14"/>
      <c r="Y754" s="14"/>
      <c r="Z754" s="14"/>
      <c r="AG754" s="14"/>
      <c r="AH754" s="14"/>
      <c r="AI754" t="s">
        <v>1296</v>
      </c>
      <c r="AJ754" t="s">
        <v>1297</v>
      </c>
      <c r="AK754" t="s">
        <v>1298</v>
      </c>
      <c r="AL754">
        <v>0</v>
      </c>
      <c r="AM754" t="s">
        <v>1299</v>
      </c>
      <c r="AN754" t="s">
        <v>1300</v>
      </c>
      <c r="AO754" t="s">
        <v>125</v>
      </c>
      <c r="AP754" t="s">
        <v>600</v>
      </c>
      <c r="AQ754" s="15">
        <v>46446</v>
      </c>
      <c r="AR754" s="15"/>
      <c r="AS754" t="s">
        <v>227</v>
      </c>
      <c r="AT754">
        <v>11</v>
      </c>
      <c r="AU754">
        <v>10000</v>
      </c>
      <c r="AV754">
        <v>0</v>
      </c>
      <c r="AW754">
        <v>0</v>
      </c>
      <c r="AX754" s="14">
        <v>10000</v>
      </c>
      <c r="AY754" s="14">
        <v>0</v>
      </c>
      <c r="AZ754" s="14">
        <v>10000</v>
      </c>
      <c r="BB754" t="s">
        <v>22</v>
      </c>
      <c r="BH754" t="s">
        <v>132</v>
      </c>
      <c r="BK754" t="s">
        <v>1100</v>
      </c>
      <c r="BV754" t="s">
        <v>132</v>
      </c>
      <c r="BW754" s="16">
        <v>46055.340277777781</v>
      </c>
      <c r="BX754" t="s">
        <v>143</v>
      </c>
      <c r="BZ754">
        <v>14</v>
      </c>
      <c r="CB754">
        <v>0</v>
      </c>
      <c r="CF754" t="s">
        <v>1878</v>
      </c>
      <c r="CG754">
        <v>2027</v>
      </c>
      <c r="CH754" t="s">
        <v>138</v>
      </c>
      <c r="CI754" t="s">
        <v>139</v>
      </c>
    </row>
    <row r="755" spans="1:87" x14ac:dyDescent="0.3">
      <c r="A755" t="s">
        <v>165</v>
      </c>
      <c r="B755" t="s">
        <v>116</v>
      </c>
      <c r="C755" t="s">
        <v>117</v>
      </c>
      <c r="D755" t="s">
        <v>118</v>
      </c>
      <c r="E755" t="s">
        <v>14</v>
      </c>
      <c r="F755" t="s">
        <v>1295</v>
      </c>
      <c r="G755">
        <v>72</v>
      </c>
      <c r="H755">
        <v>0</v>
      </c>
      <c r="I755" s="14">
        <v>520100</v>
      </c>
      <c r="J755" s="14">
        <v>467100</v>
      </c>
      <c r="Q755" s="14"/>
      <c r="R755" s="14"/>
      <c r="Y755" s="14"/>
      <c r="Z755" s="14"/>
      <c r="AG755" s="14"/>
      <c r="AH755" s="14"/>
      <c r="AI755" t="s">
        <v>1296</v>
      </c>
      <c r="AJ755" t="s">
        <v>1297</v>
      </c>
      <c r="AK755" t="s">
        <v>1298</v>
      </c>
      <c r="AL755">
        <v>0</v>
      </c>
      <c r="AM755" t="s">
        <v>1299</v>
      </c>
      <c r="AN755" t="s">
        <v>1300</v>
      </c>
      <c r="AO755" t="s">
        <v>125</v>
      </c>
      <c r="AP755" t="s">
        <v>600</v>
      </c>
      <c r="AQ755" s="15">
        <v>46476</v>
      </c>
      <c r="AR755" s="15"/>
      <c r="AS755" t="s">
        <v>227</v>
      </c>
      <c r="AT755">
        <v>12</v>
      </c>
      <c r="AU755">
        <v>10000</v>
      </c>
      <c r="AV755">
        <v>0</v>
      </c>
      <c r="AW755">
        <v>0</v>
      </c>
      <c r="AX755" s="14">
        <v>10000</v>
      </c>
      <c r="AY755" s="14">
        <v>0</v>
      </c>
      <c r="AZ755" s="14">
        <v>10000</v>
      </c>
      <c r="BB755" t="s">
        <v>22</v>
      </c>
      <c r="BH755" t="s">
        <v>132</v>
      </c>
      <c r="BK755" t="s">
        <v>1100</v>
      </c>
      <c r="BV755" t="s">
        <v>132</v>
      </c>
      <c r="BW755" s="16">
        <v>46055.340277777781</v>
      </c>
      <c r="BX755" t="s">
        <v>143</v>
      </c>
      <c r="BZ755">
        <v>14</v>
      </c>
      <c r="CB755">
        <v>0</v>
      </c>
      <c r="CF755" t="s">
        <v>1878</v>
      </c>
      <c r="CG755">
        <v>2027</v>
      </c>
      <c r="CH755" t="s">
        <v>138</v>
      </c>
      <c r="CI755" t="s">
        <v>139</v>
      </c>
    </row>
    <row r="756" spans="1:87" x14ac:dyDescent="0.3">
      <c r="A756" t="s">
        <v>165</v>
      </c>
      <c r="B756" t="s">
        <v>116</v>
      </c>
      <c r="C756" t="s">
        <v>117</v>
      </c>
      <c r="D756" t="s">
        <v>118</v>
      </c>
      <c r="E756" t="s">
        <v>14</v>
      </c>
      <c r="F756" t="s">
        <v>1295</v>
      </c>
      <c r="G756">
        <v>72</v>
      </c>
      <c r="H756">
        <v>0</v>
      </c>
      <c r="I756" s="14">
        <v>520100</v>
      </c>
      <c r="J756" s="14">
        <v>467100</v>
      </c>
      <c r="Q756" s="14"/>
      <c r="R756" s="14"/>
      <c r="Y756" s="14"/>
      <c r="Z756" s="14"/>
      <c r="AG756" s="14"/>
      <c r="AH756" s="14"/>
      <c r="AI756" t="s">
        <v>1296</v>
      </c>
      <c r="AJ756" t="s">
        <v>1297</v>
      </c>
      <c r="AK756" t="s">
        <v>1298</v>
      </c>
      <c r="AL756">
        <v>0</v>
      </c>
      <c r="AM756" t="s">
        <v>1299</v>
      </c>
      <c r="AN756" t="s">
        <v>1300</v>
      </c>
      <c r="AO756" t="s">
        <v>125</v>
      </c>
      <c r="AP756" t="s">
        <v>600</v>
      </c>
      <c r="AQ756" s="15">
        <v>46507</v>
      </c>
      <c r="AR756" s="15"/>
      <c r="AS756" t="s">
        <v>227</v>
      </c>
      <c r="AT756">
        <v>13</v>
      </c>
      <c r="AU756">
        <v>10000</v>
      </c>
      <c r="AV756">
        <v>0</v>
      </c>
      <c r="AW756">
        <v>0</v>
      </c>
      <c r="AX756" s="14">
        <v>10000</v>
      </c>
      <c r="AY756" s="14">
        <v>0</v>
      </c>
      <c r="AZ756" s="14">
        <v>10000</v>
      </c>
      <c r="BB756" t="s">
        <v>22</v>
      </c>
      <c r="BH756" t="s">
        <v>132</v>
      </c>
      <c r="BK756" t="s">
        <v>1100</v>
      </c>
      <c r="BV756" t="s">
        <v>132</v>
      </c>
      <c r="BW756" s="16">
        <v>46055.340277777781</v>
      </c>
      <c r="BX756" t="s">
        <v>143</v>
      </c>
      <c r="BZ756">
        <v>14</v>
      </c>
      <c r="CB756">
        <v>0</v>
      </c>
      <c r="CF756" t="s">
        <v>1878</v>
      </c>
      <c r="CG756">
        <v>2027</v>
      </c>
      <c r="CH756" t="s">
        <v>138</v>
      </c>
      <c r="CI756" t="s">
        <v>139</v>
      </c>
    </row>
    <row r="757" spans="1:87" x14ac:dyDescent="0.3">
      <c r="A757" t="s">
        <v>165</v>
      </c>
      <c r="B757" t="s">
        <v>116</v>
      </c>
      <c r="C757" t="s">
        <v>117</v>
      </c>
      <c r="D757" t="s">
        <v>118</v>
      </c>
      <c r="E757" t="s">
        <v>14</v>
      </c>
      <c r="F757" t="s">
        <v>1295</v>
      </c>
      <c r="G757">
        <v>72</v>
      </c>
      <c r="H757">
        <v>0</v>
      </c>
      <c r="I757" s="14">
        <v>520100</v>
      </c>
      <c r="J757" s="14">
        <v>467100</v>
      </c>
      <c r="Q757" s="14"/>
      <c r="R757" s="14"/>
      <c r="Y757" s="14"/>
      <c r="Z757" s="14"/>
      <c r="AG757" s="14"/>
      <c r="AH757" s="14"/>
      <c r="AI757" t="s">
        <v>1296</v>
      </c>
      <c r="AJ757" t="s">
        <v>1297</v>
      </c>
      <c r="AK757" t="s">
        <v>1298</v>
      </c>
      <c r="AL757">
        <v>0</v>
      </c>
      <c r="AM757" t="s">
        <v>1299</v>
      </c>
      <c r="AN757" t="s">
        <v>1300</v>
      </c>
      <c r="AO757" t="s">
        <v>125</v>
      </c>
      <c r="AP757" t="s">
        <v>600</v>
      </c>
      <c r="AQ757" s="15">
        <v>46537</v>
      </c>
      <c r="AR757" s="15"/>
      <c r="AS757" t="s">
        <v>227</v>
      </c>
      <c r="AT757">
        <v>14</v>
      </c>
      <c r="AU757">
        <v>10000</v>
      </c>
      <c r="AV757">
        <v>0</v>
      </c>
      <c r="AW757">
        <v>0</v>
      </c>
      <c r="AX757" s="14">
        <v>10000</v>
      </c>
      <c r="AY757" s="14">
        <v>0</v>
      </c>
      <c r="AZ757" s="14">
        <v>10000</v>
      </c>
      <c r="BB757" t="s">
        <v>22</v>
      </c>
      <c r="BH757" t="s">
        <v>132</v>
      </c>
      <c r="BK757" t="s">
        <v>1100</v>
      </c>
      <c r="BV757" t="s">
        <v>132</v>
      </c>
      <c r="BW757" s="16">
        <v>46055.340277777781</v>
      </c>
      <c r="BX757" t="s">
        <v>143</v>
      </c>
      <c r="BZ757">
        <v>14</v>
      </c>
      <c r="CB757">
        <v>0</v>
      </c>
      <c r="CF757" t="s">
        <v>1878</v>
      </c>
      <c r="CG757">
        <v>2027</v>
      </c>
      <c r="CH757" t="s">
        <v>138</v>
      </c>
      <c r="CI757" t="s">
        <v>139</v>
      </c>
    </row>
    <row r="758" spans="1:87" x14ac:dyDescent="0.3">
      <c r="A758" t="s">
        <v>165</v>
      </c>
      <c r="B758" t="s">
        <v>116</v>
      </c>
      <c r="C758" t="s">
        <v>117</v>
      </c>
      <c r="D758" t="s">
        <v>118</v>
      </c>
      <c r="E758" t="s">
        <v>14</v>
      </c>
      <c r="F758" t="s">
        <v>1295</v>
      </c>
      <c r="G758">
        <v>72</v>
      </c>
      <c r="H758">
        <v>0</v>
      </c>
      <c r="I758" s="14">
        <v>520100</v>
      </c>
      <c r="J758" s="14">
        <v>467100</v>
      </c>
      <c r="Q758" s="14"/>
      <c r="R758" s="14"/>
      <c r="Y758" s="14"/>
      <c r="Z758" s="14"/>
      <c r="AG758" s="14"/>
      <c r="AH758" s="14"/>
      <c r="AI758" t="s">
        <v>1296</v>
      </c>
      <c r="AJ758" t="s">
        <v>1297</v>
      </c>
      <c r="AK758" t="s">
        <v>1298</v>
      </c>
      <c r="AL758">
        <v>0</v>
      </c>
      <c r="AM758" t="s">
        <v>1299</v>
      </c>
      <c r="AN758" t="s">
        <v>1300</v>
      </c>
      <c r="AO758" t="s">
        <v>125</v>
      </c>
      <c r="AP758" t="s">
        <v>600</v>
      </c>
      <c r="AQ758" s="15">
        <v>46568</v>
      </c>
      <c r="AR758" s="15"/>
      <c r="AS758" t="s">
        <v>227</v>
      </c>
      <c r="AT758">
        <v>15</v>
      </c>
      <c r="AU758">
        <v>217630</v>
      </c>
      <c r="AV758">
        <v>0</v>
      </c>
      <c r="AW758">
        <v>0</v>
      </c>
      <c r="AX758" s="14">
        <v>217630</v>
      </c>
      <c r="AY758" s="14">
        <v>0</v>
      </c>
      <c r="AZ758" s="14">
        <v>217630</v>
      </c>
      <c r="BB758" t="s">
        <v>22</v>
      </c>
      <c r="BH758" t="s">
        <v>132</v>
      </c>
      <c r="BK758" t="s">
        <v>1100</v>
      </c>
      <c r="BV758" t="s">
        <v>132</v>
      </c>
      <c r="BW758" s="16">
        <v>46055.340277777781</v>
      </c>
      <c r="BX758" t="s">
        <v>143</v>
      </c>
      <c r="BZ758">
        <v>14</v>
      </c>
      <c r="CB758">
        <v>0</v>
      </c>
      <c r="CF758" t="s">
        <v>1878</v>
      </c>
      <c r="CG758">
        <v>2027</v>
      </c>
      <c r="CH758" t="s">
        <v>138</v>
      </c>
      <c r="CI758" t="s">
        <v>139</v>
      </c>
    </row>
    <row r="759" spans="1:87" x14ac:dyDescent="0.3">
      <c r="A759" t="s">
        <v>165</v>
      </c>
      <c r="B759" t="s">
        <v>116</v>
      </c>
      <c r="C759" t="s">
        <v>117</v>
      </c>
      <c r="D759" t="s">
        <v>118</v>
      </c>
      <c r="E759" t="s">
        <v>14</v>
      </c>
      <c r="F759" t="s">
        <v>1344</v>
      </c>
      <c r="G759">
        <v>57</v>
      </c>
      <c r="H759">
        <v>0</v>
      </c>
      <c r="I759" s="14">
        <v>430000</v>
      </c>
      <c r="J759" s="14">
        <v>400000</v>
      </c>
      <c r="K759" t="s">
        <v>117</v>
      </c>
      <c r="L759" t="s">
        <v>118</v>
      </c>
      <c r="M759" t="s">
        <v>140</v>
      </c>
      <c r="N759" t="s">
        <v>1345</v>
      </c>
      <c r="O759">
        <v>12.5</v>
      </c>
      <c r="P759">
        <v>2.4500000000000002</v>
      </c>
      <c r="Q759" s="14">
        <v>48500</v>
      </c>
      <c r="R759" s="14">
        <v>48500</v>
      </c>
      <c r="Y759" s="14"/>
      <c r="Z759" s="14"/>
      <c r="AG759" s="14"/>
      <c r="AH759" s="14"/>
      <c r="AI759" t="s">
        <v>1346</v>
      </c>
      <c r="AJ759" t="s">
        <v>1347</v>
      </c>
      <c r="AK759" t="s">
        <v>1348</v>
      </c>
      <c r="AL759">
        <v>0</v>
      </c>
      <c r="AM759" t="s">
        <v>1349</v>
      </c>
      <c r="AN759" t="s">
        <v>1350</v>
      </c>
      <c r="AO759" t="s">
        <v>125</v>
      </c>
      <c r="AP759" t="s">
        <v>205</v>
      </c>
      <c r="AQ759" s="15">
        <v>46476</v>
      </c>
      <c r="AR759" s="15"/>
      <c r="AS759" t="s">
        <v>227</v>
      </c>
      <c r="AT759">
        <v>2</v>
      </c>
      <c r="AU759">
        <v>98375</v>
      </c>
      <c r="AV759">
        <v>0</v>
      </c>
      <c r="AW759">
        <v>0</v>
      </c>
      <c r="AX759" s="14">
        <v>98375</v>
      </c>
      <c r="AY759" s="14">
        <v>0</v>
      </c>
      <c r="AZ759" s="14">
        <v>98375</v>
      </c>
      <c r="BB759" t="s">
        <v>24</v>
      </c>
      <c r="BH759" t="s">
        <v>132</v>
      </c>
      <c r="BK759" t="s">
        <v>1100</v>
      </c>
      <c r="BV759" t="s">
        <v>132</v>
      </c>
      <c r="BW759" s="16">
        <v>46111.424305555563</v>
      </c>
      <c r="BX759" t="s">
        <v>143</v>
      </c>
      <c r="BZ759">
        <v>27</v>
      </c>
      <c r="CB759">
        <v>0</v>
      </c>
      <c r="CF759" t="s">
        <v>1878</v>
      </c>
      <c r="CG759">
        <v>2027</v>
      </c>
      <c r="CH759" t="s">
        <v>138</v>
      </c>
      <c r="CI759" t="s">
        <v>139</v>
      </c>
    </row>
    <row r="760" spans="1:87" x14ac:dyDescent="0.3">
      <c r="A760" t="s">
        <v>165</v>
      </c>
      <c r="B760" t="s">
        <v>116</v>
      </c>
      <c r="C760" t="s">
        <v>117</v>
      </c>
      <c r="D760" t="s">
        <v>118</v>
      </c>
      <c r="E760" t="s">
        <v>14</v>
      </c>
      <c r="F760" t="s">
        <v>1344</v>
      </c>
      <c r="G760">
        <v>57</v>
      </c>
      <c r="H760">
        <v>0</v>
      </c>
      <c r="I760" s="14">
        <v>430000</v>
      </c>
      <c r="J760" s="14">
        <v>400000</v>
      </c>
      <c r="K760" t="s">
        <v>117</v>
      </c>
      <c r="L760" t="s">
        <v>118</v>
      </c>
      <c r="M760" t="s">
        <v>140</v>
      </c>
      <c r="N760" t="s">
        <v>1345</v>
      </c>
      <c r="O760">
        <v>12.5</v>
      </c>
      <c r="P760">
        <v>2.4500000000000002</v>
      </c>
      <c r="Q760" s="14">
        <v>48500</v>
      </c>
      <c r="R760" s="14">
        <v>48500</v>
      </c>
      <c r="Y760" s="14"/>
      <c r="Z760" s="14"/>
      <c r="AG760" s="14"/>
      <c r="AH760" s="14"/>
      <c r="AI760" t="s">
        <v>1346</v>
      </c>
      <c r="AJ760" t="s">
        <v>1347</v>
      </c>
      <c r="AK760" t="s">
        <v>1348</v>
      </c>
      <c r="AL760">
        <v>0</v>
      </c>
      <c r="AM760" t="s">
        <v>1349</v>
      </c>
      <c r="AN760" t="s">
        <v>1350</v>
      </c>
      <c r="AO760" t="s">
        <v>125</v>
      </c>
      <c r="AP760" t="s">
        <v>205</v>
      </c>
      <c r="AQ760" s="15">
        <v>46568</v>
      </c>
      <c r="AR760" s="15"/>
      <c r="AS760" t="s">
        <v>227</v>
      </c>
      <c r="AT760">
        <v>3</v>
      </c>
      <c r="AU760">
        <v>98375</v>
      </c>
      <c r="AV760">
        <v>0</v>
      </c>
      <c r="AW760">
        <v>0</v>
      </c>
      <c r="AX760" s="14">
        <v>98375</v>
      </c>
      <c r="AY760" s="14">
        <v>0</v>
      </c>
      <c r="AZ760" s="14">
        <v>98375</v>
      </c>
      <c r="BB760" t="s">
        <v>24</v>
      </c>
      <c r="BH760" t="s">
        <v>132</v>
      </c>
      <c r="BK760" t="s">
        <v>1100</v>
      </c>
      <c r="BV760" t="s">
        <v>132</v>
      </c>
      <c r="BW760" s="16">
        <v>46111.424305555563</v>
      </c>
      <c r="BX760" t="s">
        <v>143</v>
      </c>
      <c r="BZ760">
        <v>27</v>
      </c>
      <c r="CB760">
        <v>0</v>
      </c>
      <c r="CF760" t="s">
        <v>1878</v>
      </c>
      <c r="CG760">
        <v>2027</v>
      </c>
      <c r="CH760" t="s">
        <v>138</v>
      </c>
      <c r="CI760" t="s">
        <v>139</v>
      </c>
    </row>
    <row r="761" spans="1:87" x14ac:dyDescent="0.3">
      <c r="A761" t="s">
        <v>165</v>
      </c>
      <c r="B761" t="s">
        <v>116</v>
      </c>
      <c r="C761" t="s">
        <v>117</v>
      </c>
      <c r="D761" t="s">
        <v>118</v>
      </c>
      <c r="E761" t="s">
        <v>14</v>
      </c>
      <c r="F761" t="s">
        <v>1344</v>
      </c>
      <c r="G761">
        <v>57</v>
      </c>
      <c r="H761">
        <v>0</v>
      </c>
      <c r="I761" s="14">
        <v>430000</v>
      </c>
      <c r="J761" s="14">
        <v>400000</v>
      </c>
      <c r="K761" t="s">
        <v>117</v>
      </c>
      <c r="L761" t="s">
        <v>118</v>
      </c>
      <c r="M761" t="s">
        <v>140</v>
      </c>
      <c r="N761" t="s">
        <v>1345</v>
      </c>
      <c r="O761">
        <v>12.5</v>
      </c>
      <c r="P761">
        <v>2.4500000000000002</v>
      </c>
      <c r="Q761" s="14">
        <v>48500</v>
      </c>
      <c r="R761" s="14">
        <v>48500</v>
      </c>
      <c r="Y761" s="14"/>
      <c r="Z761" s="14"/>
      <c r="AG761" s="14"/>
      <c r="AH761" s="14"/>
      <c r="AI761" t="s">
        <v>1346</v>
      </c>
      <c r="AJ761" t="s">
        <v>1347</v>
      </c>
      <c r="AK761" t="s">
        <v>1348</v>
      </c>
      <c r="AL761">
        <v>0</v>
      </c>
      <c r="AM761" t="s">
        <v>1349</v>
      </c>
      <c r="AN761" t="s">
        <v>1350</v>
      </c>
      <c r="AO761" t="s">
        <v>125</v>
      </c>
      <c r="AP761" t="s">
        <v>205</v>
      </c>
      <c r="AQ761" s="15">
        <v>46598</v>
      </c>
      <c r="AR761" s="15"/>
      <c r="AS761" t="s">
        <v>227</v>
      </c>
      <c r="AT761">
        <v>4</v>
      </c>
      <c r="AU761">
        <v>98375</v>
      </c>
      <c r="AV761">
        <v>0</v>
      </c>
      <c r="AW761">
        <v>0</v>
      </c>
      <c r="AX761" s="14">
        <v>98375</v>
      </c>
      <c r="AY761" s="14">
        <v>0</v>
      </c>
      <c r="AZ761" s="14">
        <v>98375</v>
      </c>
      <c r="BB761" t="s">
        <v>24</v>
      </c>
      <c r="BH761" t="s">
        <v>132</v>
      </c>
      <c r="BK761" t="s">
        <v>1100</v>
      </c>
      <c r="BV761" t="s">
        <v>132</v>
      </c>
      <c r="BW761" s="16">
        <v>46111.424305555563</v>
      </c>
      <c r="BX761" t="s">
        <v>143</v>
      </c>
      <c r="BZ761">
        <v>27</v>
      </c>
      <c r="CB761">
        <v>0</v>
      </c>
      <c r="CF761" t="s">
        <v>1878</v>
      </c>
      <c r="CG761">
        <v>2027</v>
      </c>
      <c r="CH761" t="s">
        <v>138</v>
      </c>
      <c r="CI761" t="s">
        <v>139</v>
      </c>
    </row>
    <row r="762" spans="1:87" x14ac:dyDescent="0.3">
      <c r="A762" t="s">
        <v>165</v>
      </c>
      <c r="B762" t="s">
        <v>116</v>
      </c>
      <c r="C762" t="s">
        <v>117</v>
      </c>
      <c r="D762" t="s">
        <v>118</v>
      </c>
      <c r="E762" t="s">
        <v>14</v>
      </c>
      <c r="F762" t="s">
        <v>1425</v>
      </c>
      <c r="G762">
        <v>70</v>
      </c>
      <c r="H762">
        <v>0</v>
      </c>
      <c r="I762" s="14">
        <v>531100</v>
      </c>
      <c r="J762" s="14">
        <v>483000</v>
      </c>
      <c r="Q762" s="14"/>
      <c r="R762" s="14"/>
      <c r="Y762" s="14"/>
      <c r="Z762" s="14"/>
      <c r="AG762" s="14"/>
      <c r="AH762" s="14"/>
      <c r="AI762" t="s">
        <v>1426</v>
      </c>
      <c r="AJ762" t="s">
        <v>1427</v>
      </c>
      <c r="AK762" t="s">
        <v>1428</v>
      </c>
      <c r="AL762">
        <v>0</v>
      </c>
      <c r="AM762" t="s">
        <v>1429</v>
      </c>
      <c r="AN762" t="s">
        <v>1430</v>
      </c>
      <c r="AO762" t="s">
        <v>125</v>
      </c>
      <c r="AP762" t="s">
        <v>318</v>
      </c>
      <c r="AQ762" s="15">
        <v>46445</v>
      </c>
      <c r="AR762" s="15"/>
      <c r="AS762" t="s">
        <v>227</v>
      </c>
      <c r="AT762">
        <v>1</v>
      </c>
      <c r="AU762">
        <v>363000</v>
      </c>
      <c r="AV762">
        <v>0</v>
      </c>
      <c r="AW762">
        <v>0</v>
      </c>
      <c r="AX762" s="14">
        <v>363000</v>
      </c>
      <c r="AY762" s="14">
        <v>0</v>
      </c>
      <c r="AZ762" s="14">
        <v>363000</v>
      </c>
      <c r="BB762" t="s">
        <v>24</v>
      </c>
      <c r="BH762" t="s">
        <v>132</v>
      </c>
      <c r="BK762" t="s">
        <v>1100</v>
      </c>
      <c r="BV762" t="s">
        <v>132</v>
      </c>
      <c r="BW762" s="16">
        <v>46172.401388888888</v>
      </c>
      <c r="BX762" t="s">
        <v>178</v>
      </c>
      <c r="BZ762">
        <v>46</v>
      </c>
      <c r="CB762">
        <v>0</v>
      </c>
      <c r="CF762" t="s">
        <v>1878</v>
      </c>
      <c r="CG762">
        <v>2027</v>
      </c>
      <c r="CH762" t="s">
        <v>138</v>
      </c>
      <c r="CI762" t="s">
        <v>139</v>
      </c>
    </row>
    <row r="763" spans="1:87" x14ac:dyDescent="0.3">
      <c r="A763" t="s">
        <v>165</v>
      </c>
      <c r="B763" t="s">
        <v>116</v>
      </c>
      <c r="C763" t="s">
        <v>117</v>
      </c>
      <c r="D763" t="s">
        <v>118</v>
      </c>
      <c r="E763" t="s">
        <v>14</v>
      </c>
      <c r="F763" t="s">
        <v>1448</v>
      </c>
      <c r="G763">
        <v>68</v>
      </c>
      <c r="H763">
        <v>0</v>
      </c>
      <c r="I763" s="14">
        <v>504700</v>
      </c>
      <c r="J763" s="14">
        <v>453700</v>
      </c>
      <c r="K763" t="s">
        <v>117</v>
      </c>
      <c r="L763" t="s">
        <v>118</v>
      </c>
      <c r="M763" t="s">
        <v>140</v>
      </c>
      <c r="N763" t="s">
        <v>1449</v>
      </c>
      <c r="O763">
        <v>12.5</v>
      </c>
      <c r="P763">
        <v>2.8</v>
      </c>
      <c r="Q763" s="14">
        <v>50000</v>
      </c>
      <c r="R763" s="14">
        <v>50000</v>
      </c>
      <c r="Y763" s="14"/>
      <c r="Z763" s="14"/>
      <c r="AG763" s="14"/>
      <c r="AH763" s="14"/>
      <c r="AI763" t="s">
        <v>1450</v>
      </c>
      <c r="AJ763" t="s">
        <v>1451</v>
      </c>
      <c r="AK763" t="s">
        <v>1452</v>
      </c>
      <c r="AL763">
        <v>0</v>
      </c>
      <c r="AM763" t="s">
        <v>1453</v>
      </c>
      <c r="AN763" t="s">
        <v>1454</v>
      </c>
      <c r="AO763" t="s">
        <v>125</v>
      </c>
      <c r="AP763" t="s">
        <v>152</v>
      </c>
      <c r="AQ763" s="15">
        <v>46418</v>
      </c>
      <c r="AR763" s="15"/>
      <c r="AS763" t="s">
        <v>227</v>
      </c>
      <c r="AT763">
        <v>1</v>
      </c>
      <c r="AU763">
        <v>453330</v>
      </c>
      <c r="AV763">
        <v>0</v>
      </c>
      <c r="AW763">
        <v>0</v>
      </c>
      <c r="AX763" s="14">
        <v>453330</v>
      </c>
      <c r="AY763" s="14">
        <v>0</v>
      </c>
      <c r="AZ763" s="14">
        <v>453330</v>
      </c>
      <c r="BB763" t="s">
        <v>24</v>
      </c>
      <c r="BH763" t="s">
        <v>132</v>
      </c>
      <c r="BK763" t="s">
        <v>1100</v>
      </c>
      <c r="BV763" t="s">
        <v>132</v>
      </c>
      <c r="BW763" s="16">
        <v>46170.446527777778</v>
      </c>
      <c r="BX763" t="s">
        <v>135</v>
      </c>
      <c r="BZ763">
        <v>40</v>
      </c>
      <c r="CB763">
        <v>0</v>
      </c>
      <c r="CF763" t="s">
        <v>1878</v>
      </c>
      <c r="CG763">
        <v>2027</v>
      </c>
      <c r="CH763" t="s">
        <v>138</v>
      </c>
      <c r="CI763" t="s">
        <v>139</v>
      </c>
    </row>
    <row r="764" spans="1:87" x14ac:dyDescent="0.3">
      <c r="A764" t="s">
        <v>165</v>
      </c>
      <c r="B764" t="s">
        <v>116</v>
      </c>
      <c r="C764" t="s">
        <v>117</v>
      </c>
      <c r="D764" t="s">
        <v>118</v>
      </c>
      <c r="E764" t="s">
        <v>14</v>
      </c>
      <c r="F764" t="s">
        <v>1003</v>
      </c>
      <c r="G764">
        <v>72</v>
      </c>
      <c r="H764">
        <v>0</v>
      </c>
      <c r="I764" s="14">
        <v>532100</v>
      </c>
      <c r="J764" s="14">
        <v>501100</v>
      </c>
      <c r="Q764" s="14"/>
      <c r="R764" s="14"/>
      <c r="Y764" s="14"/>
      <c r="Z764" s="14"/>
      <c r="AG764" s="14"/>
      <c r="AH764" s="14"/>
      <c r="AI764" t="s">
        <v>1459</v>
      </c>
      <c r="AJ764" t="s">
        <v>1460</v>
      </c>
      <c r="AK764" t="s">
        <v>1461</v>
      </c>
      <c r="AL764">
        <v>0</v>
      </c>
      <c r="AM764" t="s">
        <v>1462</v>
      </c>
      <c r="AN764" t="s">
        <v>1463</v>
      </c>
      <c r="AO764" t="s">
        <v>125</v>
      </c>
      <c r="AP764" t="s">
        <v>196</v>
      </c>
      <c r="AQ764" s="15">
        <v>46446</v>
      </c>
      <c r="AR764" s="15"/>
      <c r="AS764" t="s">
        <v>1055</v>
      </c>
      <c r="AT764">
        <v>2</v>
      </c>
      <c r="AU764">
        <v>25055</v>
      </c>
      <c r="AV764">
        <v>0</v>
      </c>
      <c r="AW764">
        <v>0</v>
      </c>
      <c r="AX764" s="14">
        <v>25055</v>
      </c>
      <c r="AY764" s="14">
        <v>0</v>
      </c>
      <c r="AZ764" s="14">
        <v>25055</v>
      </c>
      <c r="BB764" t="s">
        <v>24</v>
      </c>
      <c r="BH764" t="s">
        <v>132</v>
      </c>
      <c r="BK764" t="s">
        <v>1100</v>
      </c>
      <c r="BV764" t="s">
        <v>132</v>
      </c>
      <c r="BW764" s="16">
        <v>46164.38958333333</v>
      </c>
      <c r="BX764" t="s">
        <v>1413</v>
      </c>
      <c r="BZ764">
        <v>8</v>
      </c>
      <c r="CB764">
        <v>0</v>
      </c>
      <c r="CF764" t="s">
        <v>1878</v>
      </c>
      <c r="CG764">
        <v>2027</v>
      </c>
      <c r="CH764" t="s">
        <v>138</v>
      </c>
      <c r="CI764" t="s">
        <v>139</v>
      </c>
    </row>
    <row r="765" spans="1:87" x14ac:dyDescent="0.3">
      <c r="A765" t="s">
        <v>165</v>
      </c>
      <c r="B765" t="s">
        <v>116</v>
      </c>
      <c r="C765" t="s">
        <v>117</v>
      </c>
      <c r="D765" t="s">
        <v>118</v>
      </c>
      <c r="E765" t="s">
        <v>14</v>
      </c>
      <c r="F765" t="s">
        <v>1003</v>
      </c>
      <c r="G765">
        <v>72</v>
      </c>
      <c r="H765">
        <v>0</v>
      </c>
      <c r="I765" s="14">
        <v>532100</v>
      </c>
      <c r="J765" s="14">
        <v>501100</v>
      </c>
      <c r="Q765" s="14"/>
      <c r="R765" s="14"/>
      <c r="Y765" s="14"/>
      <c r="Z765" s="14"/>
      <c r="AG765" s="14"/>
      <c r="AH765" s="14"/>
      <c r="AI765" t="s">
        <v>1459</v>
      </c>
      <c r="AJ765" t="s">
        <v>1460</v>
      </c>
      <c r="AK765" t="s">
        <v>1461</v>
      </c>
      <c r="AL765">
        <v>0</v>
      </c>
      <c r="AM765" t="s">
        <v>1462</v>
      </c>
      <c r="AN765" t="s">
        <v>1463</v>
      </c>
      <c r="AO765" t="s">
        <v>125</v>
      </c>
      <c r="AP765" t="s">
        <v>196</v>
      </c>
      <c r="AQ765" s="15">
        <v>46477</v>
      </c>
      <c r="AR765" s="15"/>
      <c r="AS765" t="s">
        <v>227</v>
      </c>
      <c r="AT765">
        <v>1</v>
      </c>
      <c r="AU765">
        <v>450990</v>
      </c>
      <c r="AV765">
        <v>0</v>
      </c>
      <c r="AW765">
        <v>0</v>
      </c>
      <c r="AX765" s="14">
        <v>450990</v>
      </c>
      <c r="AY765" s="14">
        <v>0</v>
      </c>
      <c r="AZ765" s="14">
        <v>450990</v>
      </c>
      <c r="BB765" t="s">
        <v>24</v>
      </c>
      <c r="BH765" t="s">
        <v>132</v>
      </c>
      <c r="BK765" t="s">
        <v>1100</v>
      </c>
      <c r="BV765" t="s">
        <v>132</v>
      </c>
      <c r="BW765" s="16">
        <v>46164.38958333333</v>
      </c>
      <c r="BX765" t="s">
        <v>1413</v>
      </c>
      <c r="BZ765">
        <v>8</v>
      </c>
      <c r="CB765">
        <v>0</v>
      </c>
      <c r="CF765" t="s">
        <v>1878</v>
      </c>
      <c r="CG765">
        <v>2027</v>
      </c>
      <c r="CH765" t="s">
        <v>138</v>
      </c>
      <c r="CI765" t="s">
        <v>139</v>
      </c>
    </row>
    <row r="766" spans="1:87" x14ac:dyDescent="0.3">
      <c r="A766" t="s">
        <v>165</v>
      </c>
      <c r="B766" t="s">
        <v>116</v>
      </c>
      <c r="C766" t="s">
        <v>117</v>
      </c>
      <c r="D766" t="s">
        <v>118</v>
      </c>
      <c r="E766" t="s">
        <v>14</v>
      </c>
      <c r="F766" t="s">
        <v>875</v>
      </c>
      <c r="G766">
        <v>68</v>
      </c>
      <c r="H766">
        <v>0</v>
      </c>
      <c r="I766" s="14">
        <v>510000</v>
      </c>
      <c r="J766" s="14">
        <v>476700</v>
      </c>
      <c r="K766" t="s">
        <v>117</v>
      </c>
      <c r="L766" t="s">
        <v>118</v>
      </c>
      <c r="M766" t="s">
        <v>140</v>
      </c>
      <c r="N766" t="s">
        <v>1468</v>
      </c>
      <c r="O766">
        <v>12.5</v>
      </c>
      <c r="P766">
        <v>1.72</v>
      </c>
      <c r="Q766" s="14">
        <v>48600</v>
      </c>
      <c r="R766" s="14">
        <v>48600</v>
      </c>
      <c r="Y766" s="14"/>
      <c r="Z766" s="14"/>
      <c r="AG766" s="14"/>
      <c r="AH766" s="14"/>
      <c r="AI766" t="s">
        <v>1469</v>
      </c>
      <c r="AJ766" t="s">
        <v>1470</v>
      </c>
      <c r="AK766" t="s">
        <v>1471</v>
      </c>
      <c r="AL766">
        <v>0</v>
      </c>
      <c r="AM766" t="s">
        <v>1472</v>
      </c>
      <c r="AN766" t="s">
        <v>1471</v>
      </c>
      <c r="AO766" t="s">
        <v>125</v>
      </c>
      <c r="AP766" t="s">
        <v>366</v>
      </c>
      <c r="AQ766" s="15">
        <v>46568</v>
      </c>
      <c r="AR766" s="15"/>
      <c r="AS766" t="s">
        <v>227</v>
      </c>
      <c r="AT766">
        <v>2</v>
      </c>
      <c r="AU766">
        <v>262650</v>
      </c>
      <c r="AV766">
        <v>0</v>
      </c>
      <c r="AW766">
        <v>0</v>
      </c>
      <c r="AX766" s="14">
        <v>262650</v>
      </c>
      <c r="AY766" s="14">
        <v>0</v>
      </c>
      <c r="AZ766" s="14">
        <v>262650</v>
      </c>
      <c r="BB766" t="s">
        <v>22</v>
      </c>
      <c r="BH766" t="s">
        <v>132</v>
      </c>
      <c r="BK766" t="s">
        <v>1100</v>
      </c>
      <c r="BV766" t="s">
        <v>132</v>
      </c>
      <c r="BW766" s="16">
        <v>46142.418055555558</v>
      </c>
      <c r="BX766" t="s">
        <v>143</v>
      </c>
      <c r="BZ766">
        <v>18</v>
      </c>
      <c r="CB766">
        <v>0</v>
      </c>
      <c r="CF766" t="s">
        <v>1878</v>
      </c>
      <c r="CG766">
        <v>2027</v>
      </c>
      <c r="CH766" t="s">
        <v>138</v>
      </c>
      <c r="CI766" t="s">
        <v>139</v>
      </c>
    </row>
    <row r="767" spans="1:87" x14ac:dyDescent="0.3">
      <c r="A767" t="s">
        <v>426</v>
      </c>
      <c r="B767" t="s">
        <v>116</v>
      </c>
      <c r="C767" t="s">
        <v>117</v>
      </c>
      <c r="D767" t="s">
        <v>118</v>
      </c>
      <c r="E767" t="s">
        <v>140</v>
      </c>
      <c r="F767" t="s">
        <v>1485</v>
      </c>
      <c r="G767">
        <v>15.35</v>
      </c>
      <c r="H767">
        <v>0</v>
      </c>
      <c r="I767" s="14">
        <v>54000</v>
      </c>
      <c r="J767" s="14">
        <v>54000</v>
      </c>
      <c r="Q767" s="14"/>
      <c r="R767" s="14"/>
      <c r="Y767" s="14"/>
      <c r="Z767" s="14"/>
      <c r="AG767" s="14"/>
      <c r="AH767" s="14"/>
      <c r="AI767" t="s">
        <v>1486</v>
      </c>
      <c r="AJ767" t="s">
        <v>771</v>
      </c>
      <c r="AK767" t="s">
        <v>772</v>
      </c>
      <c r="AL767">
        <v>0</v>
      </c>
      <c r="AM767" t="s">
        <v>773</v>
      </c>
      <c r="AN767" t="s">
        <v>774</v>
      </c>
      <c r="AO767" t="s">
        <v>125</v>
      </c>
      <c r="AP767" t="s">
        <v>152</v>
      </c>
      <c r="AQ767" s="15">
        <v>46417</v>
      </c>
      <c r="AR767" s="15"/>
      <c r="AS767" t="s">
        <v>227</v>
      </c>
      <c r="AT767">
        <v>8</v>
      </c>
      <c r="AU767">
        <v>3666.67</v>
      </c>
      <c r="AV767">
        <v>0</v>
      </c>
      <c r="AW767">
        <v>0</v>
      </c>
      <c r="AX767" s="14">
        <v>3666.67</v>
      </c>
      <c r="AY767" s="14">
        <v>0</v>
      </c>
      <c r="AZ767" s="14">
        <v>3666.67</v>
      </c>
      <c r="BB767" t="s">
        <v>22</v>
      </c>
      <c r="BH767" t="s">
        <v>132</v>
      </c>
      <c r="BK767" t="s">
        <v>1100</v>
      </c>
      <c r="BV767" t="s">
        <v>132</v>
      </c>
      <c r="BW767" s="16">
        <v>46079.419444444437</v>
      </c>
      <c r="BX767" t="s">
        <v>143</v>
      </c>
      <c r="BZ767">
        <v>17</v>
      </c>
      <c r="CB767">
        <v>0</v>
      </c>
      <c r="CF767" t="s">
        <v>1878</v>
      </c>
      <c r="CG767">
        <v>2027</v>
      </c>
      <c r="CH767" t="s">
        <v>138</v>
      </c>
      <c r="CI767" t="s">
        <v>139</v>
      </c>
    </row>
    <row r="768" spans="1:87" x14ac:dyDescent="0.3">
      <c r="A768" t="s">
        <v>426</v>
      </c>
      <c r="B768" t="s">
        <v>116</v>
      </c>
      <c r="C768" t="s">
        <v>117</v>
      </c>
      <c r="D768" t="s">
        <v>118</v>
      </c>
      <c r="E768" t="s">
        <v>140</v>
      </c>
      <c r="F768" t="s">
        <v>1485</v>
      </c>
      <c r="G768">
        <v>15.35</v>
      </c>
      <c r="H768">
        <v>0</v>
      </c>
      <c r="I768" s="14">
        <v>54000</v>
      </c>
      <c r="J768" s="14">
        <v>54000</v>
      </c>
      <c r="Q768" s="14"/>
      <c r="R768" s="14"/>
      <c r="Y768" s="14"/>
      <c r="Z768" s="14"/>
      <c r="AG768" s="14"/>
      <c r="AH768" s="14"/>
      <c r="AI768" t="s">
        <v>1486</v>
      </c>
      <c r="AJ768" t="s">
        <v>771</v>
      </c>
      <c r="AK768" t="s">
        <v>772</v>
      </c>
      <c r="AL768">
        <v>0</v>
      </c>
      <c r="AM768" t="s">
        <v>773</v>
      </c>
      <c r="AN768" t="s">
        <v>774</v>
      </c>
      <c r="AO768" t="s">
        <v>125</v>
      </c>
      <c r="AP768" t="s">
        <v>152</v>
      </c>
      <c r="AQ768" s="15">
        <v>46446</v>
      </c>
      <c r="AR768" s="15"/>
      <c r="AS768" t="s">
        <v>227</v>
      </c>
      <c r="AT768">
        <v>9</v>
      </c>
      <c r="AU768">
        <v>3666.67</v>
      </c>
      <c r="AV768">
        <v>0</v>
      </c>
      <c r="AW768">
        <v>0</v>
      </c>
      <c r="AX768" s="14">
        <v>3666.67</v>
      </c>
      <c r="AY768" s="14">
        <v>0</v>
      </c>
      <c r="AZ768" s="14">
        <v>3666.67</v>
      </c>
      <c r="BB768" t="s">
        <v>22</v>
      </c>
      <c r="BH768" t="s">
        <v>132</v>
      </c>
      <c r="BK768" t="s">
        <v>1100</v>
      </c>
      <c r="BV768" t="s">
        <v>132</v>
      </c>
      <c r="BW768" s="16">
        <v>46079.419444444437</v>
      </c>
      <c r="BX768" t="s">
        <v>143</v>
      </c>
      <c r="BZ768">
        <v>17</v>
      </c>
      <c r="CB768">
        <v>0</v>
      </c>
      <c r="CF768" t="s">
        <v>1878</v>
      </c>
      <c r="CG768">
        <v>2027</v>
      </c>
      <c r="CH768" t="s">
        <v>138</v>
      </c>
      <c r="CI768" t="s">
        <v>139</v>
      </c>
    </row>
    <row r="769" spans="1:87" x14ac:dyDescent="0.3">
      <c r="A769" t="s">
        <v>426</v>
      </c>
      <c r="B769" t="s">
        <v>116</v>
      </c>
      <c r="C769" t="s">
        <v>117</v>
      </c>
      <c r="D769" t="s">
        <v>118</v>
      </c>
      <c r="E769" t="s">
        <v>140</v>
      </c>
      <c r="F769" t="s">
        <v>1485</v>
      </c>
      <c r="G769">
        <v>15.35</v>
      </c>
      <c r="H769">
        <v>0</v>
      </c>
      <c r="I769" s="14">
        <v>54000</v>
      </c>
      <c r="J769" s="14">
        <v>54000</v>
      </c>
      <c r="Q769" s="14"/>
      <c r="R769" s="14"/>
      <c r="Y769" s="14"/>
      <c r="Z769" s="14"/>
      <c r="AG769" s="14"/>
      <c r="AH769" s="14"/>
      <c r="AI769" t="s">
        <v>1486</v>
      </c>
      <c r="AJ769" t="s">
        <v>771</v>
      </c>
      <c r="AK769" t="s">
        <v>772</v>
      </c>
      <c r="AL769">
        <v>0</v>
      </c>
      <c r="AM769" t="s">
        <v>773</v>
      </c>
      <c r="AN769" t="s">
        <v>774</v>
      </c>
      <c r="AO769" t="s">
        <v>125</v>
      </c>
      <c r="AP769" t="s">
        <v>152</v>
      </c>
      <c r="AQ769" s="15">
        <v>46476</v>
      </c>
      <c r="AR769" s="15"/>
      <c r="AS769" t="s">
        <v>227</v>
      </c>
      <c r="AT769">
        <v>10</v>
      </c>
      <c r="AU769">
        <v>3666.67</v>
      </c>
      <c r="AV769">
        <v>0</v>
      </c>
      <c r="AW769">
        <v>0</v>
      </c>
      <c r="AX769" s="14">
        <v>3666.67</v>
      </c>
      <c r="AY769" s="14">
        <v>0</v>
      </c>
      <c r="AZ769" s="14">
        <v>3666.67</v>
      </c>
      <c r="BB769" t="s">
        <v>22</v>
      </c>
      <c r="BH769" t="s">
        <v>132</v>
      </c>
      <c r="BK769" t="s">
        <v>1100</v>
      </c>
      <c r="BV769" t="s">
        <v>132</v>
      </c>
      <c r="BW769" s="16">
        <v>46079.419444444437</v>
      </c>
      <c r="BX769" t="s">
        <v>143</v>
      </c>
      <c r="BZ769">
        <v>17</v>
      </c>
      <c r="CB769">
        <v>0</v>
      </c>
      <c r="CF769" t="s">
        <v>1878</v>
      </c>
      <c r="CG769">
        <v>2027</v>
      </c>
      <c r="CH769" t="s">
        <v>138</v>
      </c>
      <c r="CI769" t="s">
        <v>139</v>
      </c>
    </row>
    <row r="770" spans="1:87" x14ac:dyDescent="0.3">
      <c r="A770" t="s">
        <v>426</v>
      </c>
      <c r="B770" t="s">
        <v>116</v>
      </c>
      <c r="C770" t="s">
        <v>117</v>
      </c>
      <c r="D770" t="s">
        <v>118</v>
      </c>
      <c r="E770" t="s">
        <v>140</v>
      </c>
      <c r="F770" t="s">
        <v>1485</v>
      </c>
      <c r="G770">
        <v>15.35</v>
      </c>
      <c r="H770">
        <v>0</v>
      </c>
      <c r="I770" s="14">
        <v>54000</v>
      </c>
      <c r="J770" s="14">
        <v>54000</v>
      </c>
      <c r="Q770" s="14"/>
      <c r="R770" s="14"/>
      <c r="Y770" s="14"/>
      <c r="Z770" s="14"/>
      <c r="AG770" s="14"/>
      <c r="AH770" s="14"/>
      <c r="AI770" t="s">
        <v>1486</v>
      </c>
      <c r="AJ770" t="s">
        <v>771</v>
      </c>
      <c r="AK770" t="s">
        <v>772</v>
      </c>
      <c r="AL770">
        <v>0</v>
      </c>
      <c r="AM770" t="s">
        <v>773</v>
      </c>
      <c r="AN770" t="s">
        <v>774</v>
      </c>
      <c r="AO770" t="s">
        <v>125</v>
      </c>
      <c r="AP770" t="s">
        <v>152</v>
      </c>
      <c r="AQ770" s="15">
        <v>46507</v>
      </c>
      <c r="AR770" s="15"/>
      <c r="AS770" t="s">
        <v>227</v>
      </c>
      <c r="AT770">
        <v>11</v>
      </c>
      <c r="AU770">
        <v>3666.67</v>
      </c>
      <c r="AV770">
        <v>0</v>
      </c>
      <c r="AW770">
        <v>0</v>
      </c>
      <c r="AX770" s="14">
        <v>3666.67</v>
      </c>
      <c r="AY770" s="14">
        <v>0</v>
      </c>
      <c r="AZ770" s="14">
        <v>3666.67</v>
      </c>
      <c r="BB770" t="s">
        <v>22</v>
      </c>
      <c r="BH770" t="s">
        <v>132</v>
      </c>
      <c r="BK770" t="s">
        <v>1100</v>
      </c>
      <c r="BV770" t="s">
        <v>132</v>
      </c>
      <c r="BW770" s="16">
        <v>46079.419444444437</v>
      </c>
      <c r="BX770" t="s">
        <v>143</v>
      </c>
      <c r="BZ770">
        <v>17</v>
      </c>
      <c r="CB770">
        <v>0</v>
      </c>
      <c r="CF770" t="s">
        <v>1878</v>
      </c>
      <c r="CG770">
        <v>2027</v>
      </c>
      <c r="CH770" t="s">
        <v>138</v>
      </c>
      <c r="CI770" t="s">
        <v>139</v>
      </c>
    </row>
    <row r="771" spans="1:87" x14ac:dyDescent="0.3">
      <c r="A771" t="s">
        <v>426</v>
      </c>
      <c r="B771" t="s">
        <v>116</v>
      </c>
      <c r="C771" t="s">
        <v>117</v>
      </c>
      <c r="D771" t="s">
        <v>118</v>
      </c>
      <c r="E771" t="s">
        <v>140</v>
      </c>
      <c r="F771" t="s">
        <v>1485</v>
      </c>
      <c r="G771">
        <v>15.35</v>
      </c>
      <c r="H771">
        <v>0</v>
      </c>
      <c r="I771" s="14">
        <v>54000</v>
      </c>
      <c r="J771" s="14">
        <v>54000</v>
      </c>
      <c r="Q771" s="14"/>
      <c r="R771" s="14"/>
      <c r="Y771" s="14"/>
      <c r="Z771" s="14"/>
      <c r="AG771" s="14"/>
      <c r="AH771" s="14"/>
      <c r="AI771" t="s">
        <v>1486</v>
      </c>
      <c r="AJ771" t="s">
        <v>771</v>
      </c>
      <c r="AK771" t="s">
        <v>772</v>
      </c>
      <c r="AL771">
        <v>0</v>
      </c>
      <c r="AM771" t="s">
        <v>773</v>
      </c>
      <c r="AN771" t="s">
        <v>774</v>
      </c>
      <c r="AO771" t="s">
        <v>125</v>
      </c>
      <c r="AP771" t="s">
        <v>152</v>
      </c>
      <c r="AQ771" s="15">
        <v>46537</v>
      </c>
      <c r="AR771" s="15"/>
      <c r="AS771" t="s">
        <v>227</v>
      </c>
      <c r="AT771">
        <v>12</v>
      </c>
      <c r="AU771">
        <v>3666.63</v>
      </c>
      <c r="AV771">
        <v>0</v>
      </c>
      <c r="AW771">
        <v>0</v>
      </c>
      <c r="AX771" s="14">
        <v>3666.63</v>
      </c>
      <c r="AY771" s="14">
        <v>0</v>
      </c>
      <c r="AZ771" s="14">
        <v>3666.63</v>
      </c>
      <c r="BB771" t="s">
        <v>22</v>
      </c>
      <c r="BH771" t="s">
        <v>132</v>
      </c>
      <c r="BK771" t="s">
        <v>1100</v>
      </c>
      <c r="BV771" t="s">
        <v>132</v>
      </c>
      <c r="BW771" s="16">
        <v>46079.419444444437</v>
      </c>
      <c r="BX771" t="s">
        <v>143</v>
      </c>
      <c r="BZ771">
        <v>17</v>
      </c>
      <c r="CB771">
        <v>0</v>
      </c>
      <c r="CF771" t="s">
        <v>1878</v>
      </c>
      <c r="CG771">
        <v>2027</v>
      </c>
      <c r="CH771" t="s">
        <v>138</v>
      </c>
      <c r="CI771" t="s">
        <v>139</v>
      </c>
    </row>
    <row r="772" spans="1:87" x14ac:dyDescent="0.3">
      <c r="A772" t="s">
        <v>165</v>
      </c>
      <c r="B772" t="s">
        <v>116</v>
      </c>
      <c r="C772" t="s">
        <v>117</v>
      </c>
      <c r="D772" t="s">
        <v>118</v>
      </c>
      <c r="E772" t="s">
        <v>14</v>
      </c>
      <c r="F772" t="s">
        <v>250</v>
      </c>
      <c r="G772">
        <v>70</v>
      </c>
      <c r="H772">
        <v>0</v>
      </c>
      <c r="I772" s="14">
        <v>518500</v>
      </c>
      <c r="J772" s="14">
        <v>469500</v>
      </c>
      <c r="K772" t="s">
        <v>117</v>
      </c>
      <c r="L772" t="s">
        <v>118</v>
      </c>
      <c r="M772" t="s">
        <v>140</v>
      </c>
      <c r="N772" t="s">
        <v>738</v>
      </c>
      <c r="O772">
        <v>12.5</v>
      </c>
      <c r="P772">
        <v>0</v>
      </c>
      <c r="Q772" s="14">
        <v>50400</v>
      </c>
      <c r="R772" s="14">
        <v>50400</v>
      </c>
      <c r="Y772" s="14"/>
      <c r="Z772" s="14"/>
      <c r="AG772" s="14"/>
      <c r="AH772" s="14"/>
      <c r="AI772" t="s">
        <v>867</v>
      </c>
      <c r="AJ772" t="s">
        <v>868</v>
      </c>
      <c r="AK772" t="s">
        <v>869</v>
      </c>
      <c r="AL772">
        <v>0</v>
      </c>
      <c r="AM772" t="s">
        <v>870</v>
      </c>
      <c r="AN772" t="s">
        <v>871</v>
      </c>
      <c r="AO772" t="s">
        <v>125</v>
      </c>
      <c r="AP772" t="s">
        <v>152</v>
      </c>
      <c r="AQ772" s="15">
        <v>46415</v>
      </c>
      <c r="AR772" s="15"/>
      <c r="AS772" t="s">
        <v>227</v>
      </c>
      <c r="AT772">
        <v>7</v>
      </c>
      <c r="AU772">
        <v>37270.910000000003</v>
      </c>
      <c r="AV772">
        <v>0</v>
      </c>
      <c r="AW772">
        <v>0</v>
      </c>
      <c r="AX772" s="14">
        <v>37270.910000000003</v>
      </c>
      <c r="AY772" s="14">
        <v>0</v>
      </c>
      <c r="AZ772" s="14">
        <v>37270.910000000003</v>
      </c>
      <c r="BB772" t="s">
        <v>22</v>
      </c>
      <c r="BH772" t="s">
        <v>132</v>
      </c>
      <c r="BK772" t="s">
        <v>1100</v>
      </c>
      <c r="BV772" t="s">
        <v>132</v>
      </c>
      <c r="BW772" s="16">
        <v>45986.545138888891</v>
      </c>
      <c r="BX772" t="s">
        <v>143</v>
      </c>
      <c r="BZ772">
        <v>1</v>
      </c>
      <c r="CB772">
        <v>0</v>
      </c>
      <c r="CF772" t="s">
        <v>1878</v>
      </c>
      <c r="CG772">
        <v>2027</v>
      </c>
      <c r="CH772" t="s">
        <v>138</v>
      </c>
      <c r="CI772" t="s">
        <v>139</v>
      </c>
    </row>
    <row r="773" spans="1:87" x14ac:dyDescent="0.3">
      <c r="A773" t="s">
        <v>165</v>
      </c>
      <c r="B773" t="s">
        <v>116</v>
      </c>
      <c r="C773" t="s">
        <v>117</v>
      </c>
      <c r="D773" t="s">
        <v>118</v>
      </c>
      <c r="E773" t="s">
        <v>14</v>
      </c>
      <c r="F773" t="s">
        <v>250</v>
      </c>
      <c r="G773">
        <v>70</v>
      </c>
      <c r="H773">
        <v>0</v>
      </c>
      <c r="I773" s="14">
        <v>518500</v>
      </c>
      <c r="J773" s="14">
        <v>469500</v>
      </c>
      <c r="K773" t="s">
        <v>117</v>
      </c>
      <c r="L773" t="s">
        <v>118</v>
      </c>
      <c r="M773" t="s">
        <v>140</v>
      </c>
      <c r="N773" t="s">
        <v>738</v>
      </c>
      <c r="O773">
        <v>12.5</v>
      </c>
      <c r="P773">
        <v>0</v>
      </c>
      <c r="Q773" s="14">
        <v>50400</v>
      </c>
      <c r="R773" s="14">
        <v>50400</v>
      </c>
      <c r="Y773" s="14"/>
      <c r="Z773" s="14"/>
      <c r="AG773" s="14"/>
      <c r="AH773" s="14"/>
      <c r="AI773" t="s">
        <v>867</v>
      </c>
      <c r="AJ773" t="s">
        <v>868</v>
      </c>
      <c r="AK773" t="s">
        <v>869</v>
      </c>
      <c r="AL773">
        <v>0</v>
      </c>
      <c r="AM773" t="s">
        <v>870</v>
      </c>
      <c r="AN773" t="s">
        <v>871</v>
      </c>
      <c r="AO773" t="s">
        <v>125</v>
      </c>
      <c r="AP773" t="s">
        <v>152</v>
      </c>
      <c r="AQ773" s="15">
        <v>46446</v>
      </c>
      <c r="AR773" s="15"/>
      <c r="AS773" t="s">
        <v>227</v>
      </c>
      <c r="AT773">
        <v>8</v>
      </c>
      <c r="AU773">
        <v>37270.910000000003</v>
      </c>
      <c r="AV773">
        <v>0</v>
      </c>
      <c r="AW773">
        <v>0</v>
      </c>
      <c r="AX773" s="14">
        <v>37270.910000000003</v>
      </c>
      <c r="AY773" s="14">
        <v>0</v>
      </c>
      <c r="AZ773" s="14">
        <v>37270.910000000003</v>
      </c>
      <c r="BB773" t="s">
        <v>22</v>
      </c>
      <c r="BH773" t="s">
        <v>132</v>
      </c>
      <c r="BK773" t="s">
        <v>1100</v>
      </c>
      <c r="BV773" t="s">
        <v>132</v>
      </c>
      <c r="BW773" s="16">
        <v>45986.545138888891</v>
      </c>
      <c r="BX773" t="s">
        <v>143</v>
      </c>
      <c r="BZ773">
        <v>1</v>
      </c>
      <c r="CB773">
        <v>0</v>
      </c>
      <c r="CF773" t="s">
        <v>1878</v>
      </c>
      <c r="CG773">
        <v>2027</v>
      </c>
      <c r="CH773" t="s">
        <v>138</v>
      </c>
      <c r="CI773" t="s">
        <v>139</v>
      </c>
    </row>
    <row r="774" spans="1:87" x14ac:dyDescent="0.3">
      <c r="A774" t="s">
        <v>165</v>
      </c>
      <c r="B774" t="s">
        <v>116</v>
      </c>
      <c r="C774" t="s">
        <v>117</v>
      </c>
      <c r="D774" t="s">
        <v>118</v>
      </c>
      <c r="E774" t="s">
        <v>14</v>
      </c>
      <c r="F774" t="s">
        <v>250</v>
      </c>
      <c r="G774">
        <v>70</v>
      </c>
      <c r="H774">
        <v>0</v>
      </c>
      <c r="I774" s="14">
        <v>518500</v>
      </c>
      <c r="J774" s="14">
        <v>469500</v>
      </c>
      <c r="K774" t="s">
        <v>117</v>
      </c>
      <c r="L774" t="s">
        <v>118</v>
      </c>
      <c r="M774" t="s">
        <v>140</v>
      </c>
      <c r="N774" t="s">
        <v>738</v>
      </c>
      <c r="O774">
        <v>12.5</v>
      </c>
      <c r="P774">
        <v>0</v>
      </c>
      <c r="Q774" s="14">
        <v>50400</v>
      </c>
      <c r="R774" s="14">
        <v>50400</v>
      </c>
      <c r="Y774" s="14"/>
      <c r="Z774" s="14"/>
      <c r="AG774" s="14"/>
      <c r="AH774" s="14"/>
      <c r="AI774" t="s">
        <v>867</v>
      </c>
      <c r="AJ774" t="s">
        <v>868</v>
      </c>
      <c r="AK774" t="s">
        <v>869</v>
      </c>
      <c r="AL774">
        <v>0</v>
      </c>
      <c r="AM774" t="s">
        <v>870</v>
      </c>
      <c r="AN774" t="s">
        <v>871</v>
      </c>
      <c r="AO774" t="s">
        <v>125</v>
      </c>
      <c r="AP774" t="s">
        <v>152</v>
      </c>
      <c r="AQ774" s="15">
        <v>46474</v>
      </c>
      <c r="AR774" s="15"/>
      <c r="AS774" t="s">
        <v>227</v>
      </c>
      <c r="AT774">
        <v>9</v>
      </c>
      <c r="AU774">
        <v>37270.910000000003</v>
      </c>
      <c r="AV774">
        <v>0</v>
      </c>
      <c r="AW774">
        <v>0</v>
      </c>
      <c r="AX774" s="14">
        <v>37270.910000000003</v>
      </c>
      <c r="AY774" s="14">
        <v>0</v>
      </c>
      <c r="AZ774" s="14">
        <v>37270.910000000003</v>
      </c>
      <c r="BB774" t="s">
        <v>22</v>
      </c>
      <c r="BH774" t="s">
        <v>132</v>
      </c>
      <c r="BK774" t="s">
        <v>1100</v>
      </c>
      <c r="BV774" t="s">
        <v>132</v>
      </c>
      <c r="BW774" s="16">
        <v>45986.545138888891</v>
      </c>
      <c r="BX774" t="s">
        <v>143</v>
      </c>
      <c r="BZ774">
        <v>1</v>
      </c>
      <c r="CB774">
        <v>0</v>
      </c>
      <c r="CF774" t="s">
        <v>1878</v>
      </c>
      <c r="CG774">
        <v>2027</v>
      </c>
      <c r="CH774" t="s">
        <v>138</v>
      </c>
      <c r="CI774" t="s">
        <v>139</v>
      </c>
    </row>
    <row r="775" spans="1:87" x14ac:dyDescent="0.3">
      <c r="A775" t="s">
        <v>165</v>
      </c>
      <c r="B775" t="s">
        <v>116</v>
      </c>
      <c r="C775" t="s">
        <v>117</v>
      </c>
      <c r="D775" t="s">
        <v>118</v>
      </c>
      <c r="E775" t="s">
        <v>14</v>
      </c>
      <c r="F775" t="s">
        <v>250</v>
      </c>
      <c r="G775">
        <v>70</v>
      </c>
      <c r="H775">
        <v>0</v>
      </c>
      <c r="I775" s="14">
        <v>518500</v>
      </c>
      <c r="J775" s="14">
        <v>469500</v>
      </c>
      <c r="K775" t="s">
        <v>117</v>
      </c>
      <c r="L775" t="s">
        <v>118</v>
      </c>
      <c r="M775" t="s">
        <v>140</v>
      </c>
      <c r="N775" t="s">
        <v>738</v>
      </c>
      <c r="O775">
        <v>12.5</v>
      </c>
      <c r="P775">
        <v>0</v>
      </c>
      <c r="Q775" s="14">
        <v>50400</v>
      </c>
      <c r="R775" s="14">
        <v>50400</v>
      </c>
      <c r="Y775" s="14"/>
      <c r="Z775" s="14"/>
      <c r="AG775" s="14"/>
      <c r="AH775" s="14"/>
      <c r="AI775" t="s">
        <v>867</v>
      </c>
      <c r="AJ775" t="s">
        <v>868</v>
      </c>
      <c r="AK775" t="s">
        <v>869</v>
      </c>
      <c r="AL775">
        <v>0</v>
      </c>
      <c r="AM775" t="s">
        <v>870</v>
      </c>
      <c r="AN775" t="s">
        <v>871</v>
      </c>
      <c r="AO775" t="s">
        <v>125</v>
      </c>
      <c r="AP775" t="s">
        <v>152</v>
      </c>
      <c r="AQ775" s="15">
        <v>46505</v>
      </c>
      <c r="AR775" s="15"/>
      <c r="AS775" t="s">
        <v>227</v>
      </c>
      <c r="AT775">
        <v>10</v>
      </c>
      <c r="AU775">
        <v>37270.910000000003</v>
      </c>
      <c r="AV775">
        <v>0</v>
      </c>
      <c r="AW775">
        <v>0</v>
      </c>
      <c r="AX775" s="14">
        <v>37270.910000000003</v>
      </c>
      <c r="AY775" s="14">
        <v>0</v>
      </c>
      <c r="AZ775" s="14">
        <v>37270.910000000003</v>
      </c>
      <c r="BB775" t="s">
        <v>22</v>
      </c>
      <c r="BH775" t="s">
        <v>132</v>
      </c>
      <c r="BK775" t="s">
        <v>1100</v>
      </c>
      <c r="BV775" t="s">
        <v>132</v>
      </c>
      <c r="BW775" s="16">
        <v>45986.545138888891</v>
      </c>
      <c r="BX775" t="s">
        <v>143</v>
      </c>
      <c r="BZ775">
        <v>1</v>
      </c>
      <c r="CB775">
        <v>0</v>
      </c>
      <c r="CF775" t="s">
        <v>1878</v>
      </c>
      <c r="CG775">
        <v>2027</v>
      </c>
      <c r="CH775" t="s">
        <v>138</v>
      </c>
      <c r="CI775" t="s">
        <v>139</v>
      </c>
    </row>
    <row r="776" spans="1:87" x14ac:dyDescent="0.3">
      <c r="A776" t="s">
        <v>165</v>
      </c>
      <c r="B776" t="s">
        <v>116</v>
      </c>
      <c r="C776" t="s">
        <v>117</v>
      </c>
      <c r="D776" t="s">
        <v>118</v>
      </c>
      <c r="E776" t="s">
        <v>14</v>
      </c>
      <c r="F776" t="s">
        <v>250</v>
      </c>
      <c r="G776">
        <v>70</v>
      </c>
      <c r="H776">
        <v>0</v>
      </c>
      <c r="I776" s="14">
        <v>518500</v>
      </c>
      <c r="J776" s="14">
        <v>469500</v>
      </c>
      <c r="K776" t="s">
        <v>117</v>
      </c>
      <c r="L776" t="s">
        <v>118</v>
      </c>
      <c r="M776" t="s">
        <v>140</v>
      </c>
      <c r="N776" t="s">
        <v>738</v>
      </c>
      <c r="O776">
        <v>12.5</v>
      </c>
      <c r="P776">
        <v>0</v>
      </c>
      <c r="Q776" s="14">
        <v>50400</v>
      </c>
      <c r="R776" s="14">
        <v>50400</v>
      </c>
      <c r="Y776" s="14"/>
      <c r="Z776" s="14"/>
      <c r="AG776" s="14"/>
      <c r="AH776" s="14"/>
      <c r="AI776" t="s">
        <v>867</v>
      </c>
      <c r="AJ776" t="s">
        <v>868</v>
      </c>
      <c r="AK776" t="s">
        <v>869</v>
      </c>
      <c r="AL776">
        <v>0</v>
      </c>
      <c r="AM776" t="s">
        <v>870</v>
      </c>
      <c r="AN776" t="s">
        <v>871</v>
      </c>
      <c r="AO776" t="s">
        <v>125</v>
      </c>
      <c r="AP776" t="s">
        <v>152</v>
      </c>
      <c r="AQ776" s="15">
        <v>46535</v>
      </c>
      <c r="AR776" s="15"/>
      <c r="AS776" t="s">
        <v>227</v>
      </c>
      <c r="AT776">
        <v>11</v>
      </c>
      <c r="AU776">
        <v>37270.9</v>
      </c>
      <c r="AV776">
        <v>0</v>
      </c>
      <c r="AW776">
        <v>0</v>
      </c>
      <c r="AX776" s="14">
        <v>37270.9</v>
      </c>
      <c r="AY776" s="14">
        <v>0</v>
      </c>
      <c r="AZ776" s="14">
        <v>37270.9</v>
      </c>
      <c r="BB776" t="s">
        <v>22</v>
      </c>
      <c r="BH776" t="s">
        <v>132</v>
      </c>
      <c r="BK776" t="s">
        <v>1100</v>
      </c>
      <c r="BV776" t="s">
        <v>132</v>
      </c>
      <c r="BW776" s="16">
        <v>45986.545138888891</v>
      </c>
      <c r="BX776" t="s">
        <v>143</v>
      </c>
      <c r="BZ776">
        <v>1</v>
      </c>
      <c r="CB776">
        <v>0</v>
      </c>
      <c r="CF776" t="s">
        <v>1878</v>
      </c>
      <c r="CG776">
        <v>2027</v>
      </c>
      <c r="CH776" t="s">
        <v>138</v>
      </c>
      <c r="CI776" t="s">
        <v>139</v>
      </c>
    </row>
    <row r="777" spans="1:87" x14ac:dyDescent="0.3">
      <c r="A777" t="s">
        <v>165</v>
      </c>
      <c r="B777" t="s">
        <v>116</v>
      </c>
      <c r="C777" t="s">
        <v>117</v>
      </c>
      <c r="D777" t="s">
        <v>118</v>
      </c>
      <c r="E777" t="s">
        <v>140</v>
      </c>
      <c r="F777" t="s">
        <v>888</v>
      </c>
      <c r="G777">
        <v>12.5</v>
      </c>
      <c r="H777">
        <v>0</v>
      </c>
      <c r="I777" s="14">
        <v>47500</v>
      </c>
      <c r="J777" s="14">
        <v>47500</v>
      </c>
      <c r="Q777" s="14"/>
      <c r="R777" s="14"/>
      <c r="Y777" s="14"/>
      <c r="Z777" s="14"/>
      <c r="AG777" s="14"/>
      <c r="AH777" s="14"/>
      <c r="AI777" t="s">
        <v>889</v>
      </c>
      <c r="AJ777" t="s">
        <v>890</v>
      </c>
      <c r="AK777" t="s">
        <v>891</v>
      </c>
      <c r="AL777">
        <v>0</v>
      </c>
      <c r="AM777" t="s">
        <v>892</v>
      </c>
      <c r="AN777" t="s">
        <v>893</v>
      </c>
      <c r="AO777" t="s">
        <v>125</v>
      </c>
      <c r="AP777" t="s">
        <v>297</v>
      </c>
      <c r="AQ777" s="15">
        <v>46721</v>
      </c>
      <c r="AR777" s="15"/>
      <c r="AS777" t="s">
        <v>227</v>
      </c>
      <c r="AT777">
        <v>1</v>
      </c>
      <c r="AU777">
        <v>38000</v>
      </c>
      <c r="AV777">
        <v>0</v>
      </c>
      <c r="AW777">
        <v>0</v>
      </c>
      <c r="AX777" s="14">
        <v>38000</v>
      </c>
      <c r="AY777" s="14">
        <v>0</v>
      </c>
      <c r="AZ777" s="14">
        <v>38000</v>
      </c>
      <c r="BB777" t="s">
        <v>22</v>
      </c>
      <c r="BH777" t="s">
        <v>132</v>
      </c>
      <c r="BK777" t="s">
        <v>1100</v>
      </c>
      <c r="BV777" t="s">
        <v>132</v>
      </c>
      <c r="BW777" s="16">
        <v>46020.636805555558</v>
      </c>
      <c r="BX777" t="s">
        <v>143</v>
      </c>
      <c r="BZ777">
        <v>48</v>
      </c>
      <c r="CB777">
        <v>0</v>
      </c>
      <c r="CF777" t="s">
        <v>1878</v>
      </c>
      <c r="CG777">
        <v>2027</v>
      </c>
      <c r="CH777" t="s">
        <v>138</v>
      </c>
      <c r="CI777" t="s">
        <v>139</v>
      </c>
    </row>
    <row r="778" spans="1:87" x14ac:dyDescent="0.3">
      <c r="A778" t="s">
        <v>165</v>
      </c>
      <c r="B778" t="s">
        <v>116</v>
      </c>
      <c r="C778" t="s">
        <v>117</v>
      </c>
      <c r="D778" t="s">
        <v>118</v>
      </c>
      <c r="E778" t="s">
        <v>14</v>
      </c>
      <c r="F778" t="s">
        <v>497</v>
      </c>
      <c r="G778">
        <v>57</v>
      </c>
      <c r="H778">
        <v>0</v>
      </c>
      <c r="I778" s="14">
        <v>469000</v>
      </c>
      <c r="J778" s="14">
        <v>429000</v>
      </c>
      <c r="Q778" s="14"/>
      <c r="R778" s="14"/>
      <c r="Y778" s="14"/>
      <c r="Z778" s="14"/>
      <c r="AG778" s="14"/>
      <c r="AH778" s="14"/>
      <c r="AI778" t="s">
        <v>1627</v>
      </c>
      <c r="AJ778" t="s">
        <v>1628</v>
      </c>
      <c r="AK778" t="s">
        <v>1629</v>
      </c>
      <c r="AL778">
        <v>0</v>
      </c>
      <c r="AM778" t="s">
        <v>1630</v>
      </c>
      <c r="AN778" t="s">
        <v>1631</v>
      </c>
      <c r="AO778" t="s">
        <v>125</v>
      </c>
      <c r="AP778" t="s">
        <v>152</v>
      </c>
      <c r="AQ778" s="15">
        <v>46417</v>
      </c>
      <c r="AR778" s="15"/>
      <c r="AS778" t="s">
        <v>227</v>
      </c>
      <c r="AT778">
        <v>1</v>
      </c>
      <c r="AU778">
        <v>386100</v>
      </c>
      <c r="AV778">
        <v>0</v>
      </c>
      <c r="AW778">
        <v>0</v>
      </c>
      <c r="AX778" s="14">
        <v>386100</v>
      </c>
      <c r="AY778" s="14">
        <v>0</v>
      </c>
      <c r="AZ778" s="14">
        <v>386100</v>
      </c>
      <c r="BB778" t="s">
        <v>24</v>
      </c>
      <c r="BH778" t="s">
        <v>132</v>
      </c>
      <c r="BK778" t="s">
        <v>1100</v>
      </c>
      <c r="BV778" t="s">
        <v>132</v>
      </c>
      <c r="BW778" s="16">
        <v>46191.396527777782</v>
      </c>
      <c r="BX778" t="s">
        <v>135</v>
      </c>
      <c r="BZ778">
        <v>45</v>
      </c>
      <c r="CB778">
        <v>0</v>
      </c>
      <c r="CF778" t="s">
        <v>1878</v>
      </c>
      <c r="CG778">
        <v>2027</v>
      </c>
      <c r="CH778" t="s">
        <v>138</v>
      </c>
      <c r="CI778" t="s">
        <v>139</v>
      </c>
    </row>
    <row r="779" spans="1:87" x14ac:dyDescent="0.3">
      <c r="A779" t="s">
        <v>165</v>
      </c>
      <c r="B779" t="s">
        <v>116</v>
      </c>
      <c r="C779" t="s">
        <v>117</v>
      </c>
      <c r="D779" t="s">
        <v>118</v>
      </c>
      <c r="E779" t="s">
        <v>14</v>
      </c>
      <c r="F779" t="s">
        <v>1636</v>
      </c>
      <c r="G779">
        <v>57</v>
      </c>
      <c r="H779">
        <v>0</v>
      </c>
      <c r="I779" s="14">
        <v>430000</v>
      </c>
      <c r="J779" s="14">
        <v>369000</v>
      </c>
      <c r="K779" t="s">
        <v>117</v>
      </c>
      <c r="L779" t="s">
        <v>118</v>
      </c>
      <c r="M779" t="s">
        <v>140</v>
      </c>
      <c r="N779" t="s">
        <v>1637</v>
      </c>
      <c r="O779">
        <v>12.5</v>
      </c>
      <c r="P779">
        <v>0</v>
      </c>
      <c r="Q779" s="14">
        <v>43200</v>
      </c>
      <c r="R779" s="14">
        <v>43200</v>
      </c>
      <c r="Y779" s="14"/>
      <c r="Z779" s="14"/>
      <c r="AG779" s="14"/>
      <c r="AH779" s="14"/>
      <c r="AI779" t="s">
        <v>1638</v>
      </c>
      <c r="AJ779" t="s">
        <v>1639</v>
      </c>
      <c r="AK779" t="s">
        <v>1640</v>
      </c>
      <c r="AL779">
        <v>0</v>
      </c>
      <c r="AM779" t="s">
        <v>1641</v>
      </c>
      <c r="AN779" t="s">
        <v>1642</v>
      </c>
      <c r="AO779" t="s">
        <v>125</v>
      </c>
      <c r="AP779" t="s">
        <v>758</v>
      </c>
      <c r="AQ779" s="15">
        <v>46417</v>
      </c>
      <c r="AR779" s="15"/>
      <c r="AS779" t="s">
        <v>227</v>
      </c>
      <c r="AT779">
        <v>9</v>
      </c>
      <c r="AU779">
        <v>12000</v>
      </c>
      <c r="AV779">
        <v>0</v>
      </c>
      <c r="AW779">
        <v>0</v>
      </c>
      <c r="AX779" s="14">
        <v>12000</v>
      </c>
      <c r="AY779" s="14">
        <v>0</v>
      </c>
      <c r="AZ779" s="14">
        <v>12000</v>
      </c>
      <c r="BB779" t="s">
        <v>22</v>
      </c>
      <c r="BH779" t="s">
        <v>132</v>
      </c>
      <c r="BK779" t="s">
        <v>1100</v>
      </c>
      <c r="BV779" t="s">
        <v>132</v>
      </c>
      <c r="BW779" s="16">
        <v>46046.473611111112</v>
      </c>
      <c r="BX779" t="s">
        <v>178</v>
      </c>
      <c r="BZ779">
        <v>10</v>
      </c>
      <c r="CB779">
        <v>0</v>
      </c>
      <c r="CF779" t="s">
        <v>1878</v>
      </c>
      <c r="CG779">
        <v>2027</v>
      </c>
      <c r="CH779" t="s">
        <v>138</v>
      </c>
      <c r="CI779" t="s">
        <v>139</v>
      </c>
    </row>
    <row r="780" spans="1:87" x14ac:dyDescent="0.3">
      <c r="A780" t="s">
        <v>165</v>
      </c>
      <c r="B780" t="s">
        <v>116</v>
      </c>
      <c r="C780" t="s">
        <v>117</v>
      </c>
      <c r="D780" t="s">
        <v>118</v>
      </c>
      <c r="E780" t="s">
        <v>14</v>
      </c>
      <c r="F780" t="s">
        <v>1636</v>
      </c>
      <c r="G780">
        <v>57</v>
      </c>
      <c r="H780">
        <v>0</v>
      </c>
      <c r="I780" s="14">
        <v>430000</v>
      </c>
      <c r="J780" s="14">
        <v>369000</v>
      </c>
      <c r="K780" t="s">
        <v>117</v>
      </c>
      <c r="L780" t="s">
        <v>118</v>
      </c>
      <c r="M780" t="s">
        <v>140</v>
      </c>
      <c r="N780" t="s">
        <v>1637</v>
      </c>
      <c r="O780">
        <v>12.5</v>
      </c>
      <c r="P780">
        <v>0</v>
      </c>
      <c r="Q780" s="14">
        <v>43200</v>
      </c>
      <c r="R780" s="14">
        <v>43200</v>
      </c>
      <c r="Y780" s="14"/>
      <c r="Z780" s="14"/>
      <c r="AG780" s="14"/>
      <c r="AH780" s="14"/>
      <c r="AI780" t="s">
        <v>1638</v>
      </c>
      <c r="AJ780" t="s">
        <v>1639</v>
      </c>
      <c r="AK780" t="s">
        <v>1640</v>
      </c>
      <c r="AL780">
        <v>0</v>
      </c>
      <c r="AM780" t="s">
        <v>1641</v>
      </c>
      <c r="AN780" t="s">
        <v>1642</v>
      </c>
      <c r="AO780" t="s">
        <v>125</v>
      </c>
      <c r="AP780" t="s">
        <v>758</v>
      </c>
      <c r="AQ780" s="15">
        <v>46446</v>
      </c>
      <c r="AR780" s="15"/>
      <c r="AS780" t="s">
        <v>227</v>
      </c>
      <c r="AT780">
        <v>10</v>
      </c>
      <c r="AU780">
        <v>12000</v>
      </c>
      <c r="AV780">
        <v>0</v>
      </c>
      <c r="AW780">
        <v>0</v>
      </c>
      <c r="AX780" s="14">
        <v>12000</v>
      </c>
      <c r="AY780" s="14">
        <v>0</v>
      </c>
      <c r="AZ780" s="14">
        <v>12000</v>
      </c>
      <c r="BB780" t="s">
        <v>22</v>
      </c>
      <c r="BH780" t="s">
        <v>132</v>
      </c>
      <c r="BK780" t="s">
        <v>1100</v>
      </c>
      <c r="BV780" t="s">
        <v>132</v>
      </c>
      <c r="BW780" s="16">
        <v>46046.473611111112</v>
      </c>
      <c r="BX780" t="s">
        <v>178</v>
      </c>
      <c r="BZ780">
        <v>10</v>
      </c>
      <c r="CB780">
        <v>0</v>
      </c>
      <c r="CF780" t="s">
        <v>1878</v>
      </c>
      <c r="CG780">
        <v>2027</v>
      </c>
      <c r="CH780" t="s">
        <v>138</v>
      </c>
      <c r="CI780" t="s">
        <v>139</v>
      </c>
    </row>
    <row r="781" spans="1:87" x14ac:dyDescent="0.3">
      <c r="A781" t="s">
        <v>165</v>
      </c>
      <c r="B781" t="s">
        <v>116</v>
      </c>
      <c r="C781" t="s">
        <v>117</v>
      </c>
      <c r="D781" t="s">
        <v>118</v>
      </c>
      <c r="E781" t="s">
        <v>14</v>
      </c>
      <c r="F781" t="s">
        <v>1636</v>
      </c>
      <c r="G781">
        <v>57</v>
      </c>
      <c r="H781">
        <v>0</v>
      </c>
      <c r="I781" s="14">
        <v>430000</v>
      </c>
      <c r="J781" s="14">
        <v>369000</v>
      </c>
      <c r="K781" t="s">
        <v>117</v>
      </c>
      <c r="L781" t="s">
        <v>118</v>
      </c>
      <c r="M781" t="s">
        <v>140</v>
      </c>
      <c r="N781" t="s">
        <v>1637</v>
      </c>
      <c r="O781">
        <v>12.5</v>
      </c>
      <c r="P781">
        <v>0</v>
      </c>
      <c r="Q781" s="14">
        <v>43200</v>
      </c>
      <c r="R781" s="14">
        <v>43200</v>
      </c>
      <c r="Y781" s="14"/>
      <c r="Z781" s="14"/>
      <c r="AG781" s="14"/>
      <c r="AH781" s="14"/>
      <c r="AI781" t="s">
        <v>1638</v>
      </c>
      <c r="AJ781" t="s">
        <v>1639</v>
      </c>
      <c r="AK781" t="s">
        <v>1640</v>
      </c>
      <c r="AL781">
        <v>0</v>
      </c>
      <c r="AM781" t="s">
        <v>1641</v>
      </c>
      <c r="AN781" t="s">
        <v>1642</v>
      </c>
      <c r="AO781" t="s">
        <v>125</v>
      </c>
      <c r="AP781" t="s">
        <v>758</v>
      </c>
      <c r="AQ781" s="15">
        <v>46476</v>
      </c>
      <c r="AR781" s="15"/>
      <c r="AS781" t="s">
        <v>227</v>
      </c>
      <c r="AT781">
        <v>11</v>
      </c>
      <c r="AU781">
        <v>12000</v>
      </c>
      <c r="AV781">
        <v>0</v>
      </c>
      <c r="AW781">
        <v>0</v>
      </c>
      <c r="AX781" s="14">
        <v>12000</v>
      </c>
      <c r="AY781" s="14">
        <v>0</v>
      </c>
      <c r="AZ781" s="14">
        <v>12000</v>
      </c>
      <c r="BB781" t="s">
        <v>22</v>
      </c>
      <c r="BH781" t="s">
        <v>132</v>
      </c>
      <c r="BK781" t="s">
        <v>1100</v>
      </c>
      <c r="BV781" t="s">
        <v>132</v>
      </c>
      <c r="BW781" s="16">
        <v>46046.473611111112</v>
      </c>
      <c r="BX781" t="s">
        <v>178</v>
      </c>
      <c r="BZ781">
        <v>10</v>
      </c>
      <c r="CB781">
        <v>0</v>
      </c>
      <c r="CF781" t="s">
        <v>1878</v>
      </c>
      <c r="CG781">
        <v>2027</v>
      </c>
      <c r="CH781" t="s">
        <v>138</v>
      </c>
      <c r="CI781" t="s">
        <v>139</v>
      </c>
    </row>
    <row r="782" spans="1:87" x14ac:dyDescent="0.3">
      <c r="A782" t="s">
        <v>165</v>
      </c>
      <c r="B782" t="s">
        <v>116</v>
      </c>
      <c r="C782" t="s">
        <v>117</v>
      </c>
      <c r="D782" t="s">
        <v>118</v>
      </c>
      <c r="E782" t="s">
        <v>14</v>
      </c>
      <c r="F782" t="s">
        <v>1636</v>
      </c>
      <c r="G782">
        <v>57</v>
      </c>
      <c r="H782">
        <v>0</v>
      </c>
      <c r="I782" s="14">
        <v>430000</v>
      </c>
      <c r="J782" s="14">
        <v>369000</v>
      </c>
      <c r="K782" t="s">
        <v>117</v>
      </c>
      <c r="L782" t="s">
        <v>118</v>
      </c>
      <c r="M782" t="s">
        <v>140</v>
      </c>
      <c r="N782" t="s">
        <v>1637</v>
      </c>
      <c r="O782">
        <v>12.5</v>
      </c>
      <c r="P782">
        <v>0</v>
      </c>
      <c r="Q782" s="14">
        <v>43200</v>
      </c>
      <c r="R782" s="14">
        <v>43200</v>
      </c>
      <c r="Y782" s="14"/>
      <c r="Z782" s="14"/>
      <c r="AG782" s="14"/>
      <c r="AH782" s="14"/>
      <c r="AI782" t="s">
        <v>1638</v>
      </c>
      <c r="AJ782" t="s">
        <v>1639</v>
      </c>
      <c r="AK782" t="s">
        <v>1640</v>
      </c>
      <c r="AL782">
        <v>0</v>
      </c>
      <c r="AM782" t="s">
        <v>1641</v>
      </c>
      <c r="AN782" t="s">
        <v>1642</v>
      </c>
      <c r="AO782" t="s">
        <v>125</v>
      </c>
      <c r="AP782" t="s">
        <v>758</v>
      </c>
      <c r="AQ782" s="15">
        <v>46507</v>
      </c>
      <c r="AR782" s="15"/>
      <c r="AS782" t="s">
        <v>227</v>
      </c>
      <c r="AT782">
        <v>12</v>
      </c>
      <c r="AU782">
        <v>12000</v>
      </c>
      <c r="AV782">
        <v>0</v>
      </c>
      <c r="AW782">
        <v>0</v>
      </c>
      <c r="AX782" s="14">
        <v>12000</v>
      </c>
      <c r="AY782" s="14">
        <v>0</v>
      </c>
      <c r="AZ782" s="14">
        <v>12000</v>
      </c>
      <c r="BB782" t="s">
        <v>22</v>
      </c>
      <c r="BH782" t="s">
        <v>132</v>
      </c>
      <c r="BK782" t="s">
        <v>1100</v>
      </c>
      <c r="BV782" t="s">
        <v>132</v>
      </c>
      <c r="BW782" s="16">
        <v>46046.473611111112</v>
      </c>
      <c r="BX782" t="s">
        <v>178</v>
      </c>
      <c r="BZ782">
        <v>10</v>
      </c>
      <c r="CB782">
        <v>0</v>
      </c>
      <c r="CF782" t="s">
        <v>1878</v>
      </c>
      <c r="CG782">
        <v>2027</v>
      </c>
      <c r="CH782" t="s">
        <v>138</v>
      </c>
      <c r="CI782" t="s">
        <v>139</v>
      </c>
    </row>
    <row r="783" spans="1:87" x14ac:dyDescent="0.3">
      <c r="A783" t="s">
        <v>165</v>
      </c>
      <c r="B783" t="s">
        <v>116</v>
      </c>
      <c r="C783" t="s">
        <v>117</v>
      </c>
      <c r="D783" t="s">
        <v>118</v>
      </c>
      <c r="E783" t="s">
        <v>14</v>
      </c>
      <c r="F783" t="s">
        <v>1636</v>
      </c>
      <c r="G783">
        <v>57</v>
      </c>
      <c r="H783">
        <v>0</v>
      </c>
      <c r="I783" s="14">
        <v>430000</v>
      </c>
      <c r="J783" s="14">
        <v>369000</v>
      </c>
      <c r="K783" t="s">
        <v>117</v>
      </c>
      <c r="L783" t="s">
        <v>118</v>
      </c>
      <c r="M783" t="s">
        <v>140</v>
      </c>
      <c r="N783" t="s">
        <v>1637</v>
      </c>
      <c r="O783">
        <v>12.5</v>
      </c>
      <c r="P783">
        <v>0</v>
      </c>
      <c r="Q783" s="14">
        <v>43200</v>
      </c>
      <c r="R783" s="14">
        <v>43200</v>
      </c>
      <c r="Y783" s="14"/>
      <c r="Z783" s="14"/>
      <c r="AG783" s="14"/>
      <c r="AH783" s="14"/>
      <c r="AI783" t="s">
        <v>1638</v>
      </c>
      <c r="AJ783" t="s">
        <v>1639</v>
      </c>
      <c r="AK783" t="s">
        <v>1640</v>
      </c>
      <c r="AL783">
        <v>0</v>
      </c>
      <c r="AM783" t="s">
        <v>1641</v>
      </c>
      <c r="AN783" t="s">
        <v>1642</v>
      </c>
      <c r="AO783" t="s">
        <v>125</v>
      </c>
      <c r="AP783" t="s">
        <v>758</v>
      </c>
      <c r="AQ783" s="15">
        <v>46537</v>
      </c>
      <c r="AR783" s="15"/>
      <c r="AS783" t="s">
        <v>227</v>
      </c>
      <c r="AT783">
        <v>13</v>
      </c>
      <c r="AU783">
        <v>12000</v>
      </c>
      <c r="AV783">
        <v>0</v>
      </c>
      <c r="AW783">
        <v>0</v>
      </c>
      <c r="AX783" s="14">
        <v>12000</v>
      </c>
      <c r="AY783" s="14">
        <v>0</v>
      </c>
      <c r="AZ783" s="14">
        <v>12000</v>
      </c>
      <c r="BB783" t="s">
        <v>22</v>
      </c>
      <c r="BH783" t="s">
        <v>132</v>
      </c>
      <c r="BK783" t="s">
        <v>1100</v>
      </c>
      <c r="BV783" t="s">
        <v>132</v>
      </c>
      <c r="BW783" s="16">
        <v>46046.473611111112</v>
      </c>
      <c r="BX783" t="s">
        <v>178</v>
      </c>
      <c r="BZ783">
        <v>10</v>
      </c>
      <c r="CB783">
        <v>0</v>
      </c>
      <c r="CF783" t="s">
        <v>1878</v>
      </c>
      <c r="CG783">
        <v>2027</v>
      </c>
      <c r="CH783" t="s">
        <v>138</v>
      </c>
      <c r="CI783" t="s">
        <v>139</v>
      </c>
    </row>
    <row r="784" spans="1:87" x14ac:dyDescent="0.3">
      <c r="A784" t="s">
        <v>165</v>
      </c>
      <c r="B784" t="s">
        <v>116</v>
      </c>
      <c r="C784" t="s">
        <v>117</v>
      </c>
      <c r="D784" t="s">
        <v>118</v>
      </c>
      <c r="E784" t="s">
        <v>14</v>
      </c>
      <c r="F784" t="s">
        <v>1636</v>
      </c>
      <c r="G784">
        <v>57</v>
      </c>
      <c r="H784">
        <v>0</v>
      </c>
      <c r="I784" s="14">
        <v>430000</v>
      </c>
      <c r="J784" s="14">
        <v>369000</v>
      </c>
      <c r="K784" t="s">
        <v>117</v>
      </c>
      <c r="L784" t="s">
        <v>118</v>
      </c>
      <c r="M784" t="s">
        <v>140</v>
      </c>
      <c r="N784" t="s">
        <v>1637</v>
      </c>
      <c r="O784">
        <v>12.5</v>
      </c>
      <c r="P784">
        <v>0</v>
      </c>
      <c r="Q784" s="14">
        <v>43200</v>
      </c>
      <c r="R784" s="14">
        <v>43200</v>
      </c>
      <c r="Y784" s="14"/>
      <c r="Z784" s="14"/>
      <c r="AG784" s="14"/>
      <c r="AH784" s="14"/>
      <c r="AI784" t="s">
        <v>1638</v>
      </c>
      <c r="AJ784" t="s">
        <v>1639</v>
      </c>
      <c r="AK784" t="s">
        <v>1640</v>
      </c>
      <c r="AL784">
        <v>0</v>
      </c>
      <c r="AM784" t="s">
        <v>1641</v>
      </c>
      <c r="AN784" t="s">
        <v>1642</v>
      </c>
      <c r="AO784" t="s">
        <v>125</v>
      </c>
      <c r="AP784" t="s">
        <v>758</v>
      </c>
      <c r="AQ784" s="15">
        <v>46568</v>
      </c>
      <c r="AR784" s="15"/>
      <c r="AS784" t="s">
        <v>227</v>
      </c>
      <c r="AT784">
        <v>14</v>
      </c>
      <c r="AU784">
        <v>12000</v>
      </c>
      <c r="AV784">
        <v>0</v>
      </c>
      <c r="AW784">
        <v>0</v>
      </c>
      <c r="AX784" s="14">
        <v>12000</v>
      </c>
      <c r="AY784" s="14">
        <v>0</v>
      </c>
      <c r="AZ784" s="14">
        <v>12000</v>
      </c>
      <c r="BB784" t="s">
        <v>22</v>
      </c>
      <c r="BH784" t="s">
        <v>132</v>
      </c>
      <c r="BK784" t="s">
        <v>1100</v>
      </c>
      <c r="BV784" t="s">
        <v>132</v>
      </c>
      <c r="BW784" s="16">
        <v>46046.473611111112</v>
      </c>
      <c r="BX784" t="s">
        <v>178</v>
      </c>
      <c r="BZ784">
        <v>10</v>
      </c>
      <c r="CB784">
        <v>0</v>
      </c>
      <c r="CF784" t="s">
        <v>1878</v>
      </c>
      <c r="CG784">
        <v>2027</v>
      </c>
      <c r="CH784" t="s">
        <v>138</v>
      </c>
      <c r="CI784" t="s">
        <v>139</v>
      </c>
    </row>
    <row r="785" spans="1:87" x14ac:dyDescent="0.3">
      <c r="A785" t="s">
        <v>165</v>
      </c>
      <c r="B785" t="s">
        <v>116</v>
      </c>
      <c r="C785" t="s">
        <v>117</v>
      </c>
      <c r="D785" t="s">
        <v>118</v>
      </c>
      <c r="E785" t="s">
        <v>14</v>
      </c>
      <c r="F785" t="s">
        <v>1636</v>
      </c>
      <c r="G785">
        <v>57</v>
      </c>
      <c r="H785">
        <v>0</v>
      </c>
      <c r="I785" s="14">
        <v>430000</v>
      </c>
      <c r="J785" s="14">
        <v>369000</v>
      </c>
      <c r="K785" t="s">
        <v>117</v>
      </c>
      <c r="L785" t="s">
        <v>118</v>
      </c>
      <c r="M785" t="s">
        <v>140</v>
      </c>
      <c r="N785" t="s">
        <v>1637</v>
      </c>
      <c r="O785">
        <v>12.5</v>
      </c>
      <c r="P785">
        <v>0</v>
      </c>
      <c r="Q785" s="14">
        <v>43200</v>
      </c>
      <c r="R785" s="14">
        <v>43200</v>
      </c>
      <c r="Y785" s="14"/>
      <c r="Z785" s="14"/>
      <c r="AG785" s="14"/>
      <c r="AH785" s="14"/>
      <c r="AI785" t="s">
        <v>1638</v>
      </c>
      <c r="AJ785" t="s">
        <v>1639</v>
      </c>
      <c r="AK785" t="s">
        <v>1640</v>
      </c>
      <c r="AL785">
        <v>0</v>
      </c>
      <c r="AM785" t="s">
        <v>1641</v>
      </c>
      <c r="AN785" t="s">
        <v>1642</v>
      </c>
      <c r="AO785" t="s">
        <v>125</v>
      </c>
      <c r="AP785" t="s">
        <v>758</v>
      </c>
      <c r="AQ785" s="15">
        <v>46598</v>
      </c>
      <c r="AR785" s="15"/>
      <c r="AS785" t="s">
        <v>227</v>
      </c>
      <c r="AT785">
        <v>15</v>
      </c>
      <c r="AU785">
        <v>12000</v>
      </c>
      <c r="AV785">
        <v>0</v>
      </c>
      <c r="AW785">
        <v>0</v>
      </c>
      <c r="AX785" s="14">
        <v>12000</v>
      </c>
      <c r="AY785" s="14">
        <v>0</v>
      </c>
      <c r="AZ785" s="14">
        <v>12000</v>
      </c>
      <c r="BB785" t="s">
        <v>22</v>
      </c>
      <c r="BH785" t="s">
        <v>132</v>
      </c>
      <c r="BK785" t="s">
        <v>1100</v>
      </c>
      <c r="BV785" t="s">
        <v>132</v>
      </c>
      <c r="BW785" s="16">
        <v>46046.473611111112</v>
      </c>
      <c r="BX785" t="s">
        <v>178</v>
      </c>
      <c r="BZ785">
        <v>10</v>
      </c>
      <c r="CB785">
        <v>0</v>
      </c>
      <c r="CF785" t="s">
        <v>1878</v>
      </c>
      <c r="CG785">
        <v>2027</v>
      </c>
      <c r="CH785" t="s">
        <v>138</v>
      </c>
      <c r="CI785" t="s">
        <v>139</v>
      </c>
    </row>
    <row r="786" spans="1:87" x14ac:dyDescent="0.3">
      <c r="A786" t="s">
        <v>165</v>
      </c>
      <c r="B786" t="s">
        <v>116</v>
      </c>
      <c r="C786" t="s">
        <v>117</v>
      </c>
      <c r="D786" t="s">
        <v>118</v>
      </c>
      <c r="E786" t="s">
        <v>14</v>
      </c>
      <c r="F786" t="s">
        <v>1636</v>
      </c>
      <c r="G786">
        <v>57</v>
      </c>
      <c r="H786">
        <v>0</v>
      </c>
      <c r="I786" s="14">
        <v>430000</v>
      </c>
      <c r="J786" s="14">
        <v>369000</v>
      </c>
      <c r="K786" t="s">
        <v>117</v>
      </c>
      <c r="L786" t="s">
        <v>118</v>
      </c>
      <c r="M786" t="s">
        <v>140</v>
      </c>
      <c r="N786" t="s">
        <v>1637</v>
      </c>
      <c r="O786">
        <v>12.5</v>
      </c>
      <c r="P786">
        <v>0</v>
      </c>
      <c r="Q786" s="14">
        <v>43200</v>
      </c>
      <c r="R786" s="14">
        <v>43200</v>
      </c>
      <c r="Y786" s="14"/>
      <c r="Z786" s="14"/>
      <c r="AG786" s="14"/>
      <c r="AH786" s="14"/>
      <c r="AI786" t="s">
        <v>1638</v>
      </c>
      <c r="AJ786" t="s">
        <v>1639</v>
      </c>
      <c r="AK786" t="s">
        <v>1640</v>
      </c>
      <c r="AL786">
        <v>0</v>
      </c>
      <c r="AM786" t="s">
        <v>1641</v>
      </c>
      <c r="AN786" t="s">
        <v>1642</v>
      </c>
      <c r="AO786" t="s">
        <v>125</v>
      </c>
      <c r="AP786" t="s">
        <v>758</v>
      </c>
      <c r="AQ786" s="15">
        <v>46629</v>
      </c>
      <c r="AR786" s="15"/>
      <c r="AS786" t="s">
        <v>227</v>
      </c>
      <c r="AT786">
        <v>16</v>
      </c>
      <c r="AU786">
        <v>12000</v>
      </c>
      <c r="AV786">
        <v>0</v>
      </c>
      <c r="AW786">
        <v>0</v>
      </c>
      <c r="AX786" s="14">
        <v>12000</v>
      </c>
      <c r="AY786" s="14">
        <v>0</v>
      </c>
      <c r="AZ786" s="14">
        <v>12000</v>
      </c>
      <c r="BB786" t="s">
        <v>22</v>
      </c>
      <c r="BH786" t="s">
        <v>132</v>
      </c>
      <c r="BK786" t="s">
        <v>1100</v>
      </c>
      <c r="BV786" t="s">
        <v>132</v>
      </c>
      <c r="BW786" s="16">
        <v>46046.473611111112</v>
      </c>
      <c r="BX786" t="s">
        <v>178</v>
      </c>
      <c r="BZ786">
        <v>10</v>
      </c>
      <c r="CB786">
        <v>0</v>
      </c>
      <c r="CF786" t="s">
        <v>1878</v>
      </c>
      <c r="CG786">
        <v>2027</v>
      </c>
      <c r="CH786" t="s">
        <v>138</v>
      </c>
      <c r="CI786" t="s">
        <v>139</v>
      </c>
    </row>
    <row r="787" spans="1:87" x14ac:dyDescent="0.3">
      <c r="A787" t="s">
        <v>165</v>
      </c>
      <c r="B787" t="s">
        <v>116</v>
      </c>
      <c r="C787" t="s">
        <v>117</v>
      </c>
      <c r="D787" t="s">
        <v>118</v>
      </c>
      <c r="E787" t="s">
        <v>14</v>
      </c>
      <c r="F787" t="s">
        <v>1636</v>
      </c>
      <c r="G787">
        <v>57</v>
      </c>
      <c r="H787">
        <v>0</v>
      </c>
      <c r="I787" s="14">
        <v>430000</v>
      </c>
      <c r="J787" s="14">
        <v>369000</v>
      </c>
      <c r="K787" t="s">
        <v>117</v>
      </c>
      <c r="L787" t="s">
        <v>118</v>
      </c>
      <c r="M787" t="s">
        <v>140</v>
      </c>
      <c r="N787" t="s">
        <v>1637</v>
      </c>
      <c r="O787">
        <v>12.5</v>
      </c>
      <c r="P787">
        <v>0</v>
      </c>
      <c r="Q787" s="14">
        <v>43200</v>
      </c>
      <c r="R787" s="14">
        <v>43200</v>
      </c>
      <c r="Y787" s="14"/>
      <c r="Z787" s="14"/>
      <c r="AG787" s="14"/>
      <c r="AH787" s="14"/>
      <c r="AI787" t="s">
        <v>1638</v>
      </c>
      <c r="AJ787" t="s">
        <v>1639</v>
      </c>
      <c r="AK787" t="s">
        <v>1640</v>
      </c>
      <c r="AL787">
        <v>0</v>
      </c>
      <c r="AM787" t="s">
        <v>1641</v>
      </c>
      <c r="AN787" t="s">
        <v>1642</v>
      </c>
      <c r="AO787" t="s">
        <v>125</v>
      </c>
      <c r="AP787" t="s">
        <v>758</v>
      </c>
      <c r="AQ787" s="15">
        <v>46660</v>
      </c>
      <c r="AR787" s="15"/>
      <c r="AS787" t="s">
        <v>227</v>
      </c>
      <c r="AT787">
        <v>17</v>
      </c>
      <c r="AU787">
        <v>12000</v>
      </c>
      <c r="AV787">
        <v>0</v>
      </c>
      <c r="AW787">
        <v>0</v>
      </c>
      <c r="AX787" s="14">
        <v>12000</v>
      </c>
      <c r="AY787" s="14">
        <v>0</v>
      </c>
      <c r="AZ787" s="14">
        <v>12000</v>
      </c>
      <c r="BB787" t="s">
        <v>22</v>
      </c>
      <c r="BH787" t="s">
        <v>132</v>
      </c>
      <c r="BK787" t="s">
        <v>1100</v>
      </c>
      <c r="BV787" t="s">
        <v>132</v>
      </c>
      <c r="BW787" s="16">
        <v>46046.473611111112</v>
      </c>
      <c r="BX787" t="s">
        <v>178</v>
      </c>
      <c r="BZ787">
        <v>10</v>
      </c>
      <c r="CB787">
        <v>0</v>
      </c>
      <c r="CF787" t="s">
        <v>1878</v>
      </c>
      <c r="CG787">
        <v>2027</v>
      </c>
      <c r="CH787" t="s">
        <v>138</v>
      </c>
      <c r="CI787" t="s">
        <v>139</v>
      </c>
    </row>
    <row r="788" spans="1:87" x14ac:dyDescent="0.3">
      <c r="A788" t="s">
        <v>165</v>
      </c>
      <c r="B788" t="s">
        <v>116</v>
      </c>
      <c r="C788" t="s">
        <v>117</v>
      </c>
      <c r="D788" t="s">
        <v>118</v>
      </c>
      <c r="E788" t="s">
        <v>14</v>
      </c>
      <c r="F788" t="s">
        <v>1636</v>
      </c>
      <c r="G788">
        <v>57</v>
      </c>
      <c r="H788">
        <v>0</v>
      </c>
      <c r="I788" s="14">
        <v>430000</v>
      </c>
      <c r="J788" s="14">
        <v>369000</v>
      </c>
      <c r="K788" t="s">
        <v>117</v>
      </c>
      <c r="L788" t="s">
        <v>118</v>
      </c>
      <c r="M788" t="s">
        <v>140</v>
      </c>
      <c r="N788" t="s">
        <v>1637</v>
      </c>
      <c r="O788">
        <v>12.5</v>
      </c>
      <c r="P788">
        <v>0</v>
      </c>
      <c r="Q788" s="14">
        <v>43200</v>
      </c>
      <c r="R788" s="14">
        <v>43200</v>
      </c>
      <c r="Y788" s="14"/>
      <c r="Z788" s="14"/>
      <c r="AG788" s="14"/>
      <c r="AH788" s="14"/>
      <c r="AI788" t="s">
        <v>1638</v>
      </c>
      <c r="AJ788" t="s">
        <v>1639</v>
      </c>
      <c r="AK788" t="s">
        <v>1640</v>
      </c>
      <c r="AL788">
        <v>0</v>
      </c>
      <c r="AM788" t="s">
        <v>1641</v>
      </c>
      <c r="AN788" t="s">
        <v>1642</v>
      </c>
      <c r="AO788" t="s">
        <v>125</v>
      </c>
      <c r="AP788" t="s">
        <v>758</v>
      </c>
      <c r="AQ788" s="15">
        <v>46690</v>
      </c>
      <c r="AR788" s="15"/>
      <c r="AS788" t="s">
        <v>227</v>
      </c>
      <c r="AT788">
        <v>18</v>
      </c>
      <c r="AU788">
        <v>63930</v>
      </c>
      <c r="AV788">
        <v>0</v>
      </c>
      <c r="AW788">
        <v>0</v>
      </c>
      <c r="AX788" s="14">
        <v>63930</v>
      </c>
      <c r="AY788" s="14">
        <v>0</v>
      </c>
      <c r="AZ788" s="14">
        <v>63930</v>
      </c>
      <c r="BB788" t="s">
        <v>22</v>
      </c>
      <c r="BH788" t="s">
        <v>132</v>
      </c>
      <c r="BK788" t="s">
        <v>1100</v>
      </c>
      <c r="BV788" t="s">
        <v>132</v>
      </c>
      <c r="BW788" s="16">
        <v>46046.473611111112</v>
      </c>
      <c r="BX788" t="s">
        <v>178</v>
      </c>
      <c r="BZ788">
        <v>10</v>
      </c>
      <c r="CB788">
        <v>0</v>
      </c>
      <c r="CF788" t="s">
        <v>1878</v>
      </c>
      <c r="CG788">
        <v>2027</v>
      </c>
      <c r="CH788" t="s">
        <v>138</v>
      </c>
      <c r="CI788" t="s">
        <v>139</v>
      </c>
    </row>
    <row r="789" spans="1:87" x14ac:dyDescent="0.3">
      <c r="A789" t="s">
        <v>165</v>
      </c>
      <c r="B789" t="s">
        <v>116</v>
      </c>
      <c r="C789" t="s">
        <v>117</v>
      </c>
      <c r="D789" t="s">
        <v>118</v>
      </c>
      <c r="E789" t="s">
        <v>14</v>
      </c>
      <c r="F789" t="s">
        <v>1655</v>
      </c>
      <c r="G789">
        <v>68</v>
      </c>
      <c r="H789">
        <v>0</v>
      </c>
      <c r="I789" s="14">
        <v>493700</v>
      </c>
      <c r="J789" s="14">
        <v>436200</v>
      </c>
      <c r="K789" t="s">
        <v>117</v>
      </c>
      <c r="L789" t="s">
        <v>118</v>
      </c>
      <c r="M789" t="s">
        <v>140</v>
      </c>
      <c r="N789" t="s">
        <v>1656</v>
      </c>
      <c r="O789">
        <v>12.5</v>
      </c>
      <c r="P789">
        <v>2.4</v>
      </c>
      <c r="Q789" s="14">
        <v>53800</v>
      </c>
      <c r="R789" s="14">
        <v>53800</v>
      </c>
      <c r="Y789" s="14"/>
      <c r="Z789" s="14"/>
      <c r="AG789" s="14"/>
      <c r="AH789" s="14"/>
      <c r="AI789" t="s">
        <v>1657</v>
      </c>
      <c r="AJ789" t="s">
        <v>1658</v>
      </c>
      <c r="AK789" t="s">
        <v>1659</v>
      </c>
      <c r="AL789">
        <v>0</v>
      </c>
      <c r="AM789" t="s">
        <v>1660</v>
      </c>
      <c r="AN789" t="s">
        <v>1661</v>
      </c>
      <c r="AO789" t="s">
        <v>125</v>
      </c>
      <c r="AP789" t="s">
        <v>750</v>
      </c>
      <c r="AQ789" s="15">
        <v>46418</v>
      </c>
      <c r="AR789" s="15"/>
      <c r="AS789" t="s">
        <v>227</v>
      </c>
      <c r="AT789">
        <v>6</v>
      </c>
      <c r="AU789">
        <v>20008.75</v>
      </c>
      <c r="AV789">
        <v>0</v>
      </c>
      <c r="AW789">
        <v>0</v>
      </c>
      <c r="AX789" s="14">
        <v>20008.75</v>
      </c>
      <c r="AY789" s="14">
        <v>0</v>
      </c>
      <c r="AZ789" s="14">
        <v>20008.75</v>
      </c>
      <c r="BB789" t="s">
        <v>22</v>
      </c>
      <c r="BH789" t="s">
        <v>132</v>
      </c>
      <c r="BK789" t="s">
        <v>1100</v>
      </c>
      <c r="BV789" t="s">
        <v>132</v>
      </c>
      <c r="BW789" s="16">
        <v>46181.477777777778</v>
      </c>
      <c r="BX789" t="s">
        <v>178</v>
      </c>
      <c r="BZ789">
        <v>9</v>
      </c>
      <c r="CB789">
        <v>0</v>
      </c>
      <c r="CF789" t="s">
        <v>1878</v>
      </c>
      <c r="CG789">
        <v>2027</v>
      </c>
      <c r="CH789" t="s">
        <v>138</v>
      </c>
      <c r="CI789" t="s">
        <v>139</v>
      </c>
    </row>
    <row r="790" spans="1:87" x14ac:dyDescent="0.3">
      <c r="A790" t="s">
        <v>165</v>
      </c>
      <c r="B790" t="s">
        <v>116</v>
      </c>
      <c r="C790" t="s">
        <v>117</v>
      </c>
      <c r="D790" t="s">
        <v>118</v>
      </c>
      <c r="E790" t="s">
        <v>14</v>
      </c>
      <c r="F790" t="s">
        <v>1655</v>
      </c>
      <c r="G790">
        <v>68</v>
      </c>
      <c r="H790">
        <v>0</v>
      </c>
      <c r="I790" s="14">
        <v>493700</v>
      </c>
      <c r="J790" s="14">
        <v>436200</v>
      </c>
      <c r="K790" t="s">
        <v>117</v>
      </c>
      <c r="L790" t="s">
        <v>118</v>
      </c>
      <c r="M790" t="s">
        <v>140</v>
      </c>
      <c r="N790" t="s">
        <v>1656</v>
      </c>
      <c r="O790">
        <v>12.5</v>
      </c>
      <c r="P790">
        <v>2.4</v>
      </c>
      <c r="Q790" s="14">
        <v>53800</v>
      </c>
      <c r="R790" s="14">
        <v>53800</v>
      </c>
      <c r="Y790" s="14"/>
      <c r="Z790" s="14"/>
      <c r="AG790" s="14"/>
      <c r="AH790" s="14"/>
      <c r="AI790" t="s">
        <v>1657</v>
      </c>
      <c r="AJ790" t="s">
        <v>1658</v>
      </c>
      <c r="AK790" t="s">
        <v>1659</v>
      </c>
      <c r="AL790">
        <v>0</v>
      </c>
      <c r="AM790" t="s">
        <v>1660</v>
      </c>
      <c r="AN790" t="s">
        <v>1661</v>
      </c>
      <c r="AO790" t="s">
        <v>125</v>
      </c>
      <c r="AP790" t="s">
        <v>750</v>
      </c>
      <c r="AQ790" s="15">
        <v>46446</v>
      </c>
      <c r="AR790" s="15"/>
      <c r="AS790" t="s">
        <v>227</v>
      </c>
      <c r="AT790">
        <v>7</v>
      </c>
      <c r="AU790">
        <v>20008.75</v>
      </c>
      <c r="AV790">
        <v>0</v>
      </c>
      <c r="AW790">
        <v>0</v>
      </c>
      <c r="AX790" s="14">
        <v>20008.75</v>
      </c>
      <c r="AY790" s="14">
        <v>0</v>
      </c>
      <c r="AZ790" s="14">
        <v>20008.75</v>
      </c>
      <c r="BB790" t="s">
        <v>22</v>
      </c>
      <c r="BH790" t="s">
        <v>132</v>
      </c>
      <c r="BK790" t="s">
        <v>1100</v>
      </c>
      <c r="BV790" t="s">
        <v>132</v>
      </c>
      <c r="BW790" s="16">
        <v>46181.477777777778</v>
      </c>
      <c r="BX790" t="s">
        <v>178</v>
      </c>
      <c r="BZ790">
        <v>9</v>
      </c>
      <c r="CB790">
        <v>0</v>
      </c>
      <c r="CF790" t="s">
        <v>1878</v>
      </c>
      <c r="CG790">
        <v>2027</v>
      </c>
      <c r="CH790" t="s">
        <v>138</v>
      </c>
      <c r="CI790" t="s">
        <v>139</v>
      </c>
    </row>
    <row r="791" spans="1:87" x14ac:dyDescent="0.3">
      <c r="A791" t="s">
        <v>165</v>
      </c>
      <c r="B791" t="s">
        <v>116</v>
      </c>
      <c r="C791" t="s">
        <v>117</v>
      </c>
      <c r="D791" t="s">
        <v>118</v>
      </c>
      <c r="E791" t="s">
        <v>14</v>
      </c>
      <c r="F791" t="s">
        <v>1655</v>
      </c>
      <c r="G791">
        <v>68</v>
      </c>
      <c r="H791">
        <v>0</v>
      </c>
      <c r="I791" s="14">
        <v>493700</v>
      </c>
      <c r="J791" s="14">
        <v>436200</v>
      </c>
      <c r="K791" t="s">
        <v>117</v>
      </c>
      <c r="L791" t="s">
        <v>118</v>
      </c>
      <c r="M791" t="s">
        <v>140</v>
      </c>
      <c r="N791" t="s">
        <v>1656</v>
      </c>
      <c r="O791">
        <v>12.5</v>
      </c>
      <c r="P791">
        <v>2.4</v>
      </c>
      <c r="Q791" s="14">
        <v>53800</v>
      </c>
      <c r="R791" s="14">
        <v>53800</v>
      </c>
      <c r="Y791" s="14"/>
      <c r="Z791" s="14"/>
      <c r="AG791" s="14"/>
      <c r="AH791" s="14"/>
      <c r="AI791" t="s">
        <v>1657</v>
      </c>
      <c r="AJ791" t="s">
        <v>1658</v>
      </c>
      <c r="AK791" t="s">
        <v>1659</v>
      </c>
      <c r="AL791">
        <v>0</v>
      </c>
      <c r="AM791" t="s">
        <v>1660</v>
      </c>
      <c r="AN791" t="s">
        <v>1661</v>
      </c>
      <c r="AO791" t="s">
        <v>125</v>
      </c>
      <c r="AP791" t="s">
        <v>750</v>
      </c>
      <c r="AQ791" s="15">
        <v>46477</v>
      </c>
      <c r="AR791" s="15"/>
      <c r="AS791" t="s">
        <v>227</v>
      </c>
      <c r="AT791">
        <v>8</v>
      </c>
      <c r="AU791">
        <v>20008.75</v>
      </c>
      <c r="AV791">
        <v>0</v>
      </c>
      <c r="AW791">
        <v>0</v>
      </c>
      <c r="AX791" s="14">
        <v>20008.75</v>
      </c>
      <c r="AY791" s="14">
        <v>0</v>
      </c>
      <c r="AZ791" s="14">
        <v>20008.75</v>
      </c>
      <c r="BB791" t="s">
        <v>22</v>
      </c>
      <c r="BH791" t="s">
        <v>132</v>
      </c>
      <c r="BK791" t="s">
        <v>1100</v>
      </c>
      <c r="BV791" t="s">
        <v>132</v>
      </c>
      <c r="BW791" s="16">
        <v>46181.477777777778</v>
      </c>
      <c r="BX791" t="s">
        <v>178</v>
      </c>
      <c r="BZ791">
        <v>9</v>
      </c>
      <c r="CB791">
        <v>0</v>
      </c>
      <c r="CF791" t="s">
        <v>1878</v>
      </c>
      <c r="CG791">
        <v>2027</v>
      </c>
      <c r="CH791" t="s">
        <v>138</v>
      </c>
      <c r="CI791" t="s">
        <v>139</v>
      </c>
    </row>
    <row r="792" spans="1:87" x14ac:dyDescent="0.3">
      <c r="A792" t="s">
        <v>165</v>
      </c>
      <c r="B792" t="s">
        <v>116</v>
      </c>
      <c r="C792" t="s">
        <v>117</v>
      </c>
      <c r="D792" t="s">
        <v>118</v>
      </c>
      <c r="E792" t="s">
        <v>14</v>
      </c>
      <c r="F792" t="s">
        <v>1655</v>
      </c>
      <c r="G792">
        <v>68</v>
      </c>
      <c r="H792">
        <v>0</v>
      </c>
      <c r="I792" s="14">
        <v>493700</v>
      </c>
      <c r="J792" s="14">
        <v>436200</v>
      </c>
      <c r="K792" t="s">
        <v>117</v>
      </c>
      <c r="L792" t="s">
        <v>118</v>
      </c>
      <c r="M792" t="s">
        <v>140</v>
      </c>
      <c r="N792" t="s">
        <v>1656</v>
      </c>
      <c r="O792">
        <v>12.5</v>
      </c>
      <c r="P792">
        <v>2.4</v>
      </c>
      <c r="Q792" s="14">
        <v>53800</v>
      </c>
      <c r="R792" s="14">
        <v>53800</v>
      </c>
      <c r="Y792" s="14"/>
      <c r="Z792" s="14"/>
      <c r="AG792" s="14"/>
      <c r="AH792" s="14"/>
      <c r="AI792" t="s">
        <v>1657</v>
      </c>
      <c r="AJ792" t="s">
        <v>1658</v>
      </c>
      <c r="AK792" t="s">
        <v>1659</v>
      </c>
      <c r="AL792">
        <v>0</v>
      </c>
      <c r="AM792" t="s">
        <v>1660</v>
      </c>
      <c r="AN792" t="s">
        <v>1661</v>
      </c>
      <c r="AO792" t="s">
        <v>125</v>
      </c>
      <c r="AP792" t="s">
        <v>750</v>
      </c>
      <c r="AQ792" s="15">
        <v>46507</v>
      </c>
      <c r="AR792" s="15"/>
      <c r="AS792" t="s">
        <v>227</v>
      </c>
      <c r="AT792">
        <v>9</v>
      </c>
      <c r="AU792">
        <v>20008.79</v>
      </c>
      <c r="AV792">
        <v>0</v>
      </c>
      <c r="AW792">
        <v>0</v>
      </c>
      <c r="AX792" s="14">
        <v>20008.79</v>
      </c>
      <c r="AY792" s="14">
        <v>0</v>
      </c>
      <c r="AZ792" s="14">
        <v>20008.79</v>
      </c>
      <c r="BB792" t="s">
        <v>22</v>
      </c>
      <c r="BH792" t="s">
        <v>132</v>
      </c>
      <c r="BK792" t="s">
        <v>1100</v>
      </c>
      <c r="BV792" t="s">
        <v>132</v>
      </c>
      <c r="BW792" s="16">
        <v>46181.477777777778</v>
      </c>
      <c r="BX792" t="s">
        <v>178</v>
      </c>
      <c r="BZ792">
        <v>9</v>
      </c>
      <c r="CB792">
        <v>0</v>
      </c>
      <c r="CF792" t="s">
        <v>1878</v>
      </c>
      <c r="CG792">
        <v>2027</v>
      </c>
      <c r="CH792" t="s">
        <v>138</v>
      </c>
      <c r="CI792" t="s">
        <v>139</v>
      </c>
    </row>
    <row r="793" spans="1:87" x14ac:dyDescent="0.3">
      <c r="A793" t="s">
        <v>426</v>
      </c>
      <c r="B793" t="s">
        <v>116</v>
      </c>
      <c r="C793" t="s">
        <v>117</v>
      </c>
      <c r="D793" t="s">
        <v>118</v>
      </c>
      <c r="E793" t="s">
        <v>14</v>
      </c>
      <c r="F793" t="s">
        <v>483</v>
      </c>
      <c r="G793">
        <v>78</v>
      </c>
      <c r="H793">
        <v>0</v>
      </c>
      <c r="I793" s="14">
        <v>545000</v>
      </c>
      <c r="J793" s="14">
        <v>545000</v>
      </c>
      <c r="K793" t="s">
        <v>117</v>
      </c>
      <c r="L793" t="s">
        <v>118</v>
      </c>
      <c r="M793" t="s">
        <v>140</v>
      </c>
      <c r="N793" t="s">
        <v>952</v>
      </c>
      <c r="O793">
        <v>14.25</v>
      </c>
      <c r="P793">
        <v>0</v>
      </c>
      <c r="Q793" s="14">
        <v>50800</v>
      </c>
      <c r="R793" s="14">
        <v>50800</v>
      </c>
      <c r="Y793" s="14"/>
      <c r="Z793" s="14"/>
      <c r="AG793" s="14"/>
      <c r="AH793" s="14"/>
      <c r="AI793" t="s">
        <v>953</v>
      </c>
      <c r="AJ793" t="s">
        <v>954</v>
      </c>
      <c r="AK793" t="s">
        <v>955</v>
      </c>
      <c r="AL793">
        <v>0</v>
      </c>
      <c r="AM793" t="s">
        <v>956</v>
      </c>
      <c r="AN793" t="s">
        <v>957</v>
      </c>
      <c r="AO793" t="s">
        <v>125</v>
      </c>
      <c r="AP793" t="s">
        <v>958</v>
      </c>
      <c r="AQ793" s="15">
        <v>46417</v>
      </c>
      <c r="AR793" s="15"/>
      <c r="AS793" t="s">
        <v>227</v>
      </c>
      <c r="AT793">
        <v>17</v>
      </c>
      <c r="AU793">
        <v>6000</v>
      </c>
      <c r="AV793">
        <v>0</v>
      </c>
      <c r="AW793">
        <v>0</v>
      </c>
      <c r="AX793" s="14">
        <v>6000</v>
      </c>
      <c r="AY793" s="14">
        <v>0</v>
      </c>
      <c r="AZ793" s="14">
        <v>6000</v>
      </c>
      <c r="BB793" t="s">
        <v>22</v>
      </c>
      <c r="BH793" t="s">
        <v>132</v>
      </c>
      <c r="BK793" t="s">
        <v>1100</v>
      </c>
      <c r="BV793" t="s">
        <v>132</v>
      </c>
      <c r="BW793" s="16">
        <v>45857.519444444442</v>
      </c>
      <c r="BX793" t="s">
        <v>143</v>
      </c>
      <c r="BZ793">
        <v>11</v>
      </c>
      <c r="CB793">
        <v>0</v>
      </c>
      <c r="CF793" t="s">
        <v>1878</v>
      </c>
      <c r="CG793">
        <v>2027</v>
      </c>
      <c r="CH793" t="s">
        <v>138</v>
      </c>
      <c r="CI793" t="s">
        <v>139</v>
      </c>
    </row>
    <row r="794" spans="1:87" x14ac:dyDescent="0.3">
      <c r="A794" t="s">
        <v>426</v>
      </c>
      <c r="B794" t="s">
        <v>116</v>
      </c>
      <c r="C794" t="s">
        <v>117</v>
      </c>
      <c r="D794" t="s">
        <v>118</v>
      </c>
      <c r="E794" t="s">
        <v>14</v>
      </c>
      <c r="F794" t="s">
        <v>483</v>
      </c>
      <c r="G794">
        <v>78</v>
      </c>
      <c r="H794">
        <v>0</v>
      </c>
      <c r="I794" s="14">
        <v>545000</v>
      </c>
      <c r="J794" s="14">
        <v>545000</v>
      </c>
      <c r="K794" t="s">
        <v>117</v>
      </c>
      <c r="L794" t="s">
        <v>118</v>
      </c>
      <c r="M794" t="s">
        <v>140</v>
      </c>
      <c r="N794" t="s">
        <v>952</v>
      </c>
      <c r="O794">
        <v>14.25</v>
      </c>
      <c r="P794">
        <v>0</v>
      </c>
      <c r="Q794" s="14">
        <v>50800</v>
      </c>
      <c r="R794" s="14">
        <v>50800</v>
      </c>
      <c r="Y794" s="14"/>
      <c r="Z794" s="14"/>
      <c r="AG794" s="14"/>
      <c r="AH794" s="14"/>
      <c r="AI794" t="s">
        <v>953</v>
      </c>
      <c r="AJ794" t="s">
        <v>954</v>
      </c>
      <c r="AK794" t="s">
        <v>955</v>
      </c>
      <c r="AL794">
        <v>0</v>
      </c>
      <c r="AM794" t="s">
        <v>956</v>
      </c>
      <c r="AN794" t="s">
        <v>957</v>
      </c>
      <c r="AO794" t="s">
        <v>125</v>
      </c>
      <c r="AP794" t="s">
        <v>958</v>
      </c>
      <c r="AQ794" s="15">
        <v>46446</v>
      </c>
      <c r="AR794" s="15"/>
      <c r="AS794" t="s">
        <v>227</v>
      </c>
      <c r="AT794">
        <v>18</v>
      </c>
      <c r="AU794">
        <v>6000</v>
      </c>
      <c r="AV794">
        <v>0</v>
      </c>
      <c r="AW794">
        <v>0</v>
      </c>
      <c r="AX794" s="14">
        <v>6000</v>
      </c>
      <c r="AY794" s="14">
        <v>0</v>
      </c>
      <c r="AZ794" s="14">
        <v>6000</v>
      </c>
      <c r="BB794" t="s">
        <v>22</v>
      </c>
      <c r="BH794" t="s">
        <v>132</v>
      </c>
      <c r="BK794" t="s">
        <v>1100</v>
      </c>
      <c r="BV794" t="s">
        <v>132</v>
      </c>
      <c r="BW794" s="16">
        <v>45857.519444444442</v>
      </c>
      <c r="BX794" t="s">
        <v>143</v>
      </c>
      <c r="BZ794">
        <v>11</v>
      </c>
      <c r="CB794">
        <v>0</v>
      </c>
      <c r="CF794" t="s">
        <v>1878</v>
      </c>
      <c r="CG794">
        <v>2027</v>
      </c>
      <c r="CH794" t="s">
        <v>138</v>
      </c>
      <c r="CI794" t="s">
        <v>139</v>
      </c>
    </row>
    <row r="795" spans="1:87" x14ac:dyDescent="0.3">
      <c r="A795" t="s">
        <v>426</v>
      </c>
      <c r="B795" t="s">
        <v>116</v>
      </c>
      <c r="C795" t="s">
        <v>117</v>
      </c>
      <c r="D795" t="s">
        <v>118</v>
      </c>
      <c r="E795" t="s">
        <v>14</v>
      </c>
      <c r="F795" t="s">
        <v>483</v>
      </c>
      <c r="G795">
        <v>78</v>
      </c>
      <c r="H795">
        <v>0</v>
      </c>
      <c r="I795" s="14">
        <v>545000</v>
      </c>
      <c r="J795" s="14">
        <v>545000</v>
      </c>
      <c r="K795" t="s">
        <v>117</v>
      </c>
      <c r="L795" t="s">
        <v>118</v>
      </c>
      <c r="M795" t="s">
        <v>140</v>
      </c>
      <c r="N795" t="s">
        <v>952</v>
      </c>
      <c r="O795">
        <v>14.25</v>
      </c>
      <c r="P795">
        <v>0</v>
      </c>
      <c r="Q795" s="14">
        <v>50800</v>
      </c>
      <c r="R795" s="14">
        <v>50800</v>
      </c>
      <c r="Y795" s="14"/>
      <c r="Z795" s="14"/>
      <c r="AG795" s="14"/>
      <c r="AH795" s="14"/>
      <c r="AI795" t="s">
        <v>953</v>
      </c>
      <c r="AJ795" t="s">
        <v>954</v>
      </c>
      <c r="AK795" t="s">
        <v>955</v>
      </c>
      <c r="AL795">
        <v>0</v>
      </c>
      <c r="AM795" t="s">
        <v>956</v>
      </c>
      <c r="AN795" t="s">
        <v>957</v>
      </c>
      <c r="AO795" t="s">
        <v>125</v>
      </c>
      <c r="AP795" t="s">
        <v>958</v>
      </c>
      <c r="AQ795" s="15">
        <v>46476</v>
      </c>
      <c r="AR795" s="15"/>
      <c r="AS795" t="s">
        <v>227</v>
      </c>
      <c r="AT795">
        <v>19</v>
      </c>
      <c r="AU795">
        <v>6000</v>
      </c>
      <c r="AV795">
        <v>0</v>
      </c>
      <c r="AW795">
        <v>0</v>
      </c>
      <c r="AX795" s="14">
        <v>6000</v>
      </c>
      <c r="AY795" s="14">
        <v>0</v>
      </c>
      <c r="AZ795" s="14">
        <v>6000</v>
      </c>
      <c r="BB795" t="s">
        <v>22</v>
      </c>
      <c r="BH795" t="s">
        <v>132</v>
      </c>
      <c r="BK795" t="s">
        <v>1100</v>
      </c>
      <c r="BV795" t="s">
        <v>132</v>
      </c>
      <c r="BW795" s="16">
        <v>45857.519444444442</v>
      </c>
      <c r="BX795" t="s">
        <v>143</v>
      </c>
      <c r="BZ795">
        <v>11</v>
      </c>
      <c r="CB795">
        <v>0</v>
      </c>
      <c r="CF795" t="s">
        <v>1878</v>
      </c>
      <c r="CG795">
        <v>2027</v>
      </c>
      <c r="CH795" t="s">
        <v>138</v>
      </c>
      <c r="CI795" t="s">
        <v>139</v>
      </c>
    </row>
    <row r="796" spans="1:87" x14ac:dyDescent="0.3">
      <c r="A796" t="s">
        <v>426</v>
      </c>
      <c r="B796" t="s">
        <v>116</v>
      </c>
      <c r="C796" t="s">
        <v>117</v>
      </c>
      <c r="D796" t="s">
        <v>118</v>
      </c>
      <c r="E796" t="s">
        <v>14</v>
      </c>
      <c r="F796" t="s">
        <v>483</v>
      </c>
      <c r="G796">
        <v>78</v>
      </c>
      <c r="H796">
        <v>0</v>
      </c>
      <c r="I796" s="14">
        <v>545000</v>
      </c>
      <c r="J796" s="14">
        <v>545000</v>
      </c>
      <c r="K796" t="s">
        <v>117</v>
      </c>
      <c r="L796" t="s">
        <v>118</v>
      </c>
      <c r="M796" t="s">
        <v>140</v>
      </c>
      <c r="N796" t="s">
        <v>952</v>
      </c>
      <c r="O796">
        <v>14.25</v>
      </c>
      <c r="P796">
        <v>0</v>
      </c>
      <c r="Q796" s="14">
        <v>50800</v>
      </c>
      <c r="R796" s="14">
        <v>50800</v>
      </c>
      <c r="Y796" s="14"/>
      <c r="Z796" s="14"/>
      <c r="AG796" s="14"/>
      <c r="AH796" s="14"/>
      <c r="AI796" t="s">
        <v>953</v>
      </c>
      <c r="AJ796" t="s">
        <v>954</v>
      </c>
      <c r="AK796" t="s">
        <v>955</v>
      </c>
      <c r="AL796">
        <v>0</v>
      </c>
      <c r="AM796" t="s">
        <v>956</v>
      </c>
      <c r="AN796" t="s">
        <v>957</v>
      </c>
      <c r="AO796" t="s">
        <v>125</v>
      </c>
      <c r="AP796" t="s">
        <v>958</v>
      </c>
      <c r="AQ796" s="15">
        <v>46507</v>
      </c>
      <c r="AR796" s="15"/>
      <c r="AS796" t="s">
        <v>227</v>
      </c>
      <c r="AT796">
        <v>20</v>
      </c>
      <c r="AU796">
        <v>238000</v>
      </c>
      <c r="AV796">
        <v>0</v>
      </c>
      <c r="AW796">
        <v>0</v>
      </c>
      <c r="AX796" s="14">
        <v>238000</v>
      </c>
      <c r="AY796" s="14">
        <v>0</v>
      </c>
      <c r="AZ796" s="14">
        <v>238000</v>
      </c>
      <c r="BB796" t="s">
        <v>22</v>
      </c>
      <c r="BH796" t="s">
        <v>132</v>
      </c>
      <c r="BK796" t="s">
        <v>1100</v>
      </c>
      <c r="BV796" t="s">
        <v>132</v>
      </c>
      <c r="BW796" s="16">
        <v>45857.519444444442</v>
      </c>
      <c r="BX796" t="s">
        <v>143</v>
      </c>
      <c r="BZ796">
        <v>11</v>
      </c>
      <c r="CB796">
        <v>0</v>
      </c>
      <c r="CF796" t="s">
        <v>1878</v>
      </c>
      <c r="CG796">
        <v>2027</v>
      </c>
      <c r="CH796" t="s">
        <v>138</v>
      </c>
      <c r="CI796" t="s">
        <v>139</v>
      </c>
    </row>
    <row r="797" spans="1:87" x14ac:dyDescent="0.3">
      <c r="A797" t="s">
        <v>426</v>
      </c>
      <c r="B797" t="s">
        <v>116</v>
      </c>
      <c r="C797" t="s">
        <v>117</v>
      </c>
      <c r="D797" t="s">
        <v>118</v>
      </c>
      <c r="E797" t="s">
        <v>14</v>
      </c>
      <c r="F797" t="s">
        <v>146</v>
      </c>
      <c r="G797">
        <v>83</v>
      </c>
      <c r="H797">
        <v>0</v>
      </c>
      <c r="I797" s="14">
        <v>623000</v>
      </c>
      <c r="J797" s="14">
        <v>600000</v>
      </c>
      <c r="Q797" s="14"/>
      <c r="R797" s="14"/>
      <c r="Y797" s="14"/>
      <c r="Z797" s="14"/>
      <c r="AG797" s="14"/>
      <c r="AH797" s="14"/>
      <c r="AI797" t="s">
        <v>1700</v>
      </c>
      <c r="AJ797" t="s">
        <v>1701</v>
      </c>
      <c r="AK797" t="s">
        <v>1702</v>
      </c>
      <c r="AL797">
        <v>0</v>
      </c>
      <c r="AM797" t="s">
        <v>1703</v>
      </c>
      <c r="AN797" t="s">
        <v>1704</v>
      </c>
      <c r="AO797" t="s">
        <v>125</v>
      </c>
      <c r="AP797" t="s">
        <v>196</v>
      </c>
      <c r="AQ797" s="15">
        <v>46416</v>
      </c>
      <c r="AR797" s="15"/>
      <c r="AS797" t="s">
        <v>227</v>
      </c>
      <c r="AT797">
        <v>1</v>
      </c>
      <c r="AU797">
        <v>540000</v>
      </c>
      <c r="AV797">
        <v>0</v>
      </c>
      <c r="AW797">
        <v>0</v>
      </c>
      <c r="AX797" s="14">
        <v>540000</v>
      </c>
      <c r="AY797" s="14">
        <v>0</v>
      </c>
      <c r="AZ797" s="14">
        <v>540000</v>
      </c>
      <c r="BB797" t="s">
        <v>24</v>
      </c>
      <c r="BH797" t="s">
        <v>132</v>
      </c>
      <c r="BK797" t="s">
        <v>1100</v>
      </c>
      <c r="BV797" t="s">
        <v>132</v>
      </c>
      <c r="BW797" s="16">
        <v>46081.338194444441</v>
      </c>
      <c r="BX797" t="s">
        <v>143</v>
      </c>
      <c r="BZ797">
        <v>1</v>
      </c>
      <c r="CB797">
        <v>0</v>
      </c>
      <c r="CF797" t="s">
        <v>1878</v>
      </c>
      <c r="CG797">
        <v>2027</v>
      </c>
      <c r="CH797" t="s">
        <v>138</v>
      </c>
      <c r="CI797" t="s">
        <v>139</v>
      </c>
    </row>
    <row r="798" spans="1:87" x14ac:dyDescent="0.3">
      <c r="A798" t="s">
        <v>165</v>
      </c>
      <c r="B798" t="s">
        <v>116</v>
      </c>
      <c r="C798" t="s">
        <v>117</v>
      </c>
      <c r="D798" t="s">
        <v>118</v>
      </c>
      <c r="E798" t="s">
        <v>14</v>
      </c>
      <c r="F798" t="s">
        <v>1767</v>
      </c>
      <c r="G798">
        <v>68</v>
      </c>
      <c r="H798">
        <v>0</v>
      </c>
      <c r="I798" s="14">
        <v>504700</v>
      </c>
      <c r="J798" s="14">
        <v>455000</v>
      </c>
      <c r="K798" t="s">
        <v>117</v>
      </c>
      <c r="L798" t="s">
        <v>118</v>
      </c>
      <c r="M798" t="s">
        <v>140</v>
      </c>
      <c r="N798" t="s">
        <v>1768</v>
      </c>
      <c r="O798">
        <v>12.5</v>
      </c>
      <c r="P798">
        <v>0</v>
      </c>
      <c r="Q798" s="14">
        <v>47500</v>
      </c>
      <c r="R798" s="14">
        <v>47500</v>
      </c>
      <c r="Y798" s="14"/>
      <c r="Z798" s="14"/>
      <c r="AG798" s="14"/>
      <c r="AH798" s="14"/>
      <c r="AI798" t="s">
        <v>1769</v>
      </c>
      <c r="AJ798" t="s">
        <v>1770</v>
      </c>
      <c r="AK798" t="s">
        <v>1771</v>
      </c>
      <c r="AL798">
        <v>0</v>
      </c>
      <c r="AM798" t="s">
        <v>1772</v>
      </c>
      <c r="AN798" t="s">
        <v>1773</v>
      </c>
      <c r="AO798" t="s">
        <v>125</v>
      </c>
      <c r="AP798" t="s">
        <v>152</v>
      </c>
      <c r="AQ798" s="15">
        <v>46446</v>
      </c>
      <c r="AR798" s="15"/>
      <c r="AS798" t="s">
        <v>145</v>
      </c>
      <c r="AT798">
        <v>4</v>
      </c>
      <c r="AU798">
        <v>50000</v>
      </c>
      <c r="AV798">
        <v>0</v>
      </c>
      <c r="AW798">
        <v>0</v>
      </c>
      <c r="AX798" s="14">
        <v>50000</v>
      </c>
      <c r="AY798" s="14">
        <v>0</v>
      </c>
      <c r="AZ798" s="14">
        <v>50000</v>
      </c>
      <c r="BB798" t="s">
        <v>22</v>
      </c>
      <c r="BH798" t="s">
        <v>132</v>
      </c>
      <c r="BK798" t="s">
        <v>1100</v>
      </c>
      <c r="BV798" t="s">
        <v>132</v>
      </c>
      <c r="BW798" s="16">
        <v>46165.405555555553</v>
      </c>
      <c r="BX798" t="s">
        <v>135</v>
      </c>
      <c r="BZ798">
        <v>47</v>
      </c>
      <c r="CB798">
        <v>0</v>
      </c>
      <c r="CF798" t="s">
        <v>1878</v>
      </c>
      <c r="CG798">
        <v>2027</v>
      </c>
      <c r="CH798" t="s">
        <v>138</v>
      </c>
      <c r="CI798" t="s">
        <v>139</v>
      </c>
    </row>
    <row r="799" spans="1:87" x14ac:dyDescent="0.3">
      <c r="A799" t="s">
        <v>165</v>
      </c>
      <c r="B799" t="s">
        <v>116</v>
      </c>
      <c r="C799" t="s">
        <v>117</v>
      </c>
      <c r="D799" t="s">
        <v>118</v>
      </c>
      <c r="E799" t="s">
        <v>14</v>
      </c>
      <c r="F799" t="s">
        <v>1767</v>
      </c>
      <c r="G799">
        <v>68</v>
      </c>
      <c r="H799">
        <v>0</v>
      </c>
      <c r="I799" s="14">
        <v>504700</v>
      </c>
      <c r="J799" s="14">
        <v>455000</v>
      </c>
      <c r="K799" t="s">
        <v>117</v>
      </c>
      <c r="L799" t="s">
        <v>118</v>
      </c>
      <c r="M799" t="s">
        <v>140</v>
      </c>
      <c r="N799" t="s">
        <v>1768</v>
      </c>
      <c r="O799">
        <v>12.5</v>
      </c>
      <c r="P799">
        <v>0</v>
      </c>
      <c r="Q799" s="14">
        <v>47500</v>
      </c>
      <c r="R799" s="14">
        <v>47500</v>
      </c>
      <c r="Y799" s="14"/>
      <c r="Z799" s="14"/>
      <c r="AG799" s="14"/>
      <c r="AH799" s="14"/>
      <c r="AI799" t="s">
        <v>1769</v>
      </c>
      <c r="AJ799" t="s">
        <v>1770</v>
      </c>
      <c r="AK799" t="s">
        <v>1771</v>
      </c>
      <c r="AL799">
        <v>0</v>
      </c>
      <c r="AM799" t="s">
        <v>1772</v>
      </c>
      <c r="AN799" t="s">
        <v>1773</v>
      </c>
      <c r="AO799" t="s">
        <v>125</v>
      </c>
      <c r="AP799" t="s">
        <v>152</v>
      </c>
      <c r="AQ799" s="15">
        <v>46598</v>
      </c>
      <c r="AR799" s="15"/>
      <c r="AS799" t="s">
        <v>227</v>
      </c>
      <c r="AT799">
        <v>1</v>
      </c>
      <c r="AU799">
        <v>352250</v>
      </c>
      <c r="AV799">
        <v>0</v>
      </c>
      <c r="AW799">
        <v>0</v>
      </c>
      <c r="AX799" s="14">
        <v>352250</v>
      </c>
      <c r="AY799" s="14">
        <v>0</v>
      </c>
      <c r="AZ799" s="14">
        <v>352250</v>
      </c>
      <c r="BB799" t="s">
        <v>22</v>
      </c>
      <c r="BH799" t="s">
        <v>132</v>
      </c>
      <c r="BK799" t="s">
        <v>1100</v>
      </c>
      <c r="BV799" t="s">
        <v>132</v>
      </c>
      <c r="BW799" s="16">
        <v>46165.405555555553</v>
      </c>
      <c r="BX799" t="s">
        <v>135</v>
      </c>
      <c r="BZ799">
        <v>47</v>
      </c>
      <c r="CB799">
        <v>0</v>
      </c>
      <c r="CF799" t="s">
        <v>1878</v>
      </c>
      <c r="CG799">
        <v>2027</v>
      </c>
      <c r="CH799" t="s">
        <v>138</v>
      </c>
      <c r="CI799" t="s">
        <v>139</v>
      </c>
    </row>
    <row r="800" spans="1:87" x14ac:dyDescent="0.3">
      <c r="A800" t="s">
        <v>426</v>
      </c>
      <c r="B800" t="s">
        <v>116</v>
      </c>
      <c r="C800" t="s">
        <v>117</v>
      </c>
      <c r="D800" t="s">
        <v>118</v>
      </c>
      <c r="E800" t="s">
        <v>14</v>
      </c>
      <c r="F800" t="s">
        <v>1020</v>
      </c>
      <c r="G800">
        <v>83</v>
      </c>
      <c r="H800">
        <v>0</v>
      </c>
      <c r="I800" s="14">
        <v>573000</v>
      </c>
      <c r="J800" s="14">
        <v>573000</v>
      </c>
      <c r="K800" t="s">
        <v>117</v>
      </c>
      <c r="L800" t="s">
        <v>118</v>
      </c>
      <c r="M800" t="s">
        <v>140</v>
      </c>
      <c r="N800" t="s">
        <v>1021</v>
      </c>
      <c r="O800">
        <v>16.28</v>
      </c>
      <c r="P800">
        <v>0</v>
      </c>
      <c r="Q800" s="14">
        <v>51000</v>
      </c>
      <c r="R800" s="14">
        <v>51000</v>
      </c>
      <c r="Y800" s="14"/>
      <c r="Z800" s="14"/>
      <c r="AG800" s="14"/>
      <c r="AH800" s="14"/>
      <c r="AI800" t="s">
        <v>1022</v>
      </c>
      <c r="AJ800" t="s">
        <v>1023</v>
      </c>
      <c r="AK800" t="s">
        <v>1024</v>
      </c>
      <c r="AL800">
        <v>0</v>
      </c>
      <c r="AM800" t="s">
        <v>1025</v>
      </c>
      <c r="AN800" t="s">
        <v>1026</v>
      </c>
      <c r="AO800" t="s">
        <v>1027</v>
      </c>
      <c r="AP800" t="s">
        <v>1027</v>
      </c>
      <c r="AQ800" s="15">
        <v>46418</v>
      </c>
      <c r="AR800" s="15"/>
      <c r="AS800" t="s">
        <v>227</v>
      </c>
      <c r="AT800">
        <v>7</v>
      </c>
      <c r="AU800">
        <v>24266.67</v>
      </c>
      <c r="AV800">
        <v>0</v>
      </c>
      <c r="AW800">
        <v>0</v>
      </c>
      <c r="AX800" s="14">
        <v>24266.67</v>
      </c>
      <c r="AY800" s="14">
        <v>0</v>
      </c>
      <c r="AZ800" s="14">
        <v>24266.67</v>
      </c>
      <c r="BB800" t="s">
        <v>22</v>
      </c>
      <c r="BH800" t="s">
        <v>132</v>
      </c>
      <c r="BK800" t="s">
        <v>1100</v>
      </c>
      <c r="BV800" t="s">
        <v>132</v>
      </c>
      <c r="BW800" s="16">
        <v>45898.34652777778</v>
      </c>
      <c r="BX800" t="s">
        <v>143</v>
      </c>
      <c r="BZ800">
        <v>12</v>
      </c>
      <c r="CB800">
        <v>0</v>
      </c>
      <c r="CF800" t="s">
        <v>1878</v>
      </c>
      <c r="CG800">
        <v>2027</v>
      </c>
      <c r="CH800" t="s">
        <v>138</v>
      </c>
      <c r="CI800" t="s">
        <v>139</v>
      </c>
    </row>
    <row r="801" spans="1:87" x14ac:dyDescent="0.3">
      <c r="A801" t="s">
        <v>426</v>
      </c>
      <c r="B801" t="s">
        <v>116</v>
      </c>
      <c r="C801" t="s">
        <v>117</v>
      </c>
      <c r="D801" t="s">
        <v>118</v>
      </c>
      <c r="E801" t="s">
        <v>14</v>
      </c>
      <c r="F801" t="s">
        <v>1020</v>
      </c>
      <c r="G801">
        <v>83</v>
      </c>
      <c r="H801">
        <v>0</v>
      </c>
      <c r="I801" s="14">
        <v>573000</v>
      </c>
      <c r="J801" s="14">
        <v>573000</v>
      </c>
      <c r="K801" t="s">
        <v>117</v>
      </c>
      <c r="L801" t="s">
        <v>118</v>
      </c>
      <c r="M801" t="s">
        <v>140</v>
      </c>
      <c r="N801" t="s">
        <v>1021</v>
      </c>
      <c r="O801">
        <v>16.28</v>
      </c>
      <c r="P801">
        <v>0</v>
      </c>
      <c r="Q801" s="14">
        <v>51000</v>
      </c>
      <c r="R801" s="14">
        <v>51000</v>
      </c>
      <c r="Y801" s="14"/>
      <c r="Z801" s="14"/>
      <c r="AG801" s="14"/>
      <c r="AH801" s="14"/>
      <c r="AI801" t="s">
        <v>1022</v>
      </c>
      <c r="AJ801" t="s">
        <v>1023</v>
      </c>
      <c r="AK801" t="s">
        <v>1024</v>
      </c>
      <c r="AL801">
        <v>0</v>
      </c>
      <c r="AM801" t="s">
        <v>1025</v>
      </c>
      <c r="AN801" t="s">
        <v>1026</v>
      </c>
      <c r="AO801" t="s">
        <v>1027</v>
      </c>
      <c r="AP801" t="s">
        <v>1027</v>
      </c>
      <c r="AQ801" s="15">
        <v>46446</v>
      </c>
      <c r="AR801" s="15"/>
      <c r="AS801" t="s">
        <v>227</v>
      </c>
      <c r="AT801">
        <v>8</v>
      </c>
      <c r="AU801">
        <v>24266.67</v>
      </c>
      <c r="AV801">
        <v>0</v>
      </c>
      <c r="AW801">
        <v>0</v>
      </c>
      <c r="AX801" s="14">
        <v>24266.67</v>
      </c>
      <c r="AY801" s="14">
        <v>0</v>
      </c>
      <c r="AZ801" s="14">
        <v>24266.67</v>
      </c>
      <c r="BB801" t="s">
        <v>22</v>
      </c>
      <c r="BH801" t="s">
        <v>132</v>
      </c>
      <c r="BK801" t="s">
        <v>1100</v>
      </c>
      <c r="BV801" t="s">
        <v>132</v>
      </c>
      <c r="BW801" s="16">
        <v>45898.34652777778</v>
      </c>
      <c r="BX801" t="s">
        <v>143</v>
      </c>
      <c r="BZ801">
        <v>12</v>
      </c>
      <c r="CB801">
        <v>0</v>
      </c>
      <c r="CF801" t="s">
        <v>1878</v>
      </c>
      <c r="CG801">
        <v>2027</v>
      </c>
      <c r="CH801" t="s">
        <v>138</v>
      </c>
      <c r="CI801" t="s">
        <v>139</v>
      </c>
    </row>
    <row r="802" spans="1:87" x14ac:dyDescent="0.3">
      <c r="A802" t="s">
        <v>426</v>
      </c>
      <c r="B802" t="s">
        <v>116</v>
      </c>
      <c r="C802" t="s">
        <v>117</v>
      </c>
      <c r="D802" t="s">
        <v>118</v>
      </c>
      <c r="E802" t="s">
        <v>14</v>
      </c>
      <c r="F802" t="s">
        <v>1020</v>
      </c>
      <c r="G802">
        <v>83</v>
      </c>
      <c r="H802">
        <v>0</v>
      </c>
      <c r="I802" s="14">
        <v>573000</v>
      </c>
      <c r="J802" s="14">
        <v>573000</v>
      </c>
      <c r="K802" t="s">
        <v>117</v>
      </c>
      <c r="L802" t="s">
        <v>118</v>
      </c>
      <c r="M802" t="s">
        <v>140</v>
      </c>
      <c r="N802" t="s">
        <v>1021</v>
      </c>
      <c r="O802">
        <v>16.28</v>
      </c>
      <c r="P802">
        <v>0</v>
      </c>
      <c r="Q802" s="14">
        <v>51000</v>
      </c>
      <c r="R802" s="14">
        <v>51000</v>
      </c>
      <c r="Y802" s="14"/>
      <c r="Z802" s="14"/>
      <c r="AG802" s="14"/>
      <c r="AH802" s="14"/>
      <c r="AI802" t="s">
        <v>1022</v>
      </c>
      <c r="AJ802" t="s">
        <v>1023</v>
      </c>
      <c r="AK802" t="s">
        <v>1024</v>
      </c>
      <c r="AL802">
        <v>0</v>
      </c>
      <c r="AM802" t="s">
        <v>1025</v>
      </c>
      <c r="AN802" t="s">
        <v>1026</v>
      </c>
      <c r="AO802" t="s">
        <v>1027</v>
      </c>
      <c r="AP802" t="s">
        <v>1027</v>
      </c>
      <c r="AQ802" s="15">
        <v>46477</v>
      </c>
      <c r="AR802" s="15"/>
      <c r="AS802" t="s">
        <v>227</v>
      </c>
      <c r="AT802">
        <v>9</v>
      </c>
      <c r="AU802">
        <v>24266.67</v>
      </c>
      <c r="AV802">
        <v>0</v>
      </c>
      <c r="AW802">
        <v>0</v>
      </c>
      <c r="AX802" s="14">
        <v>24266.67</v>
      </c>
      <c r="AY802" s="14">
        <v>0</v>
      </c>
      <c r="AZ802" s="14">
        <v>24266.67</v>
      </c>
      <c r="BB802" t="s">
        <v>22</v>
      </c>
      <c r="BH802" t="s">
        <v>132</v>
      </c>
      <c r="BK802" t="s">
        <v>1100</v>
      </c>
      <c r="BV802" t="s">
        <v>132</v>
      </c>
      <c r="BW802" s="16">
        <v>45898.34652777778</v>
      </c>
      <c r="BX802" t="s">
        <v>143</v>
      </c>
      <c r="BZ802">
        <v>12</v>
      </c>
      <c r="CB802">
        <v>0</v>
      </c>
      <c r="CF802" t="s">
        <v>1878</v>
      </c>
      <c r="CG802">
        <v>2027</v>
      </c>
      <c r="CH802" t="s">
        <v>138</v>
      </c>
      <c r="CI802" t="s">
        <v>139</v>
      </c>
    </row>
    <row r="803" spans="1:87" x14ac:dyDescent="0.3">
      <c r="A803" t="s">
        <v>426</v>
      </c>
      <c r="B803" t="s">
        <v>116</v>
      </c>
      <c r="C803" t="s">
        <v>117</v>
      </c>
      <c r="D803" t="s">
        <v>118</v>
      </c>
      <c r="E803" t="s">
        <v>14</v>
      </c>
      <c r="F803" t="s">
        <v>1020</v>
      </c>
      <c r="G803">
        <v>83</v>
      </c>
      <c r="H803">
        <v>0</v>
      </c>
      <c r="I803" s="14">
        <v>573000</v>
      </c>
      <c r="J803" s="14">
        <v>573000</v>
      </c>
      <c r="K803" t="s">
        <v>117</v>
      </c>
      <c r="L803" t="s">
        <v>118</v>
      </c>
      <c r="M803" t="s">
        <v>140</v>
      </c>
      <c r="N803" t="s">
        <v>1021</v>
      </c>
      <c r="O803">
        <v>16.28</v>
      </c>
      <c r="P803">
        <v>0</v>
      </c>
      <c r="Q803" s="14">
        <v>51000</v>
      </c>
      <c r="R803" s="14">
        <v>51000</v>
      </c>
      <c r="Y803" s="14"/>
      <c r="Z803" s="14"/>
      <c r="AG803" s="14"/>
      <c r="AH803" s="14"/>
      <c r="AI803" t="s">
        <v>1022</v>
      </c>
      <c r="AJ803" t="s">
        <v>1023</v>
      </c>
      <c r="AK803" t="s">
        <v>1024</v>
      </c>
      <c r="AL803">
        <v>0</v>
      </c>
      <c r="AM803" t="s">
        <v>1025</v>
      </c>
      <c r="AN803" t="s">
        <v>1026</v>
      </c>
      <c r="AO803" t="s">
        <v>1027</v>
      </c>
      <c r="AP803" t="s">
        <v>1027</v>
      </c>
      <c r="AQ803" s="15">
        <v>46507</v>
      </c>
      <c r="AR803" s="15"/>
      <c r="AS803" t="s">
        <v>227</v>
      </c>
      <c r="AT803">
        <v>10</v>
      </c>
      <c r="AU803">
        <v>24266.67</v>
      </c>
      <c r="AV803">
        <v>0</v>
      </c>
      <c r="AW803">
        <v>0</v>
      </c>
      <c r="AX803" s="14">
        <v>24266.67</v>
      </c>
      <c r="AY803" s="14">
        <v>0</v>
      </c>
      <c r="AZ803" s="14">
        <v>24266.67</v>
      </c>
      <c r="BB803" t="s">
        <v>22</v>
      </c>
      <c r="BH803" t="s">
        <v>132</v>
      </c>
      <c r="BK803" t="s">
        <v>1100</v>
      </c>
      <c r="BV803" t="s">
        <v>132</v>
      </c>
      <c r="BW803" s="16">
        <v>45898.34652777778</v>
      </c>
      <c r="BX803" t="s">
        <v>143</v>
      </c>
      <c r="BZ803">
        <v>12</v>
      </c>
      <c r="CB803">
        <v>0</v>
      </c>
      <c r="CF803" t="s">
        <v>1878</v>
      </c>
      <c r="CG803">
        <v>2027</v>
      </c>
      <c r="CH803" t="s">
        <v>138</v>
      </c>
      <c r="CI803" t="s">
        <v>139</v>
      </c>
    </row>
    <row r="804" spans="1:87" x14ac:dyDescent="0.3">
      <c r="A804" t="s">
        <v>426</v>
      </c>
      <c r="B804" t="s">
        <v>116</v>
      </c>
      <c r="C804" t="s">
        <v>117</v>
      </c>
      <c r="D804" t="s">
        <v>118</v>
      </c>
      <c r="E804" t="s">
        <v>14</v>
      </c>
      <c r="F804" t="s">
        <v>1020</v>
      </c>
      <c r="G804">
        <v>83</v>
      </c>
      <c r="H804">
        <v>0</v>
      </c>
      <c r="I804" s="14">
        <v>573000</v>
      </c>
      <c r="J804" s="14">
        <v>573000</v>
      </c>
      <c r="K804" t="s">
        <v>117</v>
      </c>
      <c r="L804" t="s">
        <v>118</v>
      </c>
      <c r="M804" t="s">
        <v>140</v>
      </c>
      <c r="N804" t="s">
        <v>1021</v>
      </c>
      <c r="O804">
        <v>16.28</v>
      </c>
      <c r="P804">
        <v>0</v>
      </c>
      <c r="Q804" s="14">
        <v>51000</v>
      </c>
      <c r="R804" s="14">
        <v>51000</v>
      </c>
      <c r="Y804" s="14"/>
      <c r="Z804" s="14"/>
      <c r="AG804" s="14"/>
      <c r="AH804" s="14"/>
      <c r="AI804" t="s">
        <v>1022</v>
      </c>
      <c r="AJ804" t="s">
        <v>1023</v>
      </c>
      <c r="AK804" t="s">
        <v>1024</v>
      </c>
      <c r="AL804">
        <v>0</v>
      </c>
      <c r="AM804" t="s">
        <v>1025</v>
      </c>
      <c r="AN804" t="s">
        <v>1026</v>
      </c>
      <c r="AO804" t="s">
        <v>1027</v>
      </c>
      <c r="AP804" t="s">
        <v>1027</v>
      </c>
      <c r="AQ804" s="15">
        <v>46538</v>
      </c>
      <c r="AR804" s="15"/>
      <c r="AS804" t="s">
        <v>227</v>
      </c>
      <c r="AT804">
        <v>11</v>
      </c>
      <c r="AU804">
        <v>24266.67</v>
      </c>
      <c r="AV804">
        <v>0</v>
      </c>
      <c r="AW804">
        <v>0</v>
      </c>
      <c r="AX804" s="14">
        <v>24266.67</v>
      </c>
      <c r="AY804" s="14">
        <v>0</v>
      </c>
      <c r="AZ804" s="14">
        <v>24266.67</v>
      </c>
      <c r="BB804" t="s">
        <v>22</v>
      </c>
      <c r="BH804" t="s">
        <v>132</v>
      </c>
      <c r="BK804" t="s">
        <v>1100</v>
      </c>
      <c r="BV804" t="s">
        <v>132</v>
      </c>
      <c r="BW804" s="16">
        <v>45898.34652777778</v>
      </c>
      <c r="BX804" t="s">
        <v>143</v>
      </c>
      <c r="BZ804">
        <v>12</v>
      </c>
      <c r="CB804">
        <v>0</v>
      </c>
      <c r="CF804" t="s">
        <v>1878</v>
      </c>
      <c r="CG804">
        <v>2027</v>
      </c>
      <c r="CH804" t="s">
        <v>138</v>
      </c>
      <c r="CI804" t="s">
        <v>139</v>
      </c>
    </row>
    <row r="805" spans="1:87" x14ac:dyDescent="0.3">
      <c r="A805" t="s">
        <v>426</v>
      </c>
      <c r="B805" t="s">
        <v>116</v>
      </c>
      <c r="C805" t="s">
        <v>117</v>
      </c>
      <c r="D805" t="s">
        <v>118</v>
      </c>
      <c r="E805" t="s">
        <v>14</v>
      </c>
      <c r="F805" t="s">
        <v>1020</v>
      </c>
      <c r="G805">
        <v>83</v>
      </c>
      <c r="H805">
        <v>0</v>
      </c>
      <c r="I805" s="14">
        <v>573000</v>
      </c>
      <c r="J805" s="14">
        <v>573000</v>
      </c>
      <c r="K805" t="s">
        <v>117</v>
      </c>
      <c r="L805" t="s">
        <v>118</v>
      </c>
      <c r="M805" t="s">
        <v>140</v>
      </c>
      <c r="N805" t="s">
        <v>1021</v>
      </c>
      <c r="O805">
        <v>16.28</v>
      </c>
      <c r="P805">
        <v>0</v>
      </c>
      <c r="Q805" s="14">
        <v>51000</v>
      </c>
      <c r="R805" s="14">
        <v>51000</v>
      </c>
      <c r="Y805" s="14"/>
      <c r="Z805" s="14"/>
      <c r="AG805" s="14"/>
      <c r="AH805" s="14"/>
      <c r="AI805" t="s">
        <v>1022</v>
      </c>
      <c r="AJ805" t="s">
        <v>1023</v>
      </c>
      <c r="AK805" t="s">
        <v>1024</v>
      </c>
      <c r="AL805">
        <v>0</v>
      </c>
      <c r="AM805" t="s">
        <v>1025</v>
      </c>
      <c r="AN805" t="s">
        <v>1026</v>
      </c>
      <c r="AO805" t="s">
        <v>1027</v>
      </c>
      <c r="AP805" t="s">
        <v>1027</v>
      </c>
      <c r="AQ805" s="15">
        <v>46568</v>
      </c>
      <c r="AR805" s="15"/>
      <c r="AS805" t="s">
        <v>227</v>
      </c>
      <c r="AT805">
        <v>12</v>
      </c>
      <c r="AU805">
        <v>24266.67</v>
      </c>
      <c r="AV805">
        <v>0</v>
      </c>
      <c r="AW805">
        <v>0</v>
      </c>
      <c r="AX805" s="14">
        <v>24266.67</v>
      </c>
      <c r="AY805" s="14">
        <v>0</v>
      </c>
      <c r="AZ805" s="14">
        <v>24266.67</v>
      </c>
      <c r="BB805" t="s">
        <v>22</v>
      </c>
      <c r="BH805" t="s">
        <v>132</v>
      </c>
      <c r="BK805" t="s">
        <v>1100</v>
      </c>
      <c r="BV805" t="s">
        <v>132</v>
      </c>
      <c r="BW805" s="16">
        <v>45898.34652777778</v>
      </c>
      <c r="BX805" t="s">
        <v>143</v>
      </c>
      <c r="BZ805">
        <v>12</v>
      </c>
      <c r="CB805">
        <v>0</v>
      </c>
      <c r="CF805" t="s">
        <v>1878</v>
      </c>
      <c r="CG805">
        <v>2027</v>
      </c>
      <c r="CH805" t="s">
        <v>138</v>
      </c>
      <c r="CI805" t="s">
        <v>139</v>
      </c>
    </row>
    <row r="806" spans="1:87" x14ac:dyDescent="0.3">
      <c r="A806" t="s">
        <v>426</v>
      </c>
      <c r="B806" t="s">
        <v>116</v>
      </c>
      <c r="C806" t="s">
        <v>117</v>
      </c>
      <c r="D806" t="s">
        <v>118</v>
      </c>
      <c r="E806" t="s">
        <v>14</v>
      </c>
      <c r="F806" t="s">
        <v>1020</v>
      </c>
      <c r="G806">
        <v>83</v>
      </c>
      <c r="H806">
        <v>0</v>
      </c>
      <c r="I806" s="14">
        <v>573000</v>
      </c>
      <c r="J806" s="14">
        <v>573000</v>
      </c>
      <c r="K806" t="s">
        <v>117</v>
      </c>
      <c r="L806" t="s">
        <v>118</v>
      </c>
      <c r="M806" t="s">
        <v>140</v>
      </c>
      <c r="N806" t="s">
        <v>1021</v>
      </c>
      <c r="O806">
        <v>16.28</v>
      </c>
      <c r="P806">
        <v>0</v>
      </c>
      <c r="Q806" s="14">
        <v>51000</v>
      </c>
      <c r="R806" s="14">
        <v>51000</v>
      </c>
      <c r="Y806" s="14"/>
      <c r="Z806" s="14"/>
      <c r="AG806" s="14"/>
      <c r="AH806" s="14"/>
      <c r="AI806" t="s">
        <v>1022</v>
      </c>
      <c r="AJ806" t="s">
        <v>1023</v>
      </c>
      <c r="AK806" t="s">
        <v>1024</v>
      </c>
      <c r="AL806">
        <v>0</v>
      </c>
      <c r="AM806" t="s">
        <v>1025</v>
      </c>
      <c r="AN806" t="s">
        <v>1026</v>
      </c>
      <c r="AO806" t="s">
        <v>1027</v>
      </c>
      <c r="AP806" t="s">
        <v>1027</v>
      </c>
      <c r="AQ806" s="15">
        <v>46599</v>
      </c>
      <c r="AR806" s="15"/>
      <c r="AS806" t="s">
        <v>227</v>
      </c>
      <c r="AT806">
        <v>13</v>
      </c>
      <c r="AU806">
        <v>24266.67</v>
      </c>
      <c r="AV806">
        <v>0</v>
      </c>
      <c r="AW806">
        <v>0</v>
      </c>
      <c r="AX806" s="14">
        <v>24266.67</v>
      </c>
      <c r="AY806" s="14">
        <v>0</v>
      </c>
      <c r="AZ806" s="14">
        <v>24266.67</v>
      </c>
      <c r="BB806" t="s">
        <v>22</v>
      </c>
      <c r="BH806" t="s">
        <v>132</v>
      </c>
      <c r="BK806" t="s">
        <v>1100</v>
      </c>
      <c r="BV806" t="s">
        <v>132</v>
      </c>
      <c r="BW806" s="16">
        <v>45898.34652777778</v>
      </c>
      <c r="BX806" t="s">
        <v>143</v>
      </c>
      <c r="BZ806">
        <v>12</v>
      </c>
      <c r="CB806">
        <v>0</v>
      </c>
      <c r="CF806" t="s">
        <v>1878</v>
      </c>
      <c r="CG806">
        <v>2027</v>
      </c>
      <c r="CH806" t="s">
        <v>138</v>
      </c>
      <c r="CI806" t="s">
        <v>139</v>
      </c>
    </row>
    <row r="807" spans="1:87" x14ac:dyDescent="0.3">
      <c r="A807" t="s">
        <v>426</v>
      </c>
      <c r="B807" t="s">
        <v>116</v>
      </c>
      <c r="C807" t="s">
        <v>117</v>
      </c>
      <c r="D807" t="s">
        <v>118</v>
      </c>
      <c r="E807" t="s">
        <v>14</v>
      </c>
      <c r="F807" t="s">
        <v>1020</v>
      </c>
      <c r="G807">
        <v>83</v>
      </c>
      <c r="H807">
        <v>0</v>
      </c>
      <c r="I807" s="14">
        <v>573000</v>
      </c>
      <c r="J807" s="14">
        <v>573000</v>
      </c>
      <c r="K807" t="s">
        <v>117</v>
      </c>
      <c r="L807" t="s">
        <v>118</v>
      </c>
      <c r="M807" t="s">
        <v>140</v>
      </c>
      <c r="N807" t="s">
        <v>1021</v>
      </c>
      <c r="O807">
        <v>16.28</v>
      </c>
      <c r="P807">
        <v>0</v>
      </c>
      <c r="Q807" s="14">
        <v>51000</v>
      </c>
      <c r="R807" s="14">
        <v>51000</v>
      </c>
      <c r="Y807" s="14"/>
      <c r="Z807" s="14"/>
      <c r="AG807" s="14"/>
      <c r="AH807" s="14"/>
      <c r="AI807" t="s">
        <v>1022</v>
      </c>
      <c r="AJ807" t="s">
        <v>1023</v>
      </c>
      <c r="AK807" t="s">
        <v>1024</v>
      </c>
      <c r="AL807">
        <v>0</v>
      </c>
      <c r="AM807" t="s">
        <v>1025</v>
      </c>
      <c r="AN807" t="s">
        <v>1026</v>
      </c>
      <c r="AO807" t="s">
        <v>1027</v>
      </c>
      <c r="AP807" t="s">
        <v>1027</v>
      </c>
      <c r="AQ807" s="15">
        <v>46630</v>
      </c>
      <c r="AR807" s="15"/>
      <c r="AS807" t="s">
        <v>227</v>
      </c>
      <c r="AT807">
        <v>14</v>
      </c>
      <c r="AU807">
        <v>24266.67</v>
      </c>
      <c r="AV807">
        <v>0</v>
      </c>
      <c r="AW807">
        <v>0</v>
      </c>
      <c r="AX807" s="14">
        <v>24266.67</v>
      </c>
      <c r="AY807" s="14">
        <v>0</v>
      </c>
      <c r="AZ807" s="14">
        <v>24266.67</v>
      </c>
      <c r="BB807" t="s">
        <v>22</v>
      </c>
      <c r="BH807" t="s">
        <v>132</v>
      </c>
      <c r="BK807" t="s">
        <v>1100</v>
      </c>
      <c r="BV807" t="s">
        <v>132</v>
      </c>
      <c r="BW807" s="16">
        <v>45898.34652777778</v>
      </c>
      <c r="BX807" t="s">
        <v>143</v>
      </c>
      <c r="BZ807">
        <v>12</v>
      </c>
      <c r="CB807">
        <v>0</v>
      </c>
      <c r="CF807" t="s">
        <v>1878</v>
      </c>
      <c r="CG807">
        <v>2027</v>
      </c>
      <c r="CH807" t="s">
        <v>138</v>
      </c>
      <c r="CI807" t="s">
        <v>139</v>
      </c>
    </row>
    <row r="808" spans="1:87" x14ac:dyDescent="0.3">
      <c r="A808" t="s">
        <v>426</v>
      </c>
      <c r="B808" t="s">
        <v>116</v>
      </c>
      <c r="C808" t="s">
        <v>117</v>
      </c>
      <c r="D808" t="s">
        <v>118</v>
      </c>
      <c r="E808" t="s">
        <v>14</v>
      </c>
      <c r="F808" t="s">
        <v>1020</v>
      </c>
      <c r="G808">
        <v>83</v>
      </c>
      <c r="H808">
        <v>0</v>
      </c>
      <c r="I808" s="14">
        <v>573000</v>
      </c>
      <c r="J808" s="14">
        <v>573000</v>
      </c>
      <c r="K808" t="s">
        <v>117</v>
      </c>
      <c r="L808" t="s">
        <v>118</v>
      </c>
      <c r="M808" t="s">
        <v>140</v>
      </c>
      <c r="N808" t="s">
        <v>1021</v>
      </c>
      <c r="O808">
        <v>16.28</v>
      </c>
      <c r="P808">
        <v>0</v>
      </c>
      <c r="Q808" s="14">
        <v>51000</v>
      </c>
      <c r="R808" s="14">
        <v>51000</v>
      </c>
      <c r="Y808" s="14"/>
      <c r="Z808" s="14"/>
      <c r="AG808" s="14"/>
      <c r="AH808" s="14"/>
      <c r="AI808" t="s">
        <v>1022</v>
      </c>
      <c r="AJ808" t="s">
        <v>1023</v>
      </c>
      <c r="AK808" t="s">
        <v>1024</v>
      </c>
      <c r="AL808">
        <v>0</v>
      </c>
      <c r="AM808" t="s">
        <v>1025</v>
      </c>
      <c r="AN808" t="s">
        <v>1026</v>
      </c>
      <c r="AO808" t="s">
        <v>1027</v>
      </c>
      <c r="AP808" t="s">
        <v>1027</v>
      </c>
      <c r="AQ808" s="15">
        <v>46660</v>
      </c>
      <c r="AR808" s="15"/>
      <c r="AS808" t="s">
        <v>227</v>
      </c>
      <c r="AT808">
        <v>15</v>
      </c>
      <c r="AU808">
        <v>24266.67</v>
      </c>
      <c r="AV808">
        <v>0</v>
      </c>
      <c r="AW808">
        <v>0</v>
      </c>
      <c r="AX808" s="14">
        <v>24266.67</v>
      </c>
      <c r="AY808" s="14">
        <v>0</v>
      </c>
      <c r="AZ808" s="14">
        <v>24266.67</v>
      </c>
      <c r="BB808" t="s">
        <v>22</v>
      </c>
      <c r="BH808" t="s">
        <v>132</v>
      </c>
      <c r="BK808" t="s">
        <v>1100</v>
      </c>
      <c r="BV808" t="s">
        <v>132</v>
      </c>
      <c r="BW808" s="16">
        <v>45898.34652777778</v>
      </c>
      <c r="BX808" t="s">
        <v>143</v>
      </c>
      <c r="BZ808">
        <v>12</v>
      </c>
      <c r="CB808">
        <v>0</v>
      </c>
      <c r="CF808" t="s">
        <v>1878</v>
      </c>
      <c r="CG808">
        <v>2027</v>
      </c>
      <c r="CH808" t="s">
        <v>138</v>
      </c>
      <c r="CI808" t="s">
        <v>139</v>
      </c>
    </row>
    <row r="809" spans="1:87" x14ac:dyDescent="0.3">
      <c r="A809" t="s">
        <v>426</v>
      </c>
      <c r="B809" t="s">
        <v>116</v>
      </c>
      <c r="C809" t="s">
        <v>117</v>
      </c>
      <c r="D809" t="s">
        <v>118</v>
      </c>
      <c r="E809" t="s">
        <v>14</v>
      </c>
      <c r="F809" t="s">
        <v>1020</v>
      </c>
      <c r="G809">
        <v>83</v>
      </c>
      <c r="H809">
        <v>0</v>
      </c>
      <c r="I809" s="14">
        <v>573000</v>
      </c>
      <c r="J809" s="14">
        <v>573000</v>
      </c>
      <c r="K809" t="s">
        <v>117</v>
      </c>
      <c r="L809" t="s">
        <v>118</v>
      </c>
      <c r="M809" t="s">
        <v>140</v>
      </c>
      <c r="N809" t="s">
        <v>1021</v>
      </c>
      <c r="O809">
        <v>16.28</v>
      </c>
      <c r="P809">
        <v>0</v>
      </c>
      <c r="Q809" s="14">
        <v>51000</v>
      </c>
      <c r="R809" s="14">
        <v>51000</v>
      </c>
      <c r="Y809" s="14"/>
      <c r="Z809" s="14"/>
      <c r="AG809" s="14"/>
      <c r="AH809" s="14"/>
      <c r="AI809" t="s">
        <v>1022</v>
      </c>
      <c r="AJ809" t="s">
        <v>1023</v>
      </c>
      <c r="AK809" t="s">
        <v>1024</v>
      </c>
      <c r="AL809">
        <v>0</v>
      </c>
      <c r="AM809" t="s">
        <v>1025</v>
      </c>
      <c r="AN809" t="s">
        <v>1026</v>
      </c>
      <c r="AO809" t="s">
        <v>1027</v>
      </c>
      <c r="AP809" t="s">
        <v>1027</v>
      </c>
      <c r="AQ809" s="15">
        <v>46691</v>
      </c>
      <c r="AR809" s="15"/>
      <c r="AS809" t="s">
        <v>227</v>
      </c>
      <c r="AT809">
        <v>16</v>
      </c>
      <c r="AU809">
        <v>24266.67</v>
      </c>
      <c r="AV809">
        <v>0</v>
      </c>
      <c r="AW809">
        <v>0</v>
      </c>
      <c r="AX809" s="14">
        <v>24266.67</v>
      </c>
      <c r="AY809" s="14">
        <v>0</v>
      </c>
      <c r="AZ809" s="14">
        <v>24266.67</v>
      </c>
      <c r="BB809" t="s">
        <v>22</v>
      </c>
      <c r="BH809" t="s">
        <v>132</v>
      </c>
      <c r="BK809" t="s">
        <v>1100</v>
      </c>
      <c r="BV809" t="s">
        <v>132</v>
      </c>
      <c r="BW809" s="16">
        <v>45898.34652777778</v>
      </c>
      <c r="BX809" t="s">
        <v>143</v>
      </c>
      <c r="BZ809">
        <v>12</v>
      </c>
      <c r="CB809">
        <v>0</v>
      </c>
      <c r="CF809" t="s">
        <v>1878</v>
      </c>
      <c r="CG809">
        <v>2027</v>
      </c>
      <c r="CH809" t="s">
        <v>138</v>
      </c>
      <c r="CI809" t="s">
        <v>139</v>
      </c>
    </row>
    <row r="810" spans="1:87" x14ac:dyDescent="0.3">
      <c r="A810" t="s">
        <v>426</v>
      </c>
      <c r="B810" t="s">
        <v>116</v>
      </c>
      <c r="C810" t="s">
        <v>117</v>
      </c>
      <c r="D810" t="s">
        <v>118</v>
      </c>
      <c r="E810" t="s">
        <v>14</v>
      </c>
      <c r="F810" t="s">
        <v>1020</v>
      </c>
      <c r="G810">
        <v>83</v>
      </c>
      <c r="H810">
        <v>0</v>
      </c>
      <c r="I810" s="14">
        <v>573000</v>
      </c>
      <c r="J810" s="14">
        <v>573000</v>
      </c>
      <c r="K810" t="s">
        <v>117</v>
      </c>
      <c r="L810" t="s">
        <v>118</v>
      </c>
      <c r="M810" t="s">
        <v>140</v>
      </c>
      <c r="N810" t="s">
        <v>1021</v>
      </c>
      <c r="O810">
        <v>16.28</v>
      </c>
      <c r="P810">
        <v>0</v>
      </c>
      <c r="Q810" s="14">
        <v>51000</v>
      </c>
      <c r="R810" s="14">
        <v>51000</v>
      </c>
      <c r="Y810" s="14"/>
      <c r="Z810" s="14"/>
      <c r="AG810" s="14"/>
      <c r="AH810" s="14"/>
      <c r="AI810" t="s">
        <v>1022</v>
      </c>
      <c r="AJ810" t="s">
        <v>1023</v>
      </c>
      <c r="AK810" t="s">
        <v>1024</v>
      </c>
      <c r="AL810">
        <v>0</v>
      </c>
      <c r="AM810" t="s">
        <v>1025</v>
      </c>
      <c r="AN810" t="s">
        <v>1026</v>
      </c>
      <c r="AO810" t="s">
        <v>1027</v>
      </c>
      <c r="AP810" t="s">
        <v>1027</v>
      </c>
      <c r="AQ810" s="15">
        <v>46721</v>
      </c>
      <c r="AR810" s="15"/>
      <c r="AS810" t="s">
        <v>227</v>
      </c>
      <c r="AT810">
        <v>17</v>
      </c>
      <c r="AU810">
        <v>24266.67</v>
      </c>
      <c r="AV810">
        <v>0</v>
      </c>
      <c r="AW810">
        <v>0</v>
      </c>
      <c r="AX810" s="14">
        <v>24266.67</v>
      </c>
      <c r="AY810" s="14">
        <v>0</v>
      </c>
      <c r="AZ810" s="14">
        <v>24266.67</v>
      </c>
      <c r="BB810" t="s">
        <v>22</v>
      </c>
      <c r="BH810" t="s">
        <v>132</v>
      </c>
      <c r="BK810" t="s">
        <v>1100</v>
      </c>
      <c r="BV810" t="s">
        <v>132</v>
      </c>
      <c r="BW810" s="16">
        <v>45898.34652777778</v>
      </c>
      <c r="BX810" t="s">
        <v>143</v>
      </c>
      <c r="BZ810">
        <v>12</v>
      </c>
      <c r="CB810">
        <v>0</v>
      </c>
      <c r="CF810" t="s">
        <v>1878</v>
      </c>
      <c r="CG810">
        <v>2027</v>
      </c>
      <c r="CH810" t="s">
        <v>138</v>
      </c>
      <c r="CI810" t="s">
        <v>139</v>
      </c>
    </row>
    <row r="811" spans="1:87" x14ac:dyDescent="0.3">
      <c r="A811" t="s">
        <v>426</v>
      </c>
      <c r="B811" t="s">
        <v>116</v>
      </c>
      <c r="C811" t="s">
        <v>117</v>
      </c>
      <c r="D811" t="s">
        <v>118</v>
      </c>
      <c r="E811" t="s">
        <v>14</v>
      </c>
      <c r="F811" t="s">
        <v>1020</v>
      </c>
      <c r="G811">
        <v>83</v>
      </c>
      <c r="H811">
        <v>0</v>
      </c>
      <c r="I811" s="14">
        <v>573000</v>
      </c>
      <c r="J811" s="14">
        <v>573000</v>
      </c>
      <c r="K811" t="s">
        <v>117</v>
      </c>
      <c r="L811" t="s">
        <v>118</v>
      </c>
      <c r="M811" t="s">
        <v>140</v>
      </c>
      <c r="N811" t="s">
        <v>1021</v>
      </c>
      <c r="O811">
        <v>16.28</v>
      </c>
      <c r="P811">
        <v>0</v>
      </c>
      <c r="Q811" s="14">
        <v>51000</v>
      </c>
      <c r="R811" s="14">
        <v>51000</v>
      </c>
      <c r="Y811" s="14"/>
      <c r="Z811" s="14"/>
      <c r="AG811" s="14"/>
      <c r="AH811" s="14"/>
      <c r="AI811" t="s">
        <v>1022</v>
      </c>
      <c r="AJ811" t="s">
        <v>1023</v>
      </c>
      <c r="AK811" t="s">
        <v>1024</v>
      </c>
      <c r="AL811">
        <v>0</v>
      </c>
      <c r="AM811" t="s">
        <v>1025</v>
      </c>
      <c r="AN811" t="s">
        <v>1026</v>
      </c>
      <c r="AO811" t="s">
        <v>1027</v>
      </c>
      <c r="AP811" t="s">
        <v>1027</v>
      </c>
      <c r="AQ811" s="15">
        <v>46752</v>
      </c>
      <c r="AR811" s="15"/>
      <c r="AS811" t="s">
        <v>227</v>
      </c>
      <c r="AT811">
        <v>18</v>
      </c>
      <c r="AU811">
        <v>24266.61</v>
      </c>
      <c r="AV811">
        <v>0</v>
      </c>
      <c r="AW811">
        <v>0</v>
      </c>
      <c r="AX811" s="14">
        <v>24266.61</v>
      </c>
      <c r="AY811" s="14">
        <v>0</v>
      </c>
      <c r="AZ811" s="14">
        <v>24266.61</v>
      </c>
      <c r="BB811" t="s">
        <v>22</v>
      </c>
      <c r="BH811" t="s">
        <v>132</v>
      </c>
      <c r="BK811" t="s">
        <v>1100</v>
      </c>
      <c r="BV811" t="s">
        <v>132</v>
      </c>
      <c r="BW811" s="16">
        <v>45898.34652777778</v>
      </c>
      <c r="BX811" t="s">
        <v>143</v>
      </c>
      <c r="BZ811">
        <v>12</v>
      </c>
      <c r="CB811">
        <v>0</v>
      </c>
      <c r="CF811" t="s">
        <v>1878</v>
      </c>
      <c r="CG811">
        <v>2027</v>
      </c>
      <c r="CH811" t="s">
        <v>138</v>
      </c>
      <c r="CI811" t="s">
        <v>139</v>
      </c>
    </row>
    <row r="812" spans="1:87" x14ac:dyDescent="0.3">
      <c r="A812" t="s">
        <v>165</v>
      </c>
      <c r="B812" t="s">
        <v>116</v>
      </c>
      <c r="C812" t="s">
        <v>117</v>
      </c>
      <c r="D812" t="s">
        <v>118</v>
      </c>
      <c r="E812" t="s">
        <v>14</v>
      </c>
      <c r="F812" t="s">
        <v>1778</v>
      </c>
      <c r="G812">
        <v>72</v>
      </c>
      <c r="H812">
        <v>0</v>
      </c>
      <c r="I812" s="14">
        <v>532100</v>
      </c>
      <c r="J812" s="14">
        <v>510000</v>
      </c>
      <c r="Q812" s="14"/>
      <c r="R812" s="14"/>
      <c r="Y812" s="14"/>
      <c r="Z812" s="14"/>
      <c r="AG812" s="14"/>
      <c r="AH812" s="14"/>
      <c r="AI812" t="s">
        <v>1779</v>
      </c>
      <c r="AJ812" t="s">
        <v>1780</v>
      </c>
      <c r="AK812" t="s">
        <v>1781</v>
      </c>
      <c r="AL812">
        <v>0</v>
      </c>
      <c r="AM812" t="s">
        <v>1782</v>
      </c>
      <c r="AN812" t="s">
        <v>1783</v>
      </c>
      <c r="AO812" t="s">
        <v>125</v>
      </c>
      <c r="AP812" t="s">
        <v>205</v>
      </c>
      <c r="AQ812" s="15">
        <v>46417</v>
      </c>
      <c r="AR812" s="15"/>
      <c r="AS812" t="s">
        <v>227</v>
      </c>
      <c r="AT812">
        <v>1</v>
      </c>
      <c r="AU812">
        <v>408000</v>
      </c>
      <c r="AV812">
        <v>0</v>
      </c>
      <c r="AW812">
        <v>0</v>
      </c>
      <c r="AX812" s="14">
        <v>408000</v>
      </c>
      <c r="AY812" s="14">
        <v>0</v>
      </c>
      <c r="AZ812" s="14">
        <v>408000</v>
      </c>
      <c r="BB812" t="s">
        <v>24</v>
      </c>
      <c r="BH812" t="s">
        <v>132</v>
      </c>
      <c r="BK812" t="s">
        <v>1100</v>
      </c>
      <c r="BV812" t="s">
        <v>132</v>
      </c>
      <c r="BW812" s="16">
        <v>46174.336111111108</v>
      </c>
      <c r="BX812" t="s">
        <v>178</v>
      </c>
      <c r="BZ812">
        <v>43</v>
      </c>
      <c r="CB812">
        <v>0</v>
      </c>
      <c r="CF812" t="s">
        <v>1878</v>
      </c>
      <c r="CG812">
        <v>2027</v>
      </c>
      <c r="CH812" t="s">
        <v>138</v>
      </c>
      <c r="CI812" t="s">
        <v>139</v>
      </c>
    </row>
    <row r="813" spans="1:87" x14ac:dyDescent="0.3">
      <c r="A813" t="s">
        <v>165</v>
      </c>
      <c r="B813" t="s">
        <v>116</v>
      </c>
      <c r="C813" t="s">
        <v>117</v>
      </c>
      <c r="D813" t="s">
        <v>118</v>
      </c>
      <c r="E813" t="s">
        <v>14</v>
      </c>
      <c r="F813" t="s">
        <v>291</v>
      </c>
      <c r="G813">
        <v>68</v>
      </c>
      <c r="H813">
        <v>0</v>
      </c>
      <c r="I813" s="14">
        <v>504700</v>
      </c>
      <c r="J813" s="14">
        <v>478000</v>
      </c>
      <c r="K813" t="s">
        <v>117</v>
      </c>
      <c r="L813" t="s">
        <v>118</v>
      </c>
      <c r="M813" t="s">
        <v>140</v>
      </c>
      <c r="N813" t="s">
        <v>1857</v>
      </c>
      <c r="O813">
        <v>12.5</v>
      </c>
      <c r="P813">
        <v>2.78</v>
      </c>
      <c r="Q813" s="14">
        <v>50000</v>
      </c>
      <c r="R813" s="14">
        <v>50000</v>
      </c>
      <c r="Y813" s="14"/>
      <c r="Z813" s="14"/>
      <c r="AG813" s="14"/>
      <c r="AH813" s="14"/>
      <c r="AI813" t="s">
        <v>1858</v>
      </c>
      <c r="AJ813" t="s">
        <v>1859</v>
      </c>
      <c r="AK813" t="s">
        <v>1860</v>
      </c>
      <c r="AL813">
        <v>0</v>
      </c>
      <c r="AM813" t="s">
        <v>1349</v>
      </c>
      <c r="AN813" t="s">
        <v>1350</v>
      </c>
      <c r="AO813" t="s">
        <v>125</v>
      </c>
      <c r="AP813" t="s">
        <v>205</v>
      </c>
      <c r="AQ813" s="15">
        <v>46537</v>
      </c>
      <c r="AR813" s="15"/>
      <c r="AS813" t="s">
        <v>227</v>
      </c>
      <c r="AT813">
        <v>2</v>
      </c>
      <c r="AU813">
        <v>66000</v>
      </c>
      <c r="AV813">
        <v>0</v>
      </c>
      <c r="AW813">
        <v>0</v>
      </c>
      <c r="AX813" s="14">
        <v>66000</v>
      </c>
      <c r="AY813" s="14">
        <v>0</v>
      </c>
      <c r="AZ813" s="14">
        <v>66000</v>
      </c>
      <c r="BB813" t="s">
        <v>24</v>
      </c>
      <c r="BH813" t="s">
        <v>132</v>
      </c>
      <c r="BK813" t="s">
        <v>1100</v>
      </c>
      <c r="BV813" t="s">
        <v>132</v>
      </c>
      <c r="BW813" s="16">
        <v>46112.405555555553</v>
      </c>
      <c r="BX813" t="s">
        <v>143</v>
      </c>
      <c r="BZ813">
        <v>23</v>
      </c>
      <c r="CB813">
        <v>0</v>
      </c>
      <c r="CF813" t="s">
        <v>1878</v>
      </c>
      <c r="CG813">
        <v>2027</v>
      </c>
      <c r="CH813" t="s">
        <v>138</v>
      </c>
      <c r="CI813" t="s">
        <v>139</v>
      </c>
    </row>
    <row r="814" spans="1:87" x14ac:dyDescent="0.3">
      <c r="A814" t="s">
        <v>165</v>
      </c>
      <c r="B814" t="s">
        <v>116</v>
      </c>
      <c r="C814" t="s">
        <v>117</v>
      </c>
      <c r="D814" t="s">
        <v>118</v>
      </c>
      <c r="E814" t="s">
        <v>14</v>
      </c>
      <c r="F814" t="s">
        <v>291</v>
      </c>
      <c r="G814">
        <v>68</v>
      </c>
      <c r="H814">
        <v>0</v>
      </c>
      <c r="I814" s="14">
        <v>504700</v>
      </c>
      <c r="J814" s="14">
        <v>478000</v>
      </c>
      <c r="K814" t="s">
        <v>117</v>
      </c>
      <c r="L814" t="s">
        <v>118</v>
      </c>
      <c r="M814" t="s">
        <v>140</v>
      </c>
      <c r="N814" t="s">
        <v>1857</v>
      </c>
      <c r="O814">
        <v>12.5</v>
      </c>
      <c r="P814">
        <v>2.78</v>
      </c>
      <c r="Q814" s="14">
        <v>50000</v>
      </c>
      <c r="R814" s="14">
        <v>50000</v>
      </c>
      <c r="Y814" s="14"/>
      <c r="Z814" s="14"/>
      <c r="AG814" s="14"/>
      <c r="AH814" s="14"/>
      <c r="AI814" t="s">
        <v>1858</v>
      </c>
      <c r="AJ814" t="s">
        <v>1859</v>
      </c>
      <c r="AK814" t="s">
        <v>1860</v>
      </c>
      <c r="AL814">
        <v>0</v>
      </c>
      <c r="AM814" t="s">
        <v>1349</v>
      </c>
      <c r="AN814" t="s">
        <v>1350</v>
      </c>
      <c r="AO814" t="s">
        <v>125</v>
      </c>
      <c r="AP814" t="s">
        <v>205</v>
      </c>
      <c r="AQ814" s="15">
        <v>46568</v>
      </c>
      <c r="AR814" s="15"/>
      <c r="AS814" t="s">
        <v>227</v>
      </c>
      <c r="AT814">
        <v>3</v>
      </c>
      <c r="AU814">
        <v>132000</v>
      </c>
      <c r="AV814">
        <v>0</v>
      </c>
      <c r="AW814">
        <v>0</v>
      </c>
      <c r="AX814" s="14">
        <v>132000</v>
      </c>
      <c r="AY814" s="14">
        <v>0</v>
      </c>
      <c r="AZ814" s="14">
        <v>132000</v>
      </c>
      <c r="BB814" t="s">
        <v>24</v>
      </c>
      <c r="BH814" t="s">
        <v>132</v>
      </c>
      <c r="BK814" t="s">
        <v>1100</v>
      </c>
      <c r="BV814" t="s">
        <v>132</v>
      </c>
      <c r="BW814" s="16">
        <v>46112.405555555553</v>
      </c>
      <c r="BX814" t="s">
        <v>143</v>
      </c>
      <c r="BZ814">
        <v>23</v>
      </c>
      <c r="CB814">
        <v>0</v>
      </c>
      <c r="CF814" t="s">
        <v>1878</v>
      </c>
      <c r="CG814">
        <v>2027</v>
      </c>
      <c r="CH814" t="s">
        <v>138</v>
      </c>
      <c r="CI814" t="s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showGridLines="0" topLeftCell="A9" workbookViewId="0">
      <selection activeCell="H28" sqref="H28"/>
    </sheetView>
  </sheetViews>
  <sheetFormatPr baseColWidth="10" defaultRowHeight="14.4" x14ac:dyDescent="0.3"/>
  <cols>
    <col min="2" max="2" width="33" bestFit="1" customWidth="1"/>
    <col min="3" max="3" width="16.33203125" customWidth="1"/>
    <col min="4" max="4" width="12.77734375" customWidth="1"/>
    <col min="5" max="5" width="11.6640625" bestFit="1" customWidth="1"/>
    <col min="6" max="12" width="14.21875" customWidth="1"/>
    <col min="13" max="13" width="14.21875" bestFit="1" customWidth="1"/>
    <col min="14" max="14" width="14.21875" customWidth="1"/>
    <col min="15" max="15" width="14.21875" bestFit="1" customWidth="1"/>
  </cols>
  <sheetData>
    <row r="1" spans="2:12" x14ac:dyDescent="0.3">
      <c r="C1" s="17"/>
      <c r="D1" s="17"/>
      <c r="F1" s="18"/>
      <c r="G1" s="17"/>
      <c r="H1" s="17"/>
      <c r="I1" s="17"/>
      <c r="J1" s="18"/>
      <c r="K1" s="17"/>
      <c r="L1" s="17"/>
    </row>
    <row r="2" spans="2:12" x14ac:dyDescent="0.3">
      <c r="C2" s="17"/>
      <c r="D2" s="17"/>
      <c r="F2" s="18"/>
      <c r="G2" s="17"/>
      <c r="H2" s="17"/>
      <c r="I2" s="17"/>
      <c r="J2" s="18"/>
      <c r="K2" s="17"/>
      <c r="L2" s="17"/>
    </row>
    <row r="3" spans="2:12" x14ac:dyDescent="0.3">
      <c r="C3" s="17"/>
      <c r="D3" s="17"/>
      <c r="F3" s="18"/>
      <c r="G3" s="17"/>
      <c r="H3" s="17"/>
      <c r="I3" s="17"/>
      <c r="J3" s="18"/>
      <c r="K3" s="17"/>
      <c r="L3" s="17"/>
    </row>
    <row r="4" spans="2:12" ht="13.2" customHeight="1" x14ac:dyDescent="0.3">
      <c r="C4" s="17"/>
      <c r="D4" s="17"/>
      <c r="F4" s="18"/>
      <c r="G4" s="17"/>
      <c r="H4" s="17"/>
      <c r="I4" s="17"/>
      <c r="J4" s="18"/>
      <c r="K4" s="17"/>
      <c r="L4" s="17"/>
    </row>
    <row r="5" spans="2:12" ht="23.4" customHeight="1" x14ac:dyDescent="0.45">
      <c r="C5" s="77" t="s">
        <v>0</v>
      </c>
      <c r="D5" s="78"/>
      <c r="E5" s="78"/>
      <c r="F5" s="78"/>
      <c r="G5" s="78"/>
      <c r="H5" s="78"/>
      <c r="I5" s="17"/>
      <c r="J5" s="18"/>
      <c r="K5" s="17"/>
      <c r="L5" s="17"/>
    </row>
    <row r="6" spans="2:12" x14ac:dyDescent="0.3">
      <c r="B6" s="8" t="s">
        <v>1</v>
      </c>
      <c r="C6" s="17"/>
      <c r="D6" s="17"/>
      <c r="F6" s="18"/>
      <c r="G6" s="17"/>
      <c r="H6" s="17"/>
      <c r="I6" s="17"/>
      <c r="J6" s="18"/>
      <c r="K6" s="17"/>
      <c r="L6" s="17"/>
    </row>
    <row r="7" spans="2:12" x14ac:dyDescent="0.3">
      <c r="C7" s="17"/>
      <c r="D7" s="17"/>
      <c r="F7" s="18"/>
      <c r="G7" s="17"/>
      <c r="H7" s="17"/>
      <c r="I7" s="17"/>
      <c r="J7" s="18"/>
      <c r="K7" s="17"/>
      <c r="L7" s="17"/>
    </row>
    <row r="8" spans="2:12" x14ac:dyDescent="0.3">
      <c r="C8" s="79" t="s">
        <v>2</v>
      </c>
      <c r="D8" s="76"/>
      <c r="F8" s="74" t="s">
        <v>3</v>
      </c>
      <c r="G8" s="75"/>
      <c r="H8" s="75"/>
      <c r="I8" s="76"/>
      <c r="J8" s="18"/>
      <c r="K8" s="17"/>
      <c r="L8" s="17"/>
    </row>
    <row r="9" spans="2:12" ht="26.4" customHeight="1" x14ac:dyDescent="0.3">
      <c r="C9" s="19" t="s">
        <v>4</v>
      </c>
      <c r="D9" s="19" t="s">
        <v>5</v>
      </c>
      <c r="F9" s="20" t="s">
        <v>6</v>
      </c>
      <c r="G9" s="21" t="s">
        <v>7</v>
      </c>
      <c r="H9" s="21" t="s">
        <v>8</v>
      </c>
      <c r="I9" s="21" t="s">
        <v>9</v>
      </c>
      <c r="J9" s="22" t="s">
        <v>10</v>
      </c>
      <c r="K9" s="23" t="s">
        <v>11</v>
      </c>
      <c r="L9" s="23" t="s">
        <v>12</v>
      </c>
    </row>
    <row r="10" spans="2:12" ht="6.6" customHeight="1" x14ac:dyDescent="0.3">
      <c r="C10" s="17"/>
      <c r="D10" s="17"/>
      <c r="F10" s="18"/>
      <c r="G10" s="17"/>
      <c r="H10" s="17"/>
      <c r="I10" s="17"/>
      <c r="J10" s="18"/>
      <c r="K10" s="17"/>
      <c r="L10" s="17"/>
    </row>
    <row r="11" spans="2:12" x14ac:dyDescent="0.3">
      <c r="B11" s="6" t="s">
        <v>13</v>
      </c>
      <c r="C11" s="24">
        <v>24218600</v>
      </c>
      <c r="D11" s="24">
        <v>58</v>
      </c>
      <c r="F11" s="12">
        <f>IF(C11=0,0,G11/C11)</f>
        <v>0.90244357559891974</v>
      </c>
      <c r="G11" s="25">
        <f>SUM(G12:G13)</f>
        <v>21855919.979999997</v>
      </c>
      <c r="H11" s="25">
        <f>SUM(H12:H13)</f>
        <v>460800</v>
      </c>
      <c r="I11" s="25">
        <f>SUM(I12:I13)</f>
        <v>1901880</v>
      </c>
      <c r="J11" s="12">
        <f>IF(C11=0,0,I11/C11)</f>
        <v>7.8529725087329569E-2</v>
      </c>
      <c r="K11" s="25">
        <v>6</v>
      </c>
      <c r="L11" s="25">
        <v>71</v>
      </c>
    </row>
    <row r="12" spans="2:12" x14ac:dyDescent="0.3">
      <c r="B12" s="3" t="s">
        <v>14</v>
      </c>
      <c r="C12" s="26">
        <v>16401100</v>
      </c>
      <c r="D12" s="26">
        <v>31</v>
      </c>
      <c r="F12" s="11">
        <f>IF(C12=0,0,G12/C12)</f>
        <v>0.91229673619452356</v>
      </c>
      <c r="G12" s="27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(Base_Cobranzas!$AY$2:$AY$814&gt;0),Base_Cobranzas!$AY$2:$AY$814),0)</f>
        <v>14962670</v>
      </c>
      <c r="H12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ISNUMBER(SEARCH("PENDIENTE",UPPER(TRIM(Base_Cobranzas!$BK$2:$BK$814)))),Base_Cobranzas!$AZ$2:$AZ$814),0)</f>
        <v>0</v>
      </c>
      <c r="I12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ISNUMBER(SEARCH("VENCIDO",UPPER(TRIM(Base_Cobranzas!$BK$2:$BK$814)))),Base_Cobranzas!$AZ$2:$AZ$814),0)</f>
        <v>1438430</v>
      </c>
      <c r="J12" s="11">
        <f>IF(C12=0,0,I12/C12)</f>
        <v>8.7703263805476467E-2</v>
      </c>
      <c r="K12" s="28">
        <v>4</v>
      </c>
      <c r="L12" s="28">
        <v>93</v>
      </c>
    </row>
    <row r="13" spans="2:12" x14ac:dyDescent="0.3">
      <c r="B13" s="3" t="s">
        <v>15</v>
      </c>
      <c r="C13" s="26">
        <v>7817500</v>
      </c>
      <c r="D13" s="26">
        <v>27</v>
      </c>
      <c r="F13" s="11">
        <f>IF(C13=0,0,G13/C13)</f>
        <v>0.88177166357531167</v>
      </c>
      <c r="G13" s="27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(Base_Cobranzas!$AY$2:$AY$814&gt;0),Base_Cobranzas!$AY$2:$AY$814),0)</f>
        <v>6893249.9799999986</v>
      </c>
      <c r="H13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PENDIENTE",UPPER(TRIM(Base_Cobranzas!$BK$2:$BK$814)))),Base_Cobranzas!$AZ$2:$AZ$814),0)</f>
        <v>460800</v>
      </c>
      <c r="I13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VENCIDO",UPPER(TRIM(Base_Cobranzas!$BK$2:$BK$814)))),Base_Cobranzas!$AZ$2:$AZ$814),0)</f>
        <v>463450</v>
      </c>
      <c r="J13" s="11">
        <f>IF(C13=0,0,I13/C13)</f>
        <v>5.9283658458586505E-2</v>
      </c>
      <c r="K13" s="28">
        <v>2</v>
      </c>
      <c r="L13" s="28">
        <v>19</v>
      </c>
    </row>
    <row r="14" spans="2:12" ht="6.6" customHeight="1" x14ac:dyDescent="0.3">
      <c r="C14" s="17"/>
      <c r="D14" s="17"/>
      <c r="F14" s="18"/>
      <c r="G14" s="17"/>
      <c r="H14" s="17"/>
      <c r="I14" s="17"/>
      <c r="J14" s="18"/>
      <c r="K14" s="17"/>
      <c r="L14" s="17"/>
    </row>
    <row r="15" spans="2:12" x14ac:dyDescent="0.3">
      <c r="B15" s="6" t="s">
        <v>16</v>
      </c>
      <c r="C15" s="24">
        <v>807100</v>
      </c>
      <c r="D15" s="24">
        <v>15</v>
      </c>
      <c r="F15" s="12">
        <f>IF(C15=0,0,G15/C15)</f>
        <v>0.79099268987733862</v>
      </c>
      <c r="G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(Base_Cobranzas!$AY$2:$AY$814&gt;0),Base_Cobranzas!$AY$2:$AY$814),0)</f>
        <v>638410.19999999995</v>
      </c>
      <c r="H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PENDIENTE",UPPER(TRIM(Base_Cobranzas!$BK$2:$BK$814)))),Base_Cobranzas!$AZ$2:$AZ$814),0)</f>
        <v>73889.8</v>
      </c>
      <c r="I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VENCIDO",UPPER(TRIM(Base_Cobranzas!$BK$2:$BK$814)))),Base_Cobranzas!$AZ$2:$AZ$814),0)</f>
        <v>94800</v>
      </c>
      <c r="J15" s="29">
        <f>IF(C15=0,0,I15/C15)</f>
        <v>0.11745756411844877</v>
      </c>
      <c r="K15" s="30">
        <v>5</v>
      </c>
      <c r="L15" s="30">
        <v>40</v>
      </c>
    </row>
    <row r="16" spans="2:12" ht="6.6" customHeight="1" x14ac:dyDescent="0.3">
      <c r="C16" s="17"/>
      <c r="D16" s="17"/>
      <c r="F16" s="18"/>
      <c r="G16" s="17"/>
      <c r="H16" s="17"/>
      <c r="I16" s="17"/>
      <c r="J16" s="18"/>
      <c r="K16" s="31"/>
      <c r="L16" s="31"/>
    </row>
    <row r="17" spans="1:12" x14ac:dyDescent="0.3">
      <c r="B17" s="6" t="s">
        <v>17</v>
      </c>
      <c r="C17" s="24">
        <v>0</v>
      </c>
      <c r="D17" s="24">
        <v>0</v>
      </c>
      <c r="F17" s="12">
        <f>IF(C17=0,0,G17/C17)</f>
        <v>0</v>
      </c>
      <c r="G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(Base_Cobranzas!$AY$2:$AY$814&gt;0),Base_Cobranzas!$AY$2:$AY$814),0)</f>
        <v>0</v>
      </c>
      <c r="H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ISNUMBER(SEARCH("PENDIENTE",UPPER(TRIM(Base_Cobranzas!$BK$2:$BK$814)))),Base_Cobranzas!$AZ$2:$AZ$814),0)</f>
        <v>0</v>
      </c>
      <c r="I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ISNUMBER(SEARCH("VENCIDO",UPPER(TRIM(Base_Cobranzas!$BK$2:$BK$814)))),Base_Cobranzas!$AZ$2:$AZ$814),0)</f>
        <v>0</v>
      </c>
      <c r="J17" s="29">
        <f>IF(C17=0,0,I17/C17)</f>
        <v>0</v>
      </c>
      <c r="K17" s="30">
        <v>0</v>
      </c>
      <c r="L17" s="30">
        <v>0</v>
      </c>
    </row>
    <row r="18" spans="1:12" ht="6.6" customHeight="1" x14ac:dyDescent="0.3">
      <c r="C18" s="17"/>
      <c r="D18" s="17"/>
      <c r="F18" s="18"/>
      <c r="G18" s="17"/>
      <c r="H18" s="17"/>
      <c r="I18" s="17"/>
      <c r="J18" s="18"/>
      <c r="K18" s="31"/>
      <c r="L18" s="31"/>
    </row>
    <row r="19" spans="1:12" x14ac:dyDescent="0.3">
      <c r="B19" s="6" t="s">
        <v>18</v>
      </c>
      <c r="C19" s="24">
        <v>0</v>
      </c>
      <c r="D19" s="24">
        <v>0</v>
      </c>
      <c r="F19" s="12">
        <f>IF(C19=0,0,G19/C19)</f>
        <v>0</v>
      </c>
      <c r="G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(Base_Cobranzas!$AY$2:$AY$814&gt;0),Base_Cobranzas!$AY$2:$AY$814),0)</f>
        <v>0</v>
      </c>
      <c r="H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ISNUMBER(SEARCH("PENDIENTE",UPPER(TRIM(Base_Cobranzas!$BK$2:$BK$814)))),Base_Cobranzas!$AZ$2:$AZ$814),0)</f>
        <v>0</v>
      </c>
      <c r="I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ISNUMBER(SEARCH("VENCIDO",UPPER(TRIM(Base_Cobranzas!$BK$2:$BK$814)))),Base_Cobranzas!$AZ$2:$AZ$814),0)</f>
        <v>0</v>
      </c>
      <c r="J19" s="29">
        <f>IF(C19=0,0,I19/C19)</f>
        <v>0</v>
      </c>
      <c r="K19" s="30">
        <v>0</v>
      </c>
      <c r="L19" s="30">
        <v>0</v>
      </c>
    </row>
    <row r="20" spans="1:12" ht="6.6" customHeight="1" x14ac:dyDescent="0.3">
      <c r="C20" s="17"/>
      <c r="D20" s="17"/>
      <c r="F20" s="18"/>
      <c r="G20" s="17"/>
      <c r="H20" s="17"/>
      <c r="I20" s="17"/>
      <c r="J20" s="18"/>
      <c r="K20" s="31"/>
      <c r="L20" s="31"/>
    </row>
    <row r="21" spans="1:12" x14ac:dyDescent="0.3">
      <c r="A21" s="13" t="str">
        <f>+IF(ROUND(C21,0)=ROUND(G21+H21+I21,0),"OK","REVISAR")</f>
        <v>OK</v>
      </c>
      <c r="B21" s="7" t="s">
        <v>19</v>
      </c>
      <c r="C21" s="32">
        <v>25025700</v>
      </c>
      <c r="D21" s="32">
        <v>73</v>
      </c>
      <c r="F21" s="33">
        <f>IF(C21=0,0,G21/C21)</f>
        <v>0.89884919023244092</v>
      </c>
      <c r="G21" s="34">
        <f>G11+G15+G17+G19</f>
        <v>22494330.179999996</v>
      </c>
      <c r="H21" s="34">
        <f>H11+H15+H17+H19</f>
        <v>534689.80000000005</v>
      </c>
      <c r="I21" s="34">
        <f>I11+I15+I17+I19</f>
        <v>1996680</v>
      </c>
      <c r="J21" s="35">
        <f>IF(C21=0,0,I21/C21)</f>
        <v>7.9785180834102548E-2</v>
      </c>
      <c r="K21" s="36">
        <v>11</v>
      </c>
      <c r="L21" s="36">
        <v>58</v>
      </c>
    </row>
    <row r="22" spans="1:12" x14ac:dyDescent="0.3">
      <c r="C22" s="17"/>
      <c r="D22" s="17"/>
      <c r="F22" s="18"/>
      <c r="G22" s="17"/>
      <c r="H22" s="17"/>
      <c r="I22" s="17"/>
      <c r="J22" s="18"/>
      <c r="K22" s="17"/>
      <c r="L22" s="17"/>
    </row>
    <row r="23" spans="1:12" x14ac:dyDescent="0.3">
      <c r="C23" s="17"/>
      <c r="D23" s="17"/>
      <c r="F23" s="18"/>
      <c r="G23" s="17"/>
      <c r="H23" s="17"/>
      <c r="I23" s="17"/>
      <c r="J23" s="18"/>
      <c r="K23" s="17"/>
      <c r="L23" s="17"/>
    </row>
    <row r="24" spans="1:12" x14ac:dyDescent="0.3">
      <c r="C24" s="17"/>
      <c r="D24" s="17"/>
      <c r="F24" s="18"/>
      <c r="G24" s="17"/>
      <c r="H24" s="17"/>
      <c r="I24" s="17"/>
      <c r="J24" s="18"/>
      <c r="K24" s="17"/>
      <c r="L24" s="17"/>
    </row>
    <row r="25" spans="1:12" x14ac:dyDescent="0.3">
      <c r="C25" s="17"/>
      <c r="D25" s="17"/>
      <c r="F25" s="18"/>
      <c r="G25" s="17"/>
      <c r="H25" s="17"/>
      <c r="I25" s="17"/>
      <c r="J25" s="18"/>
      <c r="K25" s="17"/>
      <c r="L25" s="17"/>
    </row>
    <row r="31" spans="1:12" ht="21" customHeight="1" x14ac:dyDescent="0.4">
      <c r="B31" s="1" t="s">
        <v>20</v>
      </c>
    </row>
    <row r="33" spans="2:15" x14ac:dyDescent="0.3">
      <c r="B33" s="9" t="s">
        <v>21</v>
      </c>
      <c r="C33" s="37">
        <v>2024</v>
      </c>
      <c r="D33" s="37">
        <v>2025</v>
      </c>
      <c r="E33" s="10">
        <v>46023</v>
      </c>
      <c r="F33" s="10">
        <v>46054</v>
      </c>
      <c r="G33" s="10">
        <v>46082</v>
      </c>
      <c r="H33" s="10">
        <v>46113</v>
      </c>
      <c r="I33" s="10">
        <v>46143</v>
      </c>
      <c r="J33" s="10">
        <v>46174</v>
      </c>
      <c r="K33" s="10">
        <v>46204</v>
      </c>
      <c r="L33" s="10">
        <v>46235</v>
      </c>
      <c r="M33" s="10" t="s">
        <v>19</v>
      </c>
    </row>
    <row r="34" spans="2:15" x14ac:dyDescent="0.3">
      <c r="B34" s="5" t="s">
        <v>22</v>
      </c>
      <c r="C34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542725</v>
      </c>
      <c r="D34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2280048.58</v>
      </c>
      <c r="E34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202837.5</v>
      </c>
      <c r="F34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302117.48</v>
      </c>
      <c r="G34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311500</v>
      </c>
      <c r="H34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25000</v>
      </c>
      <c r="I34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204171.41999999998</v>
      </c>
      <c r="J34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472110.20000000007</v>
      </c>
      <c r="K34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17500</v>
      </c>
      <c r="L34" s="38">
        <f>IFERROR(SUMPRODUCT(--ISNUMBER(SEARCH($B$6,Base_Cobranzas!$A$2:$A$814)),--(Base_Cobranzas!$AR$2:$AR$814&gt;=IF(L$33&lt;3000,DATE(L$33,1,1),L$33)),--(Base_Cobranzas!$AR$2:$AR$814&lt;IF(L$33&lt;3000,DATE(L$33+1,1,1),EDATE(L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100900</v>
      </c>
      <c r="M34" s="39">
        <f>SUM(C34:L34)</f>
        <v>4458910.18</v>
      </c>
    </row>
    <row r="35" spans="2:15" x14ac:dyDescent="0.3">
      <c r="B35" s="5" t="s">
        <v>23</v>
      </c>
      <c r="C35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468490</v>
      </c>
      <c r="D35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9286060</v>
      </c>
      <c r="E35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1005350</v>
      </c>
      <c r="F35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117514</v>
      </c>
      <c r="G35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909875.7</v>
      </c>
      <c r="H35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170810.3</v>
      </c>
      <c r="I35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850400</v>
      </c>
      <c r="J35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273650</v>
      </c>
      <c r="K35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397000</v>
      </c>
      <c r="L35" s="38">
        <f>IFERROR(SUMPRODUCT(--ISNUMBER(SEARCH($B$6,Base_Cobranzas!$A$2:$A$814)),--(Base_Cobranzas!$AR$2:$AR$814&gt;=IF(L$33&lt;3000,DATE(L$33,1,1),L$33)),--(Base_Cobranzas!$AR$2:$AR$814&lt;IF(L$33&lt;3000,DATE(L$33+1,1,1),EDATE(L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200000</v>
      </c>
      <c r="M35" s="39">
        <f>SUM(C35:L35)</f>
        <v>13679150</v>
      </c>
    </row>
    <row r="36" spans="2:15" x14ac:dyDescent="0.3">
      <c r="B36" s="5" t="s">
        <v>24</v>
      </c>
      <c r="C36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86500</v>
      </c>
      <c r="D36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2520500</v>
      </c>
      <c r="E36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536650</v>
      </c>
      <c r="F36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350</v>
      </c>
      <c r="G36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3000</v>
      </c>
      <c r="H36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150270</v>
      </c>
      <c r="I36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430300</v>
      </c>
      <c r="J36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278700</v>
      </c>
      <c r="K36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0</v>
      </c>
      <c r="L36" s="38">
        <f>IFERROR(SUMPRODUCT(--ISNUMBER(SEARCH($B$6,Base_Cobranzas!$A$2:$A$814)),--(Base_Cobranzas!$AR$2:$AR$814&gt;=IF(L$33&lt;3000,DATE(L$33,1,1),L$33)),--(Base_Cobranzas!$AR$2:$AR$814&lt;IF(L$33&lt;3000,DATE(L$33+1,1,1),EDATE(L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350000</v>
      </c>
      <c r="M36" s="39">
        <f>SUM(C36:L36)</f>
        <v>4356270</v>
      </c>
    </row>
    <row r="37" spans="2:15" x14ac:dyDescent="0.3">
      <c r="B37" s="4" t="s">
        <v>19</v>
      </c>
      <c r="C37" s="40">
        <f t="shared" ref="C37:L37" si="0">SUM(C34:C36)</f>
        <v>1097715</v>
      </c>
      <c r="D37" s="40">
        <f t="shared" si="0"/>
        <v>14086608.58</v>
      </c>
      <c r="E37" s="40">
        <f t="shared" si="0"/>
        <v>1744837.5</v>
      </c>
      <c r="F37" s="40">
        <f t="shared" si="0"/>
        <v>419981.48</v>
      </c>
      <c r="G37" s="40">
        <f t="shared" si="0"/>
        <v>1224375.7</v>
      </c>
      <c r="H37" s="40">
        <f t="shared" si="0"/>
        <v>346080.3</v>
      </c>
      <c r="I37" s="40">
        <f t="shared" si="0"/>
        <v>1484871.42</v>
      </c>
      <c r="J37" s="40">
        <f t="shared" si="0"/>
        <v>1024460.2000000001</v>
      </c>
      <c r="K37" s="40">
        <f t="shared" si="0"/>
        <v>414500</v>
      </c>
      <c r="L37" s="40">
        <f t="shared" si="0"/>
        <v>650900</v>
      </c>
      <c r="M37" s="40">
        <f>SUM(C37:L37)</f>
        <v>22494330.179999996</v>
      </c>
      <c r="N37" t="str">
        <f>IF($G$21=M37,"OK","REVISAR")</f>
        <v>OK</v>
      </c>
    </row>
    <row r="39" spans="2:15" x14ac:dyDescent="0.3">
      <c r="B39" s="4" t="s">
        <v>25</v>
      </c>
      <c r="C39" s="41">
        <f>C37</f>
        <v>1097715</v>
      </c>
      <c r="D39" s="41">
        <f t="shared" ref="D39:L39" si="1">C39+D37</f>
        <v>15184323.58</v>
      </c>
      <c r="E39" s="41">
        <f t="shared" si="1"/>
        <v>16929161.079999998</v>
      </c>
      <c r="F39" s="41">
        <f t="shared" si="1"/>
        <v>17349142.559999999</v>
      </c>
      <c r="G39" s="41">
        <f t="shared" si="1"/>
        <v>18573518.259999998</v>
      </c>
      <c r="H39" s="41">
        <f t="shared" si="1"/>
        <v>18919598.559999999</v>
      </c>
      <c r="I39" s="41">
        <f t="shared" si="1"/>
        <v>20404469.979999997</v>
      </c>
      <c r="J39" s="41">
        <f t="shared" si="1"/>
        <v>21428930.179999996</v>
      </c>
      <c r="K39" s="41">
        <f t="shared" si="1"/>
        <v>21843430.179999996</v>
      </c>
      <c r="L39" s="41">
        <f t="shared" si="1"/>
        <v>22494330.179999996</v>
      </c>
      <c r="M39" s="42"/>
    </row>
    <row r="42" spans="2:15" x14ac:dyDescent="0.3">
      <c r="O42" s="2"/>
    </row>
    <row r="43" spans="2:15" ht="21" customHeight="1" x14ac:dyDescent="0.4">
      <c r="B43" s="1" t="s">
        <v>26</v>
      </c>
      <c r="O43" s="2"/>
    </row>
    <row r="45" spans="2:15" x14ac:dyDescent="0.3">
      <c r="B45" s="9" t="s">
        <v>21</v>
      </c>
      <c r="C45" s="10">
        <v>46266</v>
      </c>
      <c r="D45" s="10">
        <v>46296</v>
      </c>
      <c r="E45" s="10">
        <v>46327</v>
      </c>
      <c r="F45" s="10">
        <v>46357</v>
      </c>
      <c r="G45" s="10" t="s">
        <v>19</v>
      </c>
    </row>
    <row r="46" spans="2:15" x14ac:dyDescent="0.3">
      <c r="B46" s="5" t="s">
        <v>22</v>
      </c>
      <c r="C46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43889.8</v>
      </c>
      <c r="D46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20000</v>
      </c>
      <c r="E46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0</v>
      </c>
      <c r="F46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10000</v>
      </c>
      <c r="G46" s="39">
        <f>SUM(C46:F46)</f>
        <v>73889.8</v>
      </c>
    </row>
    <row r="47" spans="2:15" x14ac:dyDescent="0.3">
      <c r="B47" s="5" t="s">
        <v>23</v>
      </c>
      <c r="C47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D47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E47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F47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G47" s="39">
        <f>SUM(C47:F47)</f>
        <v>0</v>
      </c>
    </row>
    <row r="48" spans="2:15" x14ac:dyDescent="0.3">
      <c r="B48" s="5" t="s">
        <v>24</v>
      </c>
      <c r="C48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460800</v>
      </c>
      <c r="D48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E48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F48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G48" s="39">
        <f>SUM(C48:F48)</f>
        <v>460800</v>
      </c>
    </row>
    <row r="49" spans="2:16" x14ac:dyDescent="0.3">
      <c r="B49" s="4" t="s">
        <v>19</v>
      </c>
      <c r="C49" s="40">
        <f>SUM(C46:C48)</f>
        <v>504689.8</v>
      </c>
      <c r="D49" s="40">
        <f>SUM(D46:D48)</f>
        <v>20000</v>
      </c>
      <c r="E49" s="40">
        <f>SUM(E46:E48)</f>
        <v>0</v>
      </c>
      <c r="F49" s="40">
        <f>SUM(F46:F48)</f>
        <v>10000</v>
      </c>
      <c r="G49" s="40">
        <f>SUM(C49:F49)</f>
        <v>534689.80000000005</v>
      </c>
      <c r="H49" t="str">
        <f>IF($H$21=G49,"OK","REVISAR")</f>
        <v>OK</v>
      </c>
    </row>
    <row r="51" spans="2:16" x14ac:dyDescent="0.3">
      <c r="B51" s="4" t="s">
        <v>25</v>
      </c>
      <c r="C51" s="43">
        <f>C49</f>
        <v>504689.8</v>
      </c>
      <c r="D51" s="41">
        <f>C51+D49</f>
        <v>524689.80000000005</v>
      </c>
      <c r="E51" s="41">
        <f>D51+E49</f>
        <v>524689.80000000005</v>
      </c>
      <c r="F51" s="41">
        <f>E51+F49</f>
        <v>534689.80000000005</v>
      </c>
      <c r="G51" s="42"/>
    </row>
    <row r="55" spans="2:16" ht="21" customHeight="1" x14ac:dyDescent="0.4">
      <c r="B55" s="1" t="s">
        <v>27</v>
      </c>
    </row>
    <row r="57" spans="2:16" x14ac:dyDescent="0.3">
      <c r="B57" s="9" t="s">
        <v>21</v>
      </c>
      <c r="C57" s="10">
        <v>45901</v>
      </c>
      <c r="D57" s="10">
        <v>45931</v>
      </c>
      <c r="E57" s="10">
        <v>45962</v>
      </c>
      <c r="F57" s="10">
        <v>45992</v>
      </c>
      <c r="G57" s="10">
        <v>46023</v>
      </c>
      <c r="H57" s="10">
        <v>46054</v>
      </c>
      <c r="I57" s="10">
        <v>46082</v>
      </c>
      <c r="J57" s="10">
        <v>46113</v>
      </c>
      <c r="K57" s="10">
        <v>46143</v>
      </c>
      <c r="L57" s="10">
        <v>46174</v>
      </c>
      <c r="M57" s="10">
        <v>46204</v>
      </c>
      <c r="N57" s="10">
        <v>46235</v>
      </c>
      <c r="O57" s="10" t="s">
        <v>19</v>
      </c>
    </row>
    <row r="58" spans="2:16" x14ac:dyDescent="0.3">
      <c r="B58" s="5" t="s">
        <v>22</v>
      </c>
      <c r="C58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0</v>
      </c>
      <c r="D58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0</v>
      </c>
      <c r="E58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0</v>
      </c>
      <c r="F58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0</v>
      </c>
      <c r="G58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0</v>
      </c>
      <c r="H58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0</v>
      </c>
      <c r="I58" s="38">
        <f>IFERROR(SUMPRODUCT(--ISNUMBER(SEARCH($B$6,Base_Cobranzas!$A$2:$A$814)),--(Base_Cobranzas!$AQ$2:$AQ$814&gt;=IF(I$57&lt;3000,DATE(I$57,1,1),I$57)),--(Base_Cobranzas!$AQ$2:$AQ$814&lt;IF(I$57&lt;3000,DATE(I$57+1,1,1),EDATE(I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160000</v>
      </c>
      <c r="J58" s="38">
        <f>IFERROR(SUMPRODUCT(--ISNUMBER(SEARCH($B$6,Base_Cobranzas!$A$2:$A$814)),--(Base_Cobranzas!$AQ$2:$AQ$814&gt;=IF(J$57&lt;3000,DATE(J$57,1,1),J$57)),--(Base_Cobranzas!$AQ$2:$AQ$814&lt;IF(J$57&lt;3000,DATE(J$57+1,1,1),EDATE(J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0</v>
      </c>
      <c r="K58" s="38">
        <f>IFERROR(SUMPRODUCT(--ISNUMBER(SEARCH($B$6,Base_Cobranzas!$A$2:$A$814)),--(Base_Cobranzas!$AQ$2:$AQ$814&gt;=IF(K$57&lt;3000,DATE(K$57,1,1),K$57)),--(Base_Cobranzas!$AQ$2:$AQ$814&lt;IF(K$57&lt;3000,DATE(K$57+1,1,1),EDATE(K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5000</v>
      </c>
      <c r="L58" s="38">
        <f>IFERROR(SUMPRODUCT(--ISNUMBER(SEARCH($B$6,Base_Cobranzas!$A$2:$A$814)),--(Base_Cobranzas!$AQ$2:$AQ$814&gt;=IF(L$57&lt;3000,DATE(L$57,1,1),L$57)),--(Base_Cobranzas!$AQ$2:$AQ$814&lt;IF(L$57&lt;3000,DATE(L$57+1,1,1),EDATE(L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5400</v>
      </c>
      <c r="M58" s="38">
        <f>IFERROR(SUMPRODUCT(--ISNUMBER(SEARCH($B$6,Base_Cobranzas!$A$2:$A$814)),--(Base_Cobranzas!$AQ$2:$AQ$814&gt;=IF(M$57&lt;3000,DATE(M$57,1,1),M$57)),--(Base_Cobranzas!$AQ$2:$AQ$814&lt;IF(M$57&lt;3000,DATE(M$57+1,1,1),EDATE(M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68400</v>
      </c>
      <c r="N58" s="38">
        <f>IFERROR(SUMPRODUCT(--ISNUMBER(SEARCH($B$6,Base_Cobranzas!$A$2:$A$814)),--(Base_Cobranzas!$AQ$2:$AQ$814&gt;=IF(N$57&lt;3000,DATE(N$57,1,1),N$57)),--(Base_Cobranzas!$AQ$2:$AQ$814&lt;IF(N$57&lt;3000,DATE(N$57+1,1,1),EDATE(N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16000</v>
      </c>
      <c r="O58" s="39">
        <f>SUM(C58:N58)</f>
        <v>254800</v>
      </c>
    </row>
    <row r="59" spans="2:16" x14ac:dyDescent="0.3">
      <c r="B59" s="5" t="s">
        <v>23</v>
      </c>
      <c r="C59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D59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E59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F59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G59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H59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I59" s="38">
        <f>IFERROR(SUMPRODUCT(--ISNUMBER(SEARCH($B$6,Base_Cobranzas!$A$2:$A$814)),--(Base_Cobranzas!$AQ$2:$AQ$814&gt;=IF(I$57&lt;3000,DATE(I$57,1,1),I$57)),--(Base_Cobranzas!$AQ$2:$AQ$814&lt;IF(I$57&lt;3000,DATE(I$57+1,1,1),EDATE(I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J59" s="38">
        <f>IFERROR(SUMPRODUCT(--ISNUMBER(SEARCH($B$6,Base_Cobranzas!$A$2:$A$814)),--(Base_Cobranzas!$AQ$2:$AQ$814&gt;=IF(J$57&lt;3000,DATE(J$57,1,1),J$57)),--(Base_Cobranzas!$AQ$2:$AQ$814&lt;IF(J$57&lt;3000,DATE(J$57+1,1,1),EDATE(J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K59" s="38">
        <f>IFERROR(SUMPRODUCT(--ISNUMBER(SEARCH($B$6,Base_Cobranzas!$A$2:$A$814)),--(Base_Cobranzas!$AQ$2:$AQ$814&gt;=IF(K$57&lt;3000,DATE(K$57,1,1),K$57)),--(Base_Cobranzas!$AQ$2:$AQ$814&lt;IF(K$57&lt;3000,DATE(K$57+1,1,1),EDATE(K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L59" s="38">
        <f>IFERROR(SUMPRODUCT(--ISNUMBER(SEARCH($B$6,Base_Cobranzas!$A$2:$A$814)),--(Base_Cobranzas!$AQ$2:$AQ$814&gt;=IF(L$57&lt;3000,DATE(L$57,1,1),L$57)),--(Base_Cobranzas!$AQ$2:$AQ$814&lt;IF(L$57&lt;3000,DATE(L$57+1,1,1),EDATE(L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24000</v>
      </c>
      <c r="M59" s="38">
        <f>IFERROR(SUMPRODUCT(--ISNUMBER(SEARCH($B$6,Base_Cobranzas!$A$2:$A$814)),--(Base_Cobranzas!$AQ$2:$AQ$814&gt;=IF(M$57&lt;3000,DATE(M$57,1,1),M$57)),--(Base_Cobranzas!$AQ$2:$AQ$814&lt;IF(M$57&lt;3000,DATE(M$57+1,1,1),EDATE(M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531850</v>
      </c>
      <c r="N59" s="38">
        <f>IFERROR(SUMPRODUCT(--ISNUMBER(SEARCH($B$6,Base_Cobranzas!$A$2:$A$814)),--(Base_Cobranzas!$AQ$2:$AQ$814&gt;=IF(N$57&lt;3000,DATE(N$57,1,1),N$57)),--(Base_Cobranzas!$AQ$2:$AQ$814&lt;IF(N$57&lt;3000,DATE(N$57+1,1,1),EDATE(N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338000</v>
      </c>
      <c r="O59" s="39">
        <f>SUM(C59:N59)</f>
        <v>893850</v>
      </c>
    </row>
    <row r="60" spans="2:16" x14ac:dyDescent="0.3">
      <c r="B60" s="5" t="s">
        <v>24</v>
      </c>
      <c r="C60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58000</v>
      </c>
      <c r="D60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E60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F60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G60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H60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I60" s="38">
        <f>IFERROR(SUMPRODUCT(--ISNUMBER(SEARCH($B$6,Base_Cobranzas!$A$2:$A$814)),--(Base_Cobranzas!$AQ$2:$AQ$814&gt;=IF(I$57&lt;3000,DATE(I$57,1,1),I$57)),--(Base_Cobranzas!$AQ$2:$AQ$814&lt;IF(I$57&lt;3000,DATE(I$57+1,1,1),EDATE(I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J60" s="38">
        <f>IFERROR(SUMPRODUCT(--ISNUMBER(SEARCH($B$6,Base_Cobranzas!$A$2:$A$814)),--(Base_Cobranzas!$AQ$2:$AQ$814&gt;=IF(J$57&lt;3000,DATE(J$57,1,1),J$57)),--(Base_Cobranzas!$AQ$2:$AQ$814&lt;IF(J$57&lt;3000,DATE(J$57+1,1,1),EDATE(J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K60" s="38">
        <f>IFERROR(SUMPRODUCT(--ISNUMBER(SEARCH($B$6,Base_Cobranzas!$A$2:$A$814)),--(Base_Cobranzas!$AQ$2:$AQ$814&gt;=IF(K$57&lt;3000,DATE(K$57,1,1),K$57)),--(Base_Cobranzas!$AQ$2:$AQ$814&lt;IF(K$57&lt;3000,DATE(K$57+1,1,1),EDATE(K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L60" s="38">
        <f>IFERROR(SUMPRODUCT(--ISNUMBER(SEARCH($B$6,Base_Cobranzas!$A$2:$A$814)),--(Base_Cobranzas!$AQ$2:$AQ$814&gt;=IF(L$57&lt;3000,DATE(L$57,1,1),L$57)),--(Base_Cobranzas!$AQ$2:$AQ$814&lt;IF(L$57&lt;3000,DATE(L$57+1,1,1),EDATE(L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M60" s="38">
        <f>IFERROR(SUMPRODUCT(--ISNUMBER(SEARCH($B$6,Base_Cobranzas!$A$2:$A$814)),--(Base_Cobranzas!$AQ$2:$AQ$814&gt;=IF(M$57&lt;3000,DATE(M$57,1,1),M$57)),--(Base_Cobranzas!$AQ$2:$AQ$814&lt;IF(M$57&lt;3000,DATE(M$57+1,1,1),EDATE(M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390500</v>
      </c>
      <c r="N60" s="38">
        <f>IFERROR(SUMPRODUCT(--ISNUMBER(SEARCH($B$6,Base_Cobranzas!$A$2:$A$814)),--(Base_Cobranzas!$AQ$2:$AQ$814&gt;=IF(N$57&lt;3000,DATE(N$57,1,1),N$57)),--(Base_Cobranzas!$AQ$2:$AQ$814&lt;IF(N$57&lt;3000,DATE(N$57+1,1,1),EDATE(N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399530</v>
      </c>
      <c r="O60" s="39">
        <f>SUM(C60:N60)</f>
        <v>848030</v>
      </c>
    </row>
    <row r="61" spans="2:16" x14ac:dyDescent="0.3">
      <c r="B61" s="4" t="s">
        <v>19</v>
      </c>
      <c r="C61" s="40">
        <f t="shared" ref="C61:N61" si="2">SUM(C58:C60)</f>
        <v>58000</v>
      </c>
      <c r="D61" s="40">
        <f t="shared" si="2"/>
        <v>0</v>
      </c>
      <c r="E61" s="40">
        <f t="shared" si="2"/>
        <v>0</v>
      </c>
      <c r="F61" s="40">
        <f t="shared" si="2"/>
        <v>0</v>
      </c>
      <c r="G61" s="40">
        <f t="shared" si="2"/>
        <v>0</v>
      </c>
      <c r="H61" s="40">
        <f t="shared" si="2"/>
        <v>0</v>
      </c>
      <c r="I61" s="40">
        <f t="shared" si="2"/>
        <v>160000</v>
      </c>
      <c r="J61" s="40">
        <f t="shared" si="2"/>
        <v>0</v>
      </c>
      <c r="K61" s="40">
        <f t="shared" si="2"/>
        <v>5000</v>
      </c>
      <c r="L61" s="40">
        <f t="shared" si="2"/>
        <v>29400</v>
      </c>
      <c r="M61" s="40">
        <f t="shared" si="2"/>
        <v>990750</v>
      </c>
      <c r="N61" s="40">
        <f t="shared" si="2"/>
        <v>753530</v>
      </c>
      <c r="O61" s="40">
        <f>SUM(C61:N61)</f>
        <v>1996680</v>
      </c>
      <c r="P61" t="str">
        <f>IF($I$21=O61,"OK","REVISAR")</f>
        <v>OK</v>
      </c>
    </row>
    <row r="63" spans="2:16" x14ac:dyDescent="0.3">
      <c r="B63" s="4" t="s">
        <v>25</v>
      </c>
      <c r="C63" s="43">
        <f>C61</f>
        <v>58000</v>
      </c>
      <c r="D63" s="41">
        <f t="shared" ref="D63:N63" si="3">C63+D61</f>
        <v>58000</v>
      </c>
      <c r="E63" s="41">
        <f t="shared" si="3"/>
        <v>58000</v>
      </c>
      <c r="F63" s="41">
        <f t="shared" si="3"/>
        <v>58000</v>
      </c>
      <c r="G63" s="41">
        <f t="shared" si="3"/>
        <v>58000</v>
      </c>
      <c r="H63" s="41">
        <f t="shared" si="3"/>
        <v>58000</v>
      </c>
      <c r="I63" s="41">
        <f t="shared" si="3"/>
        <v>218000</v>
      </c>
      <c r="J63" s="41">
        <f t="shared" si="3"/>
        <v>218000</v>
      </c>
      <c r="K63" s="41">
        <f t="shared" si="3"/>
        <v>223000</v>
      </c>
      <c r="L63" s="41">
        <f t="shared" si="3"/>
        <v>252400</v>
      </c>
      <c r="M63" s="41">
        <f t="shared" si="3"/>
        <v>1243150</v>
      </c>
      <c r="N63" s="41">
        <f t="shared" si="3"/>
        <v>1996680</v>
      </c>
      <c r="O63" s="42"/>
    </row>
  </sheetData>
  <mergeCells count="3">
    <mergeCell ref="F8:I8"/>
    <mergeCell ref="C5:H5"/>
    <mergeCell ref="C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3"/>
  <sheetViews>
    <sheetView showGridLines="0" topLeftCell="A26" workbookViewId="0"/>
  </sheetViews>
  <sheetFormatPr baseColWidth="10" defaultRowHeight="14.4" x14ac:dyDescent="0.3"/>
  <cols>
    <col min="2" max="2" width="33" bestFit="1" customWidth="1"/>
    <col min="3" max="3" width="16.33203125" customWidth="1"/>
    <col min="4" max="4" width="12.77734375" customWidth="1"/>
    <col min="5" max="5" width="11.6640625" bestFit="1" customWidth="1"/>
    <col min="6" max="12" width="14.21875" customWidth="1"/>
    <col min="13" max="13" width="14.21875" bestFit="1" customWidth="1"/>
    <col min="14" max="14" width="14.21875" customWidth="1"/>
    <col min="15" max="15" width="14.21875" bestFit="1" customWidth="1"/>
    <col min="16" max="21" width="14.21875" customWidth="1"/>
  </cols>
  <sheetData>
    <row r="1" spans="2:12" x14ac:dyDescent="0.3">
      <c r="C1" s="17"/>
      <c r="D1" s="17"/>
      <c r="F1" s="18"/>
      <c r="G1" s="17"/>
      <c r="H1" s="17"/>
      <c r="I1" s="17"/>
      <c r="J1" s="18"/>
      <c r="K1" s="17"/>
      <c r="L1" s="17"/>
    </row>
    <row r="2" spans="2:12" x14ac:dyDescent="0.3">
      <c r="C2" s="17"/>
      <c r="D2" s="17"/>
      <c r="F2" s="18"/>
      <c r="G2" s="17"/>
      <c r="H2" s="17"/>
      <c r="I2" s="17"/>
      <c r="J2" s="18"/>
      <c r="K2" s="17"/>
      <c r="L2" s="17"/>
    </row>
    <row r="3" spans="2:12" x14ac:dyDescent="0.3">
      <c r="C3" s="17"/>
      <c r="D3" s="17"/>
      <c r="F3" s="18"/>
      <c r="G3" s="17"/>
      <c r="H3" s="17"/>
      <c r="I3" s="17"/>
      <c r="J3" s="18"/>
      <c r="K3" s="17"/>
      <c r="L3" s="17"/>
    </row>
    <row r="4" spans="2:12" ht="13.2" customHeight="1" x14ac:dyDescent="0.3">
      <c r="C4" s="17"/>
      <c r="D4" s="17"/>
      <c r="F4" s="18"/>
      <c r="G4" s="17"/>
      <c r="H4" s="17"/>
      <c r="I4" s="17"/>
      <c r="J4" s="18"/>
      <c r="K4" s="17"/>
      <c r="L4" s="17"/>
    </row>
    <row r="5" spans="2:12" ht="23.4" customHeight="1" x14ac:dyDescent="0.45">
      <c r="C5" s="77" t="s">
        <v>0</v>
      </c>
      <c r="D5" s="78"/>
      <c r="E5" s="78"/>
      <c r="F5" s="78"/>
      <c r="G5" s="78"/>
      <c r="H5" s="78"/>
      <c r="I5" s="17"/>
      <c r="J5" s="18"/>
      <c r="K5" s="17"/>
      <c r="L5" s="17"/>
    </row>
    <row r="6" spans="2:12" x14ac:dyDescent="0.3">
      <c r="B6" s="8" t="s">
        <v>1879</v>
      </c>
      <c r="C6" s="17"/>
      <c r="D6" s="17"/>
      <c r="F6" s="18"/>
      <c r="G6" s="17"/>
      <c r="H6" s="17"/>
      <c r="I6" s="17"/>
      <c r="J6" s="18"/>
      <c r="K6" s="17"/>
      <c r="L6" s="17"/>
    </row>
    <row r="7" spans="2:12" x14ac:dyDescent="0.3">
      <c r="C7" s="17"/>
      <c r="D7" s="17"/>
      <c r="F7" s="18"/>
      <c r="G7" s="17"/>
      <c r="H7" s="17"/>
      <c r="I7" s="17"/>
      <c r="J7" s="18"/>
      <c r="K7" s="17"/>
      <c r="L7" s="17"/>
    </row>
    <row r="8" spans="2:12" x14ac:dyDescent="0.3">
      <c r="C8" s="79" t="s">
        <v>2</v>
      </c>
      <c r="D8" s="76"/>
      <c r="F8" s="74" t="s">
        <v>3</v>
      </c>
      <c r="G8" s="75"/>
      <c r="H8" s="75"/>
      <c r="I8" s="76"/>
      <c r="J8" s="18"/>
      <c r="K8" s="17"/>
      <c r="L8" s="17"/>
    </row>
    <row r="9" spans="2:12" ht="26.4" customHeight="1" x14ac:dyDescent="0.3">
      <c r="C9" s="19" t="s">
        <v>4</v>
      </c>
      <c r="D9" s="19" t="s">
        <v>5</v>
      </c>
      <c r="F9" s="20" t="s">
        <v>6</v>
      </c>
      <c r="G9" s="21" t="s">
        <v>7</v>
      </c>
      <c r="H9" s="21" t="s">
        <v>8</v>
      </c>
      <c r="I9" s="21" t="s">
        <v>9</v>
      </c>
      <c r="J9" s="22" t="s">
        <v>10</v>
      </c>
      <c r="K9" s="23" t="s">
        <v>11</v>
      </c>
      <c r="L9" s="23" t="s">
        <v>12</v>
      </c>
    </row>
    <row r="10" spans="2:12" ht="6.6" customHeight="1" x14ac:dyDescent="0.3">
      <c r="C10" s="17"/>
      <c r="D10" s="17"/>
      <c r="F10" s="18"/>
      <c r="G10" s="17"/>
      <c r="H10" s="17"/>
      <c r="I10" s="17"/>
      <c r="J10" s="18"/>
      <c r="K10" s="17"/>
      <c r="L10" s="17"/>
    </row>
    <row r="11" spans="2:12" x14ac:dyDescent="0.3">
      <c r="B11" s="6" t="s">
        <v>13</v>
      </c>
      <c r="C11" s="24">
        <v>20403900</v>
      </c>
      <c r="D11" s="24">
        <v>64</v>
      </c>
      <c r="F11" s="12">
        <f>IF(C11=0,0,G11/C11)</f>
        <v>0.21711170315478906</v>
      </c>
      <c r="G11" s="25">
        <f>SUM(G12:G13)</f>
        <v>4429925.4800000004</v>
      </c>
      <c r="H11" s="25">
        <f>SUM(H12:H13)</f>
        <v>8949397.2200000007</v>
      </c>
      <c r="I11" s="25">
        <f>SUM(I12:I13)</f>
        <v>7024577.2999999998</v>
      </c>
      <c r="J11" s="12">
        <f>IF(C11=0,0,I11/C11)</f>
        <v>0.34427620699964223</v>
      </c>
      <c r="K11" s="25">
        <v>25</v>
      </c>
      <c r="L11" s="25">
        <v>143</v>
      </c>
    </row>
    <row r="12" spans="2:12" x14ac:dyDescent="0.3">
      <c r="B12" s="3" t="s">
        <v>14</v>
      </c>
      <c r="C12" s="26">
        <v>11272900</v>
      </c>
      <c r="D12" s="26">
        <v>25</v>
      </c>
      <c r="F12" s="11">
        <f>IF(C12=0,0,G12/C12)</f>
        <v>0.13675504972101235</v>
      </c>
      <c r="G12" s="27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(Base_Cobranzas!$AY$2:$AY$814&gt;0),Base_Cobranzas!$AY$2:$AY$814),0)</f>
        <v>1541626</v>
      </c>
      <c r="H12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ISNUMBER(SEARCH("PENDIENTE",UPPER(TRIM(Base_Cobranzas!$BK$2:$BK$814)))),Base_Cobranzas!$AZ$2:$AZ$814),0)</f>
        <v>4215249</v>
      </c>
      <c r="I12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ISNUMBER(SEARCH("VENCIDO",UPPER(TRIM(Base_Cobranzas!$BK$2:$BK$814)))),Base_Cobranzas!$AZ$2:$AZ$814),0)</f>
        <v>5516025</v>
      </c>
      <c r="J12" s="11">
        <f>IF(C12=0,0,I12/C12)</f>
        <v>0.48931730078329444</v>
      </c>
      <c r="K12" s="28">
        <v>17</v>
      </c>
      <c r="L12" s="28">
        <v>78</v>
      </c>
    </row>
    <row r="13" spans="2:12" x14ac:dyDescent="0.3">
      <c r="B13" s="3" t="s">
        <v>15</v>
      </c>
      <c r="C13" s="26">
        <v>9131000</v>
      </c>
      <c r="D13" s="26">
        <v>39</v>
      </c>
      <c r="F13" s="11">
        <f>IF(C13=0,0,G13/C13)</f>
        <v>0.31631798050596865</v>
      </c>
      <c r="G13" s="27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(Base_Cobranzas!$AY$2:$AY$814&gt;0),Base_Cobranzas!$AY$2:$AY$814),0)</f>
        <v>2888299.48</v>
      </c>
      <c r="H13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PENDIENTE",UPPER(TRIM(Base_Cobranzas!$BK$2:$BK$814)))),Base_Cobranzas!$AZ$2:$AZ$814),0)</f>
        <v>4734148.2200000007</v>
      </c>
      <c r="I13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VENCIDO",UPPER(TRIM(Base_Cobranzas!$BK$2:$BK$814)))),Base_Cobranzas!$AZ$2:$AZ$814),0)</f>
        <v>1508552.3</v>
      </c>
      <c r="J13" s="11">
        <f>IF(C13=0,0,I13/C13)</f>
        <v>0.16521216734202168</v>
      </c>
      <c r="K13" s="28">
        <v>8</v>
      </c>
      <c r="L13" s="28">
        <v>204</v>
      </c>
    </row>
    <row r="14" spans="2:12" ht="6.6" customHeight="1" x14ac:dyDescent="0.3">
      <c r="C14" s="17"/>
      <c r="D14" s="17"/>
      <c r="F14" s="18"/>
      <c r="G14" s="17"/>
      <c r="H14" s="17"/>
      <c r="I14" s="17"/>
      <c r="J14" s="18"/>
      <c r="K14" s="17"/>
      <c r="L14" s="17"/>
    </row>
    <row r="15" spans="2:12" x14ac:dyDescent="0.3">
      <c r="B15" s="6" t="s">
        <v>16</v>
      </c>
      <c r="C15" s="24">
        <v>47500</v>
      </c>
      <c r="D15" s="24">
        <v>1</v>
      </c>
      <c r="F15" s="12">
        <f>IF(C15=0,0,G15/C15)</f>
        <v>0.2</v>
      </c>
      <c r="G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(Base_Cobranzas!$AY$2:$AY$814&gt;0),Base_Cobranzas!$AY$2:$AY$814),0)</f>
        <v>9500</v>
      </c>
      <c r="H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PENDIENTE",UPPER(TRIM(Base_Cobranzas!$BK$2:$BK$814)))),Base_Cobranzas!$AZ$2:$AZ$814),0)</f>
        <v>38000</v>
      </c>
      <c r="I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VENCIDO",UPPER(TRIM(Base_Cobranzas!$BK$2:$BK$814)))),Base_Cobranzas!$AZ$2:$AZ$814),0)</f>
        <v>0</v>
      </c>
      <c r="J15" s="29">
        <f>IF(C15=0,0,I15/C15)</f>
        <v>0</v>
      </c>
      <c r="K15" s="30">
        <v>0</v>
      </c>
      <c r="L15" s="30">
        <v>0</v>
      </c>
    </row>
    <row r="16" spans="2:12" ht="6.6" customHeight="1" x14ac:dyDescent="0.3">
      <c r="C16" s="17"/>
      <c r="D16" s="17"/>
      <c r="F16" s="18"/>
      <c r="G16" s="17"/>
      <c r="H16" s="17"/>
      <c r="I16" s="17"/>
      <c r="J16" s="18"/>
      <c r="K16" s="31"/>
      <c r="L16" s="31"/>
    </row>
    <row r="17" spans="1:12" x14ac:dyDescent="0.3">
      <c r="B17" s="6" t="s">
        <v>17</v>
      </c>
      <c r="C17" s="24">
        <v>0</v>
      </c>
      <c r="D17" s="24">
        <v>0</v>
      </c>
      <c r="F17" s="12">
        <f>IF(C17=0,0,G17/C17)</f>
        <v>0</v>
      </c>
      <c r="G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(Base_Cobranzas!$AY$2:$AY$814&gt;0),Base_Cobranzas!$AY$2:$AY$814),0)</f>
        <v>0</v>
      </c>
      <c r="H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ISNUMBER(SEARCH("PENDIENTE",UPPER(TRIM(Base_Cobranzas!$BK$2:$BK$814)))),Base_Cobranzas!$AZ$2:$AZ$814),0)</f>
        <v>0</v>
      </c>
      <c r="I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ISNUMBER(SEARCH("VENCIDO",UPPER(TRIM(Base_Cobranzas!$BK$2:$BK$814)))),Base_Cobranzas!$AZ$2:$AZ$814),0)</f>
        <v>0</v>
      </c>
      <c r="J17" s="29">
        <f>IF(C17=0,0,I17/C17)</f>
        <v>0</v>
      </c>
      <c r="K17" s="30">
        <v>0</v>
      </c>
      <c r="L17" s="30">
        <v>0</v>
      </c>
    </row>
    <row r="18" spans="1:12" ht="6.6" customHeight="1" x14ac:dyDescent="0.3">
      <c r="C18" s="17"/>
      <c r="D18" s="17"/>
      <c r="F18" s="18"/>
      <c r="G18" s="17"/>
      <c r="H18" s="17"/>
      <c r="I18" s="17"/>
      <c r="J18" s="18"/>
      <c r="K18" s="31"/>
      <c r="L18" s="31"/>
    </row>
    <row r="19" spans="1:12" x14ac:dyDescent="0.3">
      <c r="B19" s="6" t="s">
        <v>18</v>
      </c>
      <c r="C19" s="24">
        <v>0</v>
      </c>
      <c r="D19" s="24">
        <v>0</v>
      </c>
      <c r="F19" s="12">
        <f>IF(C19=0,0,G19/C19)</f>
        <v>0</v>
      </c>
      <c r="G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(Base_Cobranzas!$AY$2:$AY$814&gt;0),Base_Cobranzas!$AY$2:$AY$814),0)</f>
        <v>0</v>
      </c>
      <c r="H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ISNUMBER(SEARCH("PENDIENTE",UPPER(TRIM(Base_Cobranzas!$BK$2:$BK$814)))),Base_Cobranzas!$AZ$2:$AZ$814),0)</f>
        <v>0</v>
      </c>
      <c r="I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ISNUMBER(SEARCH("VENCIDO",UPPER(TRIM(Base_Cobranzas!$BK$2:$BK$814)))),Base_Cobranzas!$AZ$2:$AZ$814),0)</f>
        <v>0</v>
      </c>
      <c r="J19" s="29">
        <f>IF(C19=0,0,I19/C19)</f>
        <v>0</v>
      </c>
      <c r="K19" s="30">
        <v>0</v>
      </c>
      <c r="L19" s="30">
        <v>0</v>
      </c>
    </row>
    <row r="20" spans="1:12" ht="6.6" customHeight="1" x14ac:dyDescent="0.3">
      <c r="C20" s="17"/>
      <c r="D20" s="17"/>
      <c r="F20" s="18"/>
      <c r="G20" s="17"/>
      <c r="H20" s="17"/>
      <c r="I20" s="17"/>
      <c r="J20" s="18"/>
      <c r="K20" s="31"/>
      <c r="L20" s="31"/>
    </row>
    <row r="21" spans="1:12" x14ac:dyDescent="0.3">
      <c r="A21" s="13" t="str">
        <f>+IF(ROUND(C21,0)=ROUND(G21+H21+I21,0),"OK","REVISAR")</f>
        <v>OK</v>
      </c>
      <c r="B21" s="7" t="s">
        <v>19</v>
      </c>
      <c r="C21" s="32">
        <v>20451400</v>
      </c>
      <c r="D21" s="32">
        <v>65</v>
      </c>
      <c r="F21" s="33">
        <f>IF(C21=0,0,G21/C21)</f>
        <v>0.21707195986582828</v>
      </c>
      <c r="G21" s="34">
        <f>G11+G15+G17+G19</f>
        <v>4439425.4800000004</v>
      </c>
      <c r="H21" s="34">
        <f>H11+H15+H17+H19</f>
        <v>8987397.2200000007</v>
      </c>
      <c r="I21" s="34">
        <f>I11+I15+I17+I19</f>
        <v>7024577.2999999998</v>
      </c>
      <c r="J21" s="35">
        <f>IF(C21=0,0,I21/C21)</f>
        <v>0.34347659817909776</v>
      </c>
      <c r="K21" s="36">
        <v>25</v>
      </c>
      <c r="L21" s="36">
        <v>143</v>
      </c>
    </row>
    <row r="22" spans="1:12" x14ac:dyDescent="0.3">
      <c r="C22" s="17"/>
      <c r="D22" s="17"/>
      <c r="F22" s="18"/>
      <c r="G22" s="17"/>
      <c r="H22" s="17"/>
      <c r="I22" s="17"/>
      <c r="J22" s="18"/>
      <c r="K22" s="17"/>
      <c r="L22" s="17"/>
    </row>
    <row r="23" spans="1:12" x14ac:dyDescent="0.3">
      <c r="C23" s="17"/>
      <c r="D23" s="17"/>
      <c r="F23" s="18"/>
      <c r="G23" s="17"/>
      <c r="H23" s="17"/>
      <c r="I23" s="17"/>
      <c r="J23" s="18"/>
      <c r="K23" s="17"/>
      <c r="L23" s="17"/>
    </row>
    <row r="24" spans="1:12" x14ac:dyDescent="0.3">
      <c r="C24" s="17"/>
      <c r="D24" s="17"/>
      <c r="F24" s="18"/>
      <c r="G24" s="17"/>
      <c r="H24" s="17"/>
      <c r="I24" s="17"/>
      <c r="J24" s="18"/>
      <c r="K24" s="17"/>
      <c r="L24" s="17"/>
    </row>
    <row r="25" spans="1:12" x14ac:dyDescent="0.3">
      <c r="C25" s="17"/>
      <c r="D25" s="17"/>
      <c r="F25" s="18"/>
      <c r="G25" s="17"/>
      <c r="H25" s="17"/>
      <c r="I25" s="17"/>
      <c r="J25" s="18"/>
      <c r="K25" s="17"/>
      <c r="L25" s="17"/>
    </row>
    <row r="31" spans="1:12" ht="21" customHeight="1" x14ac:dyDescent="0.4">
      <c r="B31" s="1" t="s">
        <v>20</v>
      </c>
    </row>
    <row r="33" spans="2:18" x14ac:dyDescent="0.3">
      <c r="B33" s="9" t="s">
        <v>21</v>
      </c>
      <c r="C33" s="37">
        <v>2024</v>
      </c>
      <c r="D33" s="37">
        <v>2025</v>
      </c>
      <c r="E33" s="10">
        <v>46023</v>
      </c>
      <c r="F33" s="10">
        <v>46054</v>
      </c>
      <c r="G33" s="10">
        <v>46082</v>
      </c>
      <c r="H33" s="10">
        <v>46113</v>
      </c>
      <c r="I33" s="10">
        <v>46143</v>
      </c>
      <c r="J33" s="10">
        <v>46174</v>
      </c>
      <c r="K33" s="10">
        <v>46204</v>
      </c>
      <c r="L33" s="10">
        <v>46235</v>
      </c>
      <c r="M33" s="10" t="s">
        <v>19</v>
      </c>
    </row>
    <row r="34" spans="2:18" x14ac:dyDescent="0.3">
      <c r="B34" s="5" t="s">
        <v>22</v>
      </c>
      <c r="C34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3000</v>
      </c>
      <c r="D34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1009316.87</v>
      </c>
      <c r="E34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158000</v>
      </c>
      <c r="F34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51470</v>
      </c>
      <c r="G34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187590</v>
      </c>
      <c r="H34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512279.21</v>
      </c>
      <c r="I34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72000</v>
      </c>
      <c r="J34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47250</v>
      </c>
      <c r="K34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59270.91</v>
      </c>
      <c r="L34" s="38">
        <f>IFERROR(SUMPRODUCT(--ISNUMBER(SEARCH($B$6,Base_Cobranzas!$A$2:$A$814)),--(Base_Cobranzas!$AR$2:$AR$814&gt;=IF(L$33&lt;3000,DATE(L$33,1,1),L$33)),--(Base_Cobranzas!$AR$2:$AR$814&lt;IF(L$33&lt;3000,DATE(L$33+1,1,1),EDATE(L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88432.49</v>
      </c>
      <c r="M34" s="39">
        <f>SUM(C34:L34)</f>
        <v>2188609.4800000004</v>
      </c>
    </row>
    <row r="35" spans="2:18" x14ac:dyDescent="0.3">
      <c r="B35" s="5" t="s">
        <v>23</v>
      </c>
      <c r="C35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0</v>
      </c>
      <c r="D35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84500</v>
      </c>
      <c r="E35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148300</v>
      </c>
      <c r="F35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15000</v>
      </c>
      <c r="G35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49135</v>
      </c>
      <c r="H35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62135</v>
      </c>
      <c r="I35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8200</v>
      </c>
      <c r="J35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0</v>
      </c>
      <c r="K35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10000</v>
      </c>
      <c r="L35" s="38">
        <f>IFERROR(SUMPRODUCT(--ISNUMBER(SEARCH($B$6,Base_Cobranzas!$A$2:$A$814)),--(Base_Cobranzas!$AR$2:$AR$814&gt;=IF(L$33&lt;3000,DATE(L$33,1,1),L$33)),--(Base_Cobranzas!$AR$2:$AR$814&lt;IF(L$33&lt;3000,DATE(L$33+1,1,1),EDATE(L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46000</v>
      </c>
      <c r="M35" s="39">
        <f>SUM(C35:L35)</f>
        <v>423270</v>
      </c>
    </row>
    <row r="36" spans="2:18" x14ac:dyDescent="0.3">
      <c r="B36" s="5" t="s">
        <v>24</v>
      </c>
      <c r="C36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3000</v>
      </c>
      <c r="D36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456315</v>
      </c>
      <c r="E36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0</v>
      </c>
      <c r="F36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74400</v>
      </c>
      <c r="G36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151688</v>
      </c>
      <c r="H36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382388</v>
      </c>
      <c r="I36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470520</v>
      </c>
      <c r="J36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173165</v>
      </c>
      <c r="K36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50950</v>
      </c>
      <c r="L36" s="38">
        <f>IFERROR(SUMPRODUCT(--ISNUMBER(SEARCH($B$6,Base_Cobranzas!$A$2:$A$814)),--(Base_Cobranzas!$AR$2:$AR$814&gt;=IF(L$33&lt;3000,DATE(L$33,1,1),L$33)),--(Base_Cobranzas!$AR$2:$AR$814&lt;IF(L$33&lt;3000,DATE(L$33+1,1,1),EDATE(L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65120</v>
      </c>
      <c r="M36" s="39">
        <f>SUM(C36:L36)</f>
        <v>1827546</v>
      </c>
    </row>
    <row r="37" spans="2:18" x14ac:dyDescent="0.3">
      <c r="B37" s="4" t="s">
        <v>19</v>
      </c>
      <c r="C37" s="40">
        <f t="shared" ref="C37:L37" si="0">SUM(C34:C36)</f>
        <v>6000</v>
      </c>
      <c r="D37" s="40">
        <f t="shared" si="0"/>
        <v>1550131.87</v>
      </c>
      <c r="E37" s="40">
        <f t="shared" si="0"/>
        <v>306300</v>
      </c>
      <c r="F37" s="40">
        <f t="shared" si="0"/>
        <v>140870</v>
      </c>
      <c r="G37" s="40">
        <f t="shared" si="0"/>
        <v>388413</v>
      </c>
      <c r="H37" s="40">
        <f t="shared" si="0"/>
        <v>956802.21</v>
      </c>
      <c r="I37" s="40">
        <f t="shared" si="0"/>
        <v>550720</v>
      </c>
      <c r="J37" s="40">
        <f t="shared" si="0"/>
        <v>220415</v>
      </c>
      <c r="K37" s="40">
        <f t="shared" si="0"/>
        <v>120220.91</v>
      </c>
      <c r="L37" s="40">
        <f t="shared" si="0"/>
        <v>199552.49</v>
      </c>
      <c r="M37" s="40">
        <f>SUM(C37:L37)</f>
        <v>4439425.4800000004</v>
      </c>
      <c r="N37" t="str">
        <f>IF($G$21=M37,"OK","REVISAR")</f>
        <v>OK</v>
      </c>
    </row>
    <row r="39" spans="2:18" x14ac:dyDescent="0.3">
      <c r="B39" s="4" t="s">
        <v>25</v>
      </c>
      <c r="C39" s="41">
        <f>C37</f>
        <v>6000</v>
      </c>
      <c r="D39" s="41">
        <f t="shared" ref="D39:L39" si="1">C39+D37</f>
        <v>1556131.87</v>
      </c>
      <c r="E39" s="41">
        <f t="shared" si="1"/>
        <v>1862431.87</v>
      </c>
      <c r="F39" s="41">
        <f t="shared" si="1"/>
        <v>2003301.87</v>
      </c>
      <c r="G39" s="41">
        <f t="shared" si="1"/>
        <v>2391714.87</v>
      </c>
      <c r="H39" s="41">
        <f t="shared" si="1"/>
        <v>3348517.08</v>
      </c>
      <c r="I39" s="41">
        <f t="shared" si="1"/>
        <v>3899237.08</v>
      </c>
      <c r="J39" s="41">
        <f t="shared" si="1"/>
        <v>4119652.08</v>
      </c>
      <c r="K39" s="41">
        <f t="shared" si="1"/>
        <v>4239872.99</v>
      </c>
      <c r="L39" s="41">
        <f t="shared" si="1"/>
        <v>4439425.4800000004</v>
      </c>
      <c r="M39" s="42"/>
    </row>
    <row r="42" spans="2:18" x14ac:dyDescent="0.3">
      <c r="O42" s="2"/>
    </row>
    <row r="43" spans="2:18" ht="21" customHeight="1" x14ac:dyDescent="0.4">
      <c r="B43" s="1" t="s">
        <v>26</v>
      </c>
      <c r="O43" s="2"/>
    </row>
    <row r="45" spans="2:18" x14ac:dyDescent="0.3">
      <c r="B45" s="9" t="s">
        <v>21</v>
      </c>
      <c r="C45" s="10">
        <v>46266</v>
      </c>
      <c r="D45" s="10">
        <v>46296</v>
      </c>
      <c r="E45" s="10">
        <v>46327</v>
      </c>
      <c r="F45" s="10">
        <v>46357</v>
      </c>
      <c r="G45" s="10">
        <v>46388</v>
      </c>
      <c r="H45" s="10">
        <v>46419</v>
      </c>
      <c r="I45" s="10">
        <v>46447</v>
      </c>
      <c r="J45" s="10">
        <v>46478</v>
      </c>
      <c r="K45" s="10">
        <v>46508</v>
      </c>
      <c r="L45" s="10">
        <v>46539</v>
      </c>
      <c r="M45" s="10">
        <v>46569</v>
      </c>
      <c r="N45" s="10">
        <v>46600</v>
      </c>
      <c r="O45" s="10">
        <v>46631</v>
      </c>
      <c r="P45" s="10">
        <v>46661</v>
      </c>
      <c r="Q45" s="10">
        <v>46692</v>
      </c>
      <c r="R45" s="10" t="s">
        <v>19</v>
      </c>
    </row>
    <row r="46" spans="2:18" x14ac:dyDescent="0.3">
      <c r="B46" s="5" t="s">
        <v>22</v>
      </c>
      <c r="C46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361279.66000000003</v>
      </c>
      <c r="D46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79279.66</v>
      </c>
      <c r="E46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79279.66</v>
      </c>
      <c r="F46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209339.66</v>
      </c>
      <c r="G46" s="38">
        <f>IFERROR(SUMPRODUCT(--ISNUMBER(SEARCH($B$6,Base_Cobranzas!$A$2:$A$814)),--(Base_Cobranzas!$AQ$2:$AQ$814&gt;=IF(G$45&lt;3000,DATE(G$45,1,1),G$45)),--(Base_Cobranzas!$AQ$2:$AQ$814&lt;IF(G$45&lt;3000,DATE(G$45+1,1,1),EDATE(G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79279.66</v>
      </c>
      <c r="H46" s="38">
        <f>IFERROR(SUMPRODUCT(--ISNUMBER(SEARCH($B$6,Base_Cobranzas!$A$2:$A$814)),--(Base_Cobranzas!$AQ$2:$AQ$814&gt;=IF(H$45&lt;3000,DATE(H$45,1,1),H$45)),--(Base_Cobranzas!$AQ$2:$AQ$814&lt;IF(H$45&lt;3000,DATE(H$45+1,1,1),EDATE(H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129279.66</v>
      </c>
      <c r="I46" s="38">
        <f>IFERROR(SUMPRODUCT(--ISNUMBER(SEARCH($B$6,Base_Cobranzas!$A$2:$A$814)),--(Base_Cobranzas!$AQ$2:$AQ$814&gt;=IF(I$45&lt;3000,DATE(I$45,1,1),I$45)),--(Base_Cobranzas!$AQ$2:$AQ$814&lt;IF(I$45&lt;3000,DATE(I$45+1,1,1),EDATE(I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79279.66</v>
      </c>
      <c r="J46" s="38">
        <f>IFERROR(SUMPRODUCT(--ISNUMBER(SEARCH($B$6,Base_Cobranzas!$A$2:$A$814)),--(Base_Cobranzas!$AQ$2:$AQ$814&gt;=IF(J$45&lt;3000,DATE(J$45,1,1),J$45)),--(Base_Cobranzas!$AQ$2:$AQ$814&lt;IF(J$45&lt;3000,DATE(J$45+1,1,1),EDATE(J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79279.700000000012</v>
      </c>
      <c r="K46" s="38">
        <f>IFERROR(SUMPRODUCT(--ISNUMBER(SEARCH($B$6,Base_Cobranzas!$A$2:$A$814)),--(Base_Cobranzas!$AQ$2:$AQ$814&gt;=IF(K$45&lt;3000,DATE(K$45,1,1),K$45)),--(Base_Cobranzas!$AQ$2:$AQ$814&lt;IF(K$45&lt;3000,DATE(K$45+1,1,1),EDATE(K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59270.9</v>
      </c>
      <c r="L46" s="38">
        <f>IFERROR(SUMPRODUCT(--ISNUMBER(SEARCH($B$6,Base_Cobranzas!$A$2:$A$814)),--(Base_Cobranzas!$AQ$2:$AQ$814&gt;=IF(L$45&lt;3000,DATE(L$45,1,1),L$45)),--(Base_Cobranzas!$AQ$2:$AQ$814&lt;IF(L$45&lt;3000,DATE(L$45+1,1,1),EDATE(L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492280</v>
      </c>
      <c r="M46" s="38">
        <f>IFERROR(SUMPRODUCT(--ISNUMBER(SEARCH($B$6,Base_Cobranzas!$A$2:$A$814)),--(Base_Cobranzas!$AQ$2:$AQ$814&gt;=IF(M$45&lt;3000,DATE(M$45,1,1),M$45)),--(Base_Cobranzas!$AQ$2:$AQ$814&lt;IF(M$45&lt;3000,DATE(M$45+1,1,1),EDATE(M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604750</v>
      </c>
      <c r="N46" s="38">
        <f>IFERROR(SUMPRODUCT(--ISNUMBER(SEARCH($B$6,Base_Cobranzas!$A$2:$A$814)),--(Base_Cobranzas!$AQ$2:$AQ$814&gt;=IF(N$45&lt;3000,DATE(N$45,1,1),N$45)),--(Base_Cobranzas!$AQ$2:$AQ$814&lt;IF(N$45&lt;3000,DATE(N$45+1,1,1),EDATE(N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12000</v>
      </c>
      <c r="O46" s="38">
        <f>IFERROR(SUMPRODUCT(--ISNUMBER(SEARCH($B$6,Base_Cobranzas!$A$2:$A$814)),--(Base_Cobranzas!$AQ$2:$AQ$814&gt;=IF(O$45&lt;3000,DATE(O$45,1,1),O$45)),--(Base_Cobranzas!$AQ$2:$AQ$814&lt;IF(O$45&lt;3000,DATE(O$45+1,1,1),EDATE(O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12000</v>
      </c>
      <c r="P46" s="38">
        <f>IFERROR(SUMPRODUCT(--ISNUMBER(SEARCH($B$6,Base_Cobranzas!$A$2:$A$814)),--(Base_Cobranzas!$AQ$2:$AQ$814&gt;=IF(P$45&lt;3000,DATE(P$45,1,1),P$45)),--(Base_Cobranzas!$AQ$2:$AQ$814&lt;IF(P$45&lt;3000,DATE(P$45+1,1,1),EDATE(P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63930</v>
      </c>
      <c r="Q46" s="38">
        <f>IFERROR(SUMPRODUCT(--ISNUMBER(SEARCH($B$6,Base_Cobranzas!$A$2:$A$814)),--(Base_Cobranzas!$AQ$2:$AQ$814&gt;=IF(Q$45&lt;3000,DATE(Q$45,1,1),Q$45)),--(Base_Cobranzas!$AQ$2:$AQ$814&lt;IF(Q$45&lt;3000,DATE(Q$45+1,1,1),EDATE(Q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38000</v>
      </c>
      <c r="R46" s="39">
        <f>SUM(C46:Q46)</f>
        <v>2378528.2200000002</v>
      </c>
    </row>
    <row r="47" spans="2:18" x14ac:dyDescent="0.3">
      <c r="B47" s="5" t="s">
        <v>23</v>
      </c>
      <c r="C47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D47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478800</v>
      </c>
      <c r="E47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F47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107750</v>
      </c>
      <c r="G47" s="38">
        <f>IFERROR(SUMPRODUCT(--ISNUMBER(SEARCH($B$6,Base_Cobranzas!$A$2:$A$814)),--(Base_Cobranzas!$AQ$2:$AQ$814&gt;=IF(G$45&lt;3000,DATE(G$45,1,1),G$45)),--(Base_Cobranzas!$AQ$2:$AQ$814&lt;IF(G$45&lt;3000,DATE(G$45+1,1,1),EDATE(G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H47" s="38">
        <f>IFERROR(SUMPRODUCT(--ISNUMBER(SEARCH($B$6,Base_Cobranzas!$A$2:$A$814)),--(Base_Cobranzas!$AQ$2:$AQ$814&gt;=IF(H$45&lt;3000,DATE(H$45,1,1),H$45)),--(Base_Cobranzas!$AQ$2:$AQ$814&lt;IF(H$45&lt;3000,DATE(H$45+1,1,1),EDATE(H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I47" s="38">
        <f>IFERROR(SUMPRODUCT(--ISNUMBER(SEARCH($B$6,Base_Cobranzas!$A$2:$A$814)),--(Base_Cobranzas!$AQ$2:$AQ$814&gt;=IF(I$45&lt;3000,DATE(I$45,1,1),I$45)),--(Base_Cobranzas!$AQ$2:$AQ$814&lt;IF(I$45&lt;3000,DATE(I$45+1,1,1),EDATE(I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107750</v>
      </c>
      <c r="J47" s="38">
        <f>IFERROR(SUMPRODUCT(--ISNUMBER(SEARCH($B$6,Base_Cobranzas!$A$2:$A$814)),--(Base_Cobranzas!$AQ$2:$AQ$814&gt;=IF(J$45&lt;3000,DATE(J$45,1,1),J$45)),--(Base_Cobranzas!$AQ$2:$AQ$814&lt;IF(J$45&lt;3000,DATE(J$45+1,1,1),EDATE(J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K47" s="38">
        <f>IFERROR(SUMPRODUCT(--ISNUMBER(SEARCH($B$6,Base_Cobranzas!$A$2:$A$814)),--(Base_Cobranzas!$AQ$2:$AQ$814&gt;=IF(K$45&lt;3000,DATE(K$45,1,1),K$45)),--(Base_Cobranzas!$AQ$2:$AQ$814&lt;IF(K$45&lt;3000,DATE(K$45+1,1,1),EDATE(K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L47" s="38">
        <f>IFERROR(SUMPRODUCT(--ISNUMBER(SEARCH($B$6,Base_Cobranzas!$A$2:$A$814)),--(Base_Cobranzas!$AQ$2:$AQ$814&gt;=IF(L$45&lt;3000,DATE(L$45,1,1),L$45)),--(Base_Cobranzas!$AQ$2:$AQ$814&lt;IF(L$45&lt;3000,DATE(L$45+1,1,1),EDATE(L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M47" s="38">
        <f>IFERROR(SUMPRODUCT(--ISNUMBER(SEARCH($B$6,Base_Cobranzas!$A$2:$A$814)),--(Base_Cobranzas!$AQ$2:$AQ$814&gt;=IF(M$45&lt;3000,DATE(M$45,1,1),M$45)),--(Base_Cobranzas!$AQ$2:$AQ$814&lt;IF(M$45&lt;3000,DATE(M$45+1,1,1),EDATE(M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107750</v>
      </c>
      <c r="N47" s="38">
        <f>IFERROR(SUMPRODUCT(--ISNUMBER(SEARCH($B$6,Base_Cobranzas!$A$2:$A$814)),--(Base_Cobranzas!$AQ$2:$AQ$814&gt;=IF(N$45&lt;3000,DATE(N$45,1,1),N$45)),--(Base_Cobranzas!$AQ$2:$AQ$814&lt;IF(N$45&lt;3000,DATE(N$45+1,1,1),EDATE(N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O47" s="38">
        <f>IFERROR(SUMPRODUCT(--ISNUMBER(SEARCH($B$6,Base_Cobranzas!$A$2:$A$814)),--(Base_Cobranzas!$AQ$2:$AQ$814&gt;=IF(O$45&lt;3000,DATE(O$45,1,1),O$45)),--(Base_Cobranzas!$AQ$2:$AQ$814&lt;IF(O$45&lt;3000,DATE(O$45+1,1,1),EDATE(O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P47" s="38">
        <f>IFERROR(SUMPRODUCT(--ISNUMBER(SEARCH($B$6,Base_Cobranzas!$A$2:$A$814)),--(Base_Cobranzas!$AQ$2:$AQ$814&gt;=IF(P$45&lt;3000,DATE(P$45,1,1),P$45)),--(Base_Cobranzas!$AQ$2:$AQ$814&lt;IF(P$45&lt;3000,DATE(P$45+1,1,1),EDATE(P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Q47" s="38">
        <f>IFERROR(SUMPRODUCT(--ISNUMBER(SEARCH($B$6,Base_Cobranzas!$A$2:$A$814)),--(Base_Cobranzas!$AQ$2:$AQ$814&gt;=IF(Q$45&lt;3000,DATE(Q$45,1,1),Q$45)),--(Base_Cobranzas!$AQ$2:$AQ$814&lt;IF(Q$45&lt;3000,DATE(Q$45+1,1,1),EDATE(Q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R47" s="39">
        <f>SUM(C47:Q47)</f>
        <v>802050</v>
      </c>
    </row>
    <row r="48" spans="2:18" x14ac:dyDescent="0.3">
      <c r="B48" s="5" t="s">
        <v>24</v>
      </c>
      <c r="C48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1066649</v>
      </c>
      <c r="D48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105880</v>
      </c>
      <c r="E48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914385</v>
      </c>
      <c r="F48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711425</v>
      </c>
      <c r="G48" s="38">
        <f>IFERROR(SUMPRODUCT(--ISNUMBER(SEARCH($B$6,Base_Cobranzas!$A$2:$A$814)),--(Base_Cobranzas!$AQ$2:$AQ$814&gt;=IF(G$45&lt;3000,DATE(G$45,1,1),G$45)),--(Base_Cobranzas!$AQ$2:$AQ$814&lt;IF(G$45&lt;3000,DATE(G$45+1,1,1),EDATE(G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1247430</v>
      </c>
      <c r="H48" s="38">
        <f>IFERROR(SUMPRODUCT(--ISNUMBER(SEARCH($B$6,Base_Cobranzas!$A$2:$A$814)),--(Base_Cobranzas!$AQ$2:$AQ$814&gt;=IF(H$45&lt;3000,DATE(H$45,1,1),H$45)),--(Base_Cobranzas!$AQ$2:$AQ$814&lt;IF(H$45&lt;3000,DATE(H$45+1,1,1),EDATE(H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816935</v>
      </c>
      <c r="I48" s="38">
        <f>IFERROR(SUMPRODUCT(--ISNUMBER(SEARCH($B$6,Base_Cobranzas!$A$2:$A$814)),--(Base_Cobranzas!$AQ$2:$AQ$814&gt;=IF(I$45&lt;3000,DATE(I$45,1,1),I$45)),--(Base_Cobranzas!$AQ$2:$AQ$814&lt;IF(I$45&lt;3000,DATE(I$45+1,1,1),EDATE(I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549365</v>
      </c>
      <c r="J48" s="38">
        <f>IFERROR(SUMPRODUCT(--ISNUMBER(SEARCH($B$6,Base_Cobranzas!$A$2:$A$814)),--(Base_Cobranzas!$AQ$2:$AQ$814&gt;=IF(J$45&lt;3000,DATE(J$45,1,1),J$45)),--(Base_Cobranzas!$AQ$2:$AQ$814&lt;IF(J$45&lt;3000,DATE(J$45+1,1,1),EDATE(J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K48" s="38">
        <f>IFERROR(SUMPRODUCT(--ISNUMBER(SEARCH($B$6,Base_Cobranzas!$A$2:$A$814)),--(Base_Cobranzas!$AQ$2:$AQ$814&gt;=IF(K$45&lt;3000,DATE(K$45,1,1),K$45)),--(Base_Cobranzas!$AQ$2:$AQ$814&lt;IF(K$45&lt;3000,DATE(K$45+1,1,1),EDATE(K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66000</v>
      </c>
      <c r="L48" s="38">
        <f>IFERROR(SUMPRODUCT(--ISNUMBER(SEARCH($B$6,Base_Cobranzas!$A$2:$A$814)),--(Base_Cobranzas!$AQ$2:$AQ$814&gt;=IF(L$45&lt;3000,DATE(L$45,1,1),L$45)),--(Base_Cobranzas!$AQ$2:$AQ$814&lt;IF(L$45&lt;3000,DATE(L$45+1,1,1),EDATE(L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230375</v>
      </c>
      <c r="M48" s="38">
        <f>IFERROR(SUMPRODUCT(--ISNUMBER(SEARCH($B$6,Base_Cobranzas!$A$2:$A$814)),--(Base_Cobranzas!$AQ$2:$AQ$814&gt;=IF(M$45&lt;3000,DATE(M$45,1,1),M$45)),--(Base_Cobranzas!$AQ$2:$AQ$814&lt;IF(M$45&lt;3000,DATE(M$45+1,1,1),EDATE(M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98375</v>
      </c>
      <c r="N48" s="38">
        <f>IFERROR(SUMPRODUCT(--ISNUMBER(SEARCH($B$6,Base_Cobranzas!$A$2:$A$814)),--(Base_Cobranzas!$AQ$2:$AQ$814&gt;=IF(N$45&lt;3000,DATE(N$45,1,1),N$45)),--(Base_Cobranzas!$AQ$2:$AQ$814&lt;IF(N$45&lt;3000,DATE(N$45+1,1,1),EDATE(N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O48" s="38">
        <f>IFERROR(SUMPRODUCT(--ISNUMBER(SEARCH($B$6,Base_Cobranzas!$A$2:$A$814)),--(Base_Cobranzas!$AQ$2:$AQ$814&gt;=IF(O$45&lt;3000,DATE(O$45,1,1),O$45)),--(Base_Cobranzas!$AQ$2:$AQ$814&lt;IF(O$45&lt;3000,DATE(O$45+1,1,1),EDATE(O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P48" s="38">
        <f>IFERROR(SUMPRODUCT(--ISNUMBER(SEARCH($B$6,Base_Cobranzas!$A$2:$A$814)),--(Base_Cobranzas!$AQ$2:$AQ$814&gt;=IF(P$45&lt;3000,DATE(P$45,1,1),P$45)),--(Base_Cobranzas!$AQ$2:$AQ$814&lt;IF(P$45&lt;3000,DATE(P$45+1,1,1),EDATE(P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Q48" s="38">
        <f>IFERROR(SUMPRODUCT(--ISNUMBER(SEARCH($B$6,Base_Cobranzas!$A$2:$A$814)),--(Base_Cobranzas!$AQ$2:$AQ$814&gt;=IF(Q$45&lt;3000,DATE(Q$45,1,1),Q$45)),--(Base_Cobranzas!$AQ$2:$AQ$814&lt;IF(Q$45&lt;3000,DATE(Q$45+1,1,1),EDATE(Q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R48" s="39">
        <f>SUM(C48:Q48)</f>
        <v>5806819</v>
      </c>
    </row>
    <row r="49" spans="2:22" x14ac:dyDescent="0.3">
      <c r="B49" s="4" t="s">
        <v>19</v>
      </c>
      <c r="C49" s="40">
        <f t="shared" ref="C49:Q49" si="2">SUM(C46:C48)</f>
        <v>1427928.6600000001</v>
      </c>
      <c r="D49" s="40">
        <f t="shared" si="2"/>
        <v>663959.66</v>
      </c>
      <c r="E49" s="40">
        <f t="shared" si="2"/>
        <v>993664.66</v>
      </c>
      <c r="F49" s="40">
        <f t="shared" si="2"/>
        <v>1028514.66</v>
      </c>
      <c r="G49" s="40">
        <f t="shared" si="2"/>
        <v>1326709.6599999999</v>
      </c>
      <c r="H49" s="40">
        <f t="shared" si="2"/>
        <v>946214.66</v>
      </c>
      <c r="I49" s="40">
        <f t="shared" si="2"/>
        <v>736394.66</v>
      </c>
      <c r="J49" s="40">
        <f t="shared" si="2"/>
        <v>79279.700000000012</v>
      </c>
      <c r="K49" s="40">
        <f t="shared" si="2"/>
        <v>125270.9</v>
      </c>
      <c r="L49" s="40">
        <f t="shared" si="2"/>
        <v>722655</v>
      </c>
      <c r="M49" s="40">
        <f t="shared" si="2"/>
        <v>810875</v>
      </c>
      <c r="N49" s="40">
        <f t="shared" si="2"/>
        <v>12000</v>
      </c>
      <c r="O49" s="40">
        <f t="shared" si="2"/>
        <v>12000</v>
      </c>
      <c r="P49" s="40">
        <f t="shared" si="2"/>
        <v>63930</v>
      </c>
      <c r="Q49" s="40">
        <f t="shared" si="2"/>
        <v>38000</v>
      </c>
      <c r="R49" s="40">
        <f>SUM(C49:Q49)</f>
        <v>8987397.2200000025</v>
      </c>
      <c r="S49" t="str">
        <f>IF($H$21=R49,"OK","REVISAR")</f>
        <v>OK</v>
      </c>
    </row>
    <row r="51" spans="2:22" x14ac:dyDescent="0.3">
      <c r="B51" s="4" t="s">
        <v>25</v>
      </c>
      <c r="C51" s="43">
        <f>C49</f>
        <v>1427928.6600000001</v>
      </c>
      <c r="D51" s="41">
        <f t="shared" ref="D51:Q51" si="3">C51+D49</f>
        <v>2091888.3200000003</v>
      </c>
      <c r="E51" s="41">
        <f t="shared" si="3"/>
        <v>3085552.9800000004</v>
      </c>
      <c r="F51" s="41">
        <f t="shared" si="3"/>
        <v>4114067.6400000006</v>
      </c>
      <c r="G51" s="41">
        <f t="shared" si="3"/>
        <v>5440777.3000000007</v>
      </c>
      <c r="H51" s="41">
        <f t="shared" si="3"/>
        <v>6386991.9600000009</v>
      </c>
      <c r="I51" s="41">
        <f t="shared" si="3"/>
        <v>7123386.620000001</v>
      </c>
      <c r="J51" s="41">
        <f t="shared" si="3"/>
        <v>7202666.3200000012</v>
      </c>
      <c r="K51" s="41">
        <f t="shared" si="3"/>
        <v>7327937.2200000016</v>
      </c>
      <c r="L51" s="41">
        <f t="shared" si="3"/>
        <v>8050592.2200000016</v>
      </c>
      <c r="M51" s="41">
        <f t="shared" si="3"/>
        <v>8861467.2200000025</v>
      </c>
      <c r="N51" s="41">
        <f t="shared" si="3"/>
        <v>8873467.2200000025</v>
      </c>
      <c r="O51" s="41">
        <f t="shared" si="3"/>
        <v>8885467.2200000025</v>
      </c>
      <c r="P51" s="41">
        <f t="shared" si="3"/>
        <v>8949397.2200000025</v>
      </c>
      <c r="Q51" s="41">
        <f t="shared" si="3"/>
        <v>8987397.2200000025</v>
      </c>
      <c r="R51" s="42"/>
    </row>
    <row r="55" spans="2:22" ht="21" customHeight="1" x14ac:dyDescent="0.4">
      <c r="B55" s="1" t="s">
        <v>27</v>
      </c>
    </row>
    <row r="57" spans="2:22" x14ac:dyDescent="0.3">
      <c r="B57" s="9" t="s">
        <v>21</v>
      </c>
      <c r="C57" s="10">
        <v>45717</v>
      </c>
      <c r="D57" s="10">
        <v>45748</v>
      </c>
      <c r="E57" s="10">
        <v>45778</v>
      </c>
      <c r="F57" s="10">
        <v>45809</v>
      </c>
      <c r="G57" s="10">
        <v>45839</v>
      </c>
      <c r="H57" s="10">
        <v>45870</v>
      </c>
      <c r="I57" s="10">
        <v>45901</v>
      </c>
      <c r="J57" s="10">
        <v>45931</v>
      </c>
      <c r="K57" s="10">
        <v>45962</v>
      </c>
      <c r="L57" s="10">
        <v>45992</v>
      </c>
      <c r="M57" s="10">
        <v>46023</v>
      </c>
      <c r="N57" s="10">
        <v>46054</v>
      </c>
      <c r="O57" s="10">
        <v>46082</v>
      </c>
      <c r="P57" s="10">
        <v>46113</v>
      </c>
      <c r="Q57" s="10">
        <v>46143</v>
      </c>
      <c r="R57" s="10">
        <v>46174</v>
      </c>
      <c r="S57" s="10">
        <v>46204</v>
      </c>
      <c r="T57" s="10">
        <v>46235</v>
      </c>
      <c r="U57" s="10" t="s">
        <v>19</v>
      </c>
    </row>
    <row r="58" spans="2:22" x14ac:dyDescent="0.3">
      <c r="B58" s="5" t="s">
        <v>22</v>
      </c>
      <c r="C58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1502.5</v>
      </c>
      <c r="D58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188.42</v>
      </c>
      <c r="E58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188.46</v>
      </c>
      <c r="F58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188.6</v>
      </c>
      <c r="G58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188.64</v>
      </c>
      <c r="H58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188.68</v>
      </c>
      <c r="I58" s="38">
        <f>IFERROR(SUMPRODUCT(--ISNUMBER(SEARCH($B$6,Base_Cobranzas!$A$2:$A$814)),--(Base_Cobranzas!$AQ$2:$AQ$814&gt;=IF(I$57&lt;3000,DATE(I$57,1,1),I$57)),--(Base_Cobranzas!$AQ$2:$AQ$814&lt;IF(I$57&lt;3000,DATE(I$57+1,1,1),EDATE(I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188.75</v>
      </c>
      <c r="J58" s="38">
        <f>IFERROR(SUMPRODUCT(--ISNUMBER(SEARCH($B$6,Base_Cobranzas!$A$2:$A$814)),--(Base_Cobranzas!$AQ$2:$AQ$814&gt;=IF(J$57&lt;3000,DATE(J$57,1,1),J$57)),--(Base_Cobranzas!$AQ$2:$AQ$814&lt;IF(J$57&lt;3000,DATE(J$57+1,1,1),EDATE(J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189</v>
      </c>
      <c r="K58" s="38">
        <f>IFERROR(SUMPRODUCT(--ISNUMBER(SEARCH($B$6,Base_Cobranzas!$A$2:$A$814)),--(Base_Cobranzas!$AQ$2:$AQ$814&gt;=IF(K$57&lt;3000,DATE(K$57,1,1),K$57)),--(Base_Cobranzas!$AQ$2:$AQ$814&lt;IF(K$57&lt;3000,DATE(K$57+1,1,1),EDATE(K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21341.25</v>
      </c>
      <c r="L58" s="38">
        <f>IFERROR(SUMPRODUCT(--ISNUMBER(SEARCH($B$6,Base_Cobranzas!$A$2:$A$814)),--(Base_Cobranzas!$AQ$2:$AQ$814&gt;=IF(L$57&lt;3000,DATE(L$57,1,1),L$57)),--(Base_Cobranzas!$AQ$2:$AQ$814&lt;IF(L$57&lt;3000,DATE(L$57+1,1,1),EDATE(L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21341.25</v>
      </c>
      <c r="M58" s="38">
        <f>IFERROR(SUMPRODUCT(--ISNUMBER(SEARCH($B$6,Base_Cobranzas!$A$2:$A$814)),--(Base_Cobranzas!$AQ$2:$AQ$814&gt;=IF(M$57&lt;3000,DATE(M$57,1,1),M$57)),--(Base_Cobranzas!$AQ$2:$AQ$814&lt;IF(M$57&lt;3000,DATE(M$57+1,1,1),EDATE(M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21341.25</v>
      </c>
      <c r="N58" s="38">
        <f>IFERROR(SUMPRODUCT(--ISNUMBER(SEARCH($B$6,Base_Cobranzas!$A$2:$A$814)),--(Base_Cobranzas!$AQ$2:$AQ$814&gt;=IF(N$57&lt;3000,DATE(N$57,1,1),N$57)),--(Base_Cobranzas!$AQ$2:$AQ$814&lt;IF(N$57&lt;3000,DATE(N$57+1,1,1),EDATE(N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21341.25</v>
      </c>
      <c r="O58" s="38">
        <f>IFERROR(SUMPRODUCT(--ISNUMBER(SEARCH($B$6,Base_Cobranzas!$A$2:$A$814)),--(Base_Cobranzas!$AQ$2:$AQ$814&gt;=IF(O$57&lt;3000,DATE(O$57,1,1),O$57)),--(Base_Cobranzas!$AQ$2:$AQ$814&lt;IF(O$57&lt;3000,DATE(O$57+1,1,1),EDATE(O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21341.25</v>
      </c>
      <c r="P58" s="38">
        <f>IFERROR(SUMPRODUCT(--ISNUMBER(SEARCH($B$6,Base_Cobranzas!$A$2:$A$814)),--(Base_Cobranzas!$AQ$2:$AQ$814&gt;=IF(P$57&lt;3000,DATE(P$57,1,1),P$57)),--(Base_Cobranzas!$AQ$2:$AQ$814&lt;IF(P$57&lt;3000,DATE(P$57+1,1,1),EDATE(P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21341.25</v>
      </c>
      <c r="Q58" s="38">
        <f>IFERROR(SUMPRODUCT(--ISNUMBER(SEARCH($B$6,Base_Cobranzas!$A$2:$A$814)),--(Base_Cobranzas!$AQ$2:$AQ$814&gt;=IF(Q$57&lt;3000,DATE(Q$57,1,1),Q$57)),--(Base_Cobranzas!$AQ$2:$AQ$814&lt;IF(Q$57&lt;3000,DATE(Q$57+1,1,1),EDATE(Q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21341.25</v>
      </c>
      <c r="R58" s="38">
        <f>IFERROR(SUMPRODUCT(--ISNUMBER(SEARCH($B$6,Base_Cobranzas!$A$2:$A$814)),--(Base_Cobranzas!$AQ$2:$AQ$814&gt;=IF(R$57&lt;3000,DATE(R$57,1,1),R$57)),--(Base_Cobranzas!$AQ$2:$AQ$814&lt;IF(R$57&lt;3000,DATE(R$57+1,1,1),EDATE(R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21341.25</v>
      </c>
      <c r="S58" s="38">
        <f>IFERROR(SUMPRODUCT(--ISNUMBER(SEARCH($B$6,Base_Cobranzas!$A$2:$A$814)),--(Base_Cobranzas!$AQ$2:$AQ$814&gt;=IF(S$57&lt;3000,DATE(S$57,1,1),S$57)),--(Base_Cobranzas!$AQ$2:$AQ$814&lt;IF(S$57&lt;3000,DATE(S$57+1,1,1),EDATE(S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120841.25</v>
      </c>
      <c r="T58" s="38">
        <f>IFERROR(SUMPRODUCT(--ISNUMBER(SEARCH($B$6,Base_Cobranzas!$A$2:$A$814)),--(Base_Cobranzas!$AQ$2:$AQ$814&gt;=IF(T$57&lt;3000,DATE(T$57,1,1),T$57)),--(Base_Cobranzas!$AQ$2:$AQ$814&lt;IF(T$57&lt;3000,DATE(T$57+1,1,1),EDATE(T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43168</v>
      </c>
      <c r="U58" s="39">
        <f>SUM(C58:T58)</f>
        <v>337562.3</v>
      </c>
    </row>
    <row r="59" spans="2:22" x14ac:dyDescent="0.3">
      <c r="B59" s="5" t="s">
        <v>23</v>
      </c>
      <c r="C59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D59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E59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F59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G59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H59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I59" s="38">
        <f>IFERROR(SUMPRODUCT(--ISNUMBER(SEARCH($B$6,Base_Cobranzas!$A$2:$A$814)),--(Base_Cobranzas!$AQ$2:$AQ$814&gt;=IF(I$57&lt;3000,DATE(I$57,1,1),I$57)),--(Base_Cobranzas!$AQ$2:$AQ$814&lt;IF(I$57&lt;3000,DATE(I$57+1,1,1),EDATE(I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J59" s="38">
        <f>IFERROR(SUMPRODUCT(--ISNUMBER(SEARCH($B$6,Base_Cobranzas!$A$2:$A$814)),--(Base_Cobranzas!$AQ$2:$AQ$814&gt;=IF(J$57&lt;3000,DATE(J$57,1,1),J$57)),--(Base_Cobranzas!$AQ$2:$AQ$814&lt;IF(J$57&lt;3000,DATE(J$57+1,1,1),EDATE(J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K59" s="38">
        <f>IFERROR(SUMPRODUCT(--ISNUMBER(SEARCH($B$6,Base_Cobranzas!$A$2:$A$814)),--(Base_Cobranzas!$AQ$2:$AQ$814&gt;=IF(K$57&lt;3000,DATE(K$57,1,1),K$57)),--(Base_Cobranzas!$AQ$2:$AQ$814&lt;IF(K$57&lt;3000,DATE(K$57+1,1,1),EDATE(K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L59" s="38">
        <f>IFERROR(SUMPRODUCT(--ISNUMBER(SEARCH($B$6,Base_Cobranzas!$A$2:$A$814)),--(Base_Cobranzas!$AQ$2:$AQ$814&gt;=IF(L$57&lt;3000,DATE(L$57,1,1),L$57)),--(Base_Cobranzas!$AQ$2:$AQ$814&lt;IF(L$57&lt;3000,DATE(L$57+1,1,1),EDATE(L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M59" s="38">
        <f>IFERROR(SUMPRODUCT(--ISNUMBER(SEARCH($B$6,Base_Cobranzas!$A$2:$A$814)),--(Base_Cobranzas!$AQ$2:$AQ$814&gt;=IF(M$57&lt;3000,DATE(M$57,1,1),M$57)),--(Base_Cobranzas!$AQ$2:$AQ$814&lt;IF(M$57&lt;3000,DATE(M$57+1,1,1),EDATE(M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N59" s="38">
        <f>IFERROR(SUMPRODUCT(--ISNUMBER(SEARCH($B$6,Base_Cobranzas!$A$2:$A$814)),--(Base_Cobranzas!$AQ$2:$AQ$814&gt;=IF(N$57&lt;3000,DATE(N$57,1,1),N$57)),--(Base_Cobranzas!$AQ$2:$AQ$814&lt;IF(N$57&lt;3000,DATE(N$57+1,1,1),EDATE(N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44000</v>
      </c>
      <c r="O59" s="38">
        <f>IFERROR(SUMPRODUCT(--ISNUMBER(SEARCH($B$6,Base_Cobranzas!$A$2:$A$814)),--(Base_Cobranzas!$AQ$2:$AQ$814&gt;=IF(O$57&lt;3000,DATE(O$57,1,1),O$57)),--(Base_Cobranzas!$AQ$2:$AQ$814&lt;IF(O$57&lt;3000,DATE(O$57+1,1,1),EDATE(O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874550</v>
      </c>
      <c r="P59" s="38">
        <f>IFERROR(SUMPRODUCT(--ISNUMBER(SEARCH($B$6,Base_Cobranzas!$A$2:$A$814)),--(Base_Cobranzas!$AQ$2:$AQ$814&gt;=IF(P$57&lt;3000,DATE(P$57,1,1),P$57)),--(Base_Cobranzas!$AQ$2:$AQ$814&lt;IF(P$57&lt;3000,DATE(P$57+1,1,1),EDATE(P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Q59" s="38">
        <f>IFERROR(SUMPRODUCT(--ISNUMBER(SEARCH($B$6,Base_Cobranzas!$A$2:$A$814)),--(Base_Cobranzas!$AQ$2:$AQ$814&gt;=IF(Q$57&lt;3000,DATE(Q$57,1,1),Q$57)),--(Base_Cobranzas!$AQ$2:$AQ$814&lt;IF(Q$57&lt;3000,DATE(Q$57+1,1,1),EDATE(Q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848430</v>
      </c>
      <c r="R59" s="38">
        <f>IFERROR(SUMPRODUCT(--ISNUMBER(SEARCH($B$6,Base_Cobranzas!$A$2:$A$814)),--(Base_Cobranzas!$AQ$2:$AQ$814&gt;=IF(R$57&lt;3000,DATE(R$57,1,1),R$57)),--(Base_Cobranzas!$AQ$2:$AQ$814&lt;IF(R$57&lt;3000,DATE(R$57+1,1,1),EDATE(R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405000</v>
      </c>
      <c r="S59" s="38">
        <f>IFERROR(SUMPRODUCT(--ISNUMBER(SEARCH($B$6,Base_Cobranzas!$A$2:$A$814)),--(Base_Cobranzas!$AQ$2:$AQ$814&gt;=IF(S$57&lt;3000,DATE(S$57,1,1),S$57)),--(Base_Cobranzas!$AQ$2:$AQ$814&lt;IF(S$57&lt;3000,DATE(S$57+1,1,1),EDATE(S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396000</v>
      </c>
      <c r="T59" s="38">
        <f>IFERROR(SUMPRODUCT(--ISNUMBER(SEARCH($B$6,Base_Cobranzas!$A$2:$A$814)),--(Base_Cobranzas!$AQ$2:$AQ$814&gt;=IF(T$57&lt;3000,DATE(T$57,1,1),T$57)),--(Base_Cobranzas!$AQ$2:$AQ$814&lt;IF(T$57&lt;3000,DATE(T$57+1,1,1),EDATE(T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U59" s="39">
        <f>SUM(C59:T59)</f>
        <v>2567980</v>
      </c>
    </row>
    <row r="60" spans="2:22" x14ac:dyDescent="0.3">
      <c r="B60" s="5" t="s">
        <v>24</v>
      </c>
      <c r="C60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D60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E60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F60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G60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H60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I60" s="38">
        <f>IFERROR(SUMPRODUCT(--ISNUMBER(SEARCH($B$6,Base_Cobranzas!$A$2:$A$814)),--(Base_Cobranzas!$AQ$2:$AQ$814&gt;=IF(I$57&lt;3000,DATE(I$57,1,1),I$57)),--(Base_Cobranzas!$AQ$2:$AQ$814&lt;IF(I$57&lt;3000,DATE(I$57+1,1,1),EDATE(I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J60" s="38">
        <f>IFERROR(SUMPRODUCT(--ISNUMBER(SEARCH($B$6,Base_Cobranzas!$A$2:$A$814)),--(Base_Cobranzas!$AQ$2:$AQ$814&gt;=IF(J$57&lt;3000,DATE(J$57,1,1),J$57)),--(Base_Cobranzas!$AQ$2:$AQ$814&lt;IF(J$57&lt;3000,DATE(J$57+1,1,1),EDATE(J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K60" s="38">
        <f>IFERROR(SUMPRODUCT(--ISNUMBER(SEARCH($B$6,Base_Cobranzas!$A$2:$A$814)),--(Base_Cobranzas!$AQ$2:$AQ$814&gt;=IF(K$57&lt;3000,DATE(K$57,1,1),K$57)),--(Base_Cobranzas!$AQ$2:$AQ$814&lt;IF(K$57&lt;3000,DATE(K$57+1,1,1),EDATE(K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L60" s="38">
        <f>IFERROR(SUMPRODUCT(--ISNUMBER(SEARCH($B$6,Base_Cobranzas!$A$2:$A$814)),--(Base_Cobranzas!$AQ$2:$AQ$814&gt;=IF(L$57&lt;3000,DATE(L$57,1,1),L$57)),--(Base_Cobranzas!$AQ$2:$AQ$814&lt;IF(L$57&lt;3000,DATE(L$57+1,1,1),EDATE(L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M60" s="38">
        <f>IFERROR(SUMPRODUCT(--ISNUMBER(SEARCH($B$6,Base_Cobranzas!$A$2:$A$814)),--(Base_Cobranzas!$AQ$2:$AQ$814&gt;=IF(M$57&lt;3000,DATE(M$57,1,1),M$57)),--(Base_Cobranzas!$AQ$2:$AQ$814&lt;IF(M$57&lt;3000,DATE(M$57+1,1,1),EDATE(M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490175</v>
      </c>
      <c r="N60" s="38">
        <f>IFERROR(SUMPRODUCT(--ISNUMBER(SEARCH($B$6,Base_Cobranzas!$A$2:$A$814)),--(Base_Cobranzas!$AQ$2:$AQ$814&gt;=IF(N$57&lt;3000,DATE(N$57,1,1),N$57)),--(Base_Cobranzas!$AQ$2:$AQ$814&lt;IF(N$57&lt;3000,DATE(N$57+1,1,1),EDATE(N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O60" s="38">
        <f>IFERROR(SUMPRODUCT(--ISNUMBER(SEARCH($B$6,Base_Cobranzas!$A$2:$A$814)),--(Base_Cobranzas!$AQ$2:$AQ$814&gt;=IF(O$57&lt;3000,DATE(O$57,1,1),O$57)),--(Base_Cobranzas!$AQ$2:$AQ$814&lt;IF(O$57&lt;3000,DATE(O$57+1,1,1),EDATE(O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P60" s="38">
        <f>IFERROR(SUMPRODUCT(--ISNUMBER(SEARCH($B$6,Base_Cobranzas!$A$2:$A$814)),--(Base_Cobranzas!$AQ$2:$AQ$814&gt;=IF(P$57&lt;3000,DATE(P$57,1,1),P$57)),--(Base_Cobranzas!$AQ$2:$AQ$814&lt;IF(P$57&lt;3000,DATE(P$57+1,1,1),EDATE(P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Q60" s="38">
        <f>IFERROR(SUMPRODUCT(--ISNUMBER(SEARCH($B$6,Base_Cobranzas!$A$2:$A$814)),--(Base_Cobranzas!$AQ$2:$AQ$814&gt;=IF(Q$57&lt;3000,DATE(Q$57,1,1),Q$57)),--(Base_Cobranzas!$AQ$2:$AQ$814&lt;IF(Q$57&lt;3000,DATE(Q$57+1,1,1),EDATE(Q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35000</v>
      </c>
      <c r="R60" s="38">
        <f>IFERROR(SUMPRODUCT(--ISNUMBER(SEARCH($B$6,Base_Cobranzas!$A$2:$A$814)),--(Base_Cobranzas!$AQ$2:$AQ$814&gt;=IF(R$57&lt;3000,DATE(R$57,1,1),R$57)),--(Base_Cobranzas!$AQ$2:$AQ$814&lt;IF(R$57&lt;3000,DATE(R$57+1,1,1),EDATE(R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272020</v>
      </c>
      <c r="S60" s="38">
        <f>IFERROR(SUMPRODUCT(--ISNUMBER(SEARCH($B$6,Base_Cobranzas!$A$2:$A$814)),--(Base_Cobranzas!$AQ$2:$AQ$814&gt;=IF(S$57&lt;3000,DATE(S$57,1,1),S$57)),--(Base_Cobranzas!$AQ$2:$AQ$814&lt;IF(S$57&lt;3000,DATE(S$57+1,1,1),EDATE(S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2886040</v>
      </c>
      <c r="T60" s="38">
        <f>IFERROR(SUMPRODUCT(--ISNUMBER(SEARCH($B$6,Base_Cobranzas!$A$2:$A$814)),--(Base_Cobranzas!$AQ$2:$AQ$814&gt;=IF(T$57&lt;3000,DATE(T$57,1,1),T$57)),--(Base_Cobranzas!$AQ$2:$AQ$814&lt;IF(T$57&lt;3000,DATE(T$57+1,1,1),EDATE(T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435800</v>
      </c>
      <c r="U60" s="39">
        <f>SUM(C60:T60)</f>
        <v>4119035</v>
      </c>
    </row>
    <row r="61" spans="2:22" x14ac:dyDescent="0.3">
      <c r="B61" s="4" t="s">
        <v>19</v>
      </c>
      <c r="C61" s="40">
        <f t="shared" ref="C61:T61" si="4">SUM(C58:C60)</f>
        <v>1502.5</v>
      </c>
      <c r="D61" s="40">
        <f t="shared" si="4"/>
        <v>188.42</v>
      </c>
      <c r="E61" s="40">
        <f t="shared" si="4"/>
        <v>188.46</v>
      </c>
      <c r="F61" s="40">
        <f t="shared" si="4"/>
        <v>188.6</v>
      </c>
      <c r="G61" s="40">
        <f t="shared" si="4"/>
        <v>188.64</v>
      </c>
      <c r="H61" s="40">
        <f t="shared" si="4"/>
        <v>188.68</v>
      </c>
      <c r="I61" s="40">
        <f t="shared" si="4"/>
        <v>188.75</v>
      </c>
      <c r="J61" s="40">
        <f t="shared" si="4"/>
        <v>189</v>
      </c>
      <c r="K61" s="40">
        <f t="shared" si="4"/>
        <v>21341.25</v>
      </c>
      <c r="L61" s="40">
        <f t="shared" si="4"/>
        <v>21341.25</v>
      </c>
      <c r="M61" s="40">
        <f t="shared" si="4"/>
        <v>511516.25</v>
      </c>
      <c r="N61" s="40">
        <f t="shared" si="4"/>
        <v>65341.25</v>
      </c>
      <c r="O61" s="40">
        <f t="shared" si="4"/>
        <v>895891.25</v>
      </c>
      <c r="P61" s="40">
        <f t="shared" si="4"/>
        <v>21341.25</v>
      </c>
      <c r="Q61" s="40">
        <f t="shared" si="4"/>
        <v>904771.25</v>
      </c>
      <c r="R61" s="40">
        <f t="shared" si="4"/>
        <v>698361.25</v>
      </c>
      <c r="S61" s="40">
        <f t="shared" si="4"/>
        <v>3402881.25</v>
      </c>
      <c r="T61" s="40">
        <f t="shared" si="4"/>
        <v>478968</v>
      </c>
      <c r="U61" s="40">
        <f>SUM(C61:T61)</f>
        <v>7024577.2999999998</v>
      </c>
      <c r="V61" t="str">
        <f>IF($I$21=U61,"OK","REVISAR")</f>
        <v>OK</v>
      </c>
    </row>
    <row r="63" spans="2:22" x14ac:dyDescent="0.3">
      <c r="B63" s="4" t="s">
        <v>25</v>
      </c>
      <c r="C63" s="43">
        <f>C61</f>
        <v>1502.5</v>
      </c>
      <c r="D63" s="41">
        <f t="shared" ref="D63:T63" si="5">C63+D61</f>
        <v>1690.92</v>
      </c>
      <c r="E63" s="41">
        <f t="shared" si="5"/>
        <v>1879.38</v>
      </c>
      <c r="F63" s="41">
        <f t="shared" si="5"/>
        <v>2067.98</v>
      </c>
      <c r="G63" s="41">
        <f t="shared" si="5"/>
        <v>2256.62</v>
      </c>
      <c r="H63" s="41">
        <f t="shared" si="5"/>
        <v>2445.2999999999997</v>
      </c>
      <c r="I63" s="41">
        <f t="shared" si="5"/>
        <v>2634.0499999999997</v>
      </c>
      <c r="J63" s="41">
        <f t="shared" si="5"/>
        <v>2823.0499999999997</v>
      </c>
      <c r="K63" s="41">
        <f t="shared" si="5"/>
        <v>24164.3</v>
      </c>
      <c r="L63" s="41">
        <f t="shared" si="5"/>
        <v>45505.55</v>
      </c>
      <c r="M63" s="41">
        <f t="shared" si="5"/>
        <v>557021.80000000005</v>
      </c>
      <c r="N63" s="41">
        <f t="shared" si="5"/>
        <v>622363.05000000005</v>
      </c>
      <c r="O63" s="41">
        <f t="shared" si="5"/>
        <v>1518254.3</v>
      </c>
      <c r="P63" s="41">
        <f t="shared" si="5"/>
        <v>1539595.55</v>
      </c>
      <c r="Q63" s="41">
        <f t="shared" si="5"/>
        <v>2444366.7999999998</v>
      </c>
      <c r="R63" s="41">
        <f t="shared" si="5"/>
        <v>3142728.05</v>
      </c>
      <c r="S63" s="41">
        <f t="shared" si="5"/>
        <v>6545609.2999999998</v>
      </c>
      <c r="T63" s="41">
        <f t="shared" si="5"/>
        <v>7024577.2999999998</v>
      </c>
      <c r="U63" s="42"/>
    </row>
  </sheetData>
  <mergeCells count="3">
    <mergeCell ref="F8:I8"/>
    <mergeCell ref="C5:H5"/>
    <mergeCell ref="C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3"/>
  <sheetViews>
    <sheetView showGridLines="0" workbookViewId="0">
      <selection activeCell="J24" sqref="J24"/>
    </sheetView>
  </sheetViews>
  <sheetFormatPr baseColWidth="10" defaultRowHeight="14.4" x14ac:dyDescent="0.3"/>
  <cols>
    <col min="2" max="2" width="33" bestFit="1" customWidth="1"/>
    <col min="3" max="3" width="16.33203125" customWidth="1"/>
    <col min="4" max="4" width="12.77734375" customWidth="1"/>
    <col min="5" max="5" width="11.6640625" bestFit="1" customWidth="1"/>
    <col min="6" max="9" width="14.21875" customWidth="1"/>
    <col min="10" max="10" width="13" customWidth="1"/>
    <col min="11" max="11" width="17.5546875" customWidth="1"/>
    <col min="12" max="12" width="12.21875" customWidth="1"/>
    <col min="13" max="13" width="12.21875" bestFit="1" customWidth="1"/>
    <col min="14" max="14" width="12.21875" customWidth="1"/>
    <col min="15" max="15" width="12.21875" bestFit="1" customWidth="1"/>
    <col min="16" max="19" width="12.21875" customWidth="1"/>
  </cols>
  <sheetData>
    <row r="1" spans="2:12" x14ac:dyDescent="0.3">
      <c r="C1" s="17"/>
      <c r="D1" s="17"/>
      <c r="F1" s="18"/>
      <c r="G1" s="17"/>
      <c r="H1" s="17"/>
      <c r="I1" s="17"/>
      <c r="J1" s="18"/>
      <c r="K1" s="17"/>
      <c r="L1" s="17"/>
    </row>
    <row r="2" spans="2:12" x14ac:dyDescent="0.3">
      <c r="C2" s="17"/>
      <c r="D2" s="17"/>
      <c r="F2" s="18"/>
      <c r="G2" s="17"/>
      <c r="H2" s="17"/>
      <c r="I2" s="17"/>
      <c r="J2" s="18"/>
      <c r="K2" s="17"/>
      <c r="L2" s="17"/>
    </row>
    <row r="3" spans="2:12" x14ac:dyDescent="0.3">
      <c r="C3" s="17"/>
      <c r="D3" s="17"/>
      <c r="F3" s="18"/>
      <c r="G3" s="17"/>
      <c r="H3" s="17"/>
      <c r="I3" s="17"/>
      <c r="J3" s="18"/>
      <c r="K3" s="17"/>
      <c r="L3" s="17"/>
    </row>
    <row r="4" spans="2:12" ht="13.2" customHeight="1" x14ac:dyDescent="0.3">
      <c r="C4" s="17"/>
      <c r="D4" s="17"/>
      <c r="F4" s="18"/>
      <c r="G4" s="17"/>
      <c r="H4" s="17"/>
      <c r="I4" s="17"/>
      <c r="J4" s="18"/>
      <c r="K4" s="17"/>
      <c r="L4" s="17"/>
    </row>
    <row r="5" spans="2:12" ht="23.4" customHeight="1" x14ac:dyDescent="0.45">
      <c r="C5" s="77" t="s">
        <v>0</v>
      </c>
      <c r="D5" s="78"/>
      <c r="E5" s="78"/>
      <c r="F5" s="78"/>
      <c r="G5" s="78"/>
      <c r="H5" s="78"/>
      <c r="I5" s="17"/>
      <c r="J5" s="18"/>
      <c r="K5" s="17"/>
      <c r="L5" s="17"/>
    </row>
    <row r="6" spans="2:12" x14ac:dyDescent="0.3">
      <c r="B6" s="8" t="s">
        <v>1880</v>
      </c>
      <c r="C6" s="17"/>
      <c r="D6" s="17"/>
      <c r="F6" s="18"/>
      <c r="G6" s="17"/>
      <c r="H6" s="17"/>
      <c r="I6" s="17"/>
      <c r="J6" s="18"/>
      <c r="K6" s="17"/>
      <c r="L6" s="17"/>
    </row>
    <row r="7" spans="2:12" x14ac:dyDescent="0.3">
      <c r="C7" s="17"/>
      <c r="D7" s="17"/>
      <c r="F7" s="18"/>
      <c r="G7" s="17"/>
      <c r="H7" s="17"/>
      <c r="I7" s="17"/>
      <c r="J7" s="18"/>
      <c r="K7" s="17"/>
      <c r="L7" s="17"/>
    </row>
    <row r="8" spans="2:12" x14ac:dyDescent="0.3">
      <c r="C8" s="79" t="s">
        <v>2</v>
      </c>
      <c r="D8" s="76"/>
      <c r="F8" s="74" t="s">
        <v>3</v>
      </c>
      <c r="G8" s="75"/>
      <c r="H8" s="75"/>
      <c r="I8" s="76"/>
      <c r="J8" s="18"/>
      <c r="K8" s="17"/>
      <c r="L8" s="17"/>
    </row>
    <row r="9" spans="2:12" ht="26.4" customHeight="1" x14ac:dyDescent="0.3">
      <c r="C9" s="19" t="s">
        <v>4</v>
      </c>
      <c r="D9" s="19" t="s">
        <v>5</v>
      </c>
      <c r="F9" s="20" t="s">
        <v>6</v>
      </c>
      <c r="G9" s="21" t="s">
        <v>7</v>
      </c>
      <c r="H9" s="21" t="s">
        <v>8</v>
      </c>
      <c r="I9" s="21" t="s">
        <v>9</v>
      </c>
      <c r="J9" s="22" t="s">
        <v>10</v>
      </c>
      <c r="K9" s="23" t="s">
        <v>11</v>
      </c>
      <c r="L9" s="23" t="s">
        <v>12</v>
      </c>
    </row>
    <row r="10" spans="2:12" ht="6.6" customHeight="1" x14ac:dyDescent="0.3">
      <c r="C10" s="17"/>
      <c r="D10" s="17"/>
      <c r="F10" s="18"/>
      <c r="G10" s="17"/>
      <c r="H10" s="17"/>
      <c r="I10" s="17"/>
      <c r="J10" s="18"/>
      <c r="K10" s="17"/>
      <c r="L10" s="17"/>
    </row>
    <row r="11" spans="2:12" x14ac:dyDescent="0.3">
      <c r="B11" s="6" t="s">
        <v>13</v>
      </c>
      <c r="C11" s="24">
        <v>8411400</v>
      </c>
      <c r="D11" s="24">
        <v>24</v>
      </c>
      <c r="F11" s="12">
        <f>IF(C11=0,0,G11/C11)</f>
        <v>0.5282331122048648</v>
      </c>
      <c r="G11" s="25">
        <f>SUM(G12:G13)</f>
        <v>4443180</v>
      </c>
      <c r="H11" s="25">
        <f>SUM(H12:H13)</f>
        <v>3268046.66</v>
      </c>
      <c r="I11" s="25">
        <f>SUM(I12:I13)</f>
        <v>700173.34000000008</v>
      </c>
      <c r="J11" s="12">
        <f>IF(C11=0,0,I11/C11)</f>
        <v>8.3240999120241591E-2</v>
      </c>
      <c r="K11" s="25">
        <v>6</v>
      </c>
      <c r="L11" s="25">
        <v>47</v>
      </c>
    </row>
    <row r="12" spans="2:12" x14ac:dyDescent="0.3">
      <c r="B12" s="3" t="s">
        <v>14</v>
      </c>
      <c r="C12" s="26">
        <v>4780000</v>
      </c>
      <c r="D12" s="26">
        <v>10</v>
      </c>
      <c r="F12" s="11">
        <f>IF(C12=0,0,G12/C12)</f>
        <v>0.45740585774058579</v>
      </c>
      <c r="G12" s="27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(Base_Cobranzas!$AY$2:$AY$814&gt;0),Base_Cobranzas!$AY$2:$AY$814),0)</f>
        <v>2186400</v>
      </c>
      <c r="H12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ISNUMBER(SEARCH("PENDIENTE",UPPER(TRIM(Base_Cobranzas!$BK$2:$BK$814)))),Base_Cobranzas!$AZ$2:$AZ$814),0)</f>
        <v>2444100</v>
      </c>
      <c r="I12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=0),--ISNUMBER(SEARCH("VENCIDO",UPPER(TRIM(Base_Cobranzas!$BK$2:$BK$814)))),Base_Cobranzas!$AZ$2:$AZ$814),0)</f>
        <v>149500</v>
      </c>
      <c r="J12" s="11">
        <f>IF(C12=0,0,I12/C12)</f>
        <v>3.127615062761506E-2</v>
      </c>
      <c r="K12" s="28">
        <v>3</v>
      </c>
      <c r="L12" s="28">
        <v>28</v>
      </c>
    </row>
    <row r="13" spans="2:12" x14ac:dyDescent="0.3">
      <c r="B13" s="3" t="s">
        <v>15</v>
      </c>
      <c r="C13" s="26">
        <v>3631400</v>
      </c>
      <c r="D13" s="26">
        <v>14</v>
      </c>
      <c r="F13" s="11">
        <f>IF(C13=0,0,G13/C13)</f>
        <v>0.62146279671751936</v>
      </c>
      <c r="G13" s="27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(Base_Cobranzas!$AY$2:$AY$814&gt;0),Base_Cobranzas!$AY$2:$AY$814),0)</f>
        <v>2256780</v>
      </c>
      <c r="H13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PENDIENTE",UPPER(TRIM(Base_Cobranzas!$BK$2:$BK$814)))),Base_Cobranzas!$AZ$2:$AZ$814),0)</f>
        <v>823946.66000000038</v>
      </c>
      <c r="I13" s="28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&gt;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VENCIDO",UPPER(TRIM(Base_Cobranzas!$BK$2:$BK$814)))),Base_Cobranzas!$AZ$2:$AZ$814),0)</f>
        <v>550673.34000000008</v>
      </c>
      <c r="J13" s="11">
        <f>IF(C13=0,0,I13/C13)</f>
        <v>0.15164216004846617</v>
      </c>
      <c r="K13" s="28">
        <v>3</v>
      </c>
      <c r="L13" s="28">
        <v>56</v>
      </c>
    </row>
    <row r="14" spans="2:12" ht="6.6" customHeight="1" x14ac:dyDescent="0.3">
      <c r="C14" s="17"/>
      <c r="D14" s="17"/>
      <c r="F14" s="18"/>
      <c r="G14" s="17"/>
      <c r="H14" s="17"/>
      <c r="I14" s="17"/>
      <c r="J14" s="18"/>
      <c r="K14" s="17"/>
      <c r="L14" s="17"/>
    </row>
    <row r="15" spans="2:12" x14ac:dyDescent="0.3">
      <c r="B15" s="6" t="s">
        <v>16</v>
      </c>
      <c r="C15" s="24">
        <v>102500</v>
      </c>
      <c r="D15" s="24">
        <v>2</v>
      </c>
      <c r="F15" s="12">
        <f>IF(C15=0,0,G15/C15)</f>
        <v>0.63811395121951209</v>
      </c>
      <c r="G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(Base_Cobranzas!$AY$2:$AY$814&gt;0),Base_Cobranzas!$AY$2:$AY$814),0)</f>
        <v>65406.679999999993</v>
      </c>
      <c r="H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PENDIENTE",UPPER(TRIM(Base_Cobranzas!$BK$2:$BK$814)))),Base_Cobranzas!$AZ$2:$AZ$814),0)</f>
        <v>37093.319999999992</v>
      </c>
      <c r="I15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&gt;0),--ISNUMBER(SEARCH("VENCIDO",UPPER(TRIM(Base_Cobranzas!$BK$2:$BK$814)))),Base_Cobranzas!$AZ$2:$AZ$814),0)</f>
        <v>0</v>
      </c>
      <c r="J15" s="29">
        <f>IF(C15=0,0,I15/C15)</f>
        <v>0</v>
      </c>
      <c r="K15" s="30">
        <v>0</v>
      </c>
      <c r="L15" s="30">
        <v>0</v>
      </c>
    </row>
    <row r="16" spans="2:12" ht="6.6" customHeight="1" x14ac:dyDescent="0.3">
      <c r="C16" s="17"/>
      <c r="D16" s="17"/>
      <c r="F16" s="18"/>
      <c r="G16" s="17"/>
      <c r="H16" s="17"/>
      <c r="I16" s="17"/>
      <c r="J16" s="18"/>
      <c r="K16" s="31"/>
      <c r="L16" s="31"/>
    </row>
    <row r="17" spans="1:12" x14ac:dyDescent="0.3">
      <c r="B17" s="6" t="s">
        <v>17</v>
      </c>
      <c r="C17" s="24">
        <v>0</v>
      </c>
      <c r="D17" s="24">
        <v>0</v>
      </c>
      <c r="F17" s="12">
        <f>IF(C17=0,0,G17/C17)</f>
        <v>0</v>
      </c>
      <c r="G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(Base_Cobranzas!$AY$2:$AY$814&gt;0),Base_Cobranzas!$AY$2:$AY$814),0)</f>
        <v>0</v>
      </c>
      <c r="H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ISNUMBER(SEARCH("PENDIENTE",UPPER(TRIM(Base_Cobranzas!$BK$2:$BK$814)))),Base_Cobranzas!$AZ$2:$AZ$814),0)</f>
        <v>0</v>
      </c>
      <c r="I17" s="25">
        <f>IFERROR(SUMPRODUCT(--ISNUMBER(SEARCH($B$6,Base_Cobranzas!$A$2:$A$814)),--((--ISNUMBER(SEARCH("DEPART",UPPER(Base_Cobranzas!$E$2:$E$814)))+--ISNUMBER(SEARCH("DEPART",UPPER(Base_Cobranzas!$M$2:$M$814)))+--ISNUMBER(SEARCH("DEPART",UPPER(Base_Cobranzas!$U$2:$U$814)))+--ISNUMBER(SEARCH("DEPART",UPPER(Base_Cobranzas!$AC$2:$AC$814))))=0),--((--ISNUMBER(SEARCH("ESTACION",UPPER(Base_Cobranzas!$E$2:$E$814)))+--ISNUMBER(SEARCH("ESTACION",UPPER(Base_Cobranzas!$M$2:$M$814)))+--ISNUMBER(SEARCH("ESTACION",UPPER(Base_Cobranzas!$U$2:$U$814)))+--ISNUMBER(SEARCH("ESTACION",UPPER(Base_Cobranzas!$AC$2:$AC$814))))=0),--((--ISNUMBER(SEARCH("DEPOS",UPPER(Base_Cobranzas!$E$2:$E$814)))+--ISNUMBER(SEARCH("DEPOS",UPPER(Base_Cobranzas!$M$2:$M$814)))+--ISNUMBER(SEARCH("DEPOS",UPPER(Base_Cobranzas!$U$2:$U$814)))+--ISNUMBER(SEARCH("DEPOS",UPPER(Base_Cobranzas!$AC$2:$AC$814))))&gt;0),--ISNUMBER(SEARCH("VENCIDO",UPPER(TRIM(Base_Cobranzas!$BK$2:$BK$814)))),Base_Cobranzas!$AZ$2:$AZ$814),0)</f>
        <v>0</v>
      </c>
      <c r="J17" s="29">
        <f>IF(C17=0,0,I17/C17)</f>
        <v>0</v>
      </c>
      <c r="K17" s="30">
        <v>0</v>
      </c>
      <c r="L17" s="30">
        <v>0</v>
      </c>
    </row>
    <row r="18" spans="1:12" ht="6.6" customHeight="1" x14ac:dyDescent="0.3">
      <c r="C18" s="17"/>
      <c r="D18" s="17"/>
      <c r="F18" s="18"/>
      <c r="G18" s="17"/>
      <c r="H18" s="17"/>
      <c r="I18" s="17"/>
      <c r="J18" s="18"/>
      <c r="K18" s="31"/>
      <c r="L18" s="31"/>
    </row>
    <row r="19" spans="1:12" x14ac:dyDescent="0.3">
      <c r="B19" s="6" t="s">
        <v>18</v>
      </c>
      <c r="C19" s="24">
        <v>0</v>
      </c>
      <c r="D19" s="24">
        <v>0</v>
      </c>
      <c r="F19" s="12">
        <f>IF(C19=0,0,G19/C19)</f>
        <v>0</v>
      </c>
      <c r="G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(Base_Cobranzas!$AY$2:$AY$814&gt;0),Base_Cobranzas!$AY$2:$AY$814),0)</f>
        <v>0</v>
      </c>
      <c r="H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ISNUMBER(SEARCH("PENDIENTE",UPPER(TRIM(Base_Cobranzas!$BK$2:$BK$814)))),Base_Cobranzas!$AZ$2:$AZ$814),0)</f>
        <v>0</v>
      </c>
      <c r="I19" s="25">
        <f>IFERROR(SUMPRODUCT(--ISNUMBER(SEARCH($B$6,Base_Cobranzas!$A$2:$A$814)),--(((--ISNUMBER(SEARCH("LOCAL",UPPER(Base_Cobranzas!$E$2:$E$814)))+--ISNUMBER(SEARCH("LOCAL",UPPER(Base_Cobranzas!$M$2:$M$814)))+--ISNUMBER(SEARCH("LOCAL",UPPER(Base_Cobranzas!$U$2:$U$814)))+--ISNUMBER(SEARCH("LOCAL",UPPER(Base_Cobranzas!$AC$2:$AC$814))))+(--ISNUMBER(SEARCH("COMERCIAL",UPPER(Base_Cobranzas!$E$2:$E$814)))+--ISNUMBER(SEARCH("COMERCIAL",UPPER(Base_Cobranzas!$M$2:$M$814)))+--ISNUMBER(SEARCH("COMERCIAL",UPPER(Base_Cobranzas!$U$2:$U$814)))+--ISNUMBER(SEARCH("COMERCIAL",UPPER(Base_Cobranzas!$AC$2:$AC$814)))))&gt;0),--ISNUMBER(SEARCH("VENCIDO",UPPER(TRIM(Base_Cobranzas!$BK$2:$BK$814)))),Base_Cobranzas!$AZ$2:$AZ$814),0)</f>
        <v>0</v>
      </c>
      <c r="J19" s="29">
        <f>IF(C19=0,0,I19/C19)</f>
        <v>0</v>
      </c>
      <c r="K19" s="30">
        <v>0</v>
      </c>
      <c r="L19" s="30">
        <v>0</v>
      </c>
    </row>
    <row r="20" spans="1:12" ht="6.6" customHeight="1" x14ac:dyDescent="0.3">
      <c r="C20" s="17"/>
      <c r="D20" s="17"/>
      <c r="F20" s="18"/>
      <c r="G20" s="17"/>
      <c r="H20" s="17"/>
      <c r="I20" s="17"/>
      <c r="J20" s="18"/>
      <c r="K20" s="31"/>
      <c r="L20" s="31"/>
    </row>
    <row r="21" spans="1:12" x14ac:dyDescent="0.3">
      <c r="A21" s="13" t="str">
        <f>+IF(ROUND(C21,0)=ROUND(G21+H21+I21,0),"OK","REVISAR")</f>
        <v>OK</v>
      </c>
      <c r="B21" s="7" t="s">
        <v>19</v>
      </c>
      <c r="C21" s="32">
        <v>8513900</v>
      </c>
      <c r="D21" s="32">
        <v>26</v>
      </c>
      <c r="F21" s="33">
        <f>IF(C21=0,0,G21/C21)</f>
        <v>0.52955598256968017</v>
      </c>
      <c r="G21" s="34">
        <f>G11+G15+G17+G19</f>
        <v>4508586.68</v>
      </c>
      <c r="H21" s="34">
        <f>H11+H15+H17+H19</f>
        <v>3305139.98</v>
      </c>
      <c r="I21" s="34">
        <f>I11+I15+I17+I19</f>
        <v>700173.34000000008</v>
      </c>
      <c r="J21" s="35">
        <f>IF(C21=0,0,I21/C21)</f>
        <v>8.2238849410963252E-2</v>
      </c>
      <c r="K21" s="36">
        <v>6</v>
      </c>
      <c r="L21" s="36">
        <v>47</v>
      </c>
    </row>
    <row r="22" spans="1:12" x14ac:dyDescent="0.3">
      <c r="C22" s="17"/>
      <c r="D22" s="17"/>
      <c r="F22" s="18"/>
      <c r="G22" s="17"/>
      <c r="H22" s="17"/>
      <c r="I22" s="17"/>
      <c r="J22" s="18"/>
      <c r="K22" s="17"/>
      <c r="L22" s="17"/>
    </row>
    <row r="23" spans="1:12" x14ac:dyDescent="0.3">
      <c r="C23" s="17"/>
      <c r="D23" s="17"/>
      <c r="F23" s="18"/>
      <c r="G23" s="17"/>
      <c r="H23" s="17"/>
      <c r="I23" s="17"/>
      <c r="J23" s="18"/>
      <c r="K23" s="17"/>
      <c r="L23" s="17"/>
    </row>
    <row r="24" spans="1:12" x14ac:dyDescent="0.3">
      <c r="C24" s="17"/>
      <c r="D24" s="17"/>
      <c r="F24" s="18"/>
      <c r="G24" s="17"/>
      <c r="H24" s="17"/>
      <c r="I24" s="17"/>
      <c r="J24" s="18"/>
      <c r="K24" s="17"/>
      <c r="L24" s="17"/>
    </row>
    <row r="25" spans="1:12" x14ac:dyDescent="0.3">
      <c r="C25" s="17"/>
      <c r="D25" s="17"/>
      <c r="F25" s="18"/>
      <c r="G25" s="17"/>
      <c r="H25" s="17"/>
      <c r="I25" s="17"/>
      <c r="J25" s="18"/>
      <c r="K25" s="17"/>
      <c r="L25" s="17"/>
    </row>
    <row r="31" spans="1:12" ht="21" customHeight="1" x14ac:dyDescent="0.4">
      <c r="B31" s="1" t="s">
        <v>20</v>
      </c>
    </row>
    <row r="33" spans="2:19" x14ac:dyDescent="0.3">
      <c r="B33" s="9" t="s">
        <v>21</v>
      </c>
      <c r="C33" s="37">
        <v>2025</v>
      </c>
      <c r="D33" s="10">
        <v>46023</v>
      </c>
      <c r="E33" s="10">
        <v>46054</v>
      </c>
      <c r="F33" s="10">
        <v>46082</v>
      </c>
      <c r="G33" s="10">
        <v>46113</v>
      </c>
      <c r="H33" s="10">
        <v>46143</v>
      </c>
      <c r="I33" s="10">
        <v>46174</v>
      </c>
      <c r="J33" s="10">
        <v>46204</v>
      </c>
      <c r="K33" s="10">
        <v>46235</v>
      </c>
      <c r="L33" s="10" t="s">
        <v>19</v>
      </c>
    </row>
    <row r="34" spans="2:19" x14ac:dyDescent="0.3">
      <c r="B34" s="5" t="s">
        <v>22</v>
      </c>
      <c r="C34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824040</v>
      </c>
      <c r="D34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106540</v>
      </c>
      <c r="E34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94940</v>
      </c>
      <c r="F34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30540</v>
      </c>
      <c r="G34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1940</v>
      </c>
      <c r="H34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70540</v>
      </c>
      <c r="I34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9273.34</v>
      </c>
      <c r="J34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37873.339999999997</v>
      </c>
      <c r="K34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34))),"DIRECTO",IF(ISNUMBER(SEARCH("HIPOT",UPPER($B34))),"HIPOT",IF(ISNUMBER(SEARCH("AHORRO",UPPER($B34))),"AHORRO",UPPER($B34)))),UPPER(Base_Cobranzas!$BB$2:$BB$814))),--(Base_Cobranzas!$AY$2:$AY$814&gt;0),Base_Cobranzas!$AY$2:$AY$814),0)</f>
        <v>1940</v>
      </c>
      <c r="L34" s="39">
        <f>SUM(C34:K34)</f>
        <v>1177626.6800000002</v>
      </c>
    </row>
    <row r="35" spans="2:19" x14ac:dyDescent="0.3">
      <c r="B35" s="5" t="s">
        <v>23</v>
      </c>
      <c r="C35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282730</v>
      </c>
      <c r="D35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37320</v>
      </c>
      <c r="E35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0</v>
      </c>
      <c r="F35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113170</v>
      </c>
      <c r="G35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18600</v>
      </c>
      <c r="H35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1178800</v>
      </c>
      <c r="I35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408900</v>
      </c>
      <c r="J35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1214440</v>
      </c>
      <c r="K35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35))),"DIRECTO",IF(ISNUMBER(SEARCH("HIPOT",UPPER($B35))),"HIPOT",IF(ISNUMBER(SEARCH("AHORRO",UPPER($B35))),"AHORRO",UPPER($B35)))),UPPER(Base_Cobranzas!$BB$2:$BB$814))),--(Base_Cobranzas!$AY$2:$AY$814&gt;0),Base_Cobranzas!$AY$2:$AY$814),0)</f>
        <v>0</v>
      </c>
      <c r="L35" s="39">
        <f>SUM(C35:K35)</f>
        <v>3253960</v>
      </c>
    </row>
    <row r="36" spans="2:19" x14ac:dyDescent="0.3">
      <c r="B36" s="5" t="s">
        <v>24</v>
      </c>
      <c r="C36" s="38">
        <f>IFERROR(SUMPRODUCT(--ISNUMBER(SEARCH($B$6,Base_Cobranzas!$A$2:$A$814)),--(Base_Cobranzas!$AR$2:$AR$814&gt;=IF(C$33&lt;3000,DATE(C$33,1,1),C$33)),--(Base_Cobranzas!$AR$2:$AR$814&lt;IF(C$33&lt;3000,DATE(C$33+1,1,1),EDATE(C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20000</v>
      </c>
      <c r="D36" s="38">
        <f>IFERROR(SUMPRODUCT(--ISNUMBER(SEARCH($B$6,Base_Cobranzas!$A$2:$A$814)),--(Base_Cobranzas!$AR$2:$AR$814&gt;=IF(D$33&lt;3000,DATE(D$33,1,1),D$33)),--(Base_Cobranzas!$AR$2:$AR$814&lt;IF(D$33&lt;3000,DATE(D$33+1,1,1),EDATE(D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24900</v>
      </c>
      <c r="E36" s="38">
        <f>IFERROR(SUMPRODUCT(--ISNUMBER(SEARCH($B$6,Base_Cobranzas!$A$2:$A$814)),--(Base_Cobranzas!$AR$2:$AR$814&gt;=IF(E$33&lt;3000,DATE(E$33,1,1),E$33)),--(Base_Cobranzas!$AR$2:$AR$814&lt;IF(E$33&lt;3000,DATE(E$33+1,1,1),EDATE(E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17000</v>
      </c>
      <c r="F36" s="38">
        <f>IFERROR(SUMPRODUCT(--ISNUMBER(SEARCH($B$6,Base_Cobranzas!$A$2:$A$814)),--(Base_Cobranzas!$AR$2:$AR$814&gt;=IF(F$33&lt;3000,DATE(F$33,1,1),F$33)),--(Base_Cobranzas!$AR$2:$AR$814&lt;IF(F$33&lt;3000,DATE(F$33+1,1,1),EDATE(F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10000</v>
      </c>
      <c r="G36" s="38">
        <f>IFERROR(SUMPRODUCT(--ISNUMBER(SEARCH($B$6,Base_Cobranzas!$A$2:$A$814)),--(Base_Cobranzas!$AR$2:$AR$814&gt;=IF(G$33&lt;3000,DATE(G$33,1,1),G$33)),--(Base_Cobranzas!$AR$2:$AR$814&lt;IF(G$33&lt;3000,DATE(G$33+1,1,1),EDATE(G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0</v>
      </c>
      <c r="H36" s="38">
        <f>IFERROR(SUMPRODUCT(--ISNUMBER(SEARCH($B$6,Base_Cobranzas!$A$2:$A$814)),--(Base_Cobranzas!$AR$2:$AR$814&gt;=IF(H$33&lt;3000,DATE(H$33,1,1),H$33)),--(Base_Cobranzas!$AR$2:$AR$814&lt;IF(H$33&lt;3000,DATE(H$33+1,1,1),EDATE(H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0</v>
      </c>
      <c r="I36" s="38">
        <f>IFERROR(SUMPRODUCT(--ISNUMBER(SEARCH($B$6,Base_Cobranzas!$A$2:$A$814)),--(Base_Cobranzas!$AR$2:$AR$814&gt;=IF(I$33&lt;3000,DATE(I$33,1,1),I$33)),--(Base_Cobranzas!$AR$2:$AR$814&lt;IF(I$33&lt;3000,DATE(I$33+1,1,1),EDATE(I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0</v>
      </c>
      <c r="J36" s="38">
        <f>IFERROR(SUMPRODUCT(--ISNUMBER(SEARCH($B$6,Base_Cobranzas!$A$2:$A$814)),--(Base_Cobranzas!$AR$2:$AR$814&gt;=IF(J$33&lt;3000,DATE(J$33,1,1),J$33)),--(Base_Cobranzas!$AR$2:$AR$814&lt;IF(J$33&lt;3000,DATE(J$33+1,1,1),EDATE(J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5100</v>
      </c>
      <c r="K36" s="38">
        <f>IFERROR(SUMPRODUCT(--ISNUMBER(SEARCH($B$6,Base_Cobranzas!$A$2:$A$814)),--(Base_Cobranzas!$AR$2:$AR$814&gt;=IF(K$33&lt;3000,DATE(K$33,1,1),K$33)),--(Base_Cobranzas!$AR$2:$AR$814&lt;IF(K$33&lt;3000,DATE(K$33+1,1,1),EDATE(K$33,1))),--ISNUMBER(SEARCH(IF(ISNUMBER(SEARCH("DIRECTO",UPPER($B36))),"DIRECTO",IF(ISNUMBER(SEARCH("HIPOT",UPPER($B36))),"HIPOT",IF(ISNUMBER(SEARCH("AHORRO",UPPER($B36))),"AHORRO",UPPER($B36)))),UPPER(Base_Cobranzas!$BB$2:$BB$814))),--(Base_Cobranzas!$AY$2:$AY$814&gt;0),Base_Cobranzas!$AY$2:$AY$814),0)</f>
        <v>0</v>
      </c>
      <c r="L36" s="39">
        <f>SUM(C36:K36)</f>
        <v>77000</v>
      </c>
    </row>
    <row r="37" spans="2:19" x14ac:dyDescent="0.3">
      <c r="B37" s="4" t="s">
        <v>19</v>
      </c>
      <c r="C37" s="40">
        <f t="shared" ref="C37:K37" si="0">SUM(C34:C36)</f>
        <v>1126770</v>
      </c>
      <c r="D37" s="40">
        <f t="shared" si="0"/>
        <v>168760</v>
      </c>
      <c r="E37" s="40">
        <f t="shared" si="0"/>
        <v>111940</v>
      </c>
      <c r="F37" s="40">
        <f t="shared" si="0"/>
        <v>153710</v>
      </c>
      <c r="G37" s="40">
        <f t="shared" si="0"/>
        <v>20540</v>
      </c>
      <c r="H37" s="40">
        <f t="shared" si="0"/>
        <v>1249340</v>
      </c>
      <c r="I37" s="40">
        <f t="shared" si="0"/>
        <v>418173.34</v>
      </c>
      <c r="J37" s="40">
        <f t="shared" si="0"/>
        <v>1257413.3400000001</v>
      </c>
      <c r="K37" s="40">
        <f t="shared" si="0"/>
        <v>1940</v>
      </c>
      <c r="L37" s="40">
        <f>SUM(C37:K37)</f>
        <v>4508586.68</v>
      </c>
      <c r="M37" t="str">
        <f>IF($G$21=L37,"OK","REVISAR")</f>
        <v>OK</v>
      </c>
    </row>
    <row r="39" spans="2:19" x14ac:dyDescent="0.3">
      <c r="B39" s="4" t="s">
        <v>25</v>
      </c>
      <c r="C39" s="41">
        <f>C37</f>
        <v>1126770</v>
      </c>
      <c r="D39" s="41">
        <f t="shared" ref="D39:K39" si="1">C39+D37</f>
        <v>1295530</v>
      </c>
      <c r="E39" s="41">
        <f t="shared" si="1"/>
        <v>1407470</v>
      </c>
      <c r="F39" s="41">
        <f t="shared" si="1"/>
        <v>1561180</v>
      </c>
      <c r="G39" s="41">
        <f t="shared" si="1"/>
        <v>1581720</v>
      </c>
      <c r="H39" s="41">
        <f t="shared" si="1"/>
        <v>2831060</v>
      </c>
      <c r="I39" s="41">
        <f t="shared" si="1"/>
        <v>3249233.34</v>
      </c>
      <c r="J39" s="41">
        <f t="shared" si="1"/>
        <v>4506646.68</v>
      </c>
      <c r="K39" s="41">
        <f t="shared" si="1"/>
        <v>4508586.68</v>
      </c>
      <c r="L39" s="42"/>
    </row>
    <row r="42" spans="2:19" x14ac:dyDescent="0.3">
      <c r="O42" s="2"/>
    </row>
    <row r="43" spans="2:19" ht="21" customHeight="1" x14ac:dyDescent="0.4">
      <c r="B43" s="1" t="s">
        <v>26</v>
      </c>
      <c r="O43" s="2"/>
    </row>
    <row r="45" spans="2:19" x14ac:dyDescent="0.3">
      <c r="B45" s="9" t="s">
        <v>21</v>
      </c>
      <c r="C45" s="10">
        <v>46266</v>
      </c>
      <c r="D45" s="10">
        <v>46296</v>
      </c>
      <c r="E45" s="10">
        <v>46327</v>
      </c>
      <c r="F45" s="10">
        <v>46357</v>
      </c>
      <c r="G45" s="10">
        <v>46388</v>
      </c>
      <c r="H45" s="10">
        <v>46419</v>
      </c>
      <c r="I45" s="10">
        <v>46447</v>
      </c>
      <c r="J45" s="10">
        <v>46478</v>
      </c>
      <c r="K45" s="10">
        <v>46508</v>
      </c>
      <c r="L45" s="10">
        <v>46539</v>
      </c>
      <c r="M45" s="10">
        <v>46569</v>
      </c>
      <c r="N45" s="10">
        <v>46600</v>
      </c>
      <c r="O45" s="10">
        <v>46631</v>
      </c>
      <c r="P45" s="10">
        <v>46661</v>
      </c>
      <c r="Q45" s="10">
        <v>46692</v>
      </c>
      <c r="R45" s="10">
        <v>46722</v>
      </c>
      <c r="S45" s="10" t="s">
        <v>19</v>
      </c>
    </row>
    <row r="46" spans="2:19" x14ac:dyDescent="0.3">
      <c r="B46" s="5" t="s">
        <v>22</v>
      </c>
      <c r="C46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144986.66999999998</v>
      </c>
      <c r="D46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50173.34</v>
      </c>
      <c r="E46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50173.34</v>
      </c>
      <c r="F46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50173.34</v>
      </c>
      <c r="G46" s="38">
        <f>IFERROR(SUMPRODUCT(--ISNUMBER(SEARCH($B$6,Base_Cobranzas!$A$2:$A$814)),--(Base_Cobranzas!$AQ$2:$AQ$814&gt;=IF(G$45&lt;3000,DATE(G$45,1,1),G$45)),--(Base_Cobranzas!$AQ$2:$AQ$814&lt;IF(G$45&lt;3000,DATE(G$45+1,1,1),EDATE(G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33933.339999999997</v>
      </c>
      <c r="H46" s="38">
        <f>IFERROR(SUMPRODUCT(--ISNUMBER(SEARCH($B$6,Base_Cobranzas!$A$2:$A$814)),--(Base_Cobranzas!$AQ$2:$AQ$814&gt;=IF(H$45&lt;3000,DATE(H$45,1,1),H$45)),--(Base_Cobranzas!$AQ$2:$AQ$814&lt;IF(H$45&lt;3000,DATE(H$45+1,1,1),EDATE(H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33933.339999999997</v>
      </c>
      <c r="I46" s="38">
        <f>IFERROR(SUMPRODUCT(--ISNUMBER(SEARCH($B$6,Base_Cobranzas!$A$2:$A$814)),--(Base_Cobranzas!$AQ$2:$AQ$814&gt;=IF(I$45&lt;3000,DATE(I$45,1,1),I$45)),--(Base_Cobranzas!$AQ$2:$AQ$814&lt;IF(I$45&lt;3000,DATE(I$45+1,1,1),EDATE(I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33933.339999999997</v>
      </c>
      <c r="J46" s="38">
        <f>IFERROR(SUMPRODUCT(--ISNUMBER(SEARCH($B$6,Base_Cobranzas!$A$2:$A$814)),--(Base_Cobranzas!$AQ$2:$AQ$814&gt;=IF(J$45&lt;3000,DATE(J$45,1,1),J$45)),--(Base_Cobranzas!$AQ$2:$AQ$814&lt;IF(J$45&lt;3000,DATE(J$45+1,1,1),EDATE(J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265933.34000000003</v>
      </c>
      <c r="K46" s="38">
        <f>IFERROR(SUMPRODUCT(--ISNUMBER(SEARCH($B$6,Base_Cobranzas!$A$2:$A$814)),--(Base_Cobranzas!$AQ$2:$AQ$814&gt;=IF(K$45&lt;3000,DATE(K$45,1,1),K$45)),--(Base_Cobranzas!$AQ$2:$AQ$814&lt;IF(K$45&lt;3000,DATE(K$45+1,1,1),EDATE(K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27933.3</v>
      </c>
      <c r="L46" s="38">
        <f>IFERROR(SUMPRODUCT(--ISNUMBER(SEARCH($B$6,Base_Cobranzas!$A$2:$A$814)),--(Base_Cobranzas!$AQ$2:$AQ$814&gt;=IF(L$45&lt;3000,DATE(L$45,1,1),L$45)),--(Base_Cobranzas!$AQ$2:$AQ$814&lt;IF(L$45&lt;3000,DATE(L$45+1,1,1),EDATE(L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24266.67</v>
      </c>
      <c r="M46" s="38">
        <f>IFERROR(SUMPRODUCT(--ISNUMBER(SEARCH($B$6,Base_Cobranzas!$A$2:$A$814)),--(Base_Cobranzas!$AQ$2:$AQ$814&gt;=IF(M$45&lt;3000,DATE(M$45,1,1),M$45)),--(Base_Cobranzas!$AQ$2:$AQ$814&lt;IF(M$45&lt;3000,DATE(M$45+1,1,1),EDATE(M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24266.67</v>
      </c>
      <c r="N46" s="38">
        <f>IFERROR(SUMPRODUCT(--ISNUMBER(SEARCH($B$6,Base_Cobranzas!$A$2:$A$814)),--(Base_Cobranzas!$AQ$2:$AQ$814&gt;=IF(N$45&lt;3000,DATE(N$45,1,1),N$45)),--(Base_Cobranzas!$AQ$2:$AQ$814&lt;IF(N$45&lt;3000,DATE(N$45+1,1,1),EDATE(N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24266.67</v>
      </c>
      <c r="O46" s="38">
        <f>IFERROR(SUMPRODUCT(--ISNUMBER(SEARCH($B$6,Base_Cobranzas!$A$2:$A$814)),--(Base_Cobranzas!$AQ$2:$AQ$814&gt;=IF(O$45&lt;3000,DATE(O$45,1,1),O$45)),--(Base_Cobranzas!$AQ$2:$AQ$814&lt;IF(O$45&lt;3000,DATE(O$45+1,1,1),EDATE(O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24266.67</v>
      </c>
      <c r="P46" s="38">
        <f>IFERROR(SUMPRODUCT(--ISNUMBER(SEARCH($B$6,Base_Cobranzas!$A$2:$A$814)),--(Base_Cobranzas!$AQ$2:$AQ$814&gt;=IF(P$45&lt;3000,DATE(P$45,1,1),P$45)),--(Base_Cobranzas!$AQ$2:$AQ$814&lt;IF(P$45&lt;3000,DATE(P$45+1,1,1),EDATE(P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24266.67</v>
      </c>
      <c r="Q46" s="38">
        <f>IFERROR(SUMPRODUCT(--ISNUMBER(SEARCH($B$6,Base_Cobranzas!$A$2:$A$814)),--(Base_Cobranzas!$AQ$2:$AQ$814&gt;=IF(Q$45&lt;3000,DATE(Q$45,1,1),Q$45)),--(Base_Cobranzas!$AQ$2:$AQ$814&lt;IF(Q$45&lt;3000,DATE(Q$45+1,1,1),EDATE(Q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24266.67</v>
      </c>
      <c r="R46" s="38">
        <f>IFERROR(SUMPRODUCT(--ISNUMBER(SEARCH($B$6,Base_Cobranzas!$A$2:$A$814)),--(Base_Cobranzas!$AQ$2:$AQ$814&gt;=IF(R$45&lt;3000,DATE(R$45,1,1),R$45)),--(Base_Cobranzas!$AQ$2:$AQ$814&lt;IF(R$45&lt;3000,DATE(R$45+1,1,1),EDATE(R$45,1))),--ISNUMBER(SEARCH(IF(ISNUMBER(SEARCH("DIRECTO",UPPER($B46))),"DIRECTO",IF(ISNUMBER(SEARCH("HIPOT",UPPER($B46))),"HIPOT",IF(ISNUMBER(SEARCH("AHORRO",UPPER($B46))),"AHORRO",UPPER($B46)))),UPPER(Base_Cobranzas!$BB$2:$BB$814))),--ISNUMBER(SEARCH("PENDIENTE",UPPER(TRIM(Base_Cobranzas!$BK$2:$BK$814)))),Base_Cobranzas!$AZ$2:$AZ$814),0)</f>
        <v>24266.61</v>
      </c>
      <c r="S46" s="39">
        <f>SUM(C46:R46)</f>
        <v>861039.9800000001</v>
      </c>
    </row>
    <row r="47" spans="2:19" x14ac:dyDescent="0.3">
      <c r="B47" s="5" t="s">
        <v>23</v>
      </c>
      <c r="C47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D47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E47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15200</v>
      </c>
      <c r="F47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374400</v>
      </c>
      <c r="G47" s="38">
        <f>IFERROR(SUMPRODUCT(--ISNUMBER(SEARCH($B$6,Base_Cobranzas!$A$2:$A$814)),--(Base_Cobranzas!$AQ$2:$AQ$814&gt;=IF(G$45&lt;3000,DATE(G$45,1,1),G$45)),--(Base_Cobranzas!$AQ$2:$AQ$814&lt;IF(G$45&lt;3000,DATE(G$45+1,1,1),EDATE(G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H47" s="38">
        <f>IFERROR(SUMPRODUCT(--ISNUMBER(SEARCH($B$6,Base_Cobranzas!$A$2:$A$814)),--(Base_Cobranzas!$AQ$2:$AQ$814&gt;=IF(H$45&lt;3000,DATE(H$45,1,1),H$45)),--(Base_Cobranzas!$AQ$2:$AQ$814&lt;IF(H$45&lt;3000,DATE(H$45+1,1,1),EDATE(H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I47" s="38">
        <f>IFERROR(SUMPRODUCT(--ISNUMBER(SEARCH($B$6,Base_Cobranzas!$A$2:$A$814)),--(Base_Cobranzas!$AQ$2:$AQ$814&gt;=IF(I$45&lt;3000,DATE(I$45,1,1),I$45)),--(Base_Cobranzas!$AQ$2:$AQ$814&lt;IF(I$45&lt;3000,DATE(I$45+1,1,1),EDATE(I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J47" s="38">
        <f>IFERROR(SUMPRODUCT(--ISNUMBER(SEARCH($B$6,Base_Cobranzas!$A$2:$A$814)),--(Base_Cobranzas!$AQ$2:$AQ$814&gt;=IF(J$45&lt;3000,DATE(J$45,1,1),J$45)),--(Base_Cobranzas!$AQ$2:$AQ$814&lt;IF(J$45&lt;3000,DATE(J$45+1,1,1),EDATE(J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K47" s="38">
        <f>IFERROR(SUMPRODUCT(--ISNUMBER(SEARCH($B$6,Base_Cobranzas!$A$2:$A$814)),--(Base_Cobranzas!$AQ$2:$AQ$814&gt;=IF(K$45&lt;3000,DATE(K$45,1,1),K$45)),--(Base_Cobranzas!$AQ$2:$AQ$814&lt;IF(K$45&lt;3000,DATE(K$45+1,1,1),EDATE(K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L47" s="38">
        <f>IFERROR(SUMPRODUCT(--ISNUMBER(SEARCH($B$6,Base_Cobranzas!$A$2:$A$814)),--(Base_Cobranzas!$AQ$2:$AQ$814&gt;=IF(L$45&lt;3000,DATE(L$45,1,1),L$45)),--(Base_Cobranzas!$AQ$2:$AQ$814&lt;IF(L$45&lt;3000,DATE(L$45+1,1,1),EDATE(L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M47" s="38">
        <f>IFERROR(SUMPRODUCT(--ISNUMBER(SEARCH($B$6,Base_Cobranzas!$A$2:$A$814)),--(Base_Cobranzas!$AQ$2:$AQ$814&gt;=IF(M$45&lt;3000,DATE(M$45,1,1),M$45)),--(Base_Cobranzas!$AQ$2:$AQ$814&lt;IF(M$45&lt;3000,DATE(M$45+1,1,1),EDATE(M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N47" s="38">
        <f>IFERROR(SUMPRODUCT(--ISNUMBER(SEARCH($B$6,Base_Cobranzas!$A$2:$A$814)),--(Base_Cobranzas!$AQ$2:$AQ$814&gt;=IF(N$45&lt;3000,DATE(N$45,1,1),N$45)),--(Base_Cobranzas!$AQ$2:$AQ$814&lt;IF(N$45&lt;3000,DATE(N$45+1,1,1),EDATE(N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O47" s="38">
        <f>IFERROR(SUMPRODUCT(--ISNUMBER(SEARCH($B$6,Base_Cobranzas!$A$2:$A$814)),--(Base_Cobranzas!$AQ$2:$AQ$814&gt;=IF(O$45&lt;3000,DATE(O$45,1,1),O$45)),--(Base_Cobranzas!$AQ$2:$AQ$814&lt;IF(O$45&lt;3000,DATE(O$45+1,1,1),EDATE(O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P47" s="38">
        <f>IFERROR(SUMPRODUCT(--ISNUMBER(SEARCH($B$6,Base_Cobranzas!$A$2:$A$814)),--(Base_Cobranzas!$AQ$2:$AQ$814&gt;=IF(P$45&lt;3000,DATE(P$45,1,1),P$45)),--(Base_Cobranzas!$AQ$2:$AQ$814&lt;IF(P$45&lt;3000,DATE(P$45+1,1,1),EDATE(P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Q47" s="38">
        <f>IFERROR(SUMPRODUCT(--ISNUMBER(SEARCH($B$6,Base_Cobranzas!$A$2:$A$814)),--(Base_Cobranzas!$AQ$2:$AQ$814&gt;=IF(Q$45&lt;3000,DATE(Q$45,1,1),Q$45)),--(Base_Cobranzas!$AQ$2:$AQ$814&lt;IF(Q$45&lt;3000,DATE(Q$45+1,1,1),EDATE(Q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R47" s="38">
        <f>IFERROR(SUMPRODUCT(--ISNUMBER(SEARCH($B$6,Base_Cobranzas!$A$2:$A$814)),--(Base_Cobranzas!$AQ$2:$AQ$814&gt;=IF(R$45&lt;3000,DATE(R$45,1,1),R$45)),--(Base_Cobranzas!$AQ$2:$AQ$814&lt;IF(R$45&lt;3000,DATE(R$45+1,1,1),EDATE(R$45,1))),--ISNUMBER(SEARCH(IF(ISNUMBER(SEARCH("DIRECTO",UPPER($B47))),"DIRECTO",IF(ISNUMBER(SEARCH("HIPOT",UPPER($B47))),"HIPOT",IF(ISNUMBER(SEARCH("AHORRO",UPPER($B47))),"AHORRO",UPPER($B47)))),UPPER(Base_Cobranzas!$BB$2:$BB$814))),--ISNUMBER(SEARCH("PENDIENTE",UPPER(TRIM(Base_Cobranzas!$BK$2:$BK$814)))),Base_Cobranzas!$AZ$2:$AZ$814),0)</f>
        <v>0</v>
      </c>
      <c r="S47" s="39">
        <f>SUM(C47:R47)</f>
        <v>389600</v>
      </c>
    </row>
    <row r="48" spans="2:19" x14ac:dyDescent="0.3">
      <c r="B48" s="5" t="s">
        <v>24</v>
      </c>
      <c r="C48" s="38">
        <f>IFERROR(SUMPRODUCT(--ISNUMBER(SEARCH($B$6,Base_Cobranzas!$A$2:$A$814)),--(Base_Cobranzas!$AQ$2:$AQ$814&gt;=IF(C$45&lt;3000,DATE(C$45,1,1),C$45)),--(Base_Cobranzas!$AQ$2:$AQ$814&lt;IF(C$45&lt;3000,DATE(C$45+1,1,1),EDATE(C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1067200</v>
      </c>
      <c r="D48" s="38">
        <f>IFERROR(SUMPRODUCT(--ISNUMBER(SEARCH($B$6,Base_Cobranzas!$A$2:$A$814)),--(Base_Cobranzas!$AQ$2:$AQ$814&gt;=IF(D$45&lt;3000,DATE(D$45,1,1),D$45)),--(Base_Cobranzas!$AQ$2:$AQ$814&lt;IF(D$45&lt;3000,DATE(D$45+1,1,1),EDATE(D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E48" s="38">
        <f>IFERROR(SUMPRODUCT(--ISNUMBER(SEARCH($B$6,Base_Cobranzas!$A$2:$A$814)),--(Base_Cobranzas!$AQ$2:$AQ$814&gt;=IF(E$45&lt;3000,DATE(E$45,1,1),E$45)),--(Base_Cobranzas!$AQ$2:$AQ$814&lt;IF(E$45&lt;3000,DATE(E$45+1,1,1),EDATE(E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447300</v>
      </c>
      <c r="F48" s="38">
        <f>IFERROR(SUMPRODUCT(--ISNUMBER(SEARCH($B$6,Base_Cobranzas!$A$2:$A$814)),--(Base_Cobranzas!$AQ$2:$AQ$814&gt;=IF(F$45&lt;3000,DATE(F$45,1,1),F$45)),--(Base_Cobranzas!$AQ$2:$AQ$814&lt;IF(F$45&lt;3000,DATE(F$45+1,1,1),EDATE(F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G48" s="38">
        <f>IFERROR(SUMPRODUCT(--ISNUMBER(SEARCH($B$6,Base_Cobranzas!$A$2:$A$814)),--(Base_Cobranzas!$AQ$2:$AQ$814&gt;=IF(G$45&lt;3000,DATE(G$45,1,1),G$45)),--(Base_Cobranzas!$AQ$2:$AQ$814&lt;IF(G$45&lt;3000,DATE(G$45+1,1,1),EDATE(G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540000</v>
      </c>
      <c r="H48" s="38">
        <f>IFERROR(SUMPRODUCT(--ISNUMBER(SEARCH($B$6,Base_Cobranzas!$A$2:$A$814)),--(Base_Cobranzas!$AQ$2:$AQ$814&gt;=IF(H$45&lt;3000,DATE(H$45,1,1),H$45)),--(Base_Cobranzas!$AQ$2:$AQ$814&lt;IF(H$45&lt;3000,DATE(H$45+1,1,1),EDATE(H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I48" s="38">
        <f>IFERROR(SUMPRODUCT(--ISNUMBER(SEARCH($B$6,Base_Cobranzas!$A$2:$A$814)),--(Base_Cobranzas!$AQ$2:$AQ$814&gt;=IF(I$45&lt;3000,DATE(I$45,1,1),I$45)),--(Base_Cobranzas!$AQ$2:$AQ$814&lt;IF(I$45&lt;3000,DATE(I$45+1,1,1),EDATE(I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J48" s="38">
        <f>IFERROR(SUMPRODUCT(--ISNUMBER(SEARCH($B$6,Base_Cobranzas!$A$2:$A$814)),--(Base_Cobranzas!$AQ$2:$AQ$814&gt;=IF(J$45&lt;3000,DATE(J$45,1,1),J$45)),--(Base_Cobranzas!$AQ$2:$AQ$814&lt;IF(J$45&lt;3000,DATE(J$45+1,1,1),EDATE(J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K48" s="38">
        <f>IFERROR(SUMPRODUCT(--ISNUMBER(SEARCH($B$6,Base_Cobranzas!$A$2:$A$814)),--(Base_Cobranzas!$AQ$2:$AQ$814&gt;=IF(K$45&lt;3000,DATE(K$45,1,1),K$45)),--(Base_Cobranzas!$AQ$2:$AQ$814&lt;IF(K$45&lt;3000,DATE(K$45+1,1,1),EDATE(K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L48" s="38">
        <f>IFERROR(SUMPRODUCT(--ISNUMBER(SEARCH($B$6,Base_Cobranzas!$A$2:$A$814)),--(Base_Cobranzas!$AQ$2:$AQ$814&gt;=IF(L$45&lt;3000,DATE(L$45,1,1),L$45)),--(Base_Cobranzas!$AQ$2:$AQ$814&lt;IF(L$45&lt;3000,DATE(L$45+1,1,1),EDATE(L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M48" s="38">
        <f>IFERROR(SUMPRODUCT(--ISNUMBER(SEARCH($B$6,Base_Cobranzas!$A$2:$A$814)),--(Base_Cobranzas!$AQ$2:$AQ$814&gt;=IF(M$45&lt;3000,DATE(M$45,1,1),M$45)),--(Base_Cobranzas!$AQ$2:$AQ$814&lt;IF(M$45&lt;3000,DATE(M$45+1,1,1),EDATE(M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N48" s="38">
        <f>IFERROR(SUMPRODUCT(--ISNUMBER(SEARCH($B$6,Base_Cobranzas!$A$2:$A$814)),--(Base_Cobranzas!$AQ$2:$AQ$814&gt;=IF(N$45&lt;3000,DATE(N$45,1,1),N$45)),--(Base_Cobranzas!$AQ$2:$AQ$814&lt;IF(N$45&lt;3000,DATE(N$45+1,1,1),EDATE(N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O48" s="38">
        <f>IFERROR(SUMPRODUCT(--ISNUMBER(SEARCH($B$6,Base_Cobranzas!$A$2:$A$814)),--(Base_Cobranzas!$AQ$2:$AQ$814&gt;=IF(O$45&lt;3000,DATE(O$45,1,1),O$45)),--(Base_Cobranzas!$AQ$2:$AQ$814&lt;IF(O$45&lt;3000,DATE(O$45+1,1,1),EDATE(O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P48" s="38">
        <f>IFERROR(SUMPRODUCT(--ISNUMBER(SEARCH($B$6,Base_Cobranzas!$A$2:$A$814)),--(Base_Cobranzas!$AQ$2:$AQ$814&gt;=IF(P$45&lt;3000,DATE(P$45,1,1),P$45)),--(Base_Cobranzas!$AQ$2:$AQ$814&lt;IF(P$45&lt;3000,DATE(P$45+1,1,1),EDATE(P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Q48" s="38">
        <f>IFERROR(SUMPRODUCT(--ISNUMBER(SEARCH($B$6,Base_Cobranzas!$A$2:$A$814)),--(Base_Cobranzas!$AQ$2:$AQ$814&gt;=IF(Q$45&lt;3000,DATE(Q$45,1,1),Q$45)),--(Base_Cobranzas!$AQ$2:$AQ$814&lt;IF(Q$45&lt;3000,DATE(Q$45+1,1,1),EDATE(Q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R48" s="38">
        <f>IFERROR(SUMPRODUCT(--ISNUMBER(SEARCH($B$6,Base_Cobranzas!$A$2:$A$814)),--(Base_Cobranzas!$AQ$2:$AQ$814&gt;=IF(R$45&lt;3000,DATE(R$45,1,1),R$45)),--(Base_Cobranzas!$AQ$2:$AQ$814&lt;IF(R$45&lt;3000,DATE(R$45+1,1,1),EDATE(R$45,1))),--ISNUMBER(SEARCH(IF(ISNUMBER(SEARCH("DIRECTO",UPPER($B48))),"DIRECTO",IF(ISNUMBER(SEARCH("HIPOT",UPPER($B48))),"HIPOT",IF(ISNUMBER(SEARCH("AHORRO",UPPER($B48))),"AHORRO",UPPER($B48)))),UPPER(Base_Cobranzas!$BB$2:$BB$814))),--ISNUMBER(SEARCH("PENDIENTE",UPPER(TRIM(Base_Cobranzas!$BK$2:$BK$814)))),Base_Cobranzas!$AZ$2:$AZ$814),0)</f>
        <v>0</v>
      </c>
      <c r="S48" s="39">
        <f>SUM(C48:R48)</f>
        <v>2054500</v>
      </c>
    </row>
    <row r="49" spans="2:20" x14ac:dyDescent="0.3">
      <c r="B49" s="4" t="s">
        <v>19</v>
      </c>
      <c r="C49" s="40">
        <f t="shared" ref="C49:R49" si="2">SUM(C46:C48)</f>
        <v>1212186.67</v>
      </c>
      <c r="D49" s="40">
        <f t="shared" si="2"/>
        <v>50173.34</v>
      </c>
      <c r="E49" s="40">
        <f t="shared" si="2"/>
        <v>512673.33999999997</v>
      </c>
      <c r="F49" s="40">
        <f t="shared" si="2"/>
        <v>424573.33999999997</v>
      </c>
      <c r="G49" s="40">
        <f t="shared" si="2"/>
        <v>573933.34</v>
      </c>
      <c r="H49" s="40">
        <f t="shared" si="2"/>
        <v>33933.339999999997</v>
      </c>
      <c r="I49" s="40">
        <f t="shared" si="2"/>
        <v>33933.339999999997</v>
      </c>
      <c r="J49" s="40">
        <f t="shared" si="2"/>
        <v>265933.34000000003</v>
      </c>
      <c r="K49" s="40">
        <f t="shared" si="2"/>
        <v>27933.3</v>
      </c>
      <c r="L49" s="40">
        <f t="shared" si="2"/>
        <v>24266.67</v>
      </c>
      <c r="M49" s="40">
        <f t="shared" si="2"/>
        <v>24266.67</v>
      </c>
      <c r="N49" s="40">
        <f t="shared" si="2"/>
        <v>24266.67</v>
      </c>
      <c r="O49" s="40">
        <f t="shared" si="2"/>
        <v>24266.67</v>
      </c>
      <c r="P49" s="40">
        <f t="shared" si="2"/>
        <v>24266.67</v>
      </c>
      <c r="Q49" s="40">
        <f t="shared" si="2"/>
        <v>24266.67</v>
      </c>
      <c r="R49" s="40">
        <f t="shared" si="2"/>
        <v>24266.61</v>
      </c>
      <c r="S49" s="40">
        <f>SUM(C49:R49)</f>
        <v>3305139.9799999986</v>
      </c>
      <c r="T49" t="str">
        <f>IF($H$21=S49,"OK","REVISAR")</f>
        <v>OK</v>
      </c>
    </row>
    <row r="51" spans="2:20" x14ac:dyDescent="0.3">
      <c r="B51" s="4" t="s">
        <v>25</v>
      </c>
      <c r="C51" s="43">
        <f>C49</f>
        <v>1212186.67</v>
      </c>
      <c r="D51" s="41">
        <f t="shared" ref="D51:R51" si="3">C51+D49</f>
        <v>1262360.01</v>
      </c>
      <c r="E51" s="41">
        <f t="shared" si="3"/>
        <v>1775033.35</v>
      </c>
      <c r="F51" s="41">
        <f t="shared" si="3"/>
        <v>2199606.69</v>
      </c>
      <c r="G51" s="41">
        <f t="shared" si="3"/>
        <v>2773540.03</v>
      </c>
      <c r="H51" s="41">
        <f t="shared" si="3"/>
        <v>2807473.3699999996</v>
      </c>
      <c r="I51" s="41">
        <f t="shared" si="3"/>
        <v>2841406.7099999995</v>
      </c>
      <c r="J51" s="41">
        <f t="shared" si="3"/>
        <v>3107340.0499999993</v>
      </c>
      <c r="K51" s="41">
        <f t="shared" si="3"/>
        <v>3135273.3499999992</v>
      </c>
      <c r="L51" s="41">
        <f t="shared" si="3"/>
        <v>3159540.0199999991</v>
      </c>
      <c r="M51" s="41">
        <f t="shared" si="3"/>
        <v>3183806.689999999</v>
      </c>
      <c r="N51" s="41">
        <f t="shared" si="3"/>
        <v>3208073.3599999989</v>
      </c>
      <c r="O51" s="41">
        <f t="shared" si="3"/>
        <v>3232340.0299999989</v>
      </c>
      <c r="P51" s="41">
        <f t="shared" si="3"/>
        <v>3256606.6999999988</v>
      </c>
      <c r="Q51" s="41">
        <f t="shared" si="3"/>
        <v>3280873.3699999987</v>
      </c>
      <c r="R51" s="41">
        <f t="shared" si="3"/>
        <v>3305139.9799999986</v>
      </c>
      <c r="S51" s="42"/>
    </row>
    <row r="55" spans="2:20" ht="21" customHeight="1" x14ac:dyDescent="0.4">
      <c r="B55" s="1" t="s">
        <v>27</v>
      </c>
    </row>
    <row r="57" spans="2:20" x14ac:dyDescent="0.3">
      <c r="B57" s="9" t="s">
        <v>21</v>
      </c>
      <c r="C57" s="10">
        <v>46082</v>
      </c>
      <c r="D57" s="10">
        <v>46113</v>
      </c>
      <c r="E57" s="10">
        <v>46143</v>
      </c>
      <c r="F57" s="10">
        <v>46174</v>
      </c>
      <c r="G57" s="10">
        <v>46204</v>
      </c>
      <c r="H57" s="10">
        <v>46235</v>
      </c>
      <c r="I57" s="10" t="s">
        <v>19</v>
      </c>
    </row>
    <row r="58" spans="2:20" x14ac:dyDescent="0.3">
      <c r="B58" s="5" t="s">
        <v>22</v>
      </c>
      <c r="C58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6000</v>
      </c>
      <c r="D58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6000</v>
      </c>
      <c r="E58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6000</v>
      </c>
      <c r="F58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125900</v>
      </c>
      <c r="G58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30266.67</v>
      </c>
      <c r="H58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58))),"DIRECTO",IF(ISNUMBER(SEARCH("HIPOT",UPPER($B58))),"HIPOT",IF(ISNUMBER(SEARCH("AHORRO",UPPER($B58))),"AHORRO",UPPER($B58)))),UPPER(Base_Cobranzas!$BB$2:$BB$814))),--ISNUMBER(SEARCH("VENCIDO",UPPER(TRIM(Base_Cobranzas!$BK$2:$BK$814)))),Base_Cobranzas!$AZ$2:$AZ$814),0)</f>
        <v>30266.67</v>
      </c>
      <c r="I58" s="39">
        <f>SUM(C58:H58)</f>
        <v>204433.33999999997</v>
      </c>
    </row>
    <row r="59" spans="2:20" x14ac:dyDescent="0.3">
      <c r="B59" s="5" t="s">
        <v>23</v>
      </c>
      <c r="C59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D59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E59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F59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G59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0</v>
      </c>
      <c r="H59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59))),"DIRECTO",IF(ISNUMBER(SEARCH("HIPOT",UPPER($B59))),"HIPOT",IF(ISNUMBER(SEARCH("AHORRO",UPPER($B59))),"AHORRO",UPPER($B59)))),UPPER(Base_Cobranzas!$BB$2:$BB$814))),--ISNUMBER(SEARCH("VENCIDO",UPPER(TRIM(Base_Cobranzas!$BK$2:$BK$814)))),Base_Cobranzas!$AZ$2:$AZ$814),0)</f>
        <v>346240</v>
      </c>
      <c r="I59" s="39">
        <f>SUM(C59:H59)</f>
        <v>346240</v>
      </c>
    </row>
    <row r="60" spans="2:20" x14ac:dyDescent="0.3">
      <c r="B60" s="5" t="s">
        <v>24</v>
      </c>
      <c r="C60" s="38">
        <f>IFERROR(SUMPRODUCT(--ISNUMBER(SEARCH($B$6,Base_Cobranzas!$A$2:$A$814)),--(Base_Cobranzas!$AQ$2:$AQ$814&gt;=IF(C$57&lt;3000,DATE(C$57,1,1),C$57)),--(Base_Cobranzas!$AQ$2:$AQ$814&lt;IF(C$57&lt;3000,DATE(C$57+1,1,1),EDATE(C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D60" s="38">
        <f>IFERROR(SUMPRODUCT(--ISNUMBER(SEARCH($B$6,Base_Cobranzas!$A$2:$A$814)),--(Base_Cobranzas!$AQ$2:$AQ$814&gt;=IF(D$57&lt;3000,DATE(D$57,1,1),D$57)),--(Base_Cobranzas!$AQ$2:$AQ$814&lt;IF(D$57&lt;3000,DATE(D$57+1,1,1),EDATE(D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E60" s="38">
        <f>IFERROR(SUMPRODUCT(--ISNUMBER(SEARCH($B$6,Base_Cobranzas!$A$2:$A$814)),--(Base_Cobranzas!$AQ$2:$AQ$814&gt;=IF(E$57&lt;3000,DATE(E$57,1,1),E$57)),--(Base_Cobranzas!$AQ$2:$AQ$814&lt;IF(E$57&lt;3000,DATE(E$57+1,1,1),EDATE(E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0</v>
      </c>
      <c r="F60" s="38">
        <f>IFERROR(SUMPRODUCT(--ISNUMBER(SEARCH($B$6,Base_Cobranzas!$A$2:$A$814)),--(Base_Cobranzas!$AQ$2:$AQ$814&gt;=IF(F$57&lt;3000,DATE(F$57,1,1),F$57)),--(Base_Cobranzas!$AQ$2:$AQ$814&lt;IF(F$57&lt;3000,DATE(F$57+1,1,1),EDATE(F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10000</v>
      </c>
      <c r="G60" s="38">
        <f>IFERROR(SUMPRODUCT(--ISNUMBER(SEARCH($B$6,Base_Cobranzas!$A$2:$A$814)),--(Base_Cobranzas!$AQ$2:$AQ$814&gt;=IF(G$57&lt;3000,DATE(G$57,1,1),G$57)),--(Base_Cobranzas!$AQ$2:$AQ$814&lt;IF(G$57&lt;3000,DATE(G$57+1,1,1),EDATE(G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86500</v>
      </c>
      <c r="H60" s="38">
        <f>IFERROR(SUMPRODUCT(--ISNUMBER(SEARCH($B$6,Base_Cobranzas!$A$2:$A$814)),--(Base_Cobranzas!$AQ$2:$AQ$814&gt;=IF(H$57&lt;3000,DATE(H$57,1,1),H$57)),--(Base_Cobranzas!$AQ$2:$AQ$814&lt;IF(H$57&lt;3000,DATE(H$57+1,1,1),EDATE(H$57,1))),--ISNUMBER(SEARCH(IF(ISNUMBER(SEARCH("DIRECTO",UPPER($B60))),"DIRECTO",IF(ISNUMBER(SEARCH("HIPOT",UPPER($B60))),"HIPOT",IF(ISNUMBER(SEARCH("AHORRO",UPPER($B60))),"AHORRO",UPPER($B60)))),UPPER(Base_Cobranzas!$BB$2:$BB$814))),--ISNUMBER(SEARCH("VENCIDO",UPPER(TRIM(Base_Cobranzas!$BK$2:$BK$814)))),Base_Cobranzas!$AZ$2:$AZ$814),0)</f>
        <v>53000</v>
      </c>
      <c r="I60" s="39">
        <f>SUM(C60:H60)</f>
        <v>149500</v>
      </c>
    </row>
    <row r="61" spans="2:20" x14ac:dyDescent="0.3">
      <c r="B61" s="4" t="s">
        <v>19</v>
      </c>
      <c r="C61" s="40">
        <f t="shared" ref="C61:H61" si="4">SUM(C58:C60)</f>
        <v>6000</v>
      </c>
      <c r="D61" s="40">
        <f t="shared" si="4"/>
        <v>6000</v>
      </c>
      <c r="E61" s="40">
        <f t="shared" si="4"/>
        <v>6000</v>
      </c>
      <c r="F61" s="40">
        <f t="shared" si="4"/>
        <v>135900</v>
      </c>
      <c r="G61" s="40">
        <f t="shared" si="4"/>
        <v>116766.67</v>
      </c>
      <c r="H61" s="40">
        <f t="shared" si="4"/>
        <v>429506.67</v>
      </c>
      <c r="I61" s="40">
        <f>SUM(C61:H61)</f>
        <v>700173.34</v>
      </c>
      <c r="J61" t="str">
        <f>IF($I$21=I61,"OK","REVISAR")</f>
        <v>OK</v>
      </c>
    </row>
    <row r="63" spans="2:20" x14ac:dyDescent="0.3">
      <c r="B63" s="4" t="s">
        <v>25</v>
      </c>
      <c r="C63" s="43">
        <f>C61</f>
        <v>6000</v>
      </c>
      <c r="D63" s="41">
        <f>C63+D61</f>
        <v>12000</v>
      </c>
      <c r="E63" s="41">
        <f>D63+E61</f>
        <v>18000</v>
      </c>
      <c r="F63" s="41">
        <f>E63+F61</f>
        <v>153900</v>
      </c>
      <c r="G63" s="41">
        <f>F63+G61</f>
        <v>270666.67</v>
      </c>
      <c r="H63" s="41">
        <f>G63+H61</f>
        <v>700173.34</v>
      </c>
      <c r="I63" s="42"/>
    </row>
  </sheetData>
  <mergeCells count="3">
    <mergeCell ref="F8:I8"/>
    <mergeCell ref="C5:H5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0"/>
  <sheetViews>
    <sheetView showGridLines="0" workbookViewId="0">
      <pane ySplit="7" topLeftCell="A8" activePane="bottomLeft" state="frozen"/>
      <selection pane="bottomLeft" sqref="A1:M2"/>
    </sheetView>
  </sheetViews>
  <sheetFormatPr baseColWidth="10" defaultRowHeight="14.4" x14ac:dyDescent="0.3"/>
  <cols>
    <col min="5" max="5" width="13.5546875" customWidth="1"/>
    <col min="6" max="6" width="14.77734375" customWidth="1"/>
    <col min="7" max="7" width="15.6640625" customWidth="1"/>
    <col min="10" max="10" width="14.33203125" customWidth="1"/>
  </cols>
  <sheetData>
    <row r="1" spans="1:13" ht="33" customHeight="1" x14ac:dyDescent="0.3">
      <c r="A1" s="92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30.6" customHeight="1" x14ac:dyDescent="0.3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ht="17.399999999999999" customHeight="1" x14ac:dyDescent="0.3">
      <c r="A4" s="42"/>
      <c r="B4" s="42"/>
      <c r="C4" s="88" t="s">
        <v>1881</v>
      </c>
      <c r="D4" s="78"/>
      <c r="E4" s="78"/>
      <c r="F4" s="78"/>
      <c r="G4" s="80" t="s">
        <v>1882</v>
      </c>
      <c r="H4" s="78"/>
      <c r="I4" s="78"/>
      <c r="J4" s="78"/>
      <c r="K4" s="42"/>
      <c r="L4" s="42"/>
      <c r="M4" s="42"/>
    </row>
    <row r="5" spans="1:13" ht="32.4" customHeight="1" x14ac:dyDescent="0.3">
      <c r="A5" s="42"/>
      <c r="B5" s="42"/>
      <c r="C5" s="87">
        <v>9721430.6400000006</v>
      </c>
      <c r="D5" s="78"/>
      <c r="E5" s="78"/>
      <c r="F5" s="78"/>
      <c r="G5" s="93">
        <v>42</v>
      </c>
      <c r="H5" s="78"/>
      <c r="I5" s="78"/>
      <c r="J5" s="78"/>
      <c r="K5" s="42"/>
      <c r="L5" s="42"/>
      <c r="M5" s="42"/>
    </row>
    <row r="6" spans="1:13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15.6" customHeight="1" x14ac:dyDescent="0.3">
      <c r="A7" s="91" t="s">
        <v>1883</v>
      </c>
      <c r="B7" s="78"/>
      <c r="C7" s="78"/>
      <c r="D7" s="78"/>
      <c r="E7" s="78"/>
      <c r="F7" s="89" t="s">
        <v>1881</v>
      </c>
      <c r="G7" s="78"/>
      <c r="H7" s="90">
        <v>1996680</v>
      </c>
      <c r="I7" s="78"/>
      <c r="J7" s="86" t="s">
        <v>1884</v>
      </c>
      <c r="K7" s="78"/>
      <c r="L7" s="86">
        <v>11</v>
      </c>
      <c r="M7" s="78"/>
    </row>
    <row r="8" spans="1:13" ht="28.8" customHeight="1" x14ac:dyDescent="0.3">
      <c r="A8" s="44" t="s">
        <v>1885</v>
      </c>
      <c r="B8" s="85" t="s">
        <v>1886</v>
      </c>
      <c r="C8" s="78"/>
      <c r="D8" s="78"/>
      <c r="E8" s="78"/>
      <c r="F8" s="44" t="s">
        <v>1887</v>
      </c>
      <c r="G8" s="44" t="s">
        <v>1888</v>
      </c>
      <c r="H8" s="44" t="s">
        <v>1889</v>
      </c>
      <c r="I8" s="44" t="s">
        <v>1890</v>
      </c>
      <c r="J8" s="85" t="s">
        <v>1891</v>
      </c>
      <c r="K8" s="78"/>
      <c r="L8" s="44" t="s">
        <v>10</v>
      </c>
      <c r="M8" s="44" t="s">
        <v>1892</v>
      </c>
    </row>
    <row r="9" spans="1:13" ht="28.8" customHeight="1" x14ac:dyDescent="0.3">
      <c r="A9" s="45">
        <v>1</v>
      </c>
      <c r="B9" s="83" t="s">
        <v>1829</v>
      </c>
      <c r="C9" s="78"/>
      <c r="D9" s="78"/>
      <c r="E9" s="78"/>
      <c r="F9" s="45" t="s">
        <v>1893</v>
      </c>
      <c r="G9" s="45" t="s">
        <v>23</v>
      </c>
      <c r="H9" s="46">
        <v>480000</v>
      </c>
      <c r="I9" s="46">
        <v>24000</v>
      </c>
      <c r="J9" s="82">
        <v>456000</v>
      </c>
      <c r="K9" s="78"/>
      <c r="L9" s="48">
        <v>0.95</v>
      </c>
      <c r="M9" s="47">
        <v>47</v>
      </c>
    </row>
    <row r="10" spans="1:13" ht="28.8" customHeight="1" x14ac:dyDescent="0.3">
      <c r="A10" s="49">
        <v>2</v>
      </c>
      <c r="B10" s="84" t="s">
        <v>1359</v>
      </c>
      <c r="C10" s="78"/>
      <c r="D10" s="78"/>
      <c r="E10" s="78"/>
      <c r="F10" s="49" t="s">
        <v>1894</v>
      </c>
      <c r="G10" s="49" t="s">
        <v>23</v>
      </c>
      <c r="H10" s="50">
        <v>486500</v>
      </c>
      <c r="I10" s="50">
        <v>48650</v>
      </c>
      <c r="J10" s="81">
        <v>437850</v>
      </c>
      <c r="K10" s="78"/>
      <c r="L10" s="52">
        <v>0.9</v>
      </c>
      <c r="M10" s="53">
        <v>28</v>
      </c>
    </row>
    <row r="11" spans="1:13" ht="28.8" customHeight="1" x14ac:dyDescent="0.3">
      <c r="A11" s="45">
        <v>3</v>
      </c>
      <c r="B11" s="83" t="s">
        <v>1046</v>
      </c>
      <c r="C11" s="78"/>
      <c r="D11" s="78"/>
      <c r="E11" s="78"/>
      <c r="F11" s="45" t="s">
        <v>1895</v>
      </c>
      <c r="G11" s="45" t="s">
        <v>24</v>
      </c>
      <c r="H11" s="46">
        <v>470500</v>
      </c>
      <c r="I11" s="46">
        <v>42000</v>
      </c>
      <c r="J11" s="82">
        <v>428500</v>
      </c>
      <c r="K11" s="78"/>
      <c r="L11" s="48">
        <v>0.91073326248671627</v>
      </c>
      <c r="M11" s="47">
        <v>184</v>
      </c>
    </row>
    <row r="12" spans="1:13" ht="28.8" customHeight="1" x14ac:dyDescent="0.3">
      <c r="A12" s="49">
        <v>4</v>
      </c>
      <c r="B12" s="84" t="s">
        <v>1613</v>
      </c>
      <c r="C12" s="78"/>
      <c r="D12" s="78"/>
      <c r="E12" s="78"/>
      <c r="F12" s="49" t="s">
        <v>1896</v>
      </c>
      <c r="G12" s="49" t="s">
        <v>24</v>
      </c>
      <c r="H12" s="50">
        <v>417700</v>
      </c>
      <c r="I12" s="50">
        <v>23770</v>
      </c>
      <c r="J12" s="81">
        <v>393930</v>
      </c>
      <c r="K12" s="78"/>
      <c r="L12" s="52">
        <v>0.94309312903998088</v>
      </c>
      <c r="M12" s="53">
        <v>16</v>
      </c>
    </row>
    <row r="13" spans="1:13" ht="28.8" customHeight="1" x14ac:dyDescent="0.3">
      <c r="A13" s="45">
        <v>5</v>
      </c>
      <c r="B13" s="83" t="s">
        <v>994</v>
      </c>
      <c r="C13" s="78"/>
      <c r="D13" s="78"/>
      <c r="E13" s="78"/>
      <c r="F13" s="45" t="s">
        <v>1897</v>
      </c>
      <c r="G13" s="45" t="s">
        <v>22</v>
      </c>
      <c r="H13" s="46">
        <v>660000</v>
      </c>
      <c r="I13" s="46">
        <v>500000</v>
      </c>
      <c r="J13" s="82">
        <v>160000</v>
      </c>
      <c r="K13" s="78"/>
      <c r="L13" s="48">
        <v>0.2424242424242424</v>
      </c>
      <c r="M13" s="47">
        <v>154</v>
      </c>
    </row>
    <row r="14" spans="1:13" ht="28.8" customHeight="1" x14ac:dyDescent="0.3">
      <c r="A14" s="49">
        <v>6</v>
      </c>
      <c r="B14" s="84" t="s">
        <v>292</v>
      </c>
      <c r="C14" s="78"/>
      <c r="D14" s="78"/>
      <c r="E14" s="78"/>
      <c r="F14" s="49" t="s">
        <v>1898</v>
      </c>
      <c r="G14" s="49" t="s">
        <v>22</v>
      </c>
      <c r="H14" s="50">
        <v>52000</v>
      </c>
      <c r="I14" s="50">
        <v>17000</v>
      </c>
      <c r="J14" s="81">
        <v>35000</v>
      </c>
      <c r="K14" s="78"/>
      <c r="L14" s="52">
        <v>0.67307692307692313</v>
      </c>
      <c r="M14" s="53">
        <v>31</v>
      </c>
    </row>
    <row r="15" spans="1:13" ht="28.8" customHeight="1" x14ac:dyDescent="0.3">
      <c r="A15" s="45">
        <v>7</v>
      </c>
      <c r="B15" s="83" t="s">
        <v>1789</v>
      </c>
      <c r="C15" s="78"/>
      <c r="D15" s="78"/>
      <c r="E15" s="78"/>
      <c r="F15" s="45" t="s">
        <v>1899</v>
      </c>
      <c r="G15" s="45" t="s">
        <v>24</v>
      </c>
      <c r="H15" s="46">
        <v>512000</v>
      </c>
      <c r="I15" s="46">
        <v>25600</v>
      </c>
      <c r="J15" s="82">
        <v>25600</v>
      </c>
      <c r="K15" s="78"/>
      <c r="L15" s="48">
        <v>0.05</v>
      </c>
      <c r="M15" s="47">
        <v>1</v>
      </c>
    </row>
    <row r="16" spans="1:13" ht="28.8" customHeight="1" x14ac:dyDescent="0.3">
      <c r="A16" s="49">
        <v>8</v>
      </c>
      <c r="B16" s="84" t="s">
        <v>799</v>
      </c>
      <c r="C16" s="78"/>
      <c r="D16" s="78"/>
      <c r="E16" s="78"/>
      <c r="F16" s="49" t="s">
        <v>1900</v>
      </c>
      <c r="G16" s="49" t="s">
        <v>22</v>
      </c>
      <c r="H16" s="50">
        <v>52000</v>
      </c>
      <c r="I16" s="50">
        <v>31600</v>
      </c>
      <c r="J16" s="81">
        <v>20400</v>
      </c>
      <c r="K16" s="78"/>
      <c r="L16" s="52">
        <v>0.3923076923076923</v>
      </c>
      <c r="M16" s="53">
        <v>62</v>
      </c>
    </row>
    <row r="17" spans="1:13" ht="28.8" customHeight="1" x14ac:dyDescent="0.3">
      <c r="A17" s="45">
        <v>9</v>
      </c>
      <c r="B17" s="83" t="s">
        <v>200</v>
      </c>
      <c r="C17" s="78"/>
      <c r="D17" s="78"/>
      <c r="E17" s="78"/>
      <c r="F17" s="45" t="s">
        <v>1901</v>
      </c>
      <c r="G17" s="45" t="s">
        <v>22</v>
      </c>
      <c r="H17" s="46">
        <v>57800</v>
      </c>
      <c r="I17" s="46">
        <v>20000</v>
      </c>
      <c r="J17" s="82">
        <v>18900</v>
      </c>
      <c r="K17" s="78"/>
      <c r="L17" s="48">
        <v>0.32698961937716259</v>
      </c>
      <c r="M17" s="47">
        <v>32</v>
      </c>
    </row>
    <row r="18" spans="1:13" ht="28.8" customHeight="1" x14ac:dyDescent="0.3">
      <c r="A18" s="49">
        <v>10</v>
      </c>
      <c r="B18" s="84" t="s">
        <v>721</v>
      </c>
      <c r="C18" s="78"/>
      <c r="D18" s="78"/>
      <c r="E18" s="78"/>
      <c r="F18" s="49" t="s">
        <v>1902</v>
      </c>
      <c r="G18" s="49" t="s">
        <v>22</v>
      </c>
      <c r="H18" s="50">
        <v>50500</v>
      </c>
      <c r="I18" s="50">
        <v>34500</v>
      </c>
      <c r="J18" s="81">
        <v>16000</v>
      </c>
      <c r="K18" s="78"/>
      <c r="L18" s="52">
        <v>0.31683168316831678</v>
      </c>
      <c r="M18" s="53">
        <v>0</v>
      </c>
    </row>
    <row r="19" spans="1:13" ht="28.8" customHeight="1" x14ac:dyDescent="0.3">
      <c r="A19" s="45">
        <v>11</v>
      </c>
      <c r="B19" s="83" t="s">
        <v>120</v>
      </c>
      <c r="C19" s="78"/>
      <c r="D19" s="78"/>
      <c r="E19" s="78"/>
      <c r="F19" s="45" t="s">
        <v>1903</v>
      </c>
      <c r="G19" s="45" t="s">
        <v>22</v>
      </c>
      <c r="H19" s="46">
        <v>56300</v>
      </c>
      <c r="I19" s="46">
        <v>51800</v>
      </c>
      <c r="J19" s="82">
        <v>4500</v>
      </c>
      <c r="K19" s="78"/>
      <c r="L19" s="48">
        <v>7.9928952042628773E-2</v>
      </c>
      <c r="M19" s="47">
        <v>32</v>
      </c>
    </row>
    <row r="20" spans="1:13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ht="15.6" customHeight="1" x14ac:dyDescent="0.3">
      <c r="A22" s="91" t="s">
        <v>1904</v>
      </c>
      <c r="B22" s="78"/>
      <c r="C22" s="78"/>
      <c r="D22" s="78"/>
      <c r="E22" s="78"/>
      <c r="F22" s="89" t="s">
        <v>1881</v>
      </c>
      <c r="G22" s="78"/>
      <c r="H22" s="90">
        <v>7024577.2999999998</v>
      </c>
      <c r="I22" s="78"/>
      <c r="J22" s="86" t="s">
        <v>1884</v>
      </c>
      <c r="K22" s="78"/>
      <c r="L22" s="86">
        <v>25</v>
      </c>
      <c r="M22" s="78"/>
    </row>
    <row r="23" spans="1:13" ht="28.8" customHeight="1" x14ac:dyDescent="0.3">
      <c r="A23" s="44" t="s">
        <v>1885</v>
      </c>
      <c r="B23" s="85" t="s">
        <v>1886</v>
      </c>
      <c r="C23" s="78"/>
      <c r="D23" s="78"/>
      <c r="E23" s="78"/>
      <c r="F23" s="44" t="s">
        <v>1887</v>
      </c>
      <c r="G23" s="44" t="s">
        <v>1888</v>
      </c>
      <c r="H23" s="44" t="s">
        <v>1889</v>
      </c>
      <c r="I23" s="44" t="s">
        <v>1890</v>
      </c>
      <c r="J23" s="85" t="s">
        <v>1891</v>
      </c>
      <c r="K23" s="78"/>
      <c r="L23" s="44" t="s">
        <v>10</v>
      </c>
      <c r="M23" s="44" t="s">
        <v>1892</v>
      </c>
    </row>
    <row r="24" spans="1:13" ht="28.8" customHeight="1" x14ac:dyDescent="0.3">
      <c r="A24" s="45">
        <v>1</v>
      </c>
      <c r="B24" s="83" t="s">
        <v>1799</v>
      </c>
      <c r="C24" s="78"/>
      <c r="D24" s="78"/>
      <c r="E24" s="78"/>
      <c r="F24" s="45" t="s">
        <v>1905</v>
      </c>
      <c r="G24" s="45" t="s">
        <v>23</v>
      </c>
      <c r="H24" s="46">
        <v>942700</v>
      </c>
      <c r="I24" s="46">
        <v>94270</v>
      </c>
      <c r="J24" s="82">
        <v>848430</v>
      </c>
      <c r="K24" s="78"/>
      <c r="L24" s="48">
        <v>0.9</v>
      </c>
      <c r="M24" s="47">
        <v>93</v>
      </c>
    </row>
    <row r="25" spans="1:13" ht="28.8" customHeight="1" x14ac:dyDescent="0.3">
      <c r="A25" s="49">
        <v>2</v>
      </c>
      <c r="B25" s="84" t="s">
        <v>342</v>
      </c>
      <c r="C25" s="78"/>
      <c r="D25" s="78"/>
      <c r="E25" s="78"/>
      <c r="F25" s="49" t="s">
        <v>1906</v>
      </c>
      <c r="G25" s="49" t="s">
        <v>24</v>
      </c>
      <c r="H25" s="50">
        <v>577000</v>
      </c>
      <c r="I25" s="50">
        <v>92400</v>
      </c>
      <c r="J25" s="81">
        <v>484600</v>
      </c>
      <c r="K25" s="78"/>
      <c r="L25" s="52">
        <v>0.83986135181975741</v>
      </c>
      <c r="M25" s="53">
        <v>54</v>
      </c>
    </row>
    <row r="26" spans="1:13" ht="28.8" customHeight="1" x14ac:dyDescent="0.3">
      <c r="A26" s="45">
        <v>3</v>
      </c>
      <c r="B26" s="83" t="s">
        <v>1056</v>
      </c>
      <c r="C26" s="78"/>
      <c r="D26" s="78"/>
      <c r="E26" s="78"/>
      <c r="F26" s="45" t="s">
        <v>1907</v>
      </c>
      <c r="G26" s="45" t="s">
        <v>24</v>
      </c>
      <c r="H26" s="46">
        <v>518500</v>
      </c>
      <c r="I26" s="46">
        <v>39725</v>
      </c>
      <c r="J26" s="82">
        <v>478775</v>
      </c>
      <c r="K26" s="78"/>
      <c r="L26" s="48">
        <v>0.9233847637415622</v>
      </c>
      <c r="M26" s="47">
        <v>212</v>
      </c>
    </row>
    <row r="27" spans="1:13" ht="28.8" customHeight="1" x14ac:dyDescent="0.3">
      <c r="A27" s="49">
        <v>4</v>
      </c>
      <c r="B27" s="84" t="s">
        <v>763</v>
      </c>
      <c r="C27" s="78"/>
      <c r="D27" s="78"/>
      <c r="E27" s="78"/>
      <c r="F27" s="49" t="s">
        <v>1908</v>
      </c>
      <c r="G27" s="49" t="s">
        <v>23</v>
      </c>
      <c r="H27" s="50">
        <v>470000</v>
      </c>
      <c r="I27" s="50">
        <v>3000</v>
      </c>
      <c r="J27" s="81">
        <v>467000</v>
      </c>
      <c r="K27" s="78"/>
      <c r="L27" s="52">
        <v>0.99361702127659579</v>
      </c>
      <c r="M27" s="53">
        <v>169</v>
      </c>
    </row>
    <row r="28" spans="1:13" ht="28.8" customHeight="1" x14ac:dyDescent="0.3">
      <c r="A28" s="45">
        <v>5</v>
      </c>
      <c r="B28" s="83" t="s">
        <v>829</v>
      </c>
      <c r="C28" s="78"/>
      <c r="D28" s="78"/>
      <c r="E28" s="78"/>
      <c r="F28" s="45" t="s">
        <v>1909</v>
      </c>
      <c r="G28" s="45" t="s">
        <v>24</v>
      </c>
      <c r="H28" s="46">
        <v>458000</v>
      </c>
      <c r="I28" s="46">
        <v>22900</v>
      </c>
      <c r="J28" s="82">
        <v>435100</v>
      </c>
      <c r="K28" s="78"/>
      <c r="L28" s="48">
        <v>0.95</v>
      </c>
      <c r="M28" s="47">
        <v>54</v>
      </c>
    </row>
    <row r="29" spans="1:13" ht="28.8" customHeight="1" x14ac:dyDescent="0.3">
      <c r="A29" s="49">
        <v>6</v>
      </c>
      <c r="B29" s="84" t="s">
        <v>671</v>
      </c>
      <c r="C29" s="78"/>
      <c r="D29" s="78"/>
      <c r="E29" s="78"/>
      <c r="F29" s="49" t="s">
        <v>1910</v>
      </c>
      <c r="G29" s="49" t="s">
        <v>24</v>
      </c>
      <c r="H29" s="50">
        <v>524500</v>
      </c>
      <c r="I29" s="50">
        <v>104900</v>
      </c>
      <c r="J29" s="81">
        <v>419600</v>
      </c>
      <c r="K29" s="78"/>
      <c r="L29" s="52">
        <v>0.8</v>
      </c>
      <c r="M29" s="53">
        <v>31</v>
      </c>
    </row>
    <row r="30" spans="1:13" ht="28.8" customHeight="1" x14ac:dyDescent="0.3">
      <c r="A30" s="45">
        <v>7</v>
      </c>
      <c r="B30" s="83" t="s">
        <v>585</v>
      </c>
      <c r="C30" s="78"/>
      <c r="D30" s="78"/>
      <c r="E30" s="78"/>
      <c r="F30" s="45" t="s">
        <v>1911</v>
      </c>
      <c r="G30" s="45" t="s">
        <v>24</v>
      </c>
      <c r="H30" s="46">
        <v>521800</v>
      </c>
      <c r="I30" s="46">
        <v>104360</v>
      </c>
      <c r="J30" s="82">
        <v>417440</v>
      </c>
      <c r="K30" s="78"/>
      <c r="L30" s="48">
        <v>0.8</v>
      </c>
      <c r="M30" s="47">
        <v>37</v>
      </c>
    </row>
    <row r="31" spans="1:13" ht="28.8" customHeight="1" x14ac:dyDescent="0.3">
      <c r="A31" s="49">
        <v>8</v>
      </c>
      <c r="B31" s="84" t="s">
        <v>753</v>
      </c>
      <c r="C31" s="78"/>
      <c r="D31" s="78"/>
      <c r="E31" s="78"/>
      <c r="F31" s="49" t="s">
        <v>1912</v>
      </c>
      <c r="G31" s="49" t="s">
        <v>23</v>
      </c>
      <c r="H31" s="50">
        <v>450000</v>
      </c>
      <c r="I31" s="50">
        <v>45000</v>
      </c>
      <c r="J31" s="81">
        <v>405000</v>
      </c>
      <c r="K31" s="78"/>
      <c r="L31" s="52">
        <v>0.9</v>
      </c>
      <c r="M31" s="53">
        <v>62</v>
      </c>
    </row>
    <row r="32" spans="1:13" ht="28.8" customHeight="1" x14ac:dyDescent="0.3">
      <c r="A32" s="45">
        <v>9</v>
      </c>
      <c r="B32" s="83" t="s">
        <v>936</v>
      </c>
      <c r="C32" s="78"/>
      <c r="D32" s="78"/>
      <c r="E32" s="78"/>
      <c r="F32" s="45" t="s">
        <v>1913</v>
      </c>
      <c r="G32" s="45" t="s">
        <v>23</v>
      </c>
      <c r="H32" s="46">
        <v>495000</v>
      </c>
      <c r="I32" s="46">
        <v>99000</v>
      </c>
      <c r="J32" s="82">
        <v>396000</v>
      </c>
      <c r="K32" s="78"/>
      <c r="L32" s="48">
        <v>0.8</v>
      </c>
      <c r="M32" s="47">
        <v>31</v>
      </c>
    </row>
    <row r="33" spans="1:13" ht="28.8" customHeight="1" x14ac:dyDescent="0.3">
      <c r="A33" s="49">
        <v>10</v>
      </c>
      <c r="B33" s="84" t="s">
        <v>899</v>
      </c>
      <c r="C33" s="78"/>
      <c r="D33" s="78"/>
      <c r="E33" s="78"/>
      <c r="F33" s="49" t="s">
        <v>1914</v>
      </c>
      <c r="G33" s="49" t="s">
        <v>24</v>
      </c>
      <c r="H33" s="50">
        <v>430000</v>
      </c>
      <c r="I33" s="50">
        <v>43000</v>
      </c>
      <c r="J33" s="81">
        <v>387000</v>
      </c>
      <c r="K33" s="78"/>
      <c r="L33" s="52">
        <v>0.9</v>
      </c>
      <c r="M33" s="53">
        <v>31</v>
      </c>
    </row>
    <row r="34" spans="1:13" ht="28.8" customHeight="1" x14ac:dyDescent="0.3">
      <c r="A34" s="45">
        <v>11</v>
      </c>
      <c r="B34" s="83" t="s">
        <v>1574</v>
      </c>
      <c r="C34" s="78"/>
      <c r="D34" s="78"/>
      <c r="E34" s="78"/>
      <c r="F34" s="45" t="s">
        <v>1915</v>
      </c>
      <c r="G34" s="45" t="s">
        <v>24</v>
      </c>
      <c r="H34" s="46">
        <v>400000</v>
      </c>
      <c r="I34" s="46">
        <v>23000</v>
      </c>
      <c r="J34" s="82">
        <v>377000</v>
      </c>
      <c r="K34" s="78"/>
      <c r="L34" s="48">
        <v>0.9425</v>
      </c>
      <c r="M34" s="47">
        <v>16</v>
      </c>
    </row>
    <row r="35" spans="1:13" ht="28.8" customHeight="1" x14ac:dyDescent="0.3">
      <c r="A35" s="49">
        <v>12</v>
      </c>
      <c r="B35" s="84" t="s">
        <v>1070</v>
      </c>
      <c r="C35" s="78"/>
      <c r="D35" s="78"/>
      <c r="E35" s="78"/>
      <c r="F35" s="49" t="s">
        <v>1916</v>
      </c>
      <c r="G35" s="49" t="s">
        <v>23</v>
      </c>
      <c r="H35" s="50">
        <v>382000</v>
      </c>
      <c r="I35" s="50">
        <v>38200</v>
      </c>
      <c r="J35" s="81">
        <v>343800</v>
      </c>
      <c r="K35" s="78"/>
      <c r="L35" s="52">
        <v>0.9</v>
      </c>
      <c r="M35" s="53">
        <v>181</v>
      </c>
    </row>
    <row r="36" spans="1:13" ht="28.8" customHeight="1" x14ac:dyDescent="0.3">
      <c r="A36" s="45">
        <v>13</v>
      </c>
      <c r="B36" s="83" t="s">
        <v>642</v>
      </c>
      <c r="C36" s="78"/>
      <c r="D36" s="78"/>
      <c r="E36" s="78"/>
      <c r="F36" s="45" t="s">
        <v>1917</v>
      </c>
      <c r="G36" s="45" t="s">
        <v>24</v>
      </c>
      <c r="H36" s="46">
        <v>504700</v>
      </c>
      <c r="I36" s="46">
        <v>186000</v>
      </c>
      <c r="J36" s="82">
        <v>318700</v>
      </c>
      <c r="K36" s="78"/>
      <c r="L36" s="48">
        <v>0.63146423617990888</v>
      </c>
      <c r="M36" s="47">
        <v>62</v>
      </c>
    </row>
    <row r="37" spans="1:13" ht="28.8" customHeight="1" x14ac:dyDescent="0.3">
      <c r="A37" s="49">
        <v>14</v>
      </c>
      <c r="B37" s="84" t="s">
        <v>509</v>
      </c>
      <c r="C37" s="78"/>
      <c r="D37" s="78"/>
      <c r="E37" s="78"/>
      <c r="F37" s="49" t="s">
        <v>1918</v>
      </c>
      <c r="G37" s="49" t="s">
        <v>24</v>
      </c>
      <c r="H37" s="50">
        <v>381000</v>
      </c>
      <c r="I37" s="50">
        <v>64000</v>
      </c>
      <c r="J37" s="81">
        <v>317000</v>
      </c>
      <c r="K37" s="78"/>
      <c r="L37" s="52">
        <v>0.83202099737532809</v>
      </c>
      <c r="M37" s="53">
        <v>62</v>
      </c>
    </row>
    <row r="38" spans="1:13" ht="28.8" customHeight="1" x14ac:dyDescent="0.3">
      <c r="A38" s="45">
        <v>15</v>
      </c>
      <c r="B38" s="83" t="s">
        <v>1531</v>
      </c>
      <c r="C38" s="78"/>
      <c r="D38" s="78"/>
      <c r="E38" s="78"/>
      <c r="F38" s="45" t="s">
        <v>1919</v>
      </c>
      <c r="G38" s="45" t="s">
        <v>24</v>
      </c>
      <c r="H38" s="46">
        <v>495000</v>
      </c>
      <c r="I38" s="46">
        <v>48880</v>
      </c>
      <c r="J38" s="82">
        <v>198620</v>
      </c>
      <c r="K38" s="78"/>
      <c r="L38" s="48">
        <v>0.40125252525252519</v>
      </c>
      <c r="M38" s="47">
        <v>77</v>
      </c>
    </row>
    <row r="39" spans="1:13" ht="28.8" customHeight="1" x14ac:dyDescent="0.3">
      <c r="A39" s="49">
        <v>16</v>
      </c>
      <c r="B39" s="84" t="s">
        <v>350</v>
      </c>
      <c r="C39" s="78"/>
      <c r="D39" s="78"/>
      <c r="E39" s="78"/>
      <c r="F39" s="49" t="s">
        <v>1920</v>
      </c>
      <c r="G39" s="49" t="s">
        <v>24</v>
      </c>
      <c r="H39" s="50">
        <v>265000</v>
      </c>
      <c r="I39" s="50">
        <v>68600</v>
      </c>
      <c r="J39" s="81">
        <v>196400</v>
      </c>
      <c r="K39" s="78"/>
      <c r="L39" s="52">
        <v>0.74113207547169813</v>
      </c>
      <c r="M39" s="53">
        <v>122</v>
      </c>
    </row>
    <row r="40" spans="1:13" ht="28.8" customHeight="1" x14ac:dyDescent="0.3">
      <c r="A40" s="45">
        <v>17</v>
      </c>
      <c r="B40" s="83" t="s">
        <v>170</v>
      </c>
      <c r="C40" s="78"/>
      <c r="D40" s="78"/>
      <c r="E40" s="78"/>
      <c r="F40" s="45" t="s">
        <v>1921</v>
      </c>
      <c r="G40" s="45" t="s">
        <v>22</v>
      </c>
      <c r="H40" s="46">
        <v>561500</v>
      </c>
      <c r="I40" s="46">
        <v>366605.7</v>
      </c>
      <c r="J40" s="82">
        <v>194894.3</v>
      </c>
      <c r="K40" s="78"/>
      <c r="L40" s="48">
        <v>0.34709581478183438</v>
      </c>
      <c r="M40" s="47">
        <v>280</v>
      </c>
    </row>
    <row r="41" spans="1:13" ht="28.8" customHeight="1" x14ac:dyDescent="0.3">
      <c r="A41" s="49">
        <v>18</v>
      </c>
      <c r="B41" s="84" t="s">
        <v>1249</v>
      </c>
      <c r="C41" s="78"/>
      <c r="D41" s="78"/>
      <c r="E41" s="78"/>
      <c r="F41" s="49" t="s">
        <v>1922</v>
      </c>
      <c r="G41" s="49" t="s">
        <v>23</v>
      </c>
      <c r="H41" s="50">
        <v>521500</v>
      </c>
      <c r="I41" s="50">
        <v>90500</v>
      </c>
      <c r="J41" s="81">
        <v>107750</v>
      </c>
      <c r="K41" s="78"/>
      <c r="L41" s="52">
        <v>0.20661553211888781</v>
      </c>
      <c r="M41" s="53">
        <v>153</v>
      </c>
    </row>
    <row r="42" spans="1:13" ht="28.8" customHeight="1" x14ac:dyDescent="0.3">
      <c r="A42" s="45">
        <v>19</v>
      </c>
      <c r="B42" s="83" t="s">
        <v>1176</v>
      </c>
      <c r="C42" s="78"/>
      <c r="D42" s="78"/>
      <c r="E42" s="78"/>
      <c r="F42" s="45" t="s">
        <v>1923</v>
      </c>
      <c r="G42" s="45" t="s">
        <v>22</v>
      </c>
      <c r="H42" s="46">
        <v>370000</v>
      </c>
      <c r="I42" s="46">
        <v>30000</v>
      </c>
      <c r="J42" s="82">
        <v>99500</v>
      </c>
      <c r="K42" s="78"/>
      <c r="L42" s="48">
        <v>0.26891891891891889</v>
      </c>
      <c r="M42" s="47">
        <v>31</v>
      </c>
    </row>
    <row r="43" spans="1:13" ht="28.8" customHeight="1" x14ac:dyDescent="0.3">
      <c r="A43" s="49">
        <v>20</v>
      </c>
      <c r="B43" s="84" t="s">
        <v>1426</v>
      </c>
      <c r="C43" s="78"/>
      <c r="D43" s="78"/>
      <c r="E43" s="78"/>
      <c r="F43" s="49" t="s">
        <v>1924</v>
      </c>
      <c r="G43" s="49" t="s">
        <v>24</v>
      </c>
      <c r="H43" s="50">
        <v>483000</v>
      </c>
      <c r="I43" s="50">
        <v>10000</v>
      </c>
      <c r="J43" s="81">
        <v>55000</v>
      </c>
      <c r="K43" s="78"/>
      <c r="L43" s="52">
        <v>0.11387163561076601</v>
      </c>
      <c r="M43" s="53">
        <v>0</v>
      </c>
    </row>
    <row r="44" spans="1:13" ht="28.8" customHeight="1" x14ac:dyDescent="0.3">
      <c r="A44" s="45">
        <v>21</v>
      </c>
      <c r="B44" s="83" t="s">
        <v>977</v>
      </c>
      <c r="C44" s="78"/>
      <c r="D44" s="78"/>
      <c r="E44" s="78"/>
      <c r="F44" s="45" t="s">
        <v>1925</v>
      </c>
      <c r="G44" s="45" t="s">
        <v>22</v>
      </c>
      <c r="H44" s="46">
        <v>538700</v>
      </c>
      <c r="I44" s="46">
        <v>517532</v>
      </c>
      <c r="J44" s="82">
        <v>21168</v>
      </c>
      <c r="K44" s="78"/>
      <c r="L44" s="48">
        <v>3.9294598106552822E-2</v>
      </c>
      <c r="M44" s="47">
        <v>6</v>
      </c>
    </row>
    <row r="45" spans="1:13" ht="28.8" customHeight="1" x14ac:dyDescent="0.3">
      <c r="A45" s="49">
        <v>22</v>
      </c>
      <c r="B45" s="84" t="s">
        <v>1346</v>
      </c>
      <c r="C45" s="78"/>
      <c r="D45" s="78"/>
      <c r="E45" s="78"/>
      <c r="F45" s="49" t="s">
        <v>1926</v>
      </c>
      <c r="G45" s="49" t="s">
        <v>24</v>
      </c>
      <c r="H45" s="50">
        <v>448500</v>
      </c>
      <c r="I45" s="50">
        <v>33000</v>
      </c>
      <c r="J45" s="81">
        <v>17000</v>
      </c>
      <c r="K45" s="78"/>
      <c r="L45" s="52">
        <v>3.79041248606466E-2</v>
      </c>
      <c r="M45" s="53">
        <v>0</v>
      </c>
    </row>
    <row r="46" spans="1:13" ht="28.8" customHeight="1" x14ac:dyDescent="0.3">
      <c r="A46" s="45">
        <v>23</v>
      </c>
      <c r="B46" s="83" t="s">
        <v>1215</v>
      </c>
      <c r="C46" s="78"/>
      <c r="D46" s="78"/>
      <c r="E46" s="78"/>
      <c r="F46" s="45" t="s">
        <v>1927</v>
      </c>
      <c r="G46" s="45" t="s">
        <v>24</v>
      </c>
      <c r="H46" s="46">
        <v>493000</v>
      </c>
      <c r="I46" s="46">
        <v>180400</v>
      </c>
      <c r="J46" s="82">
        <v>16800</v>
      </c>
      <c r="K46" s="78"/>
      <c r="L46" s="48">
        <v>3.4077079107505071E-2</v>
      </c>
      <c r="M46" s="47">
        <v>1</v>
      </c>
    </row>
    <row r="47" spans="1:13" ht="28.8" customHeight="1" x14ac:dyDescent="0.3">
      <c r="A47" s="49">
        <v>24</v>
      </c>
      <c r="B47" s="84" t="s">
        <v>1638</v>
      </c>
      <c r="C47" s="78"/>
      <c r="D47" s="78"/>
      <c r="E47" s="78"/>
      <c r="F47" s="49" t="s">
        <v>1928</v>
      </c>
      <c r="G47" s="49" t="s">
        <v>22</v>
      </c>
      <c r="H47" s="50">
        <v>412200</v>
      </c>
      <c r="I47" s="50">
        <v>180270</v>
      </c>
      <c r="J47" s="81">
        <v>12000</v>
      </c>
      <c r="K47" s="78"/>
      <c r="L47" s="52">
        <v>2.9112081513828238E-2</v>
      </c>
      <c r="M47" s="53">
        <v>1</v>
      </c>
    </row>
    <row r="48" spans="1:13" ht="28.8" customHeight="1" x14ac:dyDescent="0.3">
      <c r="A48" s="45">
        <v>25</v>
      </c>
      <c r="B48" s="83" t="s">
        <v>1296</v>
      </c>
      <c r="C48" s="78"/>
      <c r="D48" s="78"/>
      <c r="E48" s="78"/>
      <c r="F48" s="45" t="s">
        <v>1929</v>
      </c>
      <c r="G48" s="45" t="s">
        <v>22</v>
      </c>
      <c r="H48" s="46">
        <v>467100</v>
      </c>
      <c r="I48" s="46">
        <v>149470</v>
      </c>
      <c r="J48" s="82">
        <v>10000</v>
      </c>
      <c r="K48" s="78"/>
      <c r="L48" s="48">
        <v>2.140869192892314E-2</v>
      </c>
      <c r="M48" s="47">
        <v>1</v>
      </c>
    </row>
    <row r="49" spans="1:13" x14ac:dyDescent="0.3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3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ht="15.6" customHeight="1" x14ac:dyDescent="0.3">
      <c r="A51" s="91" t="s">
        <v>1930</v>
      </c>
      <c r="B51" s="78"/>
      <c r="C51" s="78"/>
      <c r="D51" s="78"/>
      <c r="E51" s="78"/>
      <c r="F51" s="89" t="s">
        <v>1881</v>
      </c>
      <c r="G51" s="78"/>
      <c r="H51" s="90">
        <v>700173.34</v>
      </c>
      <c r="I51" s="78"/>
      <c r="J51" s="86" t="s">
        <v>1884</v>
      </c>
      <c r="K51" s="78"/>
      <c r="L51" s="86">
        <v>6</v>
      </c>
      <c r="M51" s="78"/>
    </row>
    <row r="52" spans="1:13" ht="28.8" customHeight="1" x14ac:dyDescent="0.3">
      <c r="A52" s="44" t="s">
        <v>1885</v>
      </c>
      <c r="B52" s="85" t="s">
        <v>1886</v>
      </c>
      <c r="C52" s="78"/>
      <c r="D52" s="78"/>
      <c r="E52" s="78"/>
      <c r="F52" s="44" t="s">
        <v>1887</v>
      </c>
      <c r="G52" s="44" t="s">
        <v>1888</v>
      </c>
      <c r="H52" s="44" t="s">
        <v>1889</v>
      </c>
      <c r="I52" s="44" t="s">
        <v>1890</v>
      </c>
      <c r="J52" s="85" t="s">
        <v>1891</v>
      </c>
      <c r="K52" s="78"/>
      <c r="L52" s="44" t="s">
        <v>10</v>
      </c>
      <c r="M52" s="44" t="s">
        <v>1892</v>
      </c>
    </row>
    <row r="53" spans="1:13" ht="28.8" customHeight="1" x14ac:dyDescent="0.3">
      <c r="A53" s="45">
        <v>1</v>
      </c>
      <c r="B53" s="83" t="s">
        <v>922</v>
      </c>
      <c r="C53" s="78"/>
      <c r="D53" s="78"/>
      <c r="E53" s="78"/>
      <c r="F53" s="45" t="s">
        <v>1931</v>
      </c>
      <c r="G53" s="45" t="s">
        <v>23</v>
      </c>
      <c r="H53" s="46">
        <v>432800</v>
      </c>
      <c r="I53" s="46">
        <v>86560</v>
      </c>
      <c r="J53" s="82">
        <v>346240</v>
      </c>
      <c r="K53" s="78"/>
      <c r="L53" s="48">
        <v>0.8</v>
      </c>
      <c r="M53" s="47">
        <v>1</v>
      </c>
    </row>
    <row r="54" spans="1:13" ht="28.8" customHeight="1" x14ac:dyDescent="0.3">
      <c r="A54" s="49">
        <v>2</v>
      </c>
      <c r="B54" s="84" t="s">
        <v>1022</v>
      </c>
      <c r="C54" s="78"/>
      <c r="D54" s="78"/>
      <c r="E54" s="78"/>
      <c r="F54" s="49" t="s">
        <v>1932</v>
      </c>
      <c r="G54" s="49" t="s">
        <v>22</v>
      </c>
      <c r="H54" s="50">
        <v>624000</v>
      </c>
      <c r="I54" s="50">
        <v>67300</v>
      </c>
      <c r="J54" s="81">
        <v>168433.34</v>
      </c>
      <c r="K54" s="78"/>
      <c r="L54" s="52">
        <v>0.26992522435897431</v>
      </c>
      <c r="M54" s="53">
        <v>31</v>
      </c>
    </row>
    <row r="55" spans="1:13" ht="28.8" customHeight="1" x14ac:dyDescent="0.3">
      <c r="A55" s="45">
        <v>3</v>
      </c>
      <c r="B55" s="83" t="s">
        <v>1841</v>
      </c>
      <c r="C55" s="78"/>
      <c r="D55" s="78"/>
      <c r="E55" s="78"/>
      <c r="F55" s="45" t="s">
        <v>1933</v>
      </c>
      <c r="G55" s="45" t="s">
        <v>24</v>
      </c>
      <c r="H55" s="46">
        <v>623000</v>
      </c>
      <c r="I55" s="46">
        <v>10000</v>
      </c>
      <c r="J55" s="82">
        <v>75300</v>
      </c>
      <c r="K55" s="78"/>
      <c r="L55" s="48">
        <v>0.1208667736757624</v>
      </c>
      <c r="M55" s="47">
        <v>24</v>
      </c>
    </row>
    <row r="56" spans="1:13" ht="28.8" customHeight="1" x14ac:dyDescent="0.3">
      <c r="A56" s="49">
        <v>4</v>
      </c>
      <c r="B56" s="84" t="s">
        <v>1700</v>
      </c>
      <c r="C56" s="78"/>
      <c r="D56" s="78"/>
      <c r="E56" s="78"/>
      <c r="F56" s="49" t="s">
        <v>1918</v>
      </c>
      <c r="G56" s="49" t="s">
        <v>24</v>
      </c>
      <c r="H56" s="50">
        <v>600000</v>
      </c>
      <c r="I56" s="50">
        <v>20000</v>
      </c>
      <c r="J56" s="81">
        <v>40000</v>
      </c>
      <c r="K56" s="78"/>
      <c r="L56" s="52">
        <v>6.6666666666666666E-2</v>
      </c>
      <c r="M56" s="53">
        <v>32</v>
      </c>
    </row>
    <row r="57" spans="1:13" ht="28.8" customHeight="1" x14ac:dyDescent="0.3">
      <c r="A57" s="45">
        <v>5</v>
      </c>
      <c r="B57" s="83" t="s">
        <v>953</v>
      </c>
      <c r="C57" s="78"/>
      <c r="D57" s="78"/>
      <c r="E57" s="78"/>
      <c r="F57" s="45" t="s">
        <v>1934</v>
      </c>
      <c r="G57" s="45" t="s">
        <v>22</v>
      </c>
      <c r="H57" s="46">
        <v>595800</v>
      </c>
      <c r="I57" s="46">
        <v>279800</v>
      </c>
      <c r="J57" s="82">
        <v>36000</v>
      </c>
      <c r="K57" s="78"/>
      <c r="L57" s="48">
        <v>6.0422960725075532E-2</v>
      </c>
      <c r="M57" s="47">
        <v>78</v>
      </c>
    </row>
    <row r="58" spans="1:13" ht="28.8" customHeight="1" x14ac:dyDescent="0.3">
      <c r="A58" s="49">
        <v>6</v>
      </c>
      <c r="B58" s="84" t="s">
        <v>1398</v>
      </c>
      <c r="C58" s="78"/>
      <c r="D58" s="78"/>
      <c r="E58" s="78"/>
      <c r="F58" s="49" t="s">
        <v>1935</v>
      </c>
      <c r="G58" s="49" t="s">
        <v>24</v>
      </c>
      <c r="H58" s="50">
        <v>561000</v>
      </c>
      <c r="I58" s="50">
        <v>21900</v>
      </c>
      <c r="J58" s="81">
        <v>34200</v>
      </c>
      <c r="K58" s="78"/>
      <c r="L58" s="52">
        <v>6.0962566844919783E-2</v>
      </c>
      <c r="M58" s="53">
        <v>31</v>
      </c>
    </row>
    <row r="59" spans="1:13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</sheetData>
  <mergeCells count="110">
    <mergeCell ref="G5:J5"/>
    <mergeCell ref="J17:K17"/>
    <mergeCell ref="A1:M2"/>
    <mergeCell ref="J14:K14"/>
    <mergeCell ref="B30:E30"/>
    <mergeCell ref="A51:E51"/>
    <mergeCell ref="J37:K37"/>
    <mergeCell ref="J13:K13"/>
    <mergeCell ref="J30:K30"/>
    <mergeCell ref="A7:E7"/>
    <mergeCell ref="J15:K15"/>
    <mergeCell ref="F51:G51"/>
    <mergeCell ref="H51:I51"/>
    <mergeCell ref="B46:E46"/>
    <mergeCell ref="L51:M51"/>
    <mergeCell ref="H7:I7"/>
    <mergeCell ref="J32:K32"/>
    <mergeCell ref="J7:K7"/>
    <mergeCell ref="B48:E48"/>
    <mergeCell ref="J41:K41"/>
    <mergeCell ref="J47:K47"/>
    <mergeCell ref="B8:E8"/>
    <mergeCell ref="J43:K43"/>
    <mergeCell ref="J18:K18"/>
    <mergeCell ref="J33:K33"/>
    <mergeCell ref="B10:E10"/>
    <mergeCell ref="B56:E56"/>
    <mergeCell ref="B43:E43"/>
    <mergeCell ref="B58:E58"/>
    <mergeCell ref="J16:K16"/>
    <mergeCell ref="B52:E52"/>
    <mergeCell ref="J25:K25"/>
    <mergeCell ref="F22:G22"/>
    <mergeCell ref="H22:I22"/>
    <mergeCell ref="A22:E22"/>
    <mergeCell ref="B42:E42"/>
    <mergeCell ref="B17:E17"/>
    <mergeCell ref="B57:E57"/>
    <mergeCell ref="B44:E44"/>
    <mergeCell ref="J42:K42"/>
    <mergeCell ref="B19:E19"/>
    <mergeCell ref="B34:E34"/>
    <mergeCell ref="B28:E28"/>
    <mergeCell ref="J52:K52"/>
    <mergeCell ref="J39:K39"/>
    <mergeCell ref="J44:K44"/>
    <mergeCell ref="J55:K55"/>
    <mergeCell ref="J54:K54"/>
    <mergeCell ref="J56:K56"/>
    <mergeCell ref="J29:K29"/>
    <mergeCell ref="J38:K38"/>
    <mergeCell ref="B15:E15"/>
    <mergeCell ref="B55:E55"/>
    <mergeCell ref="B24:E24"/>
    <mergeCell ref="F7:G7"/>
    <mergeCell ref="J40:K40"/>
    <mergeCell ref="J24:K24"/>
    <mergeCell ref="B54:E54"/>
    <mergeCell ref="J26:K26"/>
    <mergeCell ref="J35:K35"/>
    <mergeCell ref="B9:E9"/>
    <mergeCell ref="J8:K8"/>
    <mergeCell ref="J58:K58"/>
    <mergeCell ref="B40:E40"/>
    <mergeCell ref="L7:M7"/>
    <mergeCell ref="B33:E33"/>
    <mergeCell ref="J57:K57"/>
    <mergeCell ref="B32:E32"/>
    <mergeCell ref="B26:E26"/>
    <mergeCell ref="B41:E41"/>
    <mergeCell ref="J34:K34"/>
    <mergeCell ref="B35:E35"/>
    <mergeCell ref="B16:E16"/>
    <mergeCell ref="B25:E25"/>
    <mergeCell ref="J27:K27"/>
    <mergeCell ref="J36:K36"/>
    <mergeCell ref="B18:E18"/>
    <mergeCell ref="B27:E27"/>
    <mergeCell ref="J11:K11"/>
    <mergeCell ref="B11:E11"/>
    <mergeCell ref="J22:K22"/>
    <mergeCell ref="L22:M22"/>
    <mergeCell ref="J12:K12"/>
    <mergeCell ref="B53:E53"/>
    <mergeCell ref="J46:K46"/>
    <mergeCell ref="J51:K51"/>
    <mergeCell ref="G4:J4"/>
    <mergeCell ref="J10:K10"/>
    <mergeCell ref="J19:K19"/>
    <mergeCell ref="J28:K28"/>
    <mergeCell ref="B36:E36"/>
    <mergeCell ref="J9:K9"/>
    <mergeCell ref="B45:E45"/>
    <mergeCell ref="J53:K53"/>
    <mergeCell ref="B47:E47"/>
    <mergeCell ref="J45:K45"/>
    <mergeCell ref="B31:E31"/>
    <mergeCell ref="B12:E12"/>
    <mergeCell ref="B39:E39"/>
    <mergeCell ref="J31:K31"/>
    <mergeCell ref="B14:E14"/>
    <mergeCell ref="B23:E23"/>
    <mergeCell ref="B13:E13"/>
    <mergeCell ref="B38:E38"/>
    <mergeCell ref="J23:K23"/>
    <mergeCell ref="C5:F5"/>
    <mergeCell ref="C4:F4"/>
    <mergeCell ref="B29:E29"/>
    <mergeCell ref="B37:E37"/>
    <mergeCell ref="J48:K48"/>
  </mergeCells>
  <conditionalFormatting sqref="J9:J19">
    <cfRule type="dataBar" priority="1">
      <dataBar>
        <cfvo type="num" val="0"/>
        <cfvo type="num" val="456000"/>
        <color rgb="FFE73349"/>
      </dataBar>
    </cfRule>
  </conditionalFormatting>
  <conditionalFormatting sqref="J24:J48">
    <cfRule type="dataBar" priority="2">
      <dataBar>
        <cfvo type="num" val="0"/>
        <cfvo type="num" val="848430"/>
        <color rgb="FFE73349"/>
      </dataBar>
    </cfRule>
  </conditionalFormatting>
  <conditionalFormatting sqref="J53:J58">
    <cfRule type="dataBar" priority="3">
      <dataBar>
        <cfvo type="num" val="0"/>
        <cfvo type="num" val="346240"/>
        <color rgb="FFE73349"/>
      </dataBar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showGridLines="0" workbookViewId="0">
      <pane ySplit="4" topLeftCell="A5" activePane="bottomLeft" state="frozen"/>
      <selection pane="bottomLeft" sqref="A1:P2"/>
    </sheetView>
  </sheetViews>
  <sheetFormatPr baseColWidth="10" defaultRowHeight="14.4" x14ac:dyDescent="0.3"/>
  <sheetData>
    <row r="1" spans="1:16" ht="34.200000000000003" customHeight="1" x14ac:dyDescent="0.3">
      <c r="A1" s="92" t="s">
        <v>1936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6" ht="29.4" customHeight="1" x14ac:dyDescent="0.3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3" spans="1:16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28.8" customHeight="1" x14ac:dyDescent="0.3">
      <c r="A4" s="54" t="s">
        <v>1885</v>
      </c>
      <c r="B4" s="100" t="s">
        <v>1886</v>
      </c>
      <c r="C4" s="78"/>
      <c r="D4" s="78"/>
      <c r="E4" s="100" t="s">
        <v>28</v>
      </c>
      <c r="F4" s="78"/>
      <c r="G4" s="100" t="s">
        <v>1937</v>
      </c>
      <c r="H4" s="78"/>
      <c r="I4" s="100" t="s">
        <v>1938</v>
      </c>
      <c r="J4" s="78"/>
      <c r="K4" s="100" t="s">
        <v>1939</v>
      </c>
      <c r="L4" s="78"/>
      <c r="M4" s="54" t="s">
        <v>1940</v>
      </c>
      <c r="N4" s="54" t="s">
        <v>1941</v>
      </c>
      <c r="O4" s="100" t="s">
        <v>10</v>
      </c>
      <c r="P4" s="78"/>
    </row>
    <row r="5" spans="1:16" ht="28.8" customHeight="1" x14ac:dyDescent="0.3">
      <c r="A5" s="55">
        <v>1</v>
      </c>
      <c r="B5" s="94" t="s">
        <v>1799</v>
      </c>
      <c r="C5" s="78"/>
      <c r="D5" s="78"/>
      <c r="E5" s="94" t="s">
        <v>1879</v>
      </c>
      <c r="F5" s="78"/>
      <c r="G5" s="94" t="s">
        <v>23</v>
      </c>
      <c r="H5" s="78"/>
      <c r="I5" s="99">
        <v>942700</v>
      </c>
      <c r="J5" s="78"/>
      <c r="K5" s="99">
        <v>848430</v>
      </c>
      <c r="L5" s="78"/>
      <c r="M5" s="56">
        <v>93</v>
      </c>
      <c r="N5" s="57" t="s">
        <v>1905</v>
      </c>
      <c r="O5" s="96">
        <v>0.9</v>
      </c>
      <c r="P5" s="78"/>
    </row>
    <row r="6" spans="1:16" ht="28.8" customHeight="1" x14ac:dyDescent="0.3">
      <c r="A6" s="58">
        <v>2</v>
      </c>
      <c r="B6" s="95" t="s">
        <v>342</v>
      </c>
      <c r="C6" s="78"/>
      <c r="D6" s="78"/>
      <c r="E6" s="95" t="s">
        <v>1879</v>
      </c>
      <c r="F6" s="78"/>
      <c r="G6" s="95" t="s">
        <v>24</v>
      </c>
      <c r="H6" s="78"/>
      <c r="I6" s="97">
        <v>577000</v>
      </c>
      <c r="J6" s="78"/>
      <c r="K6" s="97">
        <v>484600</v>
      </c>
      <c r="L6" s="78"/>
      <c r="M6" s="59">
        <v>54</v>
      </c>
      <c r="N6" s="60" t="s">
        <v>1906</v>
      </c>
      <c r="O6" s="98">
        <v>0.83986135181975741</v>
      </c>
      <c r="P6" s="78"/>
    </row>
    <row r="7" spans="1:16" ht="28.8" customHeight="1" x14ac:dyDescent="0.3">
      <c r="A7" s="55">
        <v>3</v>
      </c>
      <c r="B7" s="94" t="s">
        <v>1056</v>
      </c>
      <c r="C7" s="78"/>
      <c r="D7" s="78"/>
      <c r="E7" s="94" t="s">
        <v>1879</v>
      </c>
      <c r="F7" s="78"/>
      <c r="G7" s="94" t="s">
        <v>24</v>
      </c>
      <c r="H7" s="78"/>
      <c r="I7" s="99">
        <v>518500</v>
      </c>
      <c r="J7" s="78"/>
      <c r="K7" s="99">
        <v>478775</v>
      </c>
      <c r="L7" s="78"/>
      <c r="M7" s="56">
        <v>212</v>
      </c>
      <c r="N7" s="57" t="s">
        <v>1907</v>
      </c>
      <c r="O7" s="96">
        <v>0.9233847637415622</v>
      </c>
      <c r="P7" s="78"/>
    </row>
    <row r="8" spans="1:16" ht="28.8" customHeight="1" x14ac:dyDescent="0.3">
      <c r="A8" s="58">
        <v>4</v>
      </c>
      <c r="B8" s="95" t="s">
        <v>763</v>
      </c>
      <c r="C8" s="78"/>
      <c r="D8" s="78"/>
      <c r="E8" s="95" t="s">
        <v>1879</v>
      </c>
      <c r="F8" s="78"/>
      <c r="G8" s="95" t="s">
        <v>23</v>
      </c>
      <c r="H8" s="78"/>
      <c r="I8" s="97">
        <v>470000</v>
      </c>
      <c r="J8" s="78"/>
      <c r="K8" s="97">
        <v>467000</v>
      </c>
      <c r="L8" s="78"/>
      <c r="M8" s="59">
        <v>169</v>
      </c>
      <c r="N8" s="60" t="s">
        <v>1908</v>
      </c>
      <c r="O8" s="98">
        <v>0.99361702127659579</v>
      </c>
      <c r="P8" s="78"/>
    </row>
    <row r="9" spans="1:16" ht="28.8" customHeight="1" x14ac:dyDescent="0.3">
      <c r="A9" s="55">
        <v>5</v>
      </c>
      <c r="B9" s="94" t="s">
        <v>1829</v>
      </c>
      <c r="C9" s="78"/>
      <c r="D9" s="78"/>
      <c r="E9" s="94" t="s">
        <v>1</v>
      </c>
      <c r="F9" s="78"/>
      <c r="G9" s="94" t="s">
        <v>23</v>
      </c>
      <c r="H9" s="78"/>
      <c r="I9" s="99">
        <v>480000</v>
      </c>
      <c r="J9" s="78"/>
      <c r="K9" s="99">
        <v>456000</v>
      </c>
      <c r="L9" s="78"/>
      <c r="M9" s="56">
        <v>47</v>
      </c>
      <c r="N9" s="57" t="s">
        <v>1893</v>
      </c>
      <c r="O9" s="96">
        <v>0.95</v>
      </c>
      <c r="P9" s="78"/>
    </row>
    <row r="10" spans="1:16" ht="28.8" customHeight="1" x14ac:dyDescent="0.3">
      <c r="A10" s="58">
        <v>6</v>
      </c>
      <c r="B10" s="95" t="s">
        <v>1359</v>
      </c>
      <c r="C10" s="78"/>
      <c r="D10" s="78"/>
      <c r="E10" s="95" t="s">
        <v>1</v>
      </c>
      <c r="F10" s="78"/>
      <c r="G10" s="95" t="s">
        <v>23</v>
      </c>
      <c r="H10" s="78"/>
      <c r="I10" s="97">
        <v>486500</v>
      </c>
      <c r="J10" s="78"/>
      <c r="K10" s="97">
        <v>437850</v>
      </c>
      <c r="L10" s="78"/>
      <c r="M10" s="59">
        <v>28</v>
      </c>
      <c r="N10" s="60" t="s">
        <v>1894</v>
      </c>
      <c r="O10" s="98">
        <v>0.9</v>
      </c>
      <c r="P10" s="78"/>
    </row>
    <row r="11" spans="1:16" ht="28.8" customHeight="1" x14ac:dyDescent="0.3">
      <c r="A11" s="55">
        <v>7</v>
      </c>
      <c r="B11" s="94" t="s">
        <v>829</v>
      </c>
      <c r="C11" s="78"/>
      <c r="D11" s="78"/>
      <c r="E11" s="94" t="s">
        <v>1879</v>
      </c>
      <c r="F11" s="78"/>
      <c r="G11" s="94" t="s">
        <v>24</v>
      </c>
      <c r="H11" s="78"/>
      <c r="I11" s="99">
        <v>458000</v>
      </c>
      <c r="J11" s="78"/>
      <c r="K11" s="99">
        <v>435100</v>
      </c>
      <c r="L11" s="78"/>
      <c r="M11" s="56">
        <v>54</v>
      </c>
      <c r="N11" s="57" t="s">
        <v>1909</v>
      </c>
      <c r="O11" s="96">
        <v>0.95</v>
      </c>
      <c r="P11" s="78"/>
    </row>
    <row r="12" spans="1:16" ht="28.8" customHeight="1" x14ac:dyDescent="0.3">
      <c r="A12" s="58">
        <v>8</v>
      </c>
      <c r="B12" s="95" t="s">
        <v>1046</v>
      </c>
      <c r="C12" s="78"/>
      <c r="D12" s="78"/>
      <c r="E12" s="95" t="s">
        <v>1</v>
      </c>
      <c r="F12" s="78"/>
      <c r="G12" s="95" t="s">
        <v>24</v>
      </c>
      <c r="H12" s="78"/>
      <c r="I12" s="97">
        <v>470500</v>
      </c>
      <c r="J12" s="78"/>
      <c r="K12" s="97">
        <v>428500</v>
      </c>
      <c r="L12" s="78"/>
      <c r="M12" s="59">
        <v>184</v>
      </c>
      <c r="N12" s="60" t="s">
        <v>1895</v>
      </c>
      <c r="O12" s="98">
        <v>0.91073326248671627</v>
      </c>
      <c r="P12" s="78"/>
    </row>
    <row r="13" spans="1:16" ht="28.8" customHeight="1" x14ac:dyDescent="0.3">
      <c r="A13" s="55">
        <v>9</v>
      </c>
      <c r="B13" s="94" t="s">
        <v>671</v>
      </c>
      <c r="C13" s="78"/>
      <c r="D13" s="78"/>
      <c r="E13" s="94" t="s">
        <v>1879</v>
      </c>
      <c r="F13" s="78"/>
      <c r="G13" s="94" t="s">
        <v>24</v>
      </c>
      <c r="H13" s="78"/>
      <c r="I13" s="99">
        <v>524500</v>
      </c>
      <c r="J13" s="78"/>
      <c r="K13" s="99">
        <v>419600</v>
      </c>
      <c r="L13" s="78"/>
      <c r="M13" s="56">
        <v>31</v>
      </c>
      <c r="N13" s="57" t="s">
        <v>1910</v>
      </c>
      <c r="O13" s="96">
        <v>0.8</v>
      </c>
      <c r="P13" s="78"/>
    </row>
    <row r="14" spans="1:16" ht="28.8" customHeight="1" x14ac:dyDescent="0.3">
      <c r="A14" s="58">
        <v>10</v>
      </c>
      <c r="B14" s="95" t="s">
        <v>585</v>
      </c>
      <c r="C14" s="78"/>
      <c r="D14" s="78"/>
      <c r="E14" s="95" t="s">
        <v>1879</v>
      </c>
      <c r="F14" s="78"/>
      <c r="G14" s="95" t="s">
        <v>24</v>
      </c>
      <c r="H14" s="78"/>
      <c r="I14" s="97">
        <v>521800</v>
      </c>
      <c r="J14" s="78"/>
      <c r="K14" s="97">
        <v>417440</v>
      </c>
      <c r="L14" s="78"/>
      <c r="M14" s="59">
        <v>37</v>
      </c>
      <c r="N14" s="60" t="s">
        <v>1911</v>
      </c>
      <c r="O14" s="98">
        <v>0.8</v>
      </c>
      <c r="P14" s="78"/>
    </row>
    <row r="15" spans="1:16" ht="28.8" customHeight="1" x14ac:dyDescent="0.3">
      <c r="A15" s="55">
        <v>11</v>
      </c>
      <c r="B15" s="94" t="s">
        <v>753</v>
      </c>
      <c r="C15" s="78"/>
      <c r="D15" s="78"/>
      <c r="E15" s="94" t="s">
        <v>1879</v>
      </c>
      <c r="F15" s="78"/>
      <c r="G15" s="94" t="s">
        <v>23</v>
      </c>
      <c r="H15" s="78"/>
      <c r="I15" s="99">
        <v>450000</v>
      </c>
      <c r="J15" s="78"/>
      <c r="K15" s="99">
        <v>405000</v>
      </c>
      <c r="L15" s="78"/>
      <c r="M15" s="56">
        <v>62</v>
      </c>
      <c r="N15" s="57" t="s">
        <v>1912</v>
      </c>
      <c r="O15" s="96">
        <v>0.9</v>
      </c>
      <c r="P15" s="78"/>
    </row>
    <row r="16" spans="1:16" ht="28.8" customHeight="1" x14ac:dyDescent="0.3">
      <c r="A16" s="58">
        <v>12</v>
      </c>
      <c r="B16" s="95" t="s">
        <v>936</v>
      </c>
      <c r="C16" s="78"/>
      <c r="D16" s="78"/>
      <c r="E16" s="95" t="s">
        <v>1879</v>
      </c>
      <c r="F16" s="78"/>
      <c r="G16" s="95" t="s">
        <v>23</v>
      </c>
      <c r="H16" s="78"/>
      <c r="I16" s="97">
        <v>495000</v>
      </c>
      <c r="J16" s="78"/>
      <c r="K16" s="97">
        <v>396000</v>
      </c>
      <c r="L16" s="78"/>
      <c r="M16" s="59">
        <v>31</v>
      </c>
      <c r="N16" s="60" t="s">
        <v>1913</v>
      </c>
      <c r="O16" s="98">
        <v>0.8</v>
      </c>
      <c r="P16" s="78"/>
    </row>
    <row r="17" spans="1:16" ht="28.8" customHeight="1" x14ac:dyDescent="0.3">
      <c r="A17" s="55">
        <v>13</v>
      </c>
      <c r="B17" s="94" t="s">
        <v>1613</v>
      </c>
      <c r="C17" s="78"/>
      <c r="D17" s="78"/>
      <c r="E17" s="94" t="s">
        <v>1</v>
      </c>
      <c r="F17" s="78"/>
      <c r="G17" s="94" t="s">
        <v>24</v>
      </c>
      <c r="H17" s="78"/>
      <c r="I17" s="99">
        <v>417700</v>
      </c>
      <c r="J17" s="78"/>
      <c r="K17" s="99">
        <v>393930</v>
      </c>
      <c r="L17" s="78"/>
      <c r="M17" s="56">
        <v>16</v>
      </c>
      <c r="N17" s="57" t="s">
        <v>1896</v>
      </c>
      <c r="O17" s="96">
        <v>0.94309312903998088</v>
      </c>
      <c r="P17" s="78"/>
    </row>
    <row r="18" spans="1:16" ht="28.8" customHeight="1" x14ac:dyDescent="0.3">
      <c r="A18" s="58">
        <v>14</v>
      </c>
      <c r="B18" s="95" t="s">
        <v>899</v>
      </c>
      <c r="C18" s="78"/>
      <c r="D18" s="78"/>
      <c r="E18" s="95" t="s">
        <v>1879</v>
      </c>
      <c r="F18" s="78"/>
      <c r="G18" s="95" t="s">
        <v>24</v>
      </c>
      <c r="H18" s="78"/>
      <c r="I18" s="97">
        <v>430000</v>
      </c>
      <c r="J18" s="78"/>
      <c r="K18" s="97">
        <v>387000</v>
      </c>
      <c r="L18" s="78"/>
      <c r="M18" s="59">
        <v>31</v>
      </c>
      <c r="N18" s="60" t="s">
        <v>1914</v>
      </c>
      <c r="O18" s="98">
        <v>0.9</v>
      </c>
      <c r="P18" s="78"/>
    </row>
    <row r="19" spans="1:16" ht="28.8" customHeight="1" x14ac:dyDescent="0.3">
      <c r="A19" s="55">
        <v>15</v>
      </c>
      <c r="B19" s="94" t="s">
        <v>1574</v>
      </c>
      <c r="C19" s="78"/>
      <c r="D19" s="78"/>
      <c r="E19" s="94" t="s">
        <v>1879</v>
      </c>
      <c r="F19" s="78"/>
      <c r="G19" s="94" t="s">
        <v>24</v>
      </c>
      <c r="H19" s="78"/>
      <c r="I19" s="99">
        <v>400000</v>
      </c>
      <c r="J19" s="78"/>
      <c r="K19" s="99">
        <v>377000</v>
      </c>
      <c r="L19" s="78"/>
      <c r="M19" s="56">
        <v>16</v>
      </c>
      <c r="N19" s="57" t="s">
        <v>1915</v>
      </c>
      <c r="O19" s="96">
        <v>0.9425</v>
      </c>
      <c r="P19" s="78"/>
    </row>
    <row r="20" spans="1:16" ht="28.8" customHeight="1" x14ac:dyDescent="0.3">
      <c r="A20" s="58">
        <v>16</v>
      </c>
      <c r="B20" s="95" t="s">
        <v>922</v>
      </c>
      <c r="C20" s="78"/>
      <c r="D20" s="78"/>
      <c r="E20" s="95" t="s">
        <v>1880</v>
      </c>
      <c r="F20" s="78"/>
      <c r="G20" s="95" t="s">
        <v>23</v>
      </c>
      <c r="H20" s="78"/>
      <c r="I20" s="97">
        <v>432800</v>
      </c>
      <c r="J20" s="78"/>
      <c r="K20" s="97">
        <v>346240</v>
      </c>
      <c r="L20" s="78"/>
      <c r="M20" s="59">
        <v>1</v>
      </c>
      <c r="N20" s="60" t="s">
        <v>1931</v>
      </c>
      <c r="O20" s="98">
        <v>0.8</v>
      </c>
      <c r="P20" s="78"/>
    </row>
    <row r="21" spans="1:16" ht="28.8" customHeight="1" x14ac:dyDescent="0.3">
      <c r="A21" s="55">
        <v>17</v>
      </c>
      <c r="B21" s="94" t="s">
        <v>1070</v>
      </c>
      <c r="C21" s="78"/>
      <c r="D21" s="78"/>
      <c r="E21" s="94" t="s">
        <v>1879</v>
      </c>
      <c r="F21" s="78"/>
      <c r="G21" s="94" t="s">
        <v>23</v>
      </c>
      <c r="H21" s="78"/>
      <c r="I21" s="99">
        <v>382000</v>
      </c>
      <c r="J21" s="78"/>
      <c r="K21" s="99">
        <v>343800</v>
      </c>
      <c r="L21" s="78"/>
      <c r="M21" s="56">
        <v>181</v>
      </c>
      <c r="N21" s="57" t="s">
        <v>1916</v>
      </c>
      <c r="O21" s="96">
        <v>0.9</v>
      </c>
      <c r="P21" s="78"/>
    </row>
    <row r="22" spans="1:16" ht="28.8" customHeight="1" x14ac:dyDescent="0.3">
      <c r="A22" s="58">
        <v>18</v>
      </c>
      <c r="B22" s="95" t="s">
        <v>642</v>
      </c>
      <c r="C22" s="78"/>
      <c r="D22" s="78"/>
      <c r="E22" s="95" t="s">
        <v>1879</v>
      </c>
      <c r="F22" s="78"/>
      <c r="G22" s="95" t="s">
        <v>24</v>
      </c>
      <c r="H22" s="78"/>
      <c r="I22" s="97">
        <v>504700</v>
      </c>
      <c r="J22" s="78"/>
      <c r="K22" s="97">
        <v>318700</v>
      </c>
      <c r="L22" s="78"/>
      <c r="M22" s="59">
        <v>62</v>
      </c>
      <c r="N22" s="60" t="s">
        <v>1917</v>
      </c>
      <c r="O22" s="98">
        <v>0.63146423617990888</v>
      </c>
      <c r="P22" s="78"/>
    </row>
    <row r="23" spans="1:16" ht="28.8" customHeight="1" x14ac:dyDescent="0.3">
      <c r="A23" s="55">
        <v>19</v>
      </c>
      <c r="B23" s="94" t="s">
        <v>509</v>
      </c>
      <c r="C23" s="78"/>
      <c r="D23" s="78"/>
      <c r="E23" s="94" t="s">
        <v>1879</v>
      </c>
      <c r="F23" s="78"/>
      <c r="G23" s="94" t="s">
        <v>24</v>
      </c>
      <c r="H23" s="78"/>
      <c r="I23" s="99">
        <v>381000</v>
      </c>
      <c r="J23" s="78"/>
      <c r="K23" s="99">
        <v>317000</v>
      </c>
      <c r="L23" s="78"/>
      <c r="M23" s="56">
        <v>62</v>
      </c>
      <c r="N23" s="57" t="s">
        <v>1918</v>
      </c>
      <c r="O23" s="96">
        <v>0.83202099737532809</v>
      </c>
      <c r="P23" s="78"/>
    </row>
    <row r="24" spans="1:16" ht="28.8" customHeight="1" x14ac:dyDescent="0.3">
      <c r="A24" s="58">
        <v>20</v>
      </c>
      <c r="B24" s="95" t="s">
        <v>1531</v>
      </c>
      <c r="C24" s="78"/>
      <c r="D24" s="78"/>
      <c r="E24" s="95" t="s">
        <v>1879</v>
      </c>
      <c r="F24" s="78"/>
      <c r="G24" s="95" t="s">
        <v>24</v>
      </c>
      <c r="H24" s="78"/>
      <c r="I24" s="97">
        <v>495000</v>
      </c>
      <c r="J24" s="78"/>
      <c r="K24" s="97">
        <v>198620</v>
      </c>
      <c r="L24" s="78"/>
      <c r="M24" s="59">
        <v>77</v>
      </c>
      <c r="N24" s="60" t="s">
        <v>1919</v>
      </c>
      <c r="O24" s="98">
        <v>0.40125252525252519</v>
      </c>
      <c r="P24" s="78"/>
    </row>
    <row r="25" spans="1:16" ht="28.8" customHeight="1" x14ac:dyDescent="0.3">
      <c r="A25" s="55">
        <v>21</v>
      </c>
      <c r="B25" s="94" t="s">
        <v>350</v>
      </c>
      <c r="C25" s="78"/>
      <c r="D25" s="78"/>
      <c r="E25" s="94" t="s">
        <v>1879</v>
      </c>
      <c r="F25" s="78"/>
      <c r="G25" s="94" t="s">
        <v>24</v>
      </c>
      <c r="H25" s="78"/>
      <c r="I25" s="99">
        <v>265000</v>
      </c>
      <c r="J25" s="78"/>
      <c r="K25" s="99">
        <v>196400</v>
      </c>
      <c r="L25" s="78"/>
      <c r="M25" s="56">
        <v>122</v>
      </c>
      <c r="N25" s="57" t="s">
        <v>1920</v>
      </c>
      <c r="O25" s="96">
        <v>0.74113207547169813</v>
      </c>
      <c r="P25" s="78"/>
    </row>
    <row r="26" spans="1:16" ht="28.8" customHeight="1" x14ac:dyDescent="0.3">
      <c r="A26" s="58">
        <v>22</v>
      </c>
      <c r="B26" s="95" t="s">
        <v>170</v>
      </c>
      <c r="C26" s="78"/>
      <c r="D26" s="78"/>
      <c r="E26" s="95" t="s">
        <v>1879</v>
      </c>
      <c r="F26" s="78"/>
      <c r="G26" s="95" t="s">
        <v>22</v>
      </c>
      <c r="H26" s="78"/>
      <c r="I26" s="97">
        <v>561500</v>
      </c>
      <c r="J26" s="78"/>
      <c r="K26" s="97">
        <v>194894.3</v>
      </c>
      <c r="L26" s="78"/>
      <c r="M26" s="59">
        <v>280</v>
      </c>
      <c r="N26" s="60" t="s">
        <v>1921</v>
      </c>
      <c r="O26" s="98">
        <v>0.34709581478183438</v>
      </c>
      <c r="P26" s="78"/>
    </row>
    <row r="27" spans="1:16" ht="28.8" customHeight="1" x14ac:dyDescent="0.3">
      <c r="A27" s="55">
        <v>23</v>
      </c>
      <c r="B27" s="94" t="s">
        <v>1022</v>
      </c>
      <c r="C27" s="78"/>
      <c r="D27" s="78"/>
      <c r="E27" s="94" t="s">
        <v>1880</v>
      </c>
      <c r="F27" s="78"/>
      <c r="G27" s="94" t="s">
        <v>22</v>
      </c>
      <c r="H27" s="78"/>
      <c r="I27" s="99">
        <v>624000</v>
      </c>
      <c r="J27" s="78"/>
      <c r="K27" s="99">
        <v>168433.34</v>
      </c>
      <c r="L27" s="78"/>
      <c r="M27" s="56">
        <v>31</v>
      </c>
      <c r="N27" s="57" t="s">
        <v>1932</v>
      </c>
      <c r="O27" s="96">
        <v>0.26992522435897431</v>
      </c>
      <c r="P27" s="78"/>
    </row>
    <row r="28" spans="1:16" ht="28.8" customHeight="1" x14ac:dyDescent="0.3">
      <c r="A28" s="58">
        <v>24</v>
      </c>
      <c r="B28" s="95" t="s">
        <v>994</v>
      </c>
      <c r="C28" s="78"/>
      <c r="D28" s="78"/>
      <c r="E28" s="95" t="s">
        <v>1</v>
      </c>
      <c r="F28" s="78"/>
      <c r="G28" s="95" t="s">
        <v>22</v>
      </c>
      <c r="H28" s="78"/>
      <c r="I28" s="97">
        <v>660000</v>
      </c>
      <c r="J28" s="78"/>
      <c r="K28" s="97">
        <v>160000</v>
      </c>
      <c r="L28" s="78"/>
      <c r="M28" s="59">
        <v>154</v>
      </c>
      <c r="N28" s="60" t="s">
        <v>1897</v>
      </c>
      <c r="O28" s="98">
        <v>0.2424242424242424</v>
      </c>
      <c r="P28" s="78"/>
    </row>
    <row r="29" spans="1:16" ht="28.8" customHeight="1" x14ac:dyDescent="0.3">
      <c r="A29" s="55">
        <v>25</v>
      </c>
      <c r="B29" s="94" t="s">
        <v>1249</v>
      </c>
      <c r="C29" s="78"/>
      <c r="D29" s="78"/>
      <c r="E29" s="94" t="s">
        <v>1879</v>
      </c>
      <c r="F29" s="78"/>
      <c r="G29" s="94" t="s">
        <v>23</v>
      </c>
      <c r="H29" s="78"/>
      <c r="I29" s="99">
        <v>521500</v>
      </c>
      <c r="J29" s="78"/>
      <c r="K29" s="99">
        <v>107750</v>
      </c>
      <c r="L29" s="78"/>
      <c r="M29" s="56">
        <v>153</v>
      </c>
      <c r="N29" s="57" t="s">
        <v>1922</v>
      </c>
      <c r="O29" s="96">
        <v>0.20661553211888781</v>
      </c>
      <c r="P29" s="78"/>
    </row>
    <row r="30" spans="1:16" ht="28.8" customHeight="1" x14ac:dyDescent="0.3">
      <c r="A30" s="58">
        <v>26</v>
      </c>
      <c r="B30" s="95" t="s">
        <v>1176</v>
      </c>
      <c r="C30" s="78"/>
      <c r="D30" s="78"/>
      <c r="E30" s="95" t="s">
        <v>1879</v>
      </c>
      <c r="F30" s="78"/>
      <c r="G30" s="95" t="s">
        <v>22</v>
      </c>
      <c r="H30" s="78"/>
      <c r="I30" s="97">
        <v>370000</v>
      </c>
      <c r="J30" s="78"/>
      <c r="K30" s="97">
        <v>99500</v>
      </c>
      <c r="L30" s="78"/>
      <c r="M30" s="59">
        <v>31</v>
      </c>
      <c r="N30" s="60" t="s">
        <v>1923</v>
      </c>
      <c r="O30" s="98">
        <v>0.26891891891891889</v>
      </c>
      <c r="P30" s="78"/>
    </row>
    <row r="31" spans="1:16" ht="28.8" customHeight="1" x14ac:dyDescent="0.3">
      <c r="A31" s="55">
        <v>27</v>
      </c>
      <c r="B31" s="94" t="s">
        <v>1841</v>
      </c>
      <c r="C31" s="78"/>
      <c r="D31" s="78"/>
      <c r="E31" s="94" t="s">
        <v>1880</v>
      </c>
      <c r="F31" s="78"/>
      <c r="G31" s="94" t="s">
        <v>24</v>
      </c>
      <c r="H31" s="78"/>
      <c r="I31" s="99">
        <v>623000</v>
      </c>
      <c r="J31" s="78"/>
      <c r="K31" s="99">
        <v>75300</v>
      </c>
      <c r="L31" s="78"/>
      <c r="M31" s="56">
        <v>24</v>
      </c>
      <c r="N31" s="57" t="s">
        <v>1933</v>
      </c>
      <c r="O31" s="96">
        <v>0.1208667736757624</v>
      </c>
      <c r="P31" s="78"/>
    </row>
    <row r="32" spans="1:16" ht="28.8" customHeight="1" x14ac:dyDescent="0.3">
      <c r="A32" s="58">
        <v>28</v>
      </c>
      <c r="B32" s="95" t="s">
        <v>1426</v>
      </c>
      <c r="C32" s="78"/>
      <c r="D32" s="78"/>
      <c r="E32" s="95" t="s">
        <v>1879</v>
      </c>
      <c r="F32" s="78"/>
      <c r="G32" s="95" t="s">
        <v>24</v>
      </c>
      <c r="H32" s="78"/>
      <c r="I32" s="97">
        <v>483000</v>
      </c>
      <c r="J32" s="78"/>
      <c r="K32" s="97">
        <v>55000</v>
      </c>
      <c r="L32" s="78"/>
      <c r="M32" s="59">
        <v>0</v>
      </c>
      <c r="N32" s="60" t="s">
        <v>1924</v>
      </c>
      <c r="O32" s="98">
        <v>0.11387163561076601</v>
      </c>
      <c r="P32" s="78"/>
    </row>
    <row r="33" spans="1:16" ht="28.8" customHeight="1" x14ac:dyDescent="0.3">
      <c r="A33" s="55">
        <v>29</v>
      </c>
      <c r="B33" s="94" t="s">
        <v>1700</v>
      </c>
      <c r="C33" s="78"/>
      <c r="D33" s="78"/>
      <c r="E33" s="94" t="s">
        <v>1880</v>
      </c>
      <c r="F33" s="78"/>
      <c r="G33" s="94" t="s">
        <v>24</v>
      </c>
      <c r="H33" s="78"/>
      <c r="I33" s="99">
        <v>600000</v>
      </c>
      <c r="J33" s="78"/>
      <c r="K33" s="99">
        <v>40000</v>
      </c>
      <c r="L33" s="78"/>
      <c r="M33" s="56">
        <v>32</v>
      </c>
      <c r="N33" s="57" t="s">
        <v>1918</v>
      </c>
      <c r="O33" s="96">
        <v>6.6666666666666666E-2</v>
      </c>
      <c r="P33" s="78"/>
    </row>
    <row r="34" spans="1:16" ht="28.8" customHeight="1" x14ac:dyDescent="0.3">
      <c r="A34" s="58">
        <v>30</v>
      </c>
      <c r="B34" s="95" t="s">
        <v>953</v>
      </c>
      <c r="C34" s="78"/>
      <c r="D34" s="78"/>
      <c r="E34" s="95" t="s">
        <v>1880</v>
      </c>
      <c r="F34" s="78"/>
      <c r="G34" s="95" t="s">
        <v>22</v>
      </c>
      <c r="H34" s="78"/>
      <c r="I34" s="97">
        <v>595800</v>
      </c>
      <c r="J34" s="78"/>
      <c r="K34" s="97">
        <v>36000</v>
      </c>
      <c r="L34" s="78"/>
      <c r="M34" s="59">
        <v>78</v>
      </c>
      <c r="N34" s="60" t="s">
        <v>1934</v>
      </c>
      <c r="O34" s="98">
        <v>6.0422960725075532E-2</v>
      </c>
      <c r="P34" s="78"/>
    </row>
    <row r="35" spans="1:16" ht="28.8" customHeight="1" x14ac:dyDescent="0.3">
      <c r="A35" s="55">
        <v>31</v>
      </c>
      <c r="B35" s="94" t="s">
        <v>292</v>
      </c>
      <c r="C35" s="78"/>
      <c r="D35" s="78"/>
      <c r="E35" s="94" t="s">
        <v>1</v>
      </c>
      <c r="F35" s="78"/>
      <c r="G35" s="94" t="s">
        <v>22</v>
      </c>
      <c r="H35" s="78"/>
      <c r="I35" s="99">
        <v>52000</v>
      </c>
      <c r="J35" s="78"/>
      <c r="K35" s="99">
        <v>35000</v>
      </c>
      <c r="L35" s="78"/>
      <c r="M35" s="56">
        <v>31</v>
      </c>
      <c r="N35" s="57" t="s">
        <v>1898</v>
      </c>
      <c r="O35" s="96">
        <v>0.67307692307692313</v>
      </c>
      <c r="P35" s="78"/>
    </row>
    <row r="36" spans="1:16" ht="28.8" customHeight="1" x14ac:dyDescent="0.3">
      <c r="A36" s="58">
        <v>32</v>
      </c>
      <c r="B36" s="95" t="s">
        <v>1398</v>
      </c>
      <c r="C36" s="78"/>
      <c r="D36" s="78"/>
      <c r="E36" s="95" t="s">
        <v>1880</v>
      </c>
      <c r="F36" s="78"/>
      <c r="G36" s="95" t="s">
        <v>24</v>
      </c>
      <c r="H36" s="78"/>
      <c r="I36" s="97">
        <v>561000</v>
      </c>
      <c r="J36" s="78"/>
      <c r="K36" s="97">
        <v>34200</v>
      </c>
      <c r="L36" s="78"/>
      <c r="M36" s="59">
        <v>31</v>
      </c>
      <c r="N36" s="60" t="s">
        <v>1935</v>
      </c>
      <c r="O36" s="98">
        <v>6.0962566844919783E-2</v>
      </c>
      <c r="P36" s="78"/>
    </row>
    <row r="37" spans="1:16" ht="28.8" customHeight="1" x14ac:dyDescent="0.3">
      <c r="A37" s="55">
        <v>33</v>
      </c>
      <c r="B37" s="94" t="s">
        <v>1789</v>
      </c>
      <c r="C37" s="78"/>
      <c r="D37" s="78"/>
      <c r="E37" s="94" t="s">
        <v>1</v>
      </c>
      <c r="F37" s="78"/>
      <c r="G37" s="94" t="s">
        <v>24</v>
      </c>
      <c r="H37" s="78"/>
      <c r="I37" s="99">
        <v>512000</v>
      </c>
      <c r="J37" s="78"/>
      <c r="K37" s="99">
        <v>25600</v>
      </c>
      <c r="L37" s="78"/>
      <c r="M37" s="56">
        <v>1</v>
      </c>
      <c r="N37" s="57" t="s">
        <v>1899</v>
      </c>
      <c r="O37" s="96">
        <v>0.05</v>
      </c>
      <c r="P37" s="78"/>
    </row>
    <row r="38" spans="1:16" ht="28.8" customHeight="1" x14ac:dyDescent="0.3">
      <c r="A38" s="58">
        <v>34</v>
      </c>
      <c r="B38" s="95" t="s">
        <v>977</v>
      </c>
      <c r="C38" s="78"/>
      <c r="D38" s="78"/>
      <c r="E38" s="95" t="s">
        <v>1879</v>
      </c>
      <c r="F38" s="78"/>
      <c r="G38" s="95" t="s">
        <v>22</v>
      </c>
      <c r="H38" s="78"/>
      <c r="I38" s="97">
        <v>538700</v>
      </c>
      <c r="J38" s="78"/>
      <c r="K38" s="97">
        <v>21168</v>
      </c>
      <c r="L38" s="78"/>
      <c r="M38" s="59">
        <v>6</v>
      </c>
      <c r="N38" s="60" t="s">
        <v>1925</v>
      </c>
      <c r="O38" s="98">
        <v>3.9294598106552822E-2</v>
      </c>
      <c r="P38" s="78"/>
    </row>
    <row r="39" spans="1:16" ht="28.8" customHeight="1" x14ac:dyDescent="0.3">
      <c r="A39" s="55">
        <v>35</v>
      </c>
      <c r="B39" s="94" t="s">
        <v>799</v>
      </c>
      <c r="C39" s="78"/>
      <c r="D39" s="78"/>
      <c r="E39" s="94" t="s">
        <v>1</v>
      </c>
      <c r="F39" s="78"/>
      <c r="G39" s="94" t="s">
        <v>22</v>
      </c>
      <c r="H39" s="78"/>
      <c r="I39" s="99">
        <v>52000</v>
      </c>
      <c r="J39" s="78"/>
      <c r="K39" s="99">
        <v>20400</v>
      </c>
      <c r="L39" s="78"/>
      <c r="M39" s="56">
        <v>62</v>
      </c>
      <c r="N39" s="57" t="s">
        <v>1900</v>
      </c>
      <c r="O39" s="96">
        <v>0.3923076923076923</v>
      </c>
      <c r="P39" s="78"/>
    </row>
    <row r="40" spans="1:16" ht="28.8" customHeight="1" x14ac:dyDescent="0.3">
      <c r="A40" s="58">
        <v>36</v>
      </c>
      <c r="B40" s="95" t="s">
        <v>200</v>
      </c>
      <c r="C40" s="78"/>
      <c r="D40" s="78"/>
      <c r="E40" s="95" t="s">
        <v>1</v>
      </c>
      <c r="F40" s="78"/>
      <c r="G40" s="95" t="s">
        <v>22</v>
      </c>
      <c r="H40" s="78"/>
      <c r="I40" s="97">
        <v>57800</v>
      </c>
      <c r="J40" s="78"/>
      <c r="K40" s="97">
        <v>18900</v>
      </c>
      <c r="L40" s="78"/>
      <c r="M40" s="59">
        <v>32</v>
      </c>
      <c r="N40" s="60" t="s">
        <v>1901</v>
      </c>
      <c r="O40" s="98">
        <v>0.32698961937716259</v>
      </c>
      <c r="P40" s="78"/>
    </row>
    <row r="41" spans="1:16" ht="28.8" customHeight="1" x14ac:dyDescent="0.3">
      <c r="A41" s="55">
        <v>37</v>
      </c>
      <c r="B41" s="94" t="s">
        <v>1346</v>
      </c>
      <c r="C41" s="78"/>
      <c r="D41" s="78"/>
      <c r="E41" s="94" t="s">
        <v>1879</v>
      </c>
      <c r="F41" s="78"/>
      <c r="G41" s="94" t="s">
        <v>24</v>
      </c>
      <c r="H41" s="78"/>
      <c r="I41" s="99">
        <v>448500</v>
      </c>
      <c r="J41" s="78"/>
      <c r="K41" s="99">
        <v>17000</v>
      </c>
      <c r="L41" s="78"/>
      <c r="M41" s="56">
        <v>0</v>
      </c>
      <c r="N41" s="57" t="s">
        <v>1926</v>
      </c>
      <c r="O41" s="96">
        <v>3.79041248606466E-2</v>
      </c>
      <c r="P41" s="78"/>
    </row>
    <row r="42" spans="1:16" ht="28.8" customHeight="1" x14ac:dyDescent="0.3">
      <c r="A42" s="58">
        <v>38</v>
      </c>
      <c r="B42" s="95" t="s">
        <v>1215</v>
      </c>
      <c r="C42" s="78"/>
      <c r="D42" s="78"/>
      <c r="E42" s="95" t="s">
        <v>1879</v>
      </c>
      <c r="F42" s="78"/>
      <c r="G42" s="95" t="s">
        <v>24</v>
      </c>
      <c r="H42" s="78"/>
      <c r="I42" s="97">
        <v>493000</v>
      </c>
      <c r="J42" s="78"/>
      <c r="K42" s="97">
        <v>16800</v>
      </c>
      <c r="L42" s="78"/>
      <c r="M42" s="59">
        <v>1</v>
      </c>
      <c r="N42" s="60" t="s">
        <v>1927</v>
      </c>
      <c r="O42" s="98">
        <v>3.4077079107505071E-2</v>
      </c>
      <c r="P42" s="78"/>
    </row>
    <row r="43" spans="1:16" ht="28.8" customHeight="1" x14ac:dyDescent="0.3">
      <c r="A43" s="55">
        <v>39</v>
      </c>
      <c r="B43" s="94" t="s">
        <v>721</v>
      </c>
      <c r="C43" s="78"/>
      <c r="D43" s="78"/>
      <c r="E43" s="94" t="s">
        <v>1</v>
      </c>
      <c r="F43" s="78"/>
      <c r="G43" s="94" t="s">
        <v>22</v>
      </c>
      <c r="H43" s="78"/>
      <c r="I43" s="99">
        <v>50500</v>
      </c>
      <c r="J43" s="78"/>
      <c r="K43" s="99">
        <v>16000</v>
      </c>
      <c r="L43" s="78"/>
      <c r="M43" s="56">
        <v>0</v>
      </c>
      <c r="N43" s="57" t="s">
        <v>1902</v>
      </c>
      <c r="O43" s="96">
        <v>0.31683168316831678</v>
      </c>
      <c r="P43" s="78"/>
    </row>
    <row r="44" spans="1:16" ht="28.8" customHeight="1" x14ac:dyDescent="0.3">
      <c r="A44" s="58">
        <v>40</v>
      </c>
      <c r="B44" s="95" t="s">
        <v>1638</v>
      </c>
      <c r="C44" s="78"/>
      <c r="D44" s="78"/>
      <c r="E44" s="95" t="s">
        <v>1879</v>
      </c>
      <c r="F44" s="78"/>
      <c r="G44" s="95" t="s">
        <v>22</v>
      </c>
      <c r="H44" s="78"/>
      <c r="I44" s="97">
        <v>412200</v>
      </c>
      <c r="J44" s="78"/>
      <c r="K44" s="97">
        <v>12000</v>
      </c>
      <c r="L44" s="78"/>
      <c r="M44" s="59">
        <v>1</v>
      </c>
      <c r="N44" s="60" t="s">
        <v>1928</v>
      </c>
      <c r="O44" s="98">
        <v>2.9112081513828238E-2</v>
      </c>
      <c r="P44" s="78"/>
    </row>
    <row r="45" spans="1:16" ht="28.8" customHeight="1" x14ac:dyDescent="0.3">
      <c r="A45" s="55">
        <v>41</v>
      </c>
      <c r="B45" s="94" t="s">
        <v>1296</v>
      </c>
      <c r="C45" s="78"/>
      <c r="D45" s="78"/>
      <c r="E45" s="94" t="s">
        <v>1879</v>
      </c>
      <c r="F45" s="78"/>
      <c r="G45" s="94" t="s">
        <v>22</v>
      </c>
      <c r="H45" s="78"/>
      <c r="I45" s="99">
        <v>467100</v>
      </c>
      <c r="J45" s="78"/>
      <c r="K45" s="99">
        <v>10000</v>
      </c>
      <c r="L45" s="78"/>
      <c r="M45" s="56">
        <v>1</v>
      </c>
      <c r="N45" s="57" t="s">
        <v>1929</v>
      </c>
      <c r="O45" s="96">
        <v>2.140869192892314E-2</v>
      </c>
      <c r="P45" s="78"/>
    </row>
    <row r="46" spans="1:16" ht="28.8" customHeight="1" x14ac:dyDescent="0.3">
      <c r="A46" s="58">
        <v>42</v>
      </c>
      <c r="B46" s="95" t="s">
        <v>120</v>
      </c>
      <c r="C46" s="78"/>
      <c r="D46" s="78"/>
      <c r="E46" s="95" t="s">
        <v>1</v>
      </c>
      <c r="F46" s="78"/>
      <c r="G46" s="95" t="s">
        <v>22</v>
      </c>
      <c r="H46" s="78"/>
      <c r="I46" s="97">
        <v>56300</v>
      </c>
      <c r="J46" s="78"/>
      <c r="K46" s="97">
        <v>4500</v>
      </c>
      <c r="L46" s="78"/>
      <c r="M46" s="59">
        <v>32</v>
      </c>
      <c r="N46" s="60" t="s">
        <v>1903</v>
      </c>
      <c r="O46" s="98">
        <v>7.9928952042628773E-2</v>
      </c>
      <c r="P46" s="78"/>
    </row>
  </sheetData>
  <mergeCells count="259">
    <mergeCell ref="G46:H46"/>
    <mergeCell ref="E37:F37"/>
    <mergeCell ref="I31:J31"/>
    <mergeCell ref="K4:L4"/>
    <mergeCell ref="I40:J40"/>
    <mergeCell ref="E21:F21"/>
    <mergeCell ref="E45:F45"/>
    <mergeCell ref="I5:J5"/>
    <mergeCell ref="G14:H14"/>
    <mergeCell ref="O42:P42"/>
    <mergeCell ref="I39:J39"/>
    <mergeCell ref="I14:J14"/>
    <mergeCell ref="G45:H45"/>
    <mergeCell ref="B7:D7"/>
    <mergeCell ref="K14:L14"/>
    <mergeCell ref="K39:L39"/>
    <mergeCell ref="O12:P12"/>
    <mergeCell ref="B16:D16"/>
    <mergeCell ref="G29:H29"/>
    <mergeCell ref="I29:J29"/>
    <mergeCell ref="O13:P13"/>
    <mergeCell ref="I38:J38"/>
    <mergeCell ref="K38:L38"/>
    <mergeCell ref="O14:P14"/>
    <mergeCell ref="B18:D18"/>
    <mergeCell ref="B27:D27"/>
    <mergeCell ref="G31:H31"/>
    <mergeCell ref="B38:D38"/>
    <mergeCell ref="E35:F35"/>
    <mergeCell ref="K20:L20"/>
    <mergeCell ref="E10:F10"/>
    <mergeCell ref="G10:H10"/>
    <mergeCell ref="E19:F19"/>
    <mergeCell ref="G19:H19"/>
    <mergeCell ref="E28:F28"/>
    <mergeCell ref="B40:D40"/>
    <mergeCell ref="G28:H28"/>
    <mergeCell ref="I22:J22"/>
    <mergeCell ref="I28:J28"/>
    <mergeCell ref="B15:D15"/>
    <mergeCell ref="K22:L22"/>
    <mergeCell ref="B24:D24"/>
    <mergeCell ref="B33:D33"/>
    <mergeCell ref="I12:J12"/>
    <mergeCell ref="E30:F30"/>
    <mergeCell ref="K12:L12"/>
    <mergeCell ref="G30:H30"/>
    <mergeCell ref="B32:D32"/>
    <mergeCell ref="E11:F11"/>
    <mergeCell ref="B26:D26"/>
    <mergeCell ref="B41:D41"/>
    <mergeCell ref="G15:H15"/>
    <mergeCell ref="E46:F46"/>
    <mergeCell ref="B35:D35"/>
    <mergeCell ref="O46:P46"/>
    <mergeCell ref="I23:J23"/>
    <mergeCell ref="K23:L23"/>
    <mergeCell ref="B25:D25"/>
    <mergeCell ref="K7:L7"/>
    <mergeCell ref="E32:F32"/>
    <mergeCell ref="E7:F7"/>
    <mergeCell ref="B22:D22"/>
    <mergeCell ref="G32:H32"/>
    <mergeCell ref="E41:F41"/>
    <mergeCell ref="O23:P23"/>
    <mergeCell ref="O38:P38"/>
    <mergeCell ref="G41:H41"/>
    <mergeCell ref="B12:D12"/>
    <mergeCell ref="K18:L18"/>
    <mergeCell ref="E43:F43"/>
    <mergeCell ref="I34:J34"/>
    <mergeCell ref="G43:H43"/>
    <mergeCell ref="K34:L34"/>
    <mergeCell ref="E24:F24"/>
    <mergeCell ref="K46:L46"/>
    <mergeCell ref="O4:P4"/>
    <mergeCell ref="K40:L40"/>
    <mergeCell ref="E31:F31"/>
    <mergeCell ref="O22:P22"/>
    <mergeCell ref="I21:J21"/>
    <mergeCell ref="E6:F6"/>
    <mergeCell ref="E15:F15"/>
    <mergeCell ref="K8:L8"/>
    <mergeCell ref="O10:P10"/>
    <mergeCell ref="E33:F33"/>
    <mergeCell ref="O24:P24"/>
    <mergeCell ref="G27:H27"/>
    <mergeCell ref="E42:F42"/>
    <mergeCell ref="O18:P18"/>
    <mergeCell ref="I27:J27"/>
    <mergeCell ref="O33:P33"/>
    <mergeCell ref="G36:H36"/>
    <mergeCell ref="I36:J36"/>
    <mergeCell ref="G8:H8"/>
    <mergeCell ref="E17:F17"/>
    <mergeCell ref="K36:L36"/>
    <mergeCell ref="G17:H17"/>
    <mergeCell ref="E9:F9"/>
    <mergeCell ref="G42:H42"/>
    <mergeCell ref="K9:L9"/>
    <mergeCell ref="I11:J11"/>
    <mergeCell ref="K5:L5"/>
    <mergeCell ref="B13:D13"/>
    <mergeCell ref="I45:J45"/>
    <mergeCell ref="O9:P9"/>
    <mergeCell ref="K45:L45"/>
    <mergeCell ref="E39:F39"/>
    <mergeCell ref="O39:P39"/>
    <mergeCell ref="O36:P36"/>
    <mergeCell ref="G39:H39"/>
    <mergeCell ref="E44:F44"/>
    <mergeCell ref="O30:P30"/>
    <mergeCell ref="K29:L29"/>
    <mergeCell ref="K11:L11"/>
    <mergeCell ref="E20:F20"/>
    <mergeCell ref="E29:F29"/>
    <mergeCell ref="O5:P5"/>
    <mergeCell ref="O20:P20"/>
    <mergeCell ref="K44:L44"/>
    <mergeCell ref="G37:H37"/>
    <mergeCell ref="E13:F13"/>
    <mergeCell ref="I37:J37"/>
    <mergeCell ref="I9:J9"/>
    <mergeCell ref="K16:L16"/>
    <mergeCell ref="K25:L25"/>
    <mergeCell ref="B14:D14"/>
    <mergeCell ref="B23:D23"/>
    <mergeCell ref="O19:P19"/>
    <mergeCell ref="O34:P34"/>
    <mergeCell ref="A1:P2"/>
    <mergeCell ref="G11:H11"/>
    <mergeCell ref="O28:P28"/>
    <mergeCell ref="K31:L31"/>
    <mergeCell ref="G13:H13"/>
    <mergeCell ref="B29:D29"/>
    <mergeCell ref="G6:H6"/>
    <mergeCell ref="G5:H5"/>
    <mergeCell ref="G4:H4"/>
    <mergeCell ref="I4:J4"/>
    <mergeCell ref="E4:F4"/>
    <mergeCell ref="B19:D19"/>
    <mergeCell ref="E38:F38"/>
    <mergeCell ref="O29:P29"/>
    <mergeCell ref="G7:H7"/>
    <mergeCell ref="G38:H38"/>
    <mergeCell ref="I32:J32"/>
    <mergeCell ref="I7:J7"/>
    <mergeCell ref="K32:L32"/>
    <mergeCell ref="B9:D9"/>
    <mergeCell ref="O31:P31"/>
    <mergeCell ref="B5:D5"/>
    <mergeCell ref="B36:D36"/>
    <mergeCell ref="O21:P21"/>
    <mergeCell ref="G24:H24"/>
    <mergeCell ref="I24:J24"/>
    <mergeCell ref="G33:H33"/>
    <mergeCell ref="I33:J33"/>
    <mergeCell ref="K27:L27"/>
    <mergeCell ref="I8:J8"/>
    <mergeCell ref="O37:P37"/>
    <mergeCell ref="E26:F26"/>
    <mergeCell ref="I17:J17"/>
    <mergeCell ref="G26:H26"/>
    <mergeCell ref="I46:J46"/>
    <mergeCell ref="I15:J15"/>
    <mergeCell ref="B8:D8"/>
    <mergeCell ref="K15:L15"/>
    <mergeCell ref="B17:D17"/>
    <mergeCell ref="E5:F5"/>
    <mergeCell ref="E14:F14"/>
    <mergeCell ref="G40:H40"/>
    <mergeCell ref="O45:P45"/>
    <mergeCell ref="K21:L21"/>
    <mergeCell ref="B10:D10"/>
    <mergeCell ref="I41:J41"/>
    <mergeCell ref="K41:L41"/>
    <mergeCell ref="O44:P44"/>
    <mergeCell ref="E40:F40"/>
    <mergeCell ref="I43:J43"/>
    <mergeCell ref="K43:L43"/>
    <mergeCell ref="B45:D45"/>
    <mergeCell ref="K17:L17"/>
    <mergeCell ref="G35:H35"/>
    <mergeCell ref="I35:J35"/>
    <mergeCell ref="E16:F16"/>
    <mergeCell ref="B31:D31"/>
    <mergeCell ref="B46:D46"/>
    <mergeCell ref="O43:P43"/>
    <mergeCell ref="I42:J42"/>
    <mergeCell ref="B4:D4"/>
    <mergeCell ref="K42:L42"/>
    <mergeCell ref="E27:F27"/>
    <mergeCell ref="O40:P40"/>
    <mergeCell ref="E36:F36"/>
    <mergeCell ref="O27:P27"/>
    <mergeCell ref="O8:P8"/>
    <mergeCell ref="O17:P17"/>
    <mergeCell ref="G20:H20"/>
    <mergeCell ref="O11:P11"/>
    <mergeCell ref="I20:J20"/>
    <mergeCell ref="K28:L28"/>
    <mergeCell ref="K37:L37"/>
    <mergeCell ref="E22:F22"/>
    <mergeCell ref="I13:J13"/>
    <mergeCell ref="G22:H22"/>
    <mergeCell ref="B43:D43"/>
    <mergeCell ref="K13:L13"/>
    <mergeCell ref="I30:J30"/>
    <mergeCell ref="E12:F12"/>
    <mergeCell ref="K30:L30"/>
    <mergeCell ref="G12:H12"/>
    <mergeCell ref="B44:D44"/>
    <mergeCell ref="G23:H23"/>
    <mergeCell ref="I26:J26"/>
    <mergeCell ref="E8:F8"/>
    <mergeCell ref="K26:L26"/>
    <mergeCell ref="B34:D34"/>
    <mergeCell ref="B28:D28"/>
    <mergeCell ref="K35:L35"/>
    <mergeCell ref="B37:D37"/>
    <mergeCell ref="I16:J16"/>
    <mergeCell ref="I25:J25"/>
    <mergeCell ref="B30:D30"/>
    <mergeCell ref="G18:H18"/>
    <mergeCell ref="I18:J18"/>
    <mergeCell ref="B20:D20"/>
    <mergeCell ref="E34:F34"/>
    <mergeCell ref="G34:H34"/>
    <mergeCell ref="I44:J44"/>
    <mergeCell ref="G44:H44"/>
    <mergeCell ref="G16:H16"/>
    <mergeCell ref="E25:F25"/>
    <mergeCell ref="I10:J10"/>
    <mergeCell ref="G25:H25"/>
    <mergeCell ref="K10:L10"/>
    <mergeCell ref="G21:H21"/>
    <mergeCell ref="B42:D42"/>
    <mergeCell ref="B11:D11"/>
    <mergeCell ref="O7:P7"/>
    <mergeCell ref="K24:L24"/>
    <mergeCell ref="O6:P6"/>
    <mergeCell ref="K33:L33"/>
    <mergeCell ref="O15:P15"/>
    <mergeCell ref="E23:F23"/>
    <mergeCell ref="O32:P32"/>
    <mergeCell ref="O26:P26"/>
    <mergeCell ref="O41:P41"/>
    <mergeCell ref="O35:P35"/>
    <mergeCell ref="B6:D6"/>
    <mergeCell ref="O16:P16"/>
    <mergeCell ref="O25:P25"/>
    <mergeCell ref="I6:J6"/>
    <mergeCell ref="I19:J19"/>
    <mergeCell ref="K19:L19"/>
    <mergeCell ref="B21:D21"/>
    <mergeCell ref="K6:L6"/>
    <mergeCell ref="G9:H9"/>
    <mergeCell ref="E18:F18"/>
    <mergeCell ref="B39:D39"/>
  </mergeCells>
  <conditionalFormatting sqref="K5:K46">
    <cfRule type="dataBar" priority="1">
      <dataBar>
        <cfvo type="num" val="0"/>
        <cfvo type="num" val="848430"/>
        <color rgb="FFE73349"/>
      </dataBar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showGridLines="0" tabSelected="1" workbookViewId="0">
      <pane ySplit="4" topLeftCell="A5" activePane="bottomLeft" state="frozen"/>
      <selection pane="bottomLeft" activeCell="E11" sqref="E11"/>
    </sheetView>
  </sheetViews>
  <sheetFormatPr baseColWidth="10" defaultRowHeight="14.4" x14ac:dyDescent="0.3"/>
  <cols>
    <col min="1" max="1" width="23.33203125" customWidth="1"/>
    <col min="2" max="2" width="19.21875" customWidth="1"/>
    <col min="3" max="3" width="16.21875" customWidth="1"/>
    <col min="4" max="4" width="17.88671875" customWidth="1"/>
    <col min="5" max="5" width="13" customWidth="1"/>
    <col min="6" max="6" width="16.21875" customWidth="1"/>
    <col min="7" max="7" width="14" customWidth="1"/>
    <col min="8" max="8" width="14.33203125" customWidth="1"/>
  </cols>
  <sheetData>
    <row r="1" spans="1:9" ht="36" customHeight="1" x14ac:dyDescent="0.3">
      <c r="A1" s="92" t="s">
        <v>1942</v>
      </c>
      <c r="B1" s="78"/>
      <c r="C1" s="78"/>
      <c r="D1" s="78"/>
      <c r="E1" s="78"/>
      <c r="F1" s="78"/>
      <c r="G1" s="78"/>
      <c r="H1" s="78"/>
      <c r="I1" s="42"/>
    </row>
    <row r="2" spans="1:9" ht="30" customHeight="1" x14ac:dyDescent="0.3">
      <c r="A2" s="78"/>
      <c r="B2" s="78"/>
      <c r="C2" s="78"/>
      <c r="D2" s="78"/>
      <c r="E2" s="78"/>
      <c r="F2" s="78"/>
      <c r="G2" s="78"/>
      <c r="H2" s="78"/>
      <c r="I2" s="42"/>
    </row>
    <row r="3" spans="1:9" x14ac:dyDescent="0.3">
      <c r="A3" s="42"/>
      <c r="B3" s="42"/>
      <c r="C3" s="42"/>
      <c r="D3" s="42"/>
      <c r="E3" s="42"/>
      <c r="F3" s="42"/>
      <c r="G3" s="42"/>
      <c r="H3" s="42"/>
      <c r="I3" s="42"/>
    </row>
    <row r="4" spans="1:9" ht="46.8" customHeight="1" x14ac:dyDescent="0.3">
      <c r="A4" s="61" t="s">
        <v>28</v>
      </c>
      <c r="B4" s="61" t="s">
        <v>1889</v>
      </c>
      <c r="C4" s="61" t="s">
        <v>7</v>
      </c>
      <c r="D4" s="61" t="s">
        <v>8</v>
      </c>
      <c r="E4" s="61" t="s">
        <v>9</v>
      </c>
      <c r="F4" s="61" t="s">
        <v>1943</v>
      </c>
      <c r="G4" s="61" t="s">
        <v>1944</v>
      </c>
      <c r="H4" s="61" t="s">
        <v>1945</v>
      </c>
      <c r="I4" s="42"/>
    </row>
    <row r="5" spans="1:9" ht="18" customHeight="1" x14ac:dyDescent="0.3">
      <c r="A5" s="62" t="s">
        <v>1879</v>
      </c>
      <c r="B5" s="63">
        <v>20451400</v>
      </c>
      <c r="C5" s="63">
        <v>4439425.4800000004</v>
      </c>
      <c r="D5" s="63">
        <v>8987397.2200000007</v>
      </c>
      <c r="E5" s="47">
        <v>7024577.2999999998</v>
      </c>
      <c r="F5" s="64">
        <v>0.34347659817909781</v>
      </c>
      <c r="G5" s="63">
        <v>25</v>
      </c>
      <c r="H5" s="65">
        <v>143</v>
      </c>
      <c r="I5" s="66" t="str">
        <f>IF(ROUND(B5,0)=ROUND(C5+D5+E5,0),"OK","REVISAR")</f>
        <v>OK</v>
      </c>
    </row>
    <row r="6" spans="1:9" ht="20.399999999999999" customHeight="1" x14ac:dyDescent="0.3">
      <c r="A6" s="67" t="s">
        <v>1</v>
      </c>
      <c r="B6" s="53">
        <v>25025700</v>
      </c>
      <c r="C6" s="53">
        <v>22494330.18</v>
      </c>
      <c r="D6" s="53">
        <v>534689.80000000005</v>
      </c>
      <c r="E6" s="51">
        <v>1996680</v>
      </c>
      <c r="F6" s="68">
        <v>7.9785180834102548E-2</v>
      </c>
      <c r="G6" s="53">
        <v>11</v>
      </c>
      <c r="H6" s="59">
        <v>58</v>
      </c>
      <c r="I6" s="66" t="str">
        <f>IF(ROUND(B6,0)=ROUND(C6+D6+E6,0),"OK","REVISAR")</f>
        <v>OK</v>
      </c>
    </row>
    <row r="7" spans="1:9" ht="18" customHeight="1" x14ac:dyDescent="0.3">
      <c r="A7" s="62" t="s">
        <v>1880</v>
      </c>
      <c r="B7" s="63">
        <v>8513900</v>
      </c>
      <c r="C7" s="63">
        <v>4508586.68</v>
      </c>
      <c r="D7" s="63">
        <v>3305139.98</v>
      </c>
      <c r="E7" s="47">
        <v>700173.34</v>
      </c>
      <c r="F7" s="64">
        <v>8.2238849410963238E-2</v>
      </c>
      <c r="G7" s="63">
        <v>6</v>
      </c>
      <c r="H7" s="65">
        <v>47</v>
      </c>
      <c r="I7" s="66" t="str">
        <f>IF(ROUND(B7,0)=ROUND(C7+D7+E7,0),"OK","REVISAR")</f>
        <v>OK</v>
      </c>
    </row>
    <row r="8" spans="1:9" x14ac:dyDescent="0.3">
      <c r="A8" s="69" t="s">
        <v>1946</v>
      </c>
      <c r="B8" s="70">
        <v>53991000</v>
      </c>
      <c r="C8" s="70">
        <v>31442342.34</v>
      </c>
      <c r="D8" s="70">
        <v>12827227</v>
      </c>
      <c r="E8" s="70">
        <v>9721430.6400000006</v>
      </c>
      <c r="F8" s="71">
        <v>0.1800565027504584</v>
      </c>
      <c r="G8" s="72">
        <v>42</v>
      </c>
      <c r="H8" s="73">
        <v>61</v>
      </c>
      <c r="I8" s="66" t="str">
        <f>IF(ROUND(B8,0)=ROUND(C8+D8+E8,0),"OK","REVISAR")</f>
        <v>OK</v>
      </c>
    </row>
  </sheetData>
  <mergeCells count="1">
    <mergeCell ref="A1:H2"/>
  </mergeCells>
  <conditionalFormatting sqref="A5:A7 E5:E7">
    <cfRule type="expression" dxfId="1" priority="11">
      <formula>AND($C5&gt;0,#REF!=MAX(#REF!))</formula>
    </cfRule>
  </conditionalFormatting>
  <conditionalFormatting sqref="E5:E7">
    <cfRule type="dataBar" priority="5">
      <dataBar>
        <cfvo type="min"/>
        <cfvo type="max"/>
        <color rgb="FFDC0D22"/>
      </dataBar>
    </cfRule>
    <cfRule type="dataBar" priority="6">
      <dataBar>
        <cfvo type="min"/>
        <cfvo type="max"/>
        <color rgb="FFDC0D22"/>
      </dataBar>
    </cfRule>
    <cfRule type="dataBar" priority="8">
      <dataBar>
        <cfvo type="min"/>
        <cfvo type="max"/>
        <color rgb="FFDC0D22"/>
      </dataBar>
    </cfRule>
  </conditionalFormatting>
  <conditionalFormatting sqref="H5:H7">
    <cfRule type="dataBar" priority="1">
      <dataBar>
        <cfvo type="min"/>
        <cfvo type="max"/>
        <color rgb="FFC17510"/>
      </dataBar>
    </cfRule>
    <cfRule type="dataBar" priority="2">
      <dataBar>
        <cfvo type="min"/>
        <cfvo type="max"/>
        <color rgb="FFC17510"/>
      </dataBar>
    </cfRule>
    <cfRule type="expression" dxfId="0" priority="3">
      <formula>AND($C5&gt;0,$E5=MAX($E$5:$E$7))</formula>
    </cfRule>
    <cfRule type="dataBar" priority="4">
      <dataBar>
        <cfvo type="min"/>
        <cfvo type="max"/>
        <color rgb="FFC17510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Base_Cobranzas</vt:lpstr>
      <vt:lpstr>Prada</vt:lpstr>
      <vt:lpstr>Beyond</vt:lpstr>
      <vt:lpstr>Venecia</vt:lpstr>
      <vt:lpstr>Reporte_General</vt:lpstr>
      <vt:lpstr>Reporte_Cliente</vt:lpstr>
      <vt:lpstr>Reporte_Proyecto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Huamani</dc:creator>
  <cp:lastModifiedBy>Eduardo Huamani</cp:lastModifiedBy>
  <dcterms:created xsi:type="dcterms:W3CDTF">2026-07-10T15:59:11Z</dcterms:created>
  <dcterms:modified xsi:type="dcterms:W3CDTF">2026-08-31T20:23:04Z</dcterms:modified>
</cp:coreProperties>
</file>